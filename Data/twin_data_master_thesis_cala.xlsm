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8E38FEB-0CD5-4CF5-B446-5ED8256E7C28}"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9" i="22" l="1"/>
  <c r="F28" i="22"/>
  <c r="F27" i="22"/>
  <c r="F26" i="22"/>
  <c r="F25" i="22"/>
  <c r="F24" i="22"/>
  <c r="C75"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16" i="18"/>
  <c r="J17" i="18"/>
  <c r="J18" i="18"/>
  <c r="J2" i="18"/>
  <c r="C74" i="13" l="1"/>
  <c r="C66" i="13"/>
  <c r="C17" i="13" l="1"/>
  <c r="C93" i="13"/>
  <c r="C92" i="13"/>
  <c r="C89" i="13"/>
  <c r="C88" i="13"/>
  <c r="C87" i="13"/>
  <c r="C86" i="13"/>
  <c r="C85" i="13"/>
  <c r="C84" i="13"/>
  <c r="C83" i="13"/>
  <c r="C82" i="13"/>
  <c r="C81" i="13"/>
  <c r="C80" i="13"/>
  <c r="C79" i="13"/>
  <c r="C78" i="13"/>
  <c r="C77" i="13"/>
  <c r="C76"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AX1" authorId="0" shapeId="0" xr:uid="{720A3A0F-6EDF-4A11-86C4-D8AE6FD6189A}">
      <text>
        <r>
          <rPr>
            <sz val="11"/>
            <color theme="1"/>
            <rFont val="Calibri"/>
            <family val="2"/>
            <scheme val="minor"/>
          </rPr>
          <t>Petr Čala:
Region - possibly dummify this</t>
        </r>
      </text>
    </comment>
    <comment ref="BH1" authorId="0" shapeId="0" xr:uid="{A53338FE-F6FB-4773-B37A-E2193E34277D}">
      <text>
        <r>
          <rPr>
            <sz val="11"/>
            <color theme="1"/>
            <rFont val="Calibri"/>
            <family val="2"/>
            <scheme val="minor"/>
          </rPr>
          <t>Petr Čala:
Logarithm of median monthly expenditure in that country around year 2000</t>
        </r>
      </text>
    </comment>
    <comment ref="BI1" authorId="0" shapeId="0" xr:uid="{32EF613C-B212-451E-871C-2D3BFC34A185}">
      <text>
        <r>
          <rPr>
            <sz val="11"/>
            <color theme="1"/>
            <rFont val="Calibri"/>
            <family val="2"/>
            <scheme val="minor"/>
          </rPr>
          <t>Petr Čala:
Logarithm of the minimal monthly wage in that country around year 2000</t>
        </r>
      </text>
    </comment>
    <comment ref="BK1" authorId="0" shapeId="0" xr:uid="{E4FBE703-82D2-4585-ABD8-74BABF14C170}">
      <text>
        <r>
          <rPr>
            <sz val="11"/>
            <color theme="1"/>
            <rFont val="Calibri"/>
            <family val="2"/>
            <scheme val="minor"/>
          </rPr>
          <t>Petr Čala:
Mean age of subjects</t>
        </r>
      </text>
    </comment>
    <comment ref="BM1" authorId="0" shapeId="0" xr:uid="{C6326B5B-BB88-490F-93ED-C190D35397E3}">
      <text>
        <r>
          <rPr>
            <sz val="11"/>
            <color theme="1"/>
            <rFont val="Calibri"/>
            <family val="2"/>
            <scheme val="minor"/>
          </rPr>
          <t xml:space="preserve">Petr Čala:
Cohort years to average out the individual effect (ability)
or Fixed-effects
</t>
        </r>
      </text>
    </comment>
    <comment ref="BO1" authorId="0" shapeId="0" xr:uid="{47EEB4BD-17B9-403A-B104-8DF70294B54F}">
      <text>
        <r>
          <rPr>
            <sz val="11"/>
            <color theme="1"/>
            <rFont val="Calibri"/>
            <family val="2"/>
            <scheme val="minor"/>
          </rPr>
          <t>Petr Čala:
Heckman regression model</t>
        </r>
      </text>
    </comment>
    <comment ref="BR1" authorId="0" shapeId="0" xr:uid="{0E4A58C0-F31E-466C-8FE8-AA5E9FD7FEE6}">
      <text>
        <r>
          <rPr>
            <sz val="11"/>
            <color theme="1"/>
            <rFont val="Calibri"/>
            <family val="2"/>
            <scheme val="minor"/>
          </rPr>
          <t>Petr Čala:
Ability is measured directly by IQ or other measure</t>
        </r>
      </text>
    </comment>
    <comment ref="BS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T1" authorId="0" shapeId="0" xr:uid="{0224E0BB-810B-48E4-9E37-E5E6688675A9}">
      <text>
        <r>
          <rPr>
            <sz val="11"/>
            <color theme="1"/>
            <rFont val="Calibri"/>
            <family val="2"/>
            <scheme val="minor"/>
          </rPr>
          <t>Petr Čala:
Ability or ability bias is not controlled for</t>
        </r>
      </text>
    </comment>
    <comment ref="BU1" authorId="0" shapeId="0" xr:uid="{31BB730A-9FD0-4F0E-8CFC-47F0A85F424F}">
      <text>
        <r>
          <rPr>
            <sz val="11"/>
            <color theme="1"/>
            <rFont val="Calibri"/>
            <family val="2"/>
            <scheme val="minor"/>
          </rPr>
          <t>Petr Čala:
ability bias is not mentioned anywhere in the study</t>
        </r>
      </text>
    </comment>
    <comment ref="BV1" authorId="0" shapeId="0" xr:uid="{2F895017-3969-40FF-862F-7B1BE49B8A99}">
      <text>
        <r>
          <rPr>
            <sz val="11"/>
            <color theme="1"/>
            <rFont val="Calibri"/>
            <family val="2"/>
            <scheme val="minor"/>
          </rPr>
          <t>Petr Čala:
The study uses parents' education as an instrument for the estimate</t>
        </r>
      </text>
    </comment>
    <comment ref="BW1" authorId="0" shapeId="0" xr:uid="{3F415A2B-88EC-47CD-AFE0-3A1A77DB5929}">
      <text>
        <r>
          <rPr>
            <sz val="11"/>
            <color theme="1"/>
            <rFont val="Calibri"/>
            <family val="2"/>
            <scheme val="minor"/>
          </rPr>
          <t>Petr Čala:
Distance to school or school per area</t>
        </r>
      </text>
    </comment>
    <comment ref="BX1" authorId="0" shapeId="0" xr:uid="{A41D2BFD-9167-49E3-A436-66D336D1C8BC}">
      <text>
        <r>
          <rPr>
            <sz val="11"/>
            <color theme="1"/>
            <rFont val="Calibri"/>
            <family val="2"/>
            <scheme val="minor"/>
          </rPr>
          <t>Petr Čala:
The study uses another instrument</t>
        </r>
      </text>
    </comment>
    <comment ref="BY1" authorId="0" shapeId="0" xr:uid="{3E9AAFF6-4DE8-4BC2-9160-401FCC9A4E41}">
      <text>
        <r>
          <rPr>
            <sz val="11"/>
            <color theme="1"/>
            <rFont val="Calibri"/>
            <family val="2"/>
            <scheme val="minor"/>
          </rPr>
          <t>Petr Čala:
Age is controlled for in the Mincer equation</t>
        </r>
      </text>
    </comment>
    <comment ref="BZ1" authorId="0" shapeId="0" xr:uid="{C4837C67-8A3D-4F5A-99B8-938329B9DB58}">
      <text>
        <r>
          <rPr>
            <sz val="11"/>
            <color theme="1"/>
            <rFont val="Calibri"/>
            <family val="2"/>
            <scheme val="minor"/>
          </rPr>
          <t>Petr Čala:
Squared age is controlled for in the Mincer equation</t>
        </r>
      </text>
    </comment>
    <comment ref="CA1" authorId="0" shapeId="0" xr:uid="{44BCC188-A821-48CE-98C1-33BC4DE54391}">
      <text>
        <r>
          <rPr>
            <sz val="11"/>
            <color theme="1"/>
            <rFont val="Calibri"/>
            <family val="2"/>
            <scheme val="minor"/>
          </rPr>
          <t>Petr Čala:
Experience control in the Mincer equation</t>
        </r>
      </text>
    </comment>
    <comment ref="CB1" authorId="0" shapeId="0" xr:uid="{3A6EDC0D-DA25-46AC-873B-43D6E855993F}">
      <text>
        <r>
          <rPr>
            <sz val="11"/>
            <color theme="1"/>
            <rFont val="Calibri"/>
            <family val="2"/>
            <scheme val="minor"/>
          </rPr>
          <t>Petr Čala:
Experience squared control</t>
        </r>
      </text>
    </comment>
    <comment ref="CC1" authorId="0" shapeId="0" xr:uid="{35D42C96-44CA-429D-8F74-52EC7A7733ED}">
      <text>
        <r>
          <rPr>
            <sz val="11"/>
            <color theme="1"/>
            <rFont val="Calibri"/>
            <family val="2"/>
            <scheme val="minor"/>
          </rPr>
          <t>Petr Čala:
Ethnicity control in the Mincer equation</t>
        </r>
      </text>
    </comment>
    <comment ref="CD1" authorId="0" shapeId="0" xr:uid="{00DEC1A5-D4BB-489C-93CD-5408C554DB67}">
      <text>
        <r>
          <rPr>
            <sz val="11"/>
            <color theme="1"/>
            <rFont val="Calibri"/>
            <family val="2"/>
            <scheme val="minor"/>
          </rPr>
          <t>Petr Čala:
Health control in the Mincer equation</t>
        </r>
      </text>
    </comment>
    <comment ref="CE1" authorId="0" shapeId="0" xr:uid="{2D503D4C-015D-4282-B212-A72CF7EAAF5F}">
      <text>
        <r>
          <rPr>
            <sz val="11"/>
            <color theme="1"/>
            <rFont val="Calibri"/>
            <family val="2"/>
            <scheme val="minor"/>
          </rPr>
          <t>Petr Čala:
Gender control in the Mincer equation</t>
        </r>
      </text>
    </comment>
    <comment ref="CF1" authorId="0" shapeId="0" xr:uid="{8EFB2D40-1686-4749-908A-00B4BAE02E84}">
      <text>
        <r>
          <rPr>
            <sz val="11"/>
            <color theme="1"/>
            <rFont val="Calibri"/>
            <family val="2"/>
            <scheme val="minor"/>
          </rPr>
          <t>Petr Čala:
Marriage control in the Mincer equation</t>
        </r>
      </text>
    </comment>
    <comment ref="CG1" authorId="0" shapeId="0" xr:uid="{D52621D7-E7AD-41D6-A13F-25FADC8F4693}">
      <text>
        <r>
          <rPr>
            <sz val="11"/>
            <color theme="1"/>
            <rFont val="Calibri"/>
            <family val="2"/>
            <scheme val="minor"/>
          </rPr>
          <t>Petr Čala:
Occupation control in the Mincer equation</t>
        </r>
      </text>
    </comment>
    <comment ref="CH1" authorId="0" shapeId="0" xr:uid="{398C9D56-89DC-4216-9503-98CCE6489FC2}">
      <text>
        <r>
          <rPr>
            <sz val="11"/>
            <color theme="1"/>
            <rFont val="Calibri"/>
            <family val="2"/>
            <scheme val="minor"/>
          </rPr>
          <t>Petr Čala:
Firm characteristics control in the Mincer equation</t>
        </r>
      </text>
    </comment>
    <comment ref="CI1" authorId="0" shapeId="0" xr:uid="{0F4D6292-CD11-4EE2-9875-9BC6D568BE79}">
      <text>
        <r>
          <rPr>
            <sz val="11"/>
            <color theme="1"/>
            <rFont val="Calibri"/>
            <family val="2"/>
            <scheme val="minor"/>
          </rPr>
          <t xml:space="preserve">Petr Čala:
Urban/rural control
</t>
        </r>
      </text>
    </comment>
    <comment ref="CJ1" authorId="0" shapeId="0" xr:uid="{6338CD52-9D65-48E4-A728-90FF75BE0942}">
      <text>
        <r>
          <rPr>
            <sz val="11"/>
            <color theme="1"/>
            <rFont val="Calibri"/>
            <family val="2"/>
            <scheme val="minor"/>
          </rPr>
          <t>Petr Čala:
Macroeconomic variables control in the Mincer equation, such as sector of activity</t>
        </r>
      </text>
    </comment>
    <comment ref="CK1" authorId="0" shapeId="0" xr:uid="{0E83382F-9392-4ED5-BBFD-820EF855E0FC}">
      <text>
        <r>
          <rPr>
            <sz val="11"/>
            <color theme="1"/>
            <rFont val="Calibri"/>
            <family val="2"/>
            <scheme val="minor"/>
          </rPr>
          <t>Petr Čala:
Impact factor, via tools</t>
        </r>
      </text>
    </comment>
    <comment ref="CL1" authorId="0" shapeId="0" xr:uid="{22B88D5F-84A2-4520-AFB8-E7EAA14B06AB}">
      <text>
        <r>
          <rPr>
            <sz val="11"/>
            <color theme="1"/>
            <rFont val="Calibri"/>
            <family val="2"/>
            <scheme val="minor"/>
          </rPr>
          <t>Petr Čala:
Log number of citations in google scholar</t>
        </r>
      </text>
    </comment>
    <comment ref="CM1" authorId="0" shapeId="0" xr:uid="{70F56552-FA85-46A3-9E60-5041B8BFA7AC}">
      <text>
        <r>
          <rPr>
            <sz val="11"/>
            <color theme="1"/>
            <rFont val="Calibri"/>
            <family val="2"/>
            <scheme val="minor"/>
          </rPr>
          <t>Petr Čala:
1 if published in journal, 0 if working/discussion paper</t>
        </r>
      </text>
    </comment>
    <comment ref="CO1" authorId="0" shapeId="0" xr:uid="{90C0C653-80F5-4650-BE35-8787AD025649}">
      <text>
        <r>
          <rPr>
            <sz val="11"/>
            <color theme="1"/>
            <rFont val="Calibri"/>
            <family val="2"/>
            <scheme val="minor"/>
          </rPr>
          <t>Petr Čala:
The year the study was published minus the minimum publication year of the sample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<sst xmlns="http://schemas.openxmlformats.org/spreadsheetml/2006/main" count="1337" uniqueCount="413">
  <si>
    <t>obs_n</t>
  </si>
  <si>
    <t>study_id</t>
  </si>
  <si>
    <t>years_of_schooling</t>
  </si>
  <si>
    <t>gender_male</t>
  </si>
  <si>
    <t>gender_female</t>
  </si>
  <si>
    <t>private_sector</t>
  </si>
  <si>
    <t>public_sector</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</si>
  <si>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</si>
  <si>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</si>
  <si>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</si>
  <si>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</si>
  <si>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</si>
  <si>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</si>
  <si>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</si>
  <si>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</si>
  <si>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</si>
  <si>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</si>
  <si>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</si>
  <si>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</si>
  <si>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</si>
  <si>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</si>
  <si>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</si>
  <si>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</si>
  <si>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</si>
  <si>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</si>
  <si>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</si>
  <si>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</si>
  <si>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</si>
  <si>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</si>
  <si>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</si>
  <si>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</si>
  <si>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</si>
  <si>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</si>
  <si>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</si>
  <si>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</si>
  <si>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</si>
  <si>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</si>
  <si>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</si>
  <si>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</si>
  <si>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</si>
  <si>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</si>
  <si>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</si>
  <si>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</si>
  <si>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</si>
  <si>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</si>
  <si>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</si>
  <si>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</si>
  <si>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</si>
  <si>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</si>
  <si>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</si>
  <si>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</si>
  <si>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</si>
  <si>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</si>
  <si>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</si>
  <si>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</si>
  <si>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</si>
  <si>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</si>
  <si>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</si>
  <si>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</si>
  <si>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</si>
  <si>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</si>
  <si>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</si>
  <si>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</si>
  <si>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</si>
  <si>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</si>
  <si>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</si>
  <si>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</si>
  <si>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</si>
  <si>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</si>
  <si>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</si>
  <si>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</si>
  <si>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</si>
  <si>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</si>
  <si>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</si>
  <si>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</si>
  <si>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</si>
  <si>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</si>
  <si>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</si>
  <si>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</si>
  <si>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</si>
  <si>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</si>
  <si>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</si>
  <si>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</si>
  <si>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</si>
  <si>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</si>
  <si>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</si>
  <si>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</si>
  <si>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</si>
  <si>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instr_other</t>
  </si>
  <si>
    <t>wage_log_monthly</t>
  </si>
  <si>
    <t>method_probit</t>
  </si>
  <si>
    <t>method_heckman</t>
  </si>
  <si>
    <t>area_control</t>
  </si>
  <si>
    <t>wage_log_daily</t>
  </si>
  <si>
    <t>instr_distance_to_school</t>
  </si>
  <si>
    <t>study_size</t>
  </si>
  <si>
    <t>se</t>
  </si>
  <si>
    <t>NO</t>
  </si>
  <si>
    <t>YES</t>
  </si>
  <si>
    <t>schooling_years</t>
  </si>
  <si>
    <t>schooling_levels</t>
  </si>
  <si>
    <t>sector_urban</t>
  </si>
  <si>
    <t>sector_rural</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</si>
  <si>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</si>
  <si>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</si>
  <si>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</si>
  <si>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</si>
  <si>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</si>
  <si>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</si>
  <si>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</si>
  <si>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</si>
  <si>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</si>
  <si>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</si>
  <si>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</si>
  <si>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</si>
  <si>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</si>
  <si>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</si>
  <si>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</si>
  <si>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</si>
  <si>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</si>
  <si>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</si>
  <si>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</si>
  <si>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</si>
  <si>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</si>
  <si>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</si>
  <si>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</si>
  <si>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</si>
  <si>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</si>
  <si>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</si>
  <si>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</si>
  <si>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</si>
  <si>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</si>
  <si>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</si>
  <si>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</si>
  <si>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</si>
  <si>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</si>
  <si>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</si>
  <si>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</si>
  <si>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</si>
  <si>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</si>
  <si>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</si>
  <si>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</si>
  <si>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</si>
  <si>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</si>
  <si>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</si>
  <si>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</si>
  <si>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</si>
  <si>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</si>
  <si>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Ability bias group</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</si>
  <si>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</si>
  <si>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</si>
  <si>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</si>
  <si>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</si>
  <si>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</si>
  <si>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</si>
  <si>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</si>
  <si>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</si>
  <si>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</si>
  <si>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</si>
  <si>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</si>
  <si>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</si>
  <si>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</si>
  <si>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</si>
  <si>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</si>
  <si>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</si>
  <si>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</si>
  <si>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</si>
  <si>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</si>
  <si>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</si>
  <si>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</si>
  <si>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</si>
  <si>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</si>
  <si>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</si>
  <si>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</si>
  <si>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</si>
  <si>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</si>
  <si>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The Review of Economics and Statistics</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</si>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</sst>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4">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7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3" xfId="0" applyNumberFormat="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4" fillId="5" borderId="13"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cellXfs>
  <cellStyles count="3">
    <cellStyle name="Currency 2" xfId="2" xr:uid="{00000000-0005-0000-0000-000001000000}"/>
    <cellStyle name="Hyperlink" xfId="1" builtinId="8"/>
    <cellStyle name="Normal" xfId="0" builtinId="0"/>
  </cellStyles>
  <dxfs count="187">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2.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P180"/>
  <sheetViews>
    <sheetView tabSelected="1" workbookViewId="0">
      <pane xSplit="4" ySplit="1" topLeftCell="E2" activePane="bottomRight" state="frozen"/>
      <selection pane="topRight" activeCell="E1" sqref="E1"/>
      <selection pane="bottomLeft" activeCell="A2" sqref="A2"/>
      <selection pane="bottomRight" activeCell="M14" sqref="M14"/>
    </sheetView>
  </sheetViews>
  <sheetFormatPr defaultRowHeight="15" x14ac:dyDescent="0.25"/>
  <cols>
    <col min="5" max="6" width="9.140625" style="7"/>
    <col min="7" max="11" width="0" hidden="1" customWidth="1"/>
    <col min="20" max="20" width="0" hidden="1" customWidth="1"/>
    <col min="45" max="46" width="0" hidden="1" customWidth="1"/>
    <col min="50" max="62" width="0" hidden="1" customWidth="1"/>
    <col min="70" max="73" width="0" hidden="1" customWidth="1"/>
    <col min="89" max="93" width="0" hidden="1" customWidth="1"/>
  </cols>
  <sheetData>
    <row r="1" spans="1:94" x14ac:dyDescent="0.25">
      <c r="A1" s="1" t="s">
        <v>0</v>
      </c>
      <c r="B1" s="1" t="s">
        <v>1</v>
      </c>
      <c r="C1" s="23" t="s">
        <v>110</v>
      </c>
      <c r="D1" s="10" t="s">
        <v>158</v>
      </c>
      <c r="E1" s="70" t="s">
        <v>96</v>
      </c>
      <c r="F1" s="71" t="s">
        <v>52</v>
      </c>
      <c r="G1" s="25" t="s">
        <v>53</v>
      </c>
      <c r="H1" s="27" t="s">
        <v>54</v>
      </c>
      <c r="I1" s="10" t="s">
        <v>164</v>
      </c>
      <c r="J1" s="25" t="s">
        <v>165</v>
      </c>
      <c r="K1" s="25" t="s">
        <v>166</v>
      </c>
      <c r="L1" s="5" t="s">
        <v>9</v>
      </c>
      <c r="M1" s="6" t="s">
        <v>11</v>
      </c>
      <c r="N1" s="6" t="s">
        <v>8</v>
      </c>
      <c r="O1" s="6" t="s">
        <v>10</v>
      </c>
      <c r="P1" s="6" t="s">
        <v>104</v>
      </c>
      <c r="Q1" s="5" t="s">
        <v>56</v>
      </c>
      <c r="R1" s="6" t="s">
        <v>57</v>
      </c>
      <c r="S1" s="6" t="s">
        <v>55</v>
      </c>
      <c r="T1" s="6" t="s">
        <v>95</v>
      </c>
      <c r="U1" s="2" t="s">
        <v>2</v>
      </c>
      <c r="V1" s="2" t="s">
        <v>12</v>
      </c>
      <c r="W1" s="2" t="s">
        <v>99</v>
      </c>
      <c r="X1" s="2" t="s">
        <v>100</v>
      </c>
      <c r="Y1" s="2" t="s">
        <v>85</v>
      </c>
      <c r="Z1" s="2" t="s">
        <v>93</v>
      </c>
      <c r="AA1" s="2" t="s">
        <v>89</v>
      </c>
      <c r="AB1" s="13" t="s">
        <v>86</v>
      </c>
      <c r="AC1" s="2" t="s">
        <v>13</v>
      </c>
      <c r="AD1" s="2" t="s">
        <v>14</v>
      </c>
      <c r="AE1" s="13" t="s">
        <v>15</v>
      </c>
      <c r="AF1" s="2" t="s">
        <v>16</v>
      </c>
      <c r="AG1" s="13" t="s">
        <v>17</v>
      </c>
      <c r="AH1" s="19" t="s">
        <v>30</v>
      </c>
      <c r="AI1" s="3" t="s">
        <v>69</v>
      </c>
      <c r="AJ1" s="33" t="s">
        <v>65</v>
      </c>
      <c r="AK1" s="3" t="s">
        <v>66</v>
      </c>
      <c r="AL1" s="14" t="s">
        <v>67</v>
      </c>
      <c r="AM1" s="35" t="s">
        <v>59</v>
      </c>
      <c r="AN1" s="14" t="s">
        <v>58</v>
      </c>
      <c r="AO1" s="3" t="s">
        <v>3</v>
      </c>
      <c r="AP1" s="14" t="s">
        <v>4</v>
      </c>
      <c r="AQ1" s="3" t="s">
        <v>5</v>
      </c>
      <c r="AR1" s="14" t="s">
        <v>6</v>
      </c>
      <c r="AS1" s="3" t="s">
        <v>18</v>
      </c>
      <c r="AT1" s="14" t="s">
        <v>19</v>
      </c>
      <c r="AU1" s="3" t="s">
        <v>102</v>
      </c>
      <c r="AV1" s="14" t="s">
        <v>101</v>
      </c>
      <c r="AW1" s="14" t="s">
        <v>7</v>
      </c>
      <c r="AX1" s="3" t="s">
        <v>23</v>
      </c>
      <c r="AY1" s="3" t="s">
        <v>24</v>
      </c>
      <c r="AZ1" s="3" t="s">
        <v>25</v>
      </c>
      <c r="BA1" s="3" t="s">
        <v>26</v>
      </c>
      <c r="BB1" s="3" t="s">
        <v>27</v>
      </c>
      <c r="BC1" s="3" t="s">
        <v>28</v>
      </c>
      <c r="BD1" s="14" t="s">
        <v>29</v>
      </c>
      <c r="BE1" s="3" t="s">
        <v>22</v>
      </c>
      <c r="BF1" s="3" t="s">
        <v>21</v>
      </c>
      <c r="BG1" s="14" t="s">
        <v>20</v>
      </c>
      <c r="BH1" s="3" t="s">
        <v>31</v>
      </c>
      <c r="BI1" s="3" t="s">
        <v>32</v>
      </c>
      <c r="BJ1" s="20" t="s">
        <v>177</v>
      </c>
      <c r="BK1" s="20" t="s">
        <v>33</v>
      </c>
      <c r="BL1" s="4" t="s">
        <v>34</v>
      </c>
      <c r="BM1" s="4" t="s">
        <v>290</v>
      </c>
      <c r="BN1" s="4" t="s">
        <v>87</v>
      </c>
      <c r="BO1" s="4" t="s">
        <v>91</v>
      </c>
      <c r="BP1" s="4" t="s">
        <v>90</v>
      </c>
      <c r="BQ1" s="16" t="s">
        <v>35</v>
      </c>
      <c r="BR1" s="42" t="s">
        <v>36</v>
      </c>
      <c r="BS1" s="42" t="s">
        <v>37</v>
      </c>
      <c r="BT1" s="42" t="s">
        <v>83</v>
      </c>
      <c r="BU1" s="43" t="s">
        <v>84</v>
      </c>
      <c r="BV1" s="4" t="s">
        <v>411</v>
      </c>
      <c r="BW1" s="4" t="s">
        <v>94</v>
      </c>
      <c r="BX1" s="16" t="s">
        <v>88</v>
      </c>
      <c r="BY1" s="4" t="s">
        <v>38</v>
      </c>
      <c r="BZ1" s="4" t="s">
        <v>39</v>
      </c>
      <c r="CA1" s="4" t="s">
        <v>40</v>
      </c>
      <c r="CB1" s="4" t="s">
        <v>68</v>
      </c>
      <c r="CC1" s="4" t="s">
        <v>41</v>
      </c>
      <c r="CD1" s="4" t="s">
        <v>42</v>
      </c>
      <c r="CE1" s="4" t="s">
        <v>43</v>
      </c>
      <c r="CF1" s="4" t="s">
        <v>175</v>
      </c>
      <c r="CG1" s="4" t="s">
        <v>44</v>
      </c>
      <c r="CH1" s="4" t="s">
        <v>46</v>
      </c>
      <c r="CI1" s="4" t="s">
        <v>92</v>
      </c>
      <c r="CJ1" s="16" t="s">
        <v>45</v>
      </c>
      <c r="CK1" s="37" t="s">
        <v>47</v>
      </c>
      <c r="CL1" s="37" t="s">
        <v>48</v>
      </c>
      <c r="CM1" s="37" t="s">
        <v>49</v>
      </c>
      <c r="CN1" s="37" t="s">
        <v>117</v>
      </c>
      <c r="CO1" s="37" t="s">
        <v>50</v>
      </c>
      <c r="CP1" s="58" t="s">
        <v>51</v>
      </c>
    </row>
    <row r="2" spans="1:94" x14ac:dyDescent="0.25">
      <c r="A2">
        <v>1</v>
      </c>
      <c r="B2">
        <v>1</v>
      </c>
      <c r="C2" t="s">
        <v>292</v>
      </c>
      <c r="D2" s="12">
        <v>10.199999999999999</v>
      </c>
      <c r="E2" s="7">
        <v>1</v>
      </c>
      <c r="F2" s="7">
        <f>D2/E2</f>
        <v>10.199999999999999</v>
      </c>
      <c r="I2" s="11">
        <f t="shared" ref="I2:I11" si="0">IFERROR(F2/SQRT(F2^2+S2), "X")</f>
        <v>0.36567831673481643</v>
      </c>
      <c r="J2" s="28">
        <f t="shared" ref="J2:J11" si="1">IFERROR(SQRT((1-I2^2)/S2), "X")</f>
        <v>3.5850815366158473E-2</v>
      </c>
      <c r="K2" s="28">
        <f t="shared" ref="K2:K11" si="2">IFERROR(1/J2, "X")</f>
        <v>27.893368387485943</v>
      </c>
      <c r="L2" s="8">
        <v>1</v>
      </c>
      <c r="M2" s="9">
        <v>0</v>
      </c>
      <c r="N2" s="9">
        <v>0</v>
      </c>
      <c r="O2" s="9">
        <v>0</v>
      </c>
      <c r="P2" s="9">
        <v>0</v>
      </c>
      <c r="Q2" s="8">
        <v>680</v>
      </c>
      <c r="R2" s="9">
        <v>5</v>
      </c>
      <c r="S2" s="9">
        <f t="shared" ref="S2:S11" si="3">Q2-R2-1</f>
        <v>674</v>
      </c>
      <c r="T2" s="9">
        <f>COUNTIF(B:B,B2)</f>
        <v>22</v>
      </c>
      <c r="U2" s="7">
        <v>14.03</v>
      </c>
      <c r="V2" s="7">
        <v>8.34</v>
      </c>
      <c r="W2" s="9">
        <v>1</v>
      </c>
      <c r="X2" s="9">
        <v>0</v>
      </c>
      <c r="Y2" s="9">
        <v>1</v>
      </c>
      <c r="Z2" s="9">
        <v>0</v>
      </c>
      <c r="AA2" s="9">
        <v>0</v>
      </c>
      <c r="AB2" s="26">
        <v>0</v>
      </c>
      <c r="AC2" s="9">
        <v>0</v>
      </c>
      <c r="AD2" s="9">
        <v>1</v>
      </c>
      <c r="AE2" s="26">
        <v>0</v>
      </c>
      <c r="AF2" s="9">
        <v>0</v>
      </c>
      <c r="AG2" s="26">
        <v>1</v>
      </c>
      <c r="AH2" s="18">
        <v>1992</v>
      </c>
      <c r="AI2" t="s">
        <v>64</v>
      </c>
      <c r="AJ2" t="s">
        <v>64</v>
      </c>
      <c r="AK2" t="s">
        <v>64</v>
      </c>
      <c r="AL2" t="s">
        <v>64</v>
      </c>
      <c r="AM2" s="36" t="s">
        <v>64</v>
      </c>
      <c r="AN2" s="15" t="s">
        <v>64</v>
      </c>
      <c r="AO2">
        <v>0.41</v>
      </c>
      <c r="AP2">
        <v>0.59</v>
      </c>
      <c r="AQ2" t="s">
        <v>64</v>
      </c>
      <c r="AR2" s="34" t="s">
        <v>64</v>
      </c>
      <c r="AU2" t="s">
        <v>64</v>
      </c>
      <c r="AV2" s="15" t="s">
        <v>64</v>
      </c>
      <c r="AW2" s="15" t="s">
        <v>103</v>
      </c>
      <c r="BK2" s="21">
        <v>38.07</v>
      </c>
      <c r="BL2">
        <v>1</v>
      </c>
      <c r="BM2">
        <v>0</v>
      </c>
      <c r="BN2">
        <v>0</v>
      </c>
      <c r="BO2">
        <v>0</v>
      </c>
      <c r="BP2">
        <v>0</v>
      </c>
      <c r="BQ2" s="15">
        <v>0</v>
      </c>
      <c r="BR2">
        <v>1</v>
      </c>
      <c r="BS2">
        <v>0</v>
      </c>
      <c r="BT2">
        <v>0</v>
      </c>
      <c r="BU2" s="15">
        <v>0</v>
      </c>
      <c r="BV2">
        <v>0</v>
      </c>
      <c r="BW2">
        <v>0</v>
      </c>
      <c r="BX2" s="15">
        <v>0</v>
      </c>
      <c r="BY2">
        <v>1</v>
      </c>
      <c r="BZ2">
        <v>1</v>
      </c>
      <c r="CA2">
        <v>0</v>
      </c>
      <c r="CB2">
        <v>0</v>
      </c>
      <c r="CC2">
        <v>1</v>
      </c>
      <c r="CD2">
        <v>0</v>
      </c>
      <c r="CE2">
        <v>1</v>
      </c>
      <c r="CF2">
        <v>0</v>
      </c>
      <c r="CG2">
        <v>0</v>
      </c>
      <c r="CH2">
        <v>0</v>
      </c>
      <c r="CI2">
        <v>0</v>
      </c>
      <c r="CJ2" s="15">
        <v>0</v>
      </c>
      <c r="CP2" t="s">
        <v>51</v>
      </c>
    </row>
    <row r="3" spans="1:94" x14ac:dyDescent="0.25">
      <c r="A3">
        <v>2</v>
      </c>
      <c r="B3">
        <v>1</v>
      </c>
      <c r="C3" t="s">
        <v>292</v>
      </c>
      <c r="D3" s="12">
        <v>6.6</v>
      </c>
      <c r="E3" s="7">
        <v>1.8</v>
      </c>
      <c r="F3" s="7">
        <f t="shared" ref="F3:F29" si="4">D3/E3</f>
        <v>3.6666666666666665</v>
      </c>
      <c r="I3" s="11">
        <f t="shared" si="0"/>
        <v>0.13994865635766554</v>
      </c>
      <c r="J3" s="28">
        <f t="shared" si="1"/>
        <v>3.8167815370272418E-2</v>
      </c>
      <c r="K3" s="28">
        <f t="shared" si="2"/>
        <v>26.200084817504781</v>
      </c>
      <c r="L3" s="8">
        <v>1</v>
      </c>
      <c r="M3" s="9">
        <v>0</v>
      </c>
      <c r="N3" s="9">
        <v>0</v>
      </c>
      <c r="O3" s="9">
        <v>0</v>
      </c>
      <c r="P3" s="9">
        <v>0</v>
      </c>
      <c r="Q3" s="8">
        <v>680</v>
      </c>
      <c r="R3" s="9">
        <v>6</v>
      </c>
      <c r="S3" s="9">
        <f t="shared" si="3"/>
        <v>673</v>
      </c>
      <c r="T3" s="9">
        <f>COUNTIF(B:B,B3)</f>
        <v>22</v>
      </c>
      <c r="U3" s="7">
        <v>14.03</v>
      </c>
      <c r="V3" s="7">
        <v>8.34</v>
      </c>
      <c r="W3" s="9">
        <v>1</v>
      </c>
      <c r="X3" s="9">
        <v>0</v>
      </c>
      <c r="Y3" s="9">
        <v>1</v>
      </c>
      <c r="Z3" s="9">
        <v>0</v>
      </c>
      <c r="AA3" s="9">
        <v>0</v>
      </c>
      <c r="AB3" s="26">
        <v>0</v>
      </c>
      <c r="AC3" s="9">
        <v>0</v>
      </c>
      <c r="AD3" s="9">
        <v>1</v>
      </c>
      <c r="AE3" s="26">
        <v>0</v>
      </c>
      <c r="AF3" s="9">
        <v>0</v>
      </c>
      <c r="AG3" s="26">
        <v>1</v>
      </c>
      <c r="AH3" s="18">
        <v>1992</v>
      </c>
      <c r="AI3" t="s">
        <v>64</v>
      </c>
      <c r="AJ3" t="s">
        <v>64</v>
      </c>
      <c r="AK3" t="s">
        <v>64</v>
      </c>
      <c r="AL3" t="s">
        <v>64</v>
      </c>
      <c r="AM3" s="36" t="s">
        <v>64</v>
      </c>
      <c r="AN3" s="15" t="s">
        <v>64</v>
      </c>
      <c r="AO3">
        <v>0.41</v>
      </c>
      <c r="AP3">
        <v>0.59</v>
      </c>
      <c r="AQ3" t="s">
        <v>64</v>
      </c>
      <c r="AR3" s="34" t="s">
        <v>64</v>
      </c>
      <c r="AU3" t="s">
        <v>64</v>
      </c>
      <c r="AV3" s="15" t="s">
        <v>64</v>
      </c>
      <c r="AW3" s="15" t="s">
        <v>103</v>
      </c>
      <c r="BK3" s="21">
        <v>38.07</v>
      </c>
      <c r="BL3">
        <v>1</v>
      </c>
      <c r="BM3">
        <v>0</v>
      </c>
      <c r="BN3">
        <v>0</v>
      </c>
      <c r="BO3">
        <v>0</v>
      </c>
      <c r="BP3">
        <v>0</v>
      </c>
      <c r="BQ3" s="15">
        <v>0</v>
      </c>
      <c r="BR3">
        <v>1</v>
      </c>
      <c r="BS3">
        <v>0</v>
      </c>
      <c r="BT3">
        <v>0</v>
      </c>
      <c r="BU3" s="15">
        <v>0</v>
      </c>
      <c r="BV3">
        <v>0</v>
      </c>
      <c r="BW3">
        <v>0</v>
      </c>
      <c r="BX3" s="15">
        <v>0</v>
      </c>
      <c r="BY3">
        <v>1</v>
      </c>
      <c r="BZ3">
        <v>1</v>
      </c>
      <c r="CA3">
        <v>0</v>
      </c>
      <c r="CB3">
        <v>0</v>
      </c>
      <c r="CC3">
        <v>1</v>
      </c>
      <c r="CD3">
        <v>0</v>
      </c>
      <c r="CE3">
        <v>1</v>
      </c>
      <c r="CF3">
        <v>0</v>
      </c>
      <c r="CG3">
        <v>0</v>
      </c>
      <c r="CH3">
        <v>0</v>
      </c>
      <c r="CI3">
        <v>0</v>
      </c>
      <c r="CJ3" s="15">
        <v>0</v>
      </c>
      <c r="CP3" t="s">
        <v>51</v>
      </c>
    </row>
    <row r="4" spans="1:94" x14ac:dyDescent="0.25">
      <c r="A4">
        <v>3</v>
      </c>
      <c r="B4">
        <v>1</v>
      </c>
      <c r="C4" t="s">
        <v>292</v>
      </c>
      <c r="D4" s="12">
        <v>9.1</v>
      </c>
      <c r="E4" s="7">
        <v>2.4</v>
      </c>
      <c r="F4" s="7">
        <f t="shared" si="4"/>
        <v>3.7916666666666665</v>
      </c>
      <c r="I4" s="11">
        <f t="shared" si="0"/>
        <v>0.14462145808585403</v>
      </c>
      <c r="J4" s="28">
        <f t="shared" si="1"/>
        <v>3.8141923011653811E-2</v>
      </c>
      <c r="K4" s="28">
        <f t="shared" si="2"/>
        <v>26.217870548751879</v>
      </c>
      <c r="L4" s="8">
        <v>1</v>
      </c>
      <c r="M4" s="9">
        <v>0</v>
      </c>
      <c r="N4" s="9">
        <v>0</v>
      </c>
      <c r="O4" s="9">
        <v>0</v>
      </c>
      <c r="P4" s="9">
        <v>0</v>
      </c>
      <c r="Q4" s="8">
        <v>680</v>
      </c>
      <c r="R4" s="9">
        <v>6</v>
      </c>
      <c r="S4" s="9">
        <f t="shared" si="3"/>
        <v>673</v>
      </c>
      <c r="T4" s="9">
        <f>COUNTIF(B:B,B4)</f>
        <v>22</v>
      </c>
      <c r="U4" s="7">
        <v>14.03</v>
      </c>
      <c r="V4" s="7">
        <v>8.34</v>
      </c>
      <c r="W4" s="9">
        <v>1</v>
      </c>
      <c r="X4" s="9">
        <v>0</v>
      </c>
      <c r="Y4" s="9">
        <v>1</v>
      </c>
      <c r="Z4" s="9">
        <v>0</v>
      </c>
      <c r="AA4" s="9">
        <v>0</v>
      </c>
      <c r="AB4" s="26">
        <v>0</v>
      </c>
      <c r="AC4" s="9">
        <v>0</v>
      </c>
      <c r="AD4" s="9">
        <v>1</v>
      </c>
      <c r="AE4" s="26">
        <v>0</v>
      </c>
      <c r="AF4" s="9">
        <v>0</v>
      </c>
      <c r="AG4" s="26">
        <v>1</v>
      </c>
      <c r="AH4" s="18">
        <v>1992</v>
      </c>
      <c r="AI4" t="s">
        <v>64</v>
      </c>
      <c r="AJ4" t="s">
        <v>64</v>
      </c>
      <c r="AK4" t="s">
        <v>64</v>
      </c>
      <c r="AL4" t="s">
        <v>64</v>
      </c>
      <c r="AM4" s="36" t="s">
        <v>64</v>
      </c>
      <c r="AN4" s="15" t="s">
        <v>64</v>
      </c>
      <c r="AO4">
        <v>0.41</v>
      </c>
      <c r="AP4">
        <v>0.59</v>
      </c>
      <c r="AQ4" t="s">
        <v>64</v>
      </c>
      <c r="AR4" s="34" t="s">
        <v>64</v>
      </c>
      <c r="AU4" t="s">
        <v>64</v>
      </c>
      <c r="AV4" s="15" t="s">
        <v>64</v>
      </c>
      <c r="AW4" s="15" t="s">
        <v>103</v>
      </c>
      <c r="BK4" s="21">
        <v>38.07</v>
      </c>
      <c r="BL4">
        <v>0</v>
      </c>
      <c r="BM4">
        <v>0</v>
      </c>
      <c r="BN4">
        <v>1</v>
      </c>
      <c r="BO4">
        <v>0</v>
      </c>
      <c r="BP4">
        <v>0</v>
      </c>
      <c r="BQ4" s="15">
        <v>0</v>
      </c>
      <c r="BR4">
        <v>1</v>
      </c>
      <c r="BS4">
        <v>0</v>
      </c>
      <c r="BT4">
        <v>0</v>
      </c>
      <c r="BU4" s="15">
        <v>0</v>
      </c>
      <c r="BV4">
        <v>0</v>
      </c>
      <c r="BW4">
        <v>0</v>
      </c>
      <c r="BX4" s="15">
        <v>0</v>
      </c>
      <c r="BY4">
        <v>1</v>
      </c>
      <c r="BZ4">
        <v>1</v>
      </c>
      <c r="CA4">
        <v>0</v>
      </c>
      <c r="CB4">
        <v>0</v>
      </c>
      <c r="CC4">
        <v>1</v>
      </c>
      <c r="CD4">
        <v>0</v>
      </c>
      <c r="CE4">
        <v>1</v>
      </c>
      <c r="CF4">
        <v>0</v>
      </c>
      <c r="CG4">
        <v>0</v>
      </c>
      <c r="CH4">
        <v>0</v>
      </c>
      <c r="CI4">
        <v>0</v>
      </c>
      <c r="CJ4" s="15">
        <v>0</v>
      </c>
      <c r="CP4" t="s">
        <v>51</v>
      </c>
    </row>
    <row r="5" spans="1:94" x14ac:dyDescent="0.25">
      <c r="A5">
        <v>4</v>
      </c>
      <c r="B5">
        <v>1</v>
      </c>
      <c r="C5" t="s">
        <v>292</v>
      </c>
      <c r="D5" s="12">
        <v>7</v>
      </c>
      <c r="E5" s="7">
        <v>1.9</v>
      </c>
      <c r="F5" s="7">
        <f t="shared" si="4"/>
        <v>3.6842105263157898</v>
      </c>
      <c r="I5" s="11">
        <f t="shared" si="0"/>
        <v>0.19648818007772637</v>
      </c>
      <c r="J5" s="28">
        <f t="shared" si="1"/>
        <v>5.3332506021097147E-2</v>
      </c>
      <c r="K5" s="28">
        <f t="shared" si="2"/>
        <v>18.750290856469832</v>
      </c>
      <c r="L5" s="8">
        <v>1</v>
      </c>
      <c r="M5" s="9">
        <v>0</v>
      </c>
      <c r="N5" s="9">
        <v>0</v>
      </c>
      <c r="O5" s="9">
        <v>0</v>
      </c>
      <c r="P5" s="9">
        <v>0</v>
      </c>
      <c r="Q5" s="8">
        <v>340</v>
      </c>
      <c r="R5" s="9">
        <v>1</v>
      </c>
      <c r="S5" s="9">
        <f t="shared" si="3"/>
        <v>338</v>
      </c>
      <c r="T5" s="9">
        <f>COUNTIF(B:B,B5)</f>
        <v>22</v>
      </c>
      <c r="U5" s="7">
        <v>14.03</v>
      </c>
      <c r="V5" s="7">
        <v>8.34</v>
      </c>
      <c r="W5" s="9">
        <v>1</v>
      </c>
      <c r="X5" s="9">
        <v>0</v>
      </c>
      <c r="Y5" s="9">
        <v>1</v>
      </c>
      <c r="Z5" s="9">
        <v>0</v>
      </c>
      <c r="AA5" s="9">
        <v>0</v>
      </c>
      <c r="AB5" s="26">
        <v>0</v>
      </c>
      <c r="AC5" s="9">
        <v>0</v>
      </c>
      <c r="AD5" s="9">
        <v>1</v>
      </c>
      <c r="AE5" s="26">
        <v>0</v>
      </c>
      <c r="AF5" s="9">
        <v>0</v>
      </c>
      <c r="AG5" s="26">
        <v>1</v>
      </c>
      <c r="AH5" s="18">
        <v>1992</v>
      </c>
      <c r="AI5" t="s">
        <v>64</v>
      </c>
      <c r="AJ5" t="s">
        <v>64</v>
      </c>
      <c r="AK5" t="s">
        <v>64</v>
      </c>
      <c r="AL5" t="s">
        <v>64</v>
      </c>
      <c r="AM5" s="36" t="s">
        <v>64</v>
      </c>
      <c r="AN5" s="15" t="s">
        <v>64</v>
      </c>
      <c r="AO5">
        <v>0.41</v>
      </c>
      <c r="AP5">
        <v>0.59</v>
      </c>
      <c r="AQ5" t="s">
        <v>64</v>
      </c>
      <c r="AR5" s="34" t="s">
        <v>64</v>
      </c>
      <c r="AU5" t="s">
        <v>64</v>
      </c>
      <c r="AV5" s="15" t="s">
        <v>64</v>
      </c>
      <c r="AW5" s="15" t="s">
        <v>103</v>
      </c>
      <c r="BK5" s="21">
        <v>38.07</v>
      </c>
      <c r="BL5">
        <v>0</v>
      </c>
      <c r="BM5">
        <v>1</v>
      </c>
      <c r="BN5">
        <v>0</v>
      </c>
      <c r="BO5">
        <v>0</v>
      </c>
      <c r="BP5">
        <v>0</v>
      </c>
      <c r="BQ5" s="15">
        <v>0</v>
      </c>
      <c r="BR5">
        <v>1</v>
      </c>
      <c r="BS5">
        <v>0</v>
      </c>
      <c r="BT5">
        <v>0</v>
      </c>
      <c r="BU5" s="15">
        <v>0</v>
      </c>
      <c r="BV5">
        <v>0</v>
      </c>
      <c r="BW5">
        <v>0</v>
      </c>
      <c r="BX5" s="15">
        <v>0</v>
      </c>
      <c r="BY5">
        <v>0</v>
      </c>
      <c r="BZ5">
        <v>0</v>
      </c>
      <c r="CA5">
        <v>0</v>
      </c>
      <c r="CB5">
        <v>0</v>
      </c>
      <c r="CC5">
        <v>0</v>
      </c>
      <c r="CD5">
        <v>0</v>
      </c>
      <c r="CE5">
        <v>0</v>
      </c>
      <c r="CF5">
        <v>0</v>
      </c>
      <c r="CG5">
        <v>0</v>
      </c>
      <c r="CH5">
        <v>0</v>
      </c>
      <c r="CI5">
        <v>0</v>
      </c>
      <c r="CJ5" s="15">
        <v>0</v>
      </c>
      <c r="CP5" t="s">
        <v>51</v>
      </c>
    </row>
    <row r="6" spans="1:94" x14ac:dyDescent="0.25">
      <c r="A6">
        <v>5</v>
      </c>
      <c r="B6">
        <v>1</v>
      </c>
      <c r="C6" t="s">
        <v>292</v>
      </c>
      <c r="D6" s="12">
        <v>8.8000000000000007</v>
      </c>
      <c r="E6" s="7">
        <v>2.5</v>
      </c>
      <c r="F6" s="7">
        <f t="shared" si="4"/>
        <v>3.5200000000000005</v>
      </c>
      <c r="I6" s="11">
        <f t="shared" si="0"/>
        <v>0.18804706699996604</v>
      </c>
      <c r="J6" s="28">
        <f t="shared" si="1"/>
        <v>5.3422462215899427E-2</v>
      </c>
      <c r="K6" s="28">
        <f t="shared" si="2"/>
        <v>18.718717904813886</v>
      </c>
      <c r="L6" s="8">
        <v>1</v>
      </c>
      <c r="M6" s="9">
        <v>0</v>
      </c>
      <c r="N6" s="9">
        <v>0</v>
      </c>
      <c r="O6" s="9">
        <v>0</v>
      </c>
      <c r="P6" s="9">
        <v>0</v>
      </c>
      <c r="Q6" s="8">
        <v>340</v>
      </c>
      <c r="R6" s="9">
        <v>1</v>
      </c>
      <c r="S6" s="9">
        <f t="shared" si="3"/>
        <v>338</v>
      </c>
      <c r="U6" s="7">
        <v>14.03</v>
      </c>
      <c r="V6" s="7">
        <v>8.34</v>
      </c>
      <c r="W6" s="9">
        <v>1</v>
      </c>
      <c r="X6" s="9">
        <v>0</v>
      </c>
      <c r="Y6" s="9">
        <v>1</v>
      </c>
      <c r="Z6" s="9">
        <v>0</v>
      </c>
      <c r="AA6" s="9">
        <v>0</v>
      </c>
      <c r="AB6" s="26">
        <v>0</v>
      </c>
      <c r="AC6" s="9">
        <v>0</v>
      </c>
      <c r="AD6" s="9">
        <v>1</v>
      </c>
      <c r="AE6" s="26">
        <v>0</v>
      </c>
      <c r="AF6" s="9">
        <v>0</v>
      </c>
      <c r="AG6" s="26">
        <v>1</v>
      </c>
      <c r="AH6" s="18">
        <v>1992</v>
      </c>
      <c r="AI6" t="s">
        <v>64</v>
      </c>
      <c r="AJ6" t="s">
        <v>64</v>
      </c>
      <c r="AK6" t="s">
        <v>64</v>
      </c>
      <c r="AL6" t="s">
        <v>64</v>
      </c>
      <c r="AM6" s="36" t="s">
        <v>64</v>
      </c>
      <c r="AN6" s="15" t="s">
        <v>64</v>
      </c>
      <c r="AO6">
        <v>0.41</v>
      </c>
      <c r="AP6">
        <v>0.59</v>
      </c>
      <c r="AQ6" t="s">
        <v>64</v>
      </c>
      <c r="AR6" s="34" t="s">
        <v>64</v>
      </c>
      <c r="AU6" t="s">
        <v>64</v>
      </c>
      <c r="AV6" s="15" t="s">
        <v>64</v>
      </c>
      <c r="AW6" s="15" t="s">
        <v>103</v>
      </c>
      <c r="BK6" s="21">
        <v>38.07</v>
      </c>
      <c r="BL6">
        <v>0</v>
      </c>
      <c r="BM6">
        <v>0</v>
      </c>
      <c r="BN6">
        <v>0</v>
      </c>
      <c r="BO6">
        <v>0</v>
      </c>
      <c r="BP6">
        <v>0</v>
      </c>
      <c r="BQ6">
        <v>1</v>
      </c>
      <c r="BR6">
        <v>1</v>
      </c>
      <c r="BS6">
        <v>0</v>
      </c>
      <c r="BT6">
        <v>0</v>
      </c>
      <c r="BU6" s="15">
        <v>0</v>
      </c>
      <c r="BV6">
        <v>1</v>
      </c>
      <c r="BW6">
        <v>0</v>
      </c>
      <c r="BX6" s="15">
        <v>0</v>
      </c>
      <c r="BY6">
        <v>0</v>
      </c>
      <c r="BZ6">
        <v>0</v>
      </c>
      <c r="CA6">
        <v>0</v>
      </c>
      <c r="CB6">
        <v>0</v>
      </c>
      <c r="CC6">
        <v>0</v>
      </c>
      <c r="CD6">
        <v>0</v>
      </c>
      <c r="CE6">
        <v>0</v>
      </c>
      <c r="CF6">
        <v>0</v>
      </c>
      <c r="CG6">
        <v>0</v>
      </c>
      <c r="CH6">
        <v>0</v>
      </c>
      <c r="CI6">
        <v>0</v>
      </c>
      <c r="CJ6" s="15">
        <v>0</v>
      </c>
      <c r="CP6" t="s">
        <v>51</v>
      </c>
    </row>
    <row r="7" spans="1:94" x14ac:dyDescent="0.25">
      <c r="A7">
        <v>6</v>
      </c>
      <c r="B7">
        <v>1</v>
      </c>
      <c r="C7" t="s">
        <v>292</v>
      </c>
      <c r="D7" s="12">
        <v>11.3</v>
      </c>
      <c r="E7" s="7">
        <v>1</v>
      </c>
      <c r="F7" s="7">
        <f t="shared" si="4"/>
        <v>11.3</v>
      </c>
      <c r="I7" s="11">
        <f t="shared" si="0"/>
        <v>0.40339395369089359</v>
      </c>
      <c r="J7" s="28">
        <f t="shared" si="1"/>
        <v>3.5698579972645444E-2</v>
      </c>
      <c r="K7" s="28">
        <f t="shared" si="2"/>
        <v>28.012318718735159</v>
      </c>
      <c r="L7" s="8">
        <v>1</v>
      </c>
      <c r="M7" s="9">
        <v>0</v>
      </c>
      <c r="N7" s="9">
        <v>0</v>
      </c>
      <c r="O7" s="9">
        <v>0</v>
      </c>
      <c r="P7" s="9">
        <v>0</v>
      </c>
      <c r="Q7" s="8">
        <v>666</v>
      </c>
      <c r="R7" s="9">
        <v>8</v>
      </c>
      <c r="S7" s="9">
        <f t="shared" si="3"/>
        <v>657</v>
      </c>
      <c r="U7" s="7">
        <v>14.03</v>
      </c>
      <c r="V7" s="7">
        <v>8.34</v>
      </c>
      <c r="W7" s="9">
        <v>1</v>
      </c>
      <c r="X7" s="9">
        <v>0</v>
      </c>
      <c r="Y7" s="9">
        <v>1</v>
      </c>
      <c r="Z7" s="9">
        <v>0</v>
      </c>
      <c r="AA7" s="9">
        <v>0</v>
      </c>
      <c r="AB7" s="26">
        <v>0</v>
      </c>
      <c r="AC7" s="9">
        <v>0</v>
      </c>
      <c r="AD7" s="9">
        <v>1</v>
      </c>
      <c r="AE7" s="26">
        <v>0</v>
      </c>
      <c r="AF7" s="9">
        <v>0</v>
      </c>
      <c r="AG7" s="26">
        <v>1</v>
      </c>
      <c r="AH7" s="18">
        <v>1992</v>
      </c>
      <c r="AI7" t="s">
        <v>64</v>
      </c>
      <c r="AJ7" t="s">
        <v>64</v>
      </c>
      <c r="AK7" t="s">
        <v>64</v>
      </c>
      <c r="AL7" t="s">
        <v>64</v>
      </c>
      <c r="AM7" s="36" t="s">
        <v>64</v>
      </c>
      <c r="AN7" s="15" t="s">
        <v>64</v>
      </c>
      <c r="AO7">
        <v>0.41</v>
      </c>
      <c r="AP7">
        <v>0.59</v>
      </c>
      <c r="AQ7" t="s">
        <v>64</v>
      </c>
      <c r="AR7" s="34" t="s">
        <v>64</v>
      </c>
      <c r="AU7" t="s">
        <v>64</v>
      </c>
      <c r="AV7" s="15" t="s">
        <v>64</v>
      </c>
      <c r="AW7" s="15" t="s">
        <v>103</v>
      </c>
      <c r="BK7" s="21">
        <v>38.07</v>
      </c>
      <c r="BL7">
        <v>1</v>
      </c>
      <c r="BM7">
        <v>0</v>
      </c>
      <c r="BN7">
        <v>0</v>
      </c>
      <c r="BO7">
        <v>0</v>
      </c>
      <c r="BP7">
        <v>0</v>
      </c>
      <c r="BQ7" s="15">
        <v>0</v>
      </c>
      <c r="BR7">
        <v>1</v>
      </c>
      <c r="BS7">
        <v>0</v>
      </c>
      <c r="BT7">
        <v>0</v>
      </c>
      <c r="BU7" s="15">
        <v>0</v>
      </c>
      <c r="BV7">
        <v>0</v>
      </c>
      <c r="BW7">
        <v>0</v>
      </c>
      <c r="BX7" s="15">
        <v>0</v>
      </c>
      <c r="BY7">
        <v>1</v>
      </c>
      <c r="BZ7">
        <v>1</v>
      </c>
      <c r="CA7">
        <v>0</v>
      </c>
      <c r="CB7">
        <v>1</v>
      </c>
      <c r="CC7">
        <v>1</v>
      </c>
      <c r="CD7">
        <v>0</v>
      </c>
      <c r="CE7">
        <v>1</v>
      </c>
      <c r="CF7">
        <v>1</v>
      </c>
      <c r="CG7">
        <v>0</v>
      </c>
      <c r="CH7">
        <v>0</v>
      </c>
      <c r="CI7">
        <v>0</v>
      </c>
      <c r="CJ7">
        <v>1</v>
      </c>
      <c r="CP7" t="s">
        <v>51</v>
      </c>
    </row>
    <row r="8" spans="1:94" x14ac:dyDescent="0.25">
      <c r="A8">
        <v>7</v>
      </c>
      <c r="B8">
        <v>1</v>
      </c>
      <c r="C8" t="s">
        <v>292</v>
      </c>
      <c r="D8" s="12">
        <v>7.4</v>
      </c>
      <c r="E8" s="7">
        <v>1.7</v>
      </c>
      <c r="F8" s="7">
        <f t="shared" si="4"/>
        <v>4.3529411764705888</v>
      </c>
      <c r="I8" s="11">
        <f t="shared" si="0"/>
        <v>0.16755122592426927</v>
      </c>
      <c r="J8" s="28">
        <f t="shared" si="1"/>
        <v>3.8491497847467263E-2</v>
      </c>
      <c r="K8" s="28">
        <f t="shared" si="2"/>
        <v>25.979763218432403</v>
      </c>
      <c r="L8" s="8">
        <v>1</v>
      </c>
      <c r="M8" s="9">
        <v>0</v>
      </c>
      <c r="N8" s="9">
        <v>0</v>
      </c>
      <c r="O8" s="9">
        <v>0</v>
      </c>
      <c r="P8" s="9">
        <v>0</v>
      </c>
      <c r="Q8" s="8">
        <v>666</v>
      </c>
      <c r="R8" s="9">
        <v>9</v>
      </c>
      <c r="S8" s="9">
        <f t="shared" si="3"/>
        <v>656</v>
      </c>
      <c r="U8" s="7">
        <v>14.03</v>
      </c>
      <c r="V8" s="7">
        <v>8.34</v>
      </c>
      <c r="W8" s="9">
        <v>1</v>
      </c>
      <c r="X8" s="9">
        <v>0</v>
      </c>
      <c r="Y8" s="9">
        <v>1</v>
      </c>
      <c r="Z8" s="9">
        <v>0</v>
      </c>
      <c r="AA8" s="9">
        <v>0</v>
      </c>
      <c r="AB8" s="26">
        <v>0</v>
      </c>
      <c r="AC8" s="9">
        <v>0</v>
      </c>
      <c r="AD8" s="9">
        <v>1</v>
      </c>
      <c r="AE8" s="26">
        <v>0</v>
      </c>
      <c r="AF8" s="9">
        <v>0</v>
      </c>
      <c r="AG8" s="26">
        <v>1</v>
      </c>
      <c r="AH8" s="18">
        <v>1992</v>
      </c>
      <c r="AI8" t="s">
        <v>64</v>
      </c>
      <c r="AJ8" t="s">
        <v>64</v>
      </c>
      <c r="AK8" t="s">
        <v>64</v>
      </c>
      <c r="AL8" t="s">
        <v>64</v>
      </c>
      <c r="AM8" s="36" t="s">
        <v>64</v>
      </c>
      <c r="AN8" s="15" t="s">
        <v>64</v>
      </c>
      <c r="AO8">
        <v>0.41</v>
      </c>
      <c r="AP8">
        <v>0.59</v>
      </c>
      <c r="AQ8" t="s">
        <v>64</v>
      </c>
      <c r="AR8" s="34" t="s">
        <v>64</v>
      </c>
      <c r="AU8" t="s">
        <v>64</v>
      </c>
      <c r="AV8" s="15" t="s">
        <v>64</v>
      </c>
      <c r="AW8" s="15" t="s">
        <v>103</v>
      </c>
      <c r="BK8" s="21">
        <v>38.07</v>
      </c>
      <c r="BL8">
        <v>1</v>
      </c>
      <c r="BM8">
        <v>0</v>
      </c>
      <c r="BN8">
        <v>0</v>
      </c>
      <c r="BO8">
        <v>0</v>
      </c>
      <c r="BP8">
        <v>0</v>
      </c>
      <c r="BQ8" s="15">
        <v>0</v>
      </c>
      <c r="BR8">
        <v>1</v>
      </c>
      <c r="BS8">
        <v>0</v>
      </c>
      <c r="BT8">
        <v>0</v>
      </c>
      <c r="BU8" s="15">
        <v>0</v>
      </c>
      <c r="BV8">
        <v>0</v>
      </c>
      <c r="BW8">
        <v>0</v>
      </c>
      <c r="BX8" s="15">
        <v>0</v>
      </c>
      <c r="BY8">
        <v>1</v>
      </c>
      <c r="BZ8">
        <v>1</v>
      </c>
      <c r="CA8">
        <v>0</v>
      </c>
      <c r="CB8">
        <v>0</v>
      </c>
      <c r="CC8">
        <v>1</v>
      </c>
      <c r="CD8">
        <v>0</v>
      </c>
      <c r="CE8">
        <v>1</v>
      </c>
      <c r="CF8">
        <v>1</v>
      </c>
      <c r="CG8">
        <v>0</v>
      </c>
      <c r="CH8">
        <v>0</v>
      </c>
      <c r="CI8">
        <v>0</v>
      </c>
      <c r="CJ8">
        <v>1</v>
      </c>
      <c r="CP8" t="s">
        <v>51</v>
      </c>
    </row>
    <row r="9" spans="1:94" x14ac:dyDescent="0.25">
      <c r="A9">
        <v>8</v>
      </c>
      <c r="B9">
        <v>1</v>
      </c>
      <c r="C9" t="s">
        <v>292</v>
      </c>
      <c r="D9" s="12">
        <v>10.6</v>
      </c>
      <c r="E9" s="7">
        <v>2.2000000000000002</v>
      </c>
      <c r="F9" s="7">
        <f t="shared" si="4"/>
        <v>4.8181818181818175</v>
      </c>
      <c r="I9" s="11">
        <f t="shared" si="0"/>
        <v>0.18487559718104329</v>
      </c>
      <c r="J9" s="28">
        <f t="shared" si="1"/>
        <v>3.837040696210333E-2</v>
      </c>
      <c r="K9" s="28">
        <f t="shared" si="2"/>
        <v>26.061751208102994</v>
      </c>
      <c r="L9" s="8">
        <v>1</v>
      </c>
      <c r="M9" s="9">
        <v>0</v>
      </c>
      <c r="N9" s="9">
        <v>0</v>
      </c>
      <c r="O9" s="9">
        <v>0</v>
      </c>
      <c r="P9" s="9">
        <v>0</v>
      </c>
      <c r="Q9" s="8">
        <v>666</v>
      </c>
      <c r="R9" s="9">
        <v>9</v>
      </c>
      <c r="S9" s="9">
        <f t="shared" si="3"/>
        <v>656</v>
      </c>
      <c r="U9" s="7">
        <v>14.03</v>
      </c>
      <c r="V9" s="7">
        <v>8.34</v>
      </c>
      <c r="W9" s="9">
        <v>1</v>
      </c>
      <c r="X9" s="9">
        <v>0</v>
      </c>
      <c r="Y9" s="9">
        <v>1</v>
      </c>
      <c r="Z9" s="9">
        <v>0</v>
      </c>
      <c r="AA9" s="9">
        <v>0</v>
      </c>
      <c r="AB9" s="26">
        <v>0</v>
      </c>
      <c r="AC9" s="9">
        <v>0</v>
      </c>
      <c r="AD9" s="9">
        <v>1</v>
      </c>
      <c r="AE9" s="26">
        <v>0</v>
      </c>
      <c r="AF9" s="9">
        <v>0</v>
      </c>
      <c r="AG9" s="26">
        <v>1</v>
      </c>
      <c r="AH9" s="18">
        <v>1992</v>
      </c>
      <c r="AI9" t="s">
        <v>64</v>
      </c>
      <c r="AJ9" t="s">
        <v>64</v>
      </c>
      <c r="AK9" t="s">
        <v>64</v>
      </c>
      <c r="AL9" t="s">
        <v>64</v>
      </c>
      <c r="AM9" s="36" t="s">
        <v>64</v>
      </c>
      <c r="AN9" s="15" t="s">
        <v>64</v>
      </c>
      <c r="AO9">
        <v>0.41</v>
      </c>
      <c r="AP9">
        <v>0.59</v>
      </c>
      <c r="AQ9" t="s">
        <v>64</v>
      </c>
      <c r="AR9" s="34" t="s">
        <v>64</v>
      </c>
      <c r="AU9" t="s">
        <v>64</v>
      </c>
      <c r="AV9" s="15" t="s">
        <v>64</v>
      </c>
      <c r="AW9" s="15" t="s">
        <v>103</v>
      </c>
      <c r="BK9" s="21">
        <v>38.07</v>
      </c>
      <c r="BL9">
        <v>0</v>
      </c>
      <c r="BM9">
        <v>0</v>
      </c>
      <c r="BN9">
        <v>1</v>
      </c>
      <c r="BO9">
        <v>0</v>
      </c>
      <c r="BP9">
        <v>0</v>
      </c>
      <c r="BQ9" s="15">
        <v>0</v>
      </c>
      <c r="BR9">
        <v>1</v>
      </c>
      <c r="BS9">
        <v>0</v>
      </c>
      <c r="BT9">
        <v>0</v>
      </c>
      <c r="BU9" s="15">
        <v>0</v>
      </c>
      <c r="BV9">
        <v>0</v>
      </c>
      <c r="BW9">
        <v>0</v>
      </c>
      <c r="BX9" s="15">
        <v>0</v>
      </c>
      <c r="BY9">
        <v>1</v>
      </c>
      <c r="BZ9">
        <v>1</v>
      </c>
      <c r="CA9">
        <v>0</v>
      </c>
      <c r="CB9">
        <v>0</v>
      </c>
      <c r="CC9">
        <v>1</v>
      </c>
      <c r="CD9">
        <v>0</v>
      </c>
      <c r="CE9">
        <v>1</v>
      </c>
      <c r="CF9">
        <v>1</v>
      </c>
      <c r="CG9">
        <v>0</v>
      </c>
      <c r="CH9">
        <v>0</v>
      </c>
      <c r="CI9">
        <v>0</v>
      </c>
      <c r="CJ9">
        <v>1</v>
      </c>
      <c r="CP9" t="s">
        <v>51</v>
      </c>
    </row>
    <row r="10" spans="1:94" x14ac:dyDescent="0.25">
      <c r="A10">
        <v>9</v>
      </c>
      <c r="B10">
        <v>1</v>
      </c>
      <c r="C10" t="s">
        <v>292</v>
      </c>
      <c r="D10" s="12">
        <v>7.8</v>
      </c>
      <c r="E10" s="7">
        <v>1.8</v>
      </c>
      <c r="F10" s="7">
        <f t="shared" si="4"/>
        <v>4.333333333333333</v>
      </c>
      <c r="I10" s="11">
        <f t="shared" si="0"/>
        <v>0.23270004537651326</v>
      </c>
      <c r="J10" s="28">
        <f t="shared" si="1"/>
        <v>5.3700010471503065E-2</v>
      </c>
      <c r="K10" s="28">
        <f t="shared" si="2"/>
        <v>18.621970297951229</v>
      </c>
      <c r="L10" s="8">
        <v>1</v>
      </c>
      <c r="M10" s="9">
        <v>0</v>
      </c>
      <c r="N10" s="9">
        <v>0</v>
      </c>
      <c r="O10" s="9">
        <v>0</v>
      </c>
      <c r="P10" s="9">
        <v>0</v>
      </c>
      <c r="Q10" s="8">
        <v>333</v>
      </c>
      <c r="R10" s="9">
        <v>4</v>
      </c>
      <c r="S10" s="9">
        <f t="shared" si="3"/>
        <v>328</v>
      </c>
      <c r="U10" s="7">
        <v>14.03</v>
      </c>
      <c r="V10" s="7">
        <v>8.34</v>
      </c>
      <c r="W10" s="9">
        <v>1</v>
      </c>
      <c r="X10" s="9">
        <v>0</v>
      </c>
      <c r="Y10" s="9">
        <v>1</v>
      </c>
      <c r="Z10" s="9">
        <v>0</v>
      </c>
      <c r="AA10" s="9">
        <v>0</v>
      </c>
      <c r="AB10" s="26">
        <v>0</v>
      </c>
      <c r="AC10" s="9">
        <v>0</v>
      </c>
      <c r="AD10" s="9">
        <v>1</v>
      </c>
      <c r="AE10" s="26">
        <v>0</v>
      </c>
      <c r="AF10" s="9">
        <v>0</v>
      </c>
      <c r="AG10" s="26">
        <v>1</v>
      </c>
      <c r="AH10" s="18">
        <v>1992</v>
      </c>
      <c r="AI10" t="s">
        <v>64</v>
      </c>
      <c r="AJ10" t="s">
        <v>64</v>
      </c>
      <c r="AK10" t="s">
        <v>64</v>
      </c>
      <c r="AL10" t="s">
        <v>64</v>
      </c>
      <c r="AM10" s="36" t="s">
        <v>64</v>
      </c>
      <c r="AN10" s="15" t="s">
        <v>64</v>
      </c>
      <c r="AO10">
        <v>0.41</v>
      </c>
      <c r="AP10">
        <v>0.59</v>
      </c>
      <c r="AQ10" t="s">
        <v>64</v>
      </c>
      <c r="AR10" s="34" t="s">
        <v>64</v>
      </c>
      <c r="AU10" t="s">
        <v>64</v>
      </c>
      <c r="AV10" s="15" t="s">
        <v>64</v>
      </c>
      <c r="AW10" s="15" t="s">
        <v>103</v>
      </c>
      <c r="BK10" s="21">
        <v>38.07</v>
      </c>
      <c r="BL10">
        <v>0</v>
      </c>
      <c r="BM10">
        <v>1</v>
      </c>
      <c r="BN10">
        <v>0</v>
      </c>
      <c r="BO10">
        <v>0</v>
      </c>
      <c r="BP10">
        <v>0</v>
      </c>
      <c r="BQ10" s="15">
        <v>0</v>
      </c>
      <c r="BR10">
        <v>1</v>
      </c>
      <c r="BS10">
        <v>0</v>
      </c>
      <c r="BT10">
        <v>0</v>
      </c>
      <c r="BU10" s="15">
        <v>0</v>
      </c>
      <c r="BV10">
        <v>0</v>
      </c>
      <c r="BW10">
        <v>0</v>
      </c>
      <c r="BX10" s="15">
        <v>0</v>
      </c>
      <c r="BY10">
        <v>0</v>
      </c>
      <c r="BZ10">
        <v>0</v>
      </c>
      <c r="CA10">
        <v>0</v>
      </c>
      <c r="CB10">
        <v>0</v>
      </c>
      <c r="CC10">
        <v>0</v>
      </c>
      <c r="CD10">
        <v>0</v>
      </c>
      <c r="CE10">
        <v>0</v>
      </c>
      <c r="CF10">
        <v>1</v>
      </c>
      <c r="CG10">
        <v>0</v>
      </c>
      <c r="CH10">
        <v>0</v>
      </c>
      <c r="CI10">
        <v>0</v>
      </c>
      <c r="CJ10">
        <v>1</v>
      </c>
      <c r="CP10" t="s">
        <v>51</v>
      </c>
    </row>
    <row r="11" spans="1:94" x14ac:dyDescent="0.25">
      <c r="A11">
        <v>10</v>
      </c>
      <c r="B11">
        <v>1</v>
      </c>
      <c r="C11" t="s">
        <v>292</v>
      </c>
      <c r="D11" s="12">
        <v>10</v>
      </c>
      <c r="E11" s="7">
        <v>2.2999999999999998</v>
      </c>
      <c r="F11" s="7">
        <f t="shared" si="4"/>
        <v>4.3478260869565224</v>
      </c>
      <c r="I11" s="11">
        <f t="shared" si="0"/>
        <v>0.23343596396905494</v>
      </c>
      <c r="J11" s="28">
        <f t="shared" si="1"/>
        <v>5.3690271712882633E-2</v>
      </c>
      <c r="K11" s="28">
        <f t="shared" si="2"/>
        <v>18.625348095604004</v>
      </c>
      <c r="L11" s="8">
        <v>1</v>
      </c>
      <c r="M11" s="9">
        <v>0</v>
      </c>
      <c r="N11" s="9">
        <v>0</v>
      </c>
      <c r="O11" s="9">
        <v>0</v>
      </c>
      <c r="P11" s="9">
        <v>0</v>
      </c>
      <c r="Q11" s="8">
        <v>333</v>
      </c>
      <c r="R11" s="9">
        <v>4</v>
      </c>
      <c r="S11" s="9">
        <f t="shared" si="3"/>
        <v>328</v>
      </c>
      <c r="U11" s="7">
        <v>14.03</v>
      </c>
      <c r="V11" s="7">
        <v>8.34</v>
      </c>
      <c r="W11" s="9">
        <v>1</v>
      </c>
      <c r="X11" s="9">
        <v>0</v>
      </c>
      <c r="Y11" s="9">
        <v>1</v>
      </c>
      <c r="Z11" s="9">
        <v>0</v>
      </c>
      <c r="AA11" s="9">
        <v>0</v>
      </c>
      <c r="AB11" s="26">
        <v>0</v>
      </c>
      <c r="AC11" s="9">
        <v>0</v>
      </c>
      <c r="AD11" s="9">
        <v>1</v>
      </c>
      <c r="AE11" s="26">
        <v>0</v>
      </c>
      <c r="AF11" s="9">
        <v>0</v>
      </c>
      <c r="AG11" s="26">
        <v>1</v>
      </c>
      <c r="AH11" s="18">
        <v>1992</v>
      </c>
      <c r="AI11" t="s">
        <v>64</v>
      </c>
      <c r="AJ11" t="s">
        <v>64</v>
      </c>
      <c r="AK11" t="s">
        <v>64</v>
      </c>
      <c r="AL11" t="s">
        <v>64</v>
      </c>
      <c r="AM11" s="36" t="s">
        <v>64</v>
      </c>
      <c r="AN11" s="15" t="s">
        <v>64</v>
      </c>
      <c r="AO11">
        <v>0.41</v>
      </c>
      <c r="AP11">
        <v>0.59</v>
      </c>
      <c r="AQ11" t="s">
        <v>64</v>
      </c>
      <c r="AR11" s="34" t="s">
        <v>64</v>
      </c>
      <c r="AU11" t="s">
        <v>64</v>
      </c>
      <c r="AV11" s="15" t="s">
        <v>64</v>
      </c>
      <c r="AW11" s="15" t="s">
        <v>103</v>
      </c>
      <c r="BK11" s="21">
        <v>38.07</v>
      </c>
      <c r="BL11">
        <v>0</v>
      </c>
      <c r="BM11">
        <v>0</v>
      </c>
      <c r="BN11">
        <v>0</v>
      </c>
      <c r="BO11">
        <v>0</v>
      </c>
      <c r="BP11">
        <v>0</v>
      </c>
      <c r="BQ11">
        <v>1</v>
      </c>
      <c r="BR11">
        <v>1</v>
      </c>
      <c r="BS11">
        <v>0</v>
      </c>
      <c r="BT11">
        <v>0</v>
      </c>
      <c r="BU11" s="15">
        <v>0</v>
      </c>
      <c r="BV11">
        <v>1</v>
      </c>
      <c r="BW11">
        <v>0</v>
      </c>
      <c r="BX11" s="15">
        <v>0</v>
      </c>
      <c r="BY11">
        <v>0</v>
      </c>
      <c r="BZ11">
        <v>0</v>
      </c>
      <c r="CA11">
        <v>0</v>
      </c>
      <c r="CB11">
        <v>0</v>
      </c>
      <c r="CC11">
        <v>0</v>
      </c>
      <c r="CD11">
        <v>0</v>
      </c>
      <c r="CE11">
        <v>0</v>
      </c>
      <c r="CF11">
        <v>1</v>
      </c>
      <c r="CG11">
        <v>0</v>
      </c>
      <c r="CH11">
        <v>0</v>
      </c>
      <c r="CI11">
        <v>0</v>
      </c>
      <c r="CJ11">
        <v>1</v>
      </c>
      <c r="CP11" t="s">
        <v>51</v>
      </c>
    </row>
    <row r="12" spans="1:94" x14ac:dyDescent="0.25">
      <c r="A12">
        <v>11</v>
      </c>
      <c r="B12">
        <v>1</v>
      </c>
      <c r="C12" t="s">
        <v>292</v>
      </c>
      <c r="D12" s="12">
        <v>6.6</v>
      </c>
      <c r="E12" s="7">
        <v>1.8</v>
      </c>
      <c r="F12" s="7">
        <f t="shared" si="4"/>
        <v>3.6666666666666665</v>
      </c>
      <c r="L12" s="8">
        <v>1</v>
      </c>
      <c r="M12" s="9">
        <v>0</v>
      </c>
      <c r="N12" s="9">
        <v>0</v>
      </c>
      <c r="O12" s="9">
        <v>0</v>
      </c>
      <c r="P12" s="9">
        <v>0</v>
      </c>
      <c r="Q12" s="8">
        <v>395</v>
      </c>
      <c r="R12" s="9">
        <v>5</v>
      </c>
      <c r="S12" s="9">
        <f t="shared" ref="S12:S23" si="5">Q12-R12-1</f>
        <v>389</v>
      </c>
      <c r="U12" s="7">
        <v>14.03</v>
      </c>
      <c r="V12" s="7">
        <v>8.34</v>
      </c>
      <c r="W12" s="9">
        <v>1</v>
      </c>
      <c r="X12" s="9">
        <v>0</v>
      </c>
      <c r="Y12" s="9">
        <v>1</v>
      </c>
      <c r="Z12" s="9">
        <v>0</v>
      </c>
      <c r="AA12" s="9">
        <v>0</v>
      </c>
      <c r="AB12" s="26">
        <v>0</v>
      </c>
      <c r="AC12" s="9">
        <v>0</v>
      </c>
      <c r="AD12" s="9">
        <v>1</v>
      </c>
      <c r="AE12" s="26">
        <v>0</v>
      </c>
      <c r="AF12" s="9">
        <v>0</v>
      </c>
      <c r="AG12" s="26">
        <v>1</v>
      </c>
      <c r="AH12" s="18">
        <v>1992</v>
      </c>
      <c r="AI12" t="s">
        <v>64</v>
      </c>
      <c r="AJ12" t="s">
        <v>64</v>
      </c>
      <c r="AK12" t="s">
        <v>64</v>
      </c>
      <c r="AL12" t="s">
        <v>64</v>
      </c>
      <c r="AM12" s="36" t="s">
        <v>64</v>
      </c>
      <c r="AN12" s="15" t="s">
        <v>64</v>
      </c>
      <c r="AO12">
        <v>0.41</v>
      </c>
      <c r="AP12">
        <v>0.59</v>
      </c>
      <c r="AQ12" t="s">
        <v>64</v>
      </c>
      <c r="AR12" s="34" t="s">
        <v>64</v>
      </c>
      <c r="AU12" t="s">
        <v>64</v>
      </c>
      <c r="AV12" s="15" t="s">
        <v>64</v>
      </c>
      <c r="AW12" s="15" t="s">
        <v>103</v>
      </c>
      <c r="BK12" s="21">
        <v>38.07</v>
      </c>
      <c r="BL12">
        <v>1</v>
      </c>
      <c r="BM12">
        <v>0</v>
      </c>
      <c r="BN12">
        <v>0</v>
      </c>
      <c r="BO12">
        <v>0</v>
      </c>
      <c r="BP12">
        <v>0</v>
      </c>
      <c r="BQ12" s="15">
        <v>0</v>
      </c>
      <c r="BV12">
        <v>0</v>
      </c>
      <c r="BW12">
        <v>0</v>
      </c>
      <c r="BX12" s="15">
        <v>0</v>
      </c>
      <c r="BY12">
        <v>1</v>
      </c>
      <c r="BZ12">
        <v>1</v>
      </c>
      <c r="CA12">
        <v>0</v>
      </c>
      <c r="CB12">
        <v>0</v>
      </c>
      <c r="CC12">
        <v>1</v>
      </c>
      <c r="CD12">
        <v>0</v>
      </c>
      <c r="CE12">
        <v>1</v>
      </c>
      <c r="CF12">
        <v>0</v>
      </c>
      <c r="CG12">
        <v>0</v>
      </c>
      <c r="CH12">
        <v>0</v>
      </c>
      <c r="CI12">
        <v>0</v>
      </c>
      <c r="CJ12" s="15">
        <v>0</v>
      </c>
      <c r="CP12" t="s">
        <v>51</v>
      </c>
    </row>
    <row r="13" spans="1:94" x14ac:dyDescent="0.25">
      <c r="A13">
        <v>12</v>
      </c>
      <c r="B13">
        <v>1</v>
      </c>
      <c r="C13" t="s">
        <v>292</v>
      </c>
      <c r="D13" s="12">
        <v>6.4</v>
      </c>
      <c r="E13" s="7">
        <v>1.9</v>
      </c>
      <c r="F13" s="7">
        <f t="shared" si="4"/>
        <v>3.3684210526315792</v>
      </c>
      <c r="L13" s="8">
        <v>1</v>
      </c>
      <c r="M13" s="9">
        <v>0</v>
      </c>
      <c r="N13" s="9">
        <v>0</v>
      </c>
      <c r="O13" s="9">
        <v>0</v>
      </c>
      <c r="P13" s="9">
        <v>0</v>
      </c>
      <c r="Q13" s="8">
        <v>353</v>
      </c>
      <c r="R13" s="9">
        <v>5</v>
      </c>
      <c r="S13" s="9">
        <f t="shared" si="5"/>
        <v>347</v>
      </c>
      <c r="U13" s="7">
        <v>14.03</v>
      </c>
      <c r="V13" s="7">
        <v>8.34</v>
      </c>
      <c r="W13" s="9">
        <v>1</v>
      </c>
      <c r="X13" s="9">
        <v>0</v>
      </c>
      <c r="Y13" s="9">
        <v>1</v>
      </c>
      <c r="Z13" s="9">
        <v>0</v>
      </c>
      <c r="AA13" s="9">
        <v>0</v>
      </c>
      <c r="AB13" s="26">
        <v>0</v>
      </c>
      <c r="AC13" s="9">
        <v>0</v>
      </c>
      <c r="AD13" s="9">
        <v>1</v>
      </c>
      <c r="AE13" s="26">
        <v>0</v>
      </c>
      <c r="AF13" s="9">
        <v>0</v>
      </c>
      <c r="AG13" s="26">
        <v>1</v>
      </c>
      <c r="AH13" s="18">
        <v>1992</v>
      </c>
      <c r="AI13" t="s">
        <v>64</v>
      </c>
      <c r="AJ13" t="s">
        <v>64</v>
      </c>
      <c r="AK13" t="s">
        <v>64</v>
      </c>
      <c r="AL13" t="s">
        <v>64</v>
      </c>
      <c r="AM13" s="36" t="s">
        <v>64</v>
      </c>
      <c r="AN13" s="15" t="s">
        <v>64</v>
      </c>
      <c r="AO13">
        <v>0.41</v>
      </c>
      <c r="AP13">
        <v>0.59</v>
      </c>
      <c r="AQ13" t="s">
        <v>64</v>
      </c>
      <c r="AR13" s="34" t="s">
        <v>64</v>
      </c>
      <c r="AU13" t="s">
        <v>64</v>
      </c>
      <c r="AV13" s="15" t="s">
        <v>64</v>
      </c>
      <c r="AW13" s="15" t="s">
        <v>103</v>
      </c>
      <c r="BK13" s="21">
        <v>38.07</v>
      </c>
      <c r="BL13">
        <v>1</v>
      </c>
      <c r="BM13">
        <v>0</v>
      </c>
      <c r="BN13">
        <v>0</v>
      </c>
      <c r="BO13">
        <v>0</v>
      </c>
      <c r="BP13">
        <v>0</v>
      </c>
      <c r="BQ13" s="15">
        <v>0</v>
      </c>
      <c r="BV13">
        <v>0</v>
      </c>
      <c r="BW13">
        <v>0</v>
      </c>
      <c r="BX13" s="15">
        <v>0</v>
      </c>
      <c r="BY13">
        <v>1</v>
      </c>
      <c r="BZ13">
        <v>1</v>
      </c>
      <c r="CA13">
        <v>0</v>
      </c>
      <c r="CB13">
        <v>0</v>
      </c>
      <c r="CC13">
        <v>1</v>
      </c>
      <c r="CD13">
        <v>0</v>
      </c>
      <c r="CE13">
        <v>1</v>
      </c>
      <c r="CF13">
        <v>0</v>
      </c>
      <c r="CG13">
        <v>0</v>
      </c>
      <c r="CH13">
        <v>0</v>
      </c>
      <c r="CI13">
        <v>0</v>
      </c>
      <c r="CJ13" s="15">
        <v>0</v>
      </c>
      <c r="CP13" t="s">
        <v>51</v>
      </c>
    </row>
    <row r="14" spans="1:94" x14ac:dyDescent="0.25">
      <c r="A14">
        <v>13</v>
      </c>
      <c r="B14">
        <v>1</v>
      </c>
      <c r="C14" t="s">
        <v>292</v>
      </c>
      <c r="D14" s="12">
        <v>5.8</v>
      </c>
      <c r="E14" s="7">
        <v>1.9</v>
      </c>
      <c r="F14" s="7">
        <f t="shared" si="4"/>
        <v>3.0526315789473686</v>
      </c>
      <c r="L14" s="8">
        <v>1</v>
      </c>
      <c r="M14" s="9">
        <v>0</v>
      </c>
      <c r="N14" s="9">
        <v>0</v>
      </c>
      <c r="O14" s="9">
        <v>0</v>
      </c>
      <c r="P14" s="9">
        <v>0</v>
      </c>
      <c r="Q14" s="8">
        <v>342</v>
      </c>
      <c r="R14" s="9">
        <v>5</v>
      </c>
      <c r="S14" s="9">
        <f t="shared" si="5"/>
        <v>336</v>
      </c>
      <c r="U14" s="7">
        <v>14.03</v>
      </c>
      <c r="V14" s="7">
        <v>8.34</v>
      </c>
      <c r="W14" s="9">
        <v>1</v>
      </c>
      <c r="X14" s="9">
        <v>0</v>
      </c>
      <c r="Y14" s="9">
        <v>1</v>
      </c>
      <c r="Z14" s="9">
        <v>0</v>
      </c>
      <c r="AA14" s="9">
        <v>0</v>
      </c>
      <c r="AB14" s="26">
        <v>0</v>
      </c>
      <c r="AC14" s="9">
        <v>0</v>
      </c>
      <c r="AD14" s="9">
        <v>1</v>
      </c>
      <c r="AE14" s="26">
        <v>0</v>
      </c>
      <c r="AF14" s="9">
        <v>0</v>
      </c>
      <c r="AG14" s="26">
        <v>1</v>
      </c>
      <c r="AH14" s="18">
        <v>1992</v>
      </c>
      <c r="AI14" t="s">
        <v>64</v>
      </c>
      <c r="AJ14" t="s">
        <v>64</v>
      </c>
      <c r="AK14" t="s">
        <v>64</v>
      </c>
      <c r="AL14" t="s">
        <v>64</v>
      </c>
      <c r="AM14" s="36" t="s">
        <v>64</v>
      </c>
      <c r="AN14" s="15" t="s">
        <v>64</v>
      </c>
      <c r="AO14">
        <v>0.41</v>
      </c>
      <c r="AP14">
        <v>0.59</v>
      </c>
      <c r="AQ14" t="s">
        <v>64</v>
      </c>
      <c r="AR14" s="34" t="s">
        <v>64</v>
      </c>
      <c r="AU14" t="s">
        <v>64</v>
      </c>
      <c r="AV14" s="15" t="s">
        <v>64</v>
      </c>
      <c r="AW14" s="15" t="s">
        <v>103</v>
      </c>
      <c r="BK14" s="21">
        <v>38.07</v>
      </c>
      <c r="BL14">
        <v>1</v>
      </c>
      <c r="BM14">
        <v>0</v>
      </c>
      <c r="BN14">
        <v>0</v>
      </c>
      <c r="BO14">
        <v>0</v>
      </c>
      <c r="BP14">
        <v>0</v>
      </c>
      <c r="BQ14" s="15">
        <v>0</v>
      </c>
      <c r="BV14">
        <v>0</v>
      </c>
      <c r="BW14">
        <v>0</v>
      </c>
      <c r="BX14" s="15">
        <v>0</v>
      </c>
      <c r="BY14">
        <v>1</v>
      </c>
      <c r="BZ14">
        <v>1</v>
      </c>
      <c r="CA14">
        <v>0</v>
      </c>
      <c r="CB14">
        <v>0</v>
      </c>
      <c r="CC14">
        <v>1</v>
      </c>
      <c r="CD14">
        <v>0</v>
      </c>
      <c r="CE14">
        <v>1</v>
      </c>
      <c r="CF14">
        <v>0</v>
      </c>
      <c r="CG14">
        <v>0</v>
      </c>
      <c r="CH14">
        <v>0</v>
      </c>
      <c r="CI14">
        <v>0</v>
      </c>
      <c r="CJ14" s="15">
        <v>0</v>
      </c>
      <c r="CP14" t="s">
        <v>51</v>
      </c>
    </row>
    <row r="15" spans="1:94" x14ac:dyDescent="0.25">
      <c r="A15">
        <v>14</v>
      </c>
      <c r="B15">
        <v>1</v>
      </c>
      <c r="C15" t="s">
        <v>292</v>
      </c>
      <c r="D15" s="12">
        <v>6.6</v>
      </c>
      <c r="E15" s="7">
        <v>1.9</v>
      </c>
      <c r="F15" s="7">
        <f t="shared" si="4"/>
        <v>3.4736842105263159</v>
      </c>
      <c r="L15" s="8">
        <v>1</v>
      </c>
      <c r="M15" s="9">
        <v>0</v>
      </c>
      <c r="N15" s="9">
        <v>0</v>
      </c>
      <c r="O15" s="9">
        <v>0</v>
      </c>
      <c r="P15" s="9">
        <v>0</v>
      </c>
      <c r="Q15" s="8">
        <v>335</v>
      </c>
      <c r="R15" s="9">
        <v>5</v>
      </c>
      <c r="S15" s="9">
        <f t="shared" si="5"/>
        <v>329</v>
      </c>
      <c r="U15" s="7">
        <v>14.03</v>
      </c>
      <c r="V15" s="7">
        <v>8.34</v>
      </c>
      <c r="W15" s="9">
        <v>1</v>
      </c>
      <c r="X15" s="9">
        <v>0</v>
      </c>
      <c r="Y15" s="9">
        <v>1</v>
      </c>
      <c r="Z15" s="9">
        <v>0</v>
      </c>
      <c r="AA15" s="9">
        <v>0</v>
      </c>
      <c r="AB15" s="26">
        <v>0</v>
      </c>
      <c r="AC15" s="9">
        <v>0</v>
      </c>
      <c r="AD15" s="9">
        <v>1</v>
      </c>
      <c r="AE15" s="26">
        <v>0</v>
      </c>
      <c r="AF15" s="9">
        <v>0</v>
      </c>
      <c r="AG15" s="26">
        <v>1</v>
      </c>
      <c r="AH15" s="18">
        <v>1992</v>
      </c>
      <c r="AI15" t="s">
        <v>64</v>
      </c>
      <c r="AJ15" t="s">
        <v>64</v>
      </c>
      <c r="AK15" t="s">
        <v>64</v>
      </c>
      <c r="AL15" t="s">
        <v>64</v>
      </c>
      <c r="AM15" s="36" t="s">
        <v>64</v>
      </c>
      <c r="AN15" s="15" t="s">
        <v>64</v>
      </c>
      <c r="AO15">
        <v>0.41</v>
      </c>
      <c r="AP15">
        <v>0.59</v>
      </c>
      <c r="AQ15" t="s">
        <v>64</v>
      </c>
      <c r="AR15" s="34" t="s">
        <v>64</v>
      </c>
      <c r="AU15" t="s">
        <v>64</v>
      </c>
      <c r="AV15" s="15" t="s">
        <v>64</v>
      </c>
      <c r="AW15" s="15" t="s">
        <v>103</v>
      </c>
      <c r="BK15" s="21">
        <v>38.07</v>
      </c>
      <c r="BL15">
        <v>1</v>
      </c>
      <c r="BM15">
        <v>0</v>
      </c>
      <c r="BN15">
        <v>0</v>
      </c>
      <c r="BO15">
        <v>0</v>
      </c>
      <c r="BP15">
        <v>0</v>
      </c>
      <c r="BQ15" s="15">
        <v>0</v>
      </c>
      <c r="BV15">
        <v>0</v>
      </c>
      <c r="BW15">
        <v>0</v>
      </c>
      <c r="BX15" s="15">
        <v>0</v>
      </c>
      <c r="BY15">
        <v>1</v>
      </c>
      <c r="BZ15">
        <v>1</v>
      </c>
      <c r="CA15">
        <v>0</v>
      </c>
      <c r="CB15">
        <v>0</v>
      </c>
      <c r="CC15">
        <v>1</v>
      </c>
      <c r="CD15">
        <v>0</v>
      </c>
      <c r="CE15">
        <v>1</v>
      </c>
      <c r="CF15">
        <v>0</v>
      </c>
      <c r="CG15">
        <v>0</v>
      </c>
      <c r="CH15">
        <v>0</v>
      </c>
      <c r="CI15">
        <v>0</v>
      </c>
      <c r="CJ15" s="15">
        <v>0</v>
      </c>
      <c r="CP15" t="s">
        <v>51</v>
      </c>
    </row>
    <row r="16" spans="1:94" x14ac:dyDescent="0.25">
      <c r="A16">
        <v>15</v>
      </c>
      <c r="B16">
        <v>1</v>
      </c>
      <c r="C16" t="s">
        <v>292</v>
      </c>
      <c r="D16" s="12">
        <v>6.7</v>
      </c>
      <c r="E16" s="7">
        <v>2</v>
      </c>
      <c r="F16" s="7">
        <f t="shared" si="4"/>
        <v>3.35</v>
      </c>
      <c r="L16" s="8">
        <v>1</v>
      </c>
      <c r="M16" s="9">
        <v>0</v>
      </c>
      <c r="N16" s="9">
        <v>0</v>
      </c>
      <c r="O16" s="9">
        <v>0</v>
      </c>
      <c r="P16" s="9">
        <v>0</v>
      </c>
      <c r="Q16" s="8">
        <v>297</v>
      </c>
      <c r="R16" s="9">
        <v>5</v>
      </c>
      <c r="S16" s="9">
        <f t="shared" si="5"/>
        <v>291</v>
      </c>
      <c r="U16" s="7">
        <v>14.03</v>
      </c>
      <c r="V16" s="7">
        <v>8.34</v>
      </c>
      <c r="W16" s="9">
        <v>1</v>
      </c>
      <c r="X16" s="9">
        <v>0</v>
      </c>
      <c r="Y16" s="9">
        <v>1</v>
      </c>
      <c r="Z16" s="9">
        <v>0</v>
      </c>
      <c r="AA16" s="9">
        <v>0</v>
      </c>
      <c r="AB16" s="26">
        <v>0</v>
      </c>
      <c r="AC16" s="9">
        <v>0</v>
      </c>
      <c r="AD16" s="9">
        <v>1</v>
      </c>
      <c r="AE16" s="26">
        <v>0</v>
      </c>
      <c r="AF16" s="9">
        <v>0</v>
      </c>
      <c r="AG16" s="26">
        <v>1</v>
      </c>
      <c r="AH16" s="18">
        <v>1992</v>
      </c>
      <c r="AI16" t="s">
        <v>64</v>
      </c>
      <c r="AJ16" t="s">
        <v>64</v>
      </c>
      <c r="AK16" t="s">
        <v>64</v>
      </c>
      <c r="AL16" t="s">
        <v>64</v>
      </c>
      <c r="AM16" s="36" t="s">
        <v>64</v>
      </c>
      <c r="AN16" s="15" t="s">
        <v>64</v>
      </c>
      <c r="AO16">
        <v>0.41</v>
      </c>
      <c r="AP16">
        <v>0.59</v>
      </c>
      <c r="AQ16" t="s">
        <v>64</v>
      </c>
      <c r="AR16" s="34" t="s">
        <v>64</v>
      </c>
      <c r="AU16" t="s">
        <v>64</v>
      </c>
      <c r="AV16" s="15" t="s">
        <v>64</v>
      </c>
      <c r="AW16" s="15" t="s">
        <v>103</v>
      </c>
      <c r="BK16" s="21">
        <v>38.07</v>
      </c>
      <c r="BL16">
        <v>1</v>
      </c>
      <c r="BM16">
        <v>0</v>
      </c>
      <c r="BN16">
        <v>0</v>
      </c>
      <c r="BO16">
        <v>0</v>
      </c>
      <c r="BP16">
        <v>0</v>
      </c>
      <c r="BQ16" s="15">
        <v>0</v>
      </c>
      <c r="BV16">
        <v>0</v>
      </c>
      <c r="BW16">
        <v>0</v>
      </c>
      <c r="BX16" s="15">
        <v>0</v>
      </c>
      <c r="BY16">
        <v>1</v>
      </c>
      <c r="BZ16">
        <v>1</v>
      </c>
      <c r="CA16">
        <v>0</v>
      </c>
      <c r="CB16">
        <v>0</v>
      </c>
      <c r="CC16">
        <v>1</v>
      </c>
      <c r="CD16">
        <v>0</v>
      </c>
      <c r="CE16">
        <v>1</v>
      </c>
      <c r="CF16">
        <v>0</v>
      </c>
      <c r="CG16">
        <v>0</v>
      </c>
      <c r="CH16">
        <v>0</v>
      </c>
      <c r="CI16">
        <v>0</v>
      </c>
      <c r="CJ16" s="15">
        <v>0</v>
      </c>
      <c r="CP16" t="s">
        <v>51</v>
      </c>
    </row>
    <row r="17" spans="1:94" x14ac:dyDescent="0.25">
      <c r="A17">
        <v>16</v>
      </c>
      <c r="B17">
        <v>1</v>
      </c>
      <c r="C17" t="s">
        <v>292</v>
      </c>
      <c r="D17" s="12">
        <v>8.9</v>
      </c>
      <c r="E17" s="7">
        <v>3.3</v>
      </c>
      <c r="F17" s="7">
        <f t="shared" si="4"/>
        <v>2.6969696969696972</v>
      </c>
      <c r="L17" s="8">
        <v>1</v>
      </c>
      <c r="M17" s="9">
        <v>0</v>
      </c>
      <c r="N17" s="9">
        <v>0</v>
      </c>
      <c r="O17" s="9">
        <v>0</v>
      </c>
      <c r="P17" s="9">
        <v>0</v>
      </c>
      <c r="Q17" s="8">
        <v>52</v>
      </c>
      <c r="R17" s="9">
        <v>5</v>
      </c>
      <c r="S17" s="9">
        <f t="shared" si="5"/>
        <v>46</v>
      </c>
      <c r="U17" s="7">
        <v>14.03</v>
      </c>
      <c r="V17" s="7">
        <v>8.34</v>
      </c>
      <c r="W17" s="9">
        <v>1</v>
      </c>
      <c r="X17" s="9">
        <v>0</v>
      </c>
      <c r="Y17" s="9">
        <v>1</v>
      </c>
      <c r="Z17" s="9">
        <v>0</v>
      </c>
      <c r="AA17" s="9">
        <v>0</v>
      </c>
      <c r="AB17" s="26">
        <v>0</v>
      </c>
      <c r="AC17" s="9">
        <v>0</v>
      </c>
      <c r="AD17" s="9">
        <v>1</v>
      </c>
      <c r="AE17" s="26">
        <v>0</v>
      </c>
      <c r="AF17" s="9">
        <v>0</v>
      </c>
      <c r="AG17" s="26">
        <v>1</v>
      </c>
      <c r="AH17" s="18">
        <v>1992</v>
      </c>
      <c r="AI17" t="s">
        <v>64</v>
      </c>
      <c r="AJ17" t="s">
        <v>64</v>
      </c>
      <c r="AK17" t="s">
        <v>64</v>
      </c>
      <c r="AL17" t="s">
        <v>64</v>
      </c>
      <c r="AM17" s="36" t="s">
        <v>64</v>
      </c>
      <c r="AN17" s="15" t="s">
        <v>64</v>
      </c>
      <c r="AO17">
        <v>0.41</v>
      </c>
      <c r="AP17">
        <v>0.59</v>
      </c>
      <c r="AQ17" t="s">
        <v>64</v>
      </c>
      <c r="AR17" s="34" t="s">
        <v>64</v>
      </c>
      <c r="AU17" t="s">
        <v>64</v>
      </c>
      <c r="AV17" s="15" t="s">
        <v>64</v>
      </c>
      <c r="AW17" s="15" t="s">
        <v>103</v>
      </c>
      <c r="BK17" s="21">
        <v>38.07</v>
      </c>
      <c r="BL17">
        <v>1</v>
      </c>
      <c r="BM17">
        <v>0</v>
      </c>
      <c r="BN17">
        <v>0</v>
      </c>
      <c r="BO17">
        <v>0</v>
      </c>
      <c r="BP17">
        <v>0</v>
      </c>
      <c r="BQ17" s="15">
        <v>0</v>
      </c>
      <c r="BV17">
        <v>0</v>
      </c>
      <c r="BW17">
        <v>0</v>
      </c>
      <c r="BX17" s="15">
        <v>0</v>
      </c>
      <c r="BY17">
        <v>1</v>
      </c>
      <c r="BZ17">
        <v>1</v>
      </c>
      <c r="CA17">
        <v>0</v>
      </c>
      <c r="CB17">
        <v>0</v>
      </c>
      <c r="CC17">
        <v>1</v>
      </c>
      <c r="CD17">
        <v>0</v>
      </c>
      <c r="CE17">
        <v>1</v>
      </c>
      <c r="CF17">
        <v>0</v>
      </c>
      <c r="CG17">
        <v>0</v>
      </c>
      <c r="CH17">
        <v>0</v>
      </c>
      <c r="CI17">
        <v>0</v>
      </c>
      <c r="CJ17" s="15">
        <v>0</v>
      </c>
      <c r="CP17" t="s">
        <v>51</v>
      </c>
    </row>
    <row r="18" spans="1:94" x14ac:dyDescent="0.25">
      <c r="A18">
        <v>17</v>
      </c>
      <c r="B18">
        <v>1</v>
      </c>
      <c r="C18" t="s">
        <v>292</v>
      </c>
      <c r="D18" s="12">
        <v>8.5</v>
      </c>
      <c r="E18" s="7">
        <v>2.2999999999999998</v>
      </c>
      <c r="F18" s="7">
        <f t="shared" si="4"/>
        <v>3.6956521739130439</v>
      </c>
      <c r="L18" s="8">
        <v>1</v>
      </c>
      <c r="M18" s="9">
        <v>0</v>
      </c>
      <c r="N18" s="9">
        <v>0</v>
      </c>
      <c r="O18" s="9">
        <v>0</v>
      </c>
      <c r="P18" s="9">
        <v>0</v>
      </c>
      <c r="Q18" s="8">
        <v>395</v>
      </c>
      <c r="R18" s="9">
        <v>4</v>
      </c>
      <c r="S18" s="9">
        <f t="shared" si="5"/>
        <v>390</v>
      </c>
      <c r="U18" s="7">
        <v>14.03</v>
      </c>
      <c r="V18" s="7">
        <v>8.34</v>
      </c>
      <c r="W18" s="9">
        <v>1</v>
      </c>
      <c r="X18" s="9">
        <v>0</v>
      </c>
      <c r="Y18" s="9">
        <v>1</v>
      </c>
      <c r="Z18" s="9">
        <v>0</v>
      </c>
      <c r="AA18" s="9">
        <v>0</v>
      </c>
      <c r="AB18" s="26">
        <v>0</v>
      </c>
      <c r="AC18" s="9">
        <v>0</v>
      </c>
      <c r="AD18" s="9">
        <v>1</v>
      </c>
      <c r="AE18" s="26">
        <v>0</v>
      </c>
      <c r="AF18" s="9">
        <v>0</v>
      </c>
      <c r="AG18" s="26">
        <v>1</v>
      </c>
      <c r="AH18" s="18">
        <v>1992</v>
      </c>
      <c r="AI18" t="s">
        <v>64</v>
      </c>
      <c r="AJ18" t="s">
        <v>64</v>
      </c>
      <c r="AK18" t="s">
        <v>64</v>
      </c>
      <c r="AL18" t="s">
        <v>64</v>
      </c>
      <c r="AM18" s="36" t="s">
        <v>64</v>
      </c>
      <c r="AN18" s="15" t="s">
        <v>64</v>
      </c>
      <c r="AO18">
        <v>0.41</v>
      </c>
      <c r="AP18">
        <v>0.59</v>
      </c>
      <c r="AQ18" t="s">
        <v>64</v>
      </c>
      <c r="AR18" s="34" t="s">
        <v>64</v>
      </c>
      <c r="AU18" t="s">
        <v>64</v>
      </c>
      <c r="AV18" s="15" t="s">
        <v>64</v>
      </c>
      <c r="AW18" s="15" t="s">
        <v>103</v>
      </c>
      <c r="BK18" s="21">
        <v>38.07</v>
      </c>
      <c r="BL18">
        <v>0</v>
      </c>
      <c r="BM18">
        <v>0</v>
      </c>
      <c r="BN18">
        <v>0</v>
      </c>
      <c r="BO18">
        <v>0</v>
      </c>
      <c r="BP18">
        <v>0</v>
      </c>
      <c r="BQ18" s="15">
        <v>1</v>
      </c>
      <c r="BV18">
        <v>1</v>
      </c>
      <c r="BW18">
        <v>0</v>
      </c>
      <c r="BX18" s="15">
        <v>0</v>
      </c>
      <c r="BY18">
        <v>0</v>
      </c>
      <c r="BZ18">
        <v>0</v>
      </c>
      <c r="CA18">
        <v>0</v>
      </c>
      <c r="CB18">
        <v>0</v>
      </c>
      <c r="CC18">
        <v>0</v>
      </c>
      <c r="CD18">
        <v>0</v>
      </c>
      <c r="CE18">
        <v>0</v>
      </c>
      <c r="CF18">
        <v>1</v>
      </c>
      <c r="CG18">
        <v>0</v>
      </c>
      <c r="CH18">
        <v>0</v>
      </c>
      <c r="CI18">
        <v>0</v>
      </c>
      <c r="CJ18">
        <v>1</v>
      </c>
      <c r="CP18" t="s">
        <v>51</v>
      </c>
    </row>
    <row r="19" spans="1:94" x14ac:dyDescent="0.25">
      <c r="A19">
        <v>18</v>
      </c>
      <c r="B19">
        <v>1</v>
      </c>
      <c r="C19" t="s">
        <v>292</v>
      </c>
      <c r="D19" s="12">
        <v>8.6</v>
      </c>
      <c r="E19" s="7">
        <v>2.5</v>
      </c>
      <c r="F19" s="7">
        <f t="shared" si="4"/>
        <v>3.44</v>
      </c>
      <c r="L19" s="8">
        <v>1</v>
      </c>
      <c r="M19" s="9">
        <v>0</v>
      </c>
      <c r="N19" s="9">
        <v>0</v>
      </c>
      <c r="O19" s="9">
        <v>0</v>
      </c>
      <c r="P19" s="9">
        <v>0</v>
      </c>
      <c r="Q19" s="8">
        <v>353</v>
      </c>
      <c r="R19" s="9">
        <v>4</v>
      </c>
      <c r="S19" s="9">
        <f t="shared" si="5"/>
        <v>348</v>
      </c>
      <c r="U19" s="7">
        <v>14.03</v>
      </c>
      <c r="V19" s="7">
        <v>8.34</v>
      </c>
      <c r="W19" s="9">
        <v>1</v>
      </c>
      <c r="X19" s="9">
        <v>0</v>
      </c>
      <c r="Y19" s="9">
        <v>1</v>
      </c>
      <c r="Z19" s="9">
        <v>0</v>
      </c>
      <c r="AA19" s="9">
        <v>0</v>
      </c>
      <c r="AB19" s="26">
        <v>0</v>
      </c>
      <c r="AC19" s="9">
        <v>0</v>
      </c>
      <c r="AD19" s="9">
        <v>1</v>
      </c>
      <c r="AE19" s="26">
        <v>0</v>
      </c>
      <c r="AF19" s="9">
        <v>0</v>
      </c>
      <c r="AG19" s="26">
        <v>1</v>
      </c>
      <c r="AH19" s="18">
        <v>1992</v>
      </c>
      <c r="AI19" t="s">
        <v>64</v>
      </c>
      <c r="AJ19" t="s">
        <v>64</v>
      </c>
      <c r="AK19" t="s">
        <v>64</v>
      </c>
      <c r="AL19" t="s">
        <v>64</v>
      </c>
      <c r="AM19" s="36" t="s">
        <v>64</v>
      </c>
      <c r="AN19" s="15" t="s">
        <v>64</v>
      </c>
      <c r="AO19">
        <v>0.41</v>
      </c>
      <c r="AP19">
        <v>0.59</v>
      </c>
      <c r="AQ19" t="s">
        <v>64</v>
      </c>
      <c r="AR19" s="34" t="s">
        <v>64</v>
      </c>
      <c r="AU19" t="s">
        <v>64</v>
      </c>
      <c r="AV19" s="15" t="s">
        <v>64</v>
      </c>
      <c r="AW19" s="15" t="s">
        <v>103</v>
      </c>
      <c r="BK19" s="21">
        <v>38.07</v>
      </c>
      <c r="BL19">
        <v>0</v>
      </c>
      <c r="BM19">
        <v>0</v>
      </c>
      <c r="BN19">
        <v>0</v>
      </c>
      <c r="BO19">
        <v>0</v>
      </c>
      <c r="BP19">
        <v>0</v>
      </c>
      <c r="BQ19" s="15">
        <v>1</v>
      </c>
      <c r="BV19">
        <v>1</v>
      </c>
      <c r="BW19">
        <v>0</v>
      </c>
      <c r="BX19" s="15">
        <v>0</v>
      </c>
      <c r="BY19">
        <v>0</v>
      </c>
      <c r="BZ19">
        <v>0</v>
      </c>
      <c r="CA19">
        <v>0</v>
      </c>
      <c r="CB19">
        <v>0</v>
      </c>
      <c r="CC19">
        <v>0</v>
      </c>
      <c r="CD19">
        <v>0</v>
      </c>
      <c r="CE19">
        <v>0</v>
      </c>
      <c r="CF19">
        <v>1</v>
      </c>
      <c r="CG19">
        <v>0</v>
      </c>
      <c r="CH19">
        <v>0</v>
      </c>
      <c r="CI19">
        <v>0</v>
      </c>
      <c r="CJ19">
        <v>1</v>
      </c>
      <c r="CP19" t="s">
        <v>51</v>
      </c>
    </row>
    <row r="20" spans="1:94" x14ac:dyDescent="0.25">
      <c r="A20">
        <v>19</v>
      </c>
      <c r="B20">
        <v>1</v>
      </c>
      <c r="C20" t="s">
        <v>292</v>
      </c>
      <c r="D20" s="12">
        <v>7.7</v>
      </c>
      <c r="E20" s="7">
        <v>2.6</v>
      </c>
      <c r="F20" s="7">
        <f t="shared" si="4"/>
        <v>2.9615384615384617</v>
      </c>
      <c r="L20" s="8">
        <v>1</v>
      </c>
      <c r="M20" s="9">
        <v>0</v>
      </c>
      <c r="N20" s="9">
        <v>0</v>
      </c>
      <c r="O20" s="9">
        <v>0</v>
      </c>
      <c r="P20" s="9">
        <v>0</v>
      </c>
      <c r="Q20" s="8">
        <v>342</v>
      </c>
      <c r="R20" s="9">
        <v>4</v>
      </c>
      <c r="S20" s="9">
        <f t="shared" si="5"/>
        <v>337</v>
      </c>
      <c r="U20" s="7">
        <v>14.03</v>
      </c>
      <c r="V20" s="7">
        <v>8.34</v>
      </c>
      <c r="W20" s="9">
        <v>1</v>
      </c>
      <c r="X20" s="9">
        <v>0</v>
      </c>
      <c r="Y20" s="9">
        <v>1</v>
      </c>
      <c r="Z20" s="9">
        <v>0</v>
      </c>
      <c r="AA20" s="9">
        <v>0</v>
      </c>
      <c r="AB20" s="26">
        <v>0</v>
      </c>
      <c r="AC20" s="9">
        <v>0</v>
      </c>
      <c r="AD20" s="9">
        <v>1</v>
      </c>
      <c r="AE20" s="26">
        <v>0</v>
      </c>
      <c r="AF20" s="9">
        <v>0</v>
      </c>
      <c r="AG20" s="26">
        <v>1</v>
      </c>
      <c r="AH20" s="18">
        <v>1992</v>
      </c>
      <c r="AI20" t="s">
        <v>64</v>
      </c>
      <c r="AJ20" t="s">
        <v>64</v>
      </c>
      <c r="AK20" t="s">
        <v>64</v>
      </c>
      <c r="AL20" t="s">
        <v>64</v>
      </c>
      <c r="AM20" s="36" t="s">
        <v>64</v>
      </c>
      <c r="AN20" s="15" t="s">
        <v>64</v>
      </c>
      <c r="AO20">
        <v>0.41</v>
      </c>
      <c r="AP20">
        <v>0.59</v>
      </c>
      <c r="AQ20" t="s">
        <v>64</v>
      </c>
      <c r="AR20" s="34" t="s">
        <v>64</v>
      </c>
      <c r="AU20" t="s">
        <v>64</v>
      </c>
      <c r="AV20" s="15" t="s">
        <v>64</v>
      </c>
      <c r="AW20" s="15" t="s">
        <v>103</v>
      </c>
      <c r="BK20" s="21">
        <v>38.07</v>
      </c>
      <c r="BL20">
        <v>0</v>
      </c>
      <c r="BM20">
        <v>0</v>
      </c>
      <c r="BN20">
        <v>0</v>
      </c>
      <c r="BO20">
        <v>0</v>
      </c>
      <c r="BP20">
        <v>0</v>
      </c>
      <c r="BQ20" s="15">
        <v>1</v>
      </c>
      <c r="BV20">
        <v>1</v>
      </c>
      <c r="BW20">
        <v>0</v>
      </c>
      <c r="BX20" s="15">
        <v>0</v>
      </c>
      <c r="BY20">
        <v>0</v>
      </c>
      <c r="BZ20">
        <v>0</v>
      </c>
      <c r="CA20">
        <v>0</v>
      </c>
      <c r="CB20">
        <v>0</v>
      </c>
      <c r="CC20">
        <v>0</v>
      </c>
      <c r="CD20">
        <v>0</v>
      </c>
      <c r="CE20">
        <v>0</v>
      </c>
      <c r="CF20">
        <v>1</v>
      </c>
      <c r="CG20">
        <v>0</v>
      </c>
      <c r="CH20">
        <v>0</v>
      </c>
      <c r="CI20">
        <v>0</v>
      </c>
      <c r="CJ20">
        <v>1</v>
      </c>
      <c r="CP20" t="s">
        <v>51</v>
      </c>
    </row>
    <row r="21" spans="1:94" x14ac:dyDescent="0.25">
      <c r="A21">
        <v>20</v>
      </c>
      <c r="B21">
        <v>1</v>
      </c>
      <c r="C21" t="s">
        <v>292</v>
      </c>
      <c r="D21" s="12">
        <v>8.3000000000000007</v>
      </c>
      <c r="E21" s="7">
        <v>2.5</v>
      </c>
      <c r="F21" s="7">
        <f t="shared" si="4"/>
        <v>3.3200000000000003</v>
      </c>
      <c r="L21" s="8">
        <v>1</v>
      </c>
      <c r="M21" s="9">
        <v>0</v>
      </c>
      <c r="N21" s="9">
        <v>0</v>
      </c>
      <c r="O21" s="9">
        <v>0</v>
      </c>
      <c r="P21" s="9">
        <v>0</v>
      </c>
      <c r="Q21" s="8">
        <v>335</v>
      </c>
      <c r="R21" s="9">
        <v>4</v>
      </c>
      <c r="S21" s="9">
        <f t="shared" si="5"/>
        <v>330</v>
      </c>
      <c r="U21" s="7">
        <v>14.03</v>
      </c>
      <c r="V21" s="7">
        <v>8.34</v>
      </c>
      <c r="W21" s="9">
        <v>1</v>
      </c>
      <c r="X21" s="9">
        <v>0</v>
      </c>
      <c r="Y21" s="9">
        <v>1</v>
      </c>
      <c r="Z21" s="9">
        <v>0</v>
      </c>
      <c r="AA21" s="9">
        <v>0</v>
      </c>
      <c r="AB21" s="26">
        <v>0</v>
      </c>
      <c r="AC21" s="9">
        <v>0</v>
      </c>
      <c r="AD21" s="9">
        <v>1</v>
      </c>
      <c r="AE21" s="26">
        <v>0</v>
      </c>
      <c r="AF21" s="9">
        <v>0</v>
      </c>
      <c r="AG21" s="26">
        <v>1</v>
      </c>
      <c r="AH21" s="18">
        <v>1992</v>
      </c>
      <c r="AI21" t="s">
        <v>64</v>
      </c>
      <c r="AJ21" t="s">
        <v>64</v>
      </c>
      <c r="AK21" t="s">
        <v>64</v>
      </c>
      <c r="AL21" t="s">
        <v>64</v>
      </c>
      <c r="AM21" s="36" t="s">
        <v>64</v>
      </c>
      <c r="AN21" s="15" t="s">
        <v>64</v>
      </c>
      <c r="AO21">
        <v>0.41</v>
      </c>
      <c r="AP21">
        <v>0.59</v>
      </c>
      <c r="AQ21" t="s">
        <v>64</v>
      </c>
      <c r="AR21" s="34" t="s">
        <v>64</v>
      </c>
      <c r="AU21" t="s">
        <v>64</v>
      </c>
      <c r="AV21" s="15" t="s">
        <v>64</v>
      </c>
      <c r="AW21" s="15" t="s">
        <v>103</v>
      </c>
      <c r="BK21" s="21">
        <v>38.07</v>
      </c>
      <c r="BL21">
        <v>0</v>
      </c>
      <c r="BM21">
        <v>0</v>
      </c>
      <c r="BN21">
        <v>0</v>
      </c>
      <c r="BO21">
        <v>0</v>
      </c>
      <c r="BP21">
        <v>0</v>
      </c>
      <c r="BQ21" s="15">
        <v>1</v>
      </c>
      <c r="BV21">
        <v>1</v>
      </c>
      <c r="BW21">
        <v>0</v>
      </c>
      <c r="BX21" s="15">
        <v>0</v>
      </c>
      <c r="BY21">
        <v>0</v>
      </c>
      <c r="BZ21">
        <v>0</v>
      </c>
      <c r="CA21">
        <v>0</v>
      </c>
      <c r="CB21">
        <v>0</v>
      </c>
      <c r="CC21">
        <v>0</v>
      </c>
      <c r="CD21">
        <v>0</v>
      </c>
      <c r="CE21">
        <v>0</v>
      </c>
      <c r="CF21">
        <v>1</v>
      </c>
      <c r="CG21">
        <v>0</v>
      </c>
      <c r="CH21">
        <v>0</v>
      </c>
      <c r="CI21">
        <v>0</v>
      </c>
      <c r="CJ21">
        <v>1</v>
      </c>
      <c r="CP21" t="s">
        <v>51</v>
      </c>
    </row>
    <row r="22" spans="1:94" x14ac:dyDescent="0.25">
      <c r="A22">
        <v>21</v>
      </c>
      <c r="B22">
        <v>1</v>
      </c>
      <c r="C22" t="s">
        <v>292</v>
      </c>
      <c r="D22" s="12">
        <v>8.3000000000000007</v>
      </c>
      <c r="E22" s="7">
        <v>2.7</v>
      </c>
      <c r="F22" s="7">
        <f t="shared" si="4"/>
        <v>3.074074074074074</v>
      </c>
      <c r="L22" s="8">
        <v>1</v>
      </c>
      <c r="M22" s="9">
        <v>0</v>
      </c>
      <c r="N22" s="9">
        <v>0</v>
      </c>
      <c r="O22" s="9">
        <v>0</v>
      </c>
      <c r="P22" s="9">
        <v>0</v>
      </c>
      <c r="Q22" s="8">
        <v>297</v>
      </c>
      <c r="R22" s="9">
        <v>4</v>
      </c>
      <c r="S22" s="9">
        <f t="shared" si="5"/>
        <v>292</v>
      </c>
      <c r="U22" s="7">
        <v>14.03</v>
      </c>
      <c r="V22" s="7">
        <v>8.34</v>
      </c>
      <c r="W22" s="9">
        <v>1</v>
      </c>
      <c r="X22" s="9">
        <v>0</v>
      </c>
      <c r="Y22" s="9">
        <v>1</v>
      </c>
      <c r="Z22" s="9">
        <v>0</v>
      </c>
      <c r="AA22" s="9">
        <v>0</v>
      </c>
      <c r="AB22" s="26">
        <v>0</v>
      </c>
      <c r="AC22" s="9">
        <v>0</v>
      </c>
      <c r="AD22" s="9">
        <v>1</v>
      </c>
      <c r="AE22" s="26">
        <v>0</v>
      </c>
      <c r="AF22" s="9">
        <v>0</v>
      </c>
      <c r="AG22" s="26">
        <v>1</v>
      </c>
      <c r="AH22" s="18">
        <v>1992</v>
      </c>
      <c r="AI22" t="s">
        <v>64</v>
      </c>
      <c r="AJ22" t="s">
        <v>64</v>
      </c>
      <c r="AK22" t="s">
        <v>64</v>
      </c>
      <c r="AL22" t="s">
        <v>64</v>
      </c>
      <c r="AM22" s="36" t="s">
        <v>64</v>
      </c>
      <c r="AN22" s="15" t="s">
        <v>64</v>
      </c>
      <c r="AO22">
        <v>0.41</v>
      </c>
      <c r="AP22">
        <v>0.59</v>
      </c>
      <c r="AQ22" t="s">
        <v>64</v>
      </c>
      <c r="AR22" s="34" t="s">
        <v>64</v>
      </c>
      <c r="AU22" t="s">
        <v>64</v>
      </c>
      <c r="AV22" s="15" t="s">
        <v>64</v>
      </c>
      <c r="AW22" s="15" t="s">
        <v>103</v>
      </c>
      <c r="BK22" s="21">
        <v>38.07</v>
      </c>
      <c r="BL22">
        <v>0</v>
      </c>
      <c r="BM22">
        <v>0</v>
      </c>
      <c r="BN22">
        <v>0</v>
      </c>
      <c r="BO22">
        <v>0</v>
      </c>
      <c r="BP22">
        <v>0</v>
      </c>
      <c r="BQ22" s="15">
        <v>1</v>
      </c>
      <c r="BV22">
        <v>1</v>
      </c>
      <c r="BW22">
        <v>0</v>
      </c>
      <c r="BX22" s="15">
        <v>0</v>
      </c>
      <c r="BY22">
        <v>0</v>
      </c>
      <c r="BZ22">
        <v>0</v>
      </c>
      <c r="CA22">
        <v>0</v>
      </c>
      <c r="CB22">
        <v>0</v>
      </c>
      <c r="CC22">
        <v>0</v>
      </c>
      <c r="CD22">
        <v>0</v>
      </c>
      <c r="CE22">
        <v>0</v>
      </c>
      <c r="CF22">
        <v>1</v>
      </c>
      <c r="CG22">
        <v>0</v>
      </c>
      <c r="CH22">
        <v>0</v>
      </c>
      <c r="CI22">
        <v>0</v>
      </c>
      <c r="CJ22">
        <v>1</v>
      </c>
      <c r="CP22" t="s">
        <v>51</v>
      </c>
    </row>
    <row r="23" spans="1:94" x14ac:dyDescent="0.25">
      <c r="A23">
        <v>22</v>
      </c>
      <c r="B23">
        <v>1</v>
      </c>
      <c r="C23" t="s">
        <v>292</v>
      </c>
      <c r="D23" s="12">
        <v>16.3</v>
      </c>
      <c r="E23" s="7">
        <v>4.7</v>
      </c>
      <c r="F23" s="7">
        <f t="shared" si="4"/>
        <v>3.4680851063829787</v>
      </c>
      <c r="L23" s="8">
        <v>1</v>
      </c>
      <c r="M23" s="9">
        <v>0</v>
      </c>
      <c r="N23" s="9">
        <v>0</v>
      </c>
      <c r="O23" s="9">
        <v>0</v>
      </c>
      <c r="P23" s="9">
        <v>0</v>
      </c>
      <c r="Q23" s="8">
        <v>52</v>
      </c>
      <c r="R23" s="9">
        <v>4</v>
      </c>
      <c r="S23" s="9">
        <f t="shared" si="5"/>
        <v>47</v>
      </c>
      <c r="U23" s="7">
        <v>14.03</v>
      </c>
      <c r="V23" s="7">
        <v>8.34</v>
      </c>
      <c r="W23" s="9">
        <v>1</v>
      </c>
      <c r="X23" s="9">
        <v>0</v>
      </c>
      <c r="Y23" s="9">
        <v>1</v>
      </c>
      <c r="Z23" s="9">
        <v>0</v>
      </c>
      <c r="AA23" s="9">
        <v>0</v>
      </c>
      <c r="AB23" s="26">
        <v>0</v>
      </c>
      <c r="AC23" s="9">
        <v>0</v>
      </c>
      <c r="AD23" s="9">
        <v>1</v>
      </c>
      <c r="AE23" s="26">
        <v>0</v>
      </c>
      <c r="AF23" s="9">
        <v>0</v>
      </c>
      <c r="AG23" s="26">
        <v>1</v>
      </c>
      <c r="AH23" s="18">
        <v>1992</v>
      </c>
      <c r="AI23" t="s">
        <v>64</v>
      </c>
      <c r="AJ23" t="s">
        <v>64</v>
      </c>
      <c r="AK23" t="s">
        <v>64</v>
      </c>
      <c r="AL23" t="s">
        <v>64</v>
      </c>
      <c r="AM23" s="36" t="s">
        <v>64</v>
      </c>
      <c r="AN23" s="15" t="s">
        <v>64</v>
      </c>
      <c r="AO23">
        <v>0.41</v>
      </c>
      <c r="AP23">
        <v>0.59</v>
      </c>
      <c r="AQ23" t="s">
        <v>64</v>
      </c>
      <c r="AR23" s="34" t="s">
        <v>64</v>
      </c>
      <c r="AU23" t="s">
        <v>64</v>
      </c>
      <c r="AV23" s="15" t="s">
        <v>64</v>
      </c>
      <c r="AW23" s="15" t="s">
        <v>103</v>
      </c>
      <c r="BK23" s="21">
        <v>38.07</v>
      </c>
      <c r="BL23">
        <v>0</v>
      </c>
      <c r="BM23">
        <v>0</v>
      </c>
      <c r="BN23">
        <v>0</v>
      </c>
      <c r="BO23">
        <v>0</v>
      </c>
      <c r="BP23">
        <v>0</v>
      </c>
      <c r="BQ23" s="15">
        <v>1</v>
      </c>
      <c r="BV23">
        <v>1</v>
      </c>
      <c r="BW23">
        <v>0</v>
      </c>
      <c r="BX23" s="15">
        <v>0</v>
      </c>
      <c r="BY23">
        <v>0</v>
      </c>
      <c r="BZ23">
        <v>0</v>
      </c>
      <c r="CA23">
        <v>0</v>
      </c>
      <c r="CB23">
        <v>0</v>
      </c>
      <c r="CC23">
        <v>0</v>
      </c>
      <c r="CD23">
        <v>0</v>
      </c>
      <c r="CE23">
        <v>0</v>
      </c>
      <c r="CF23">
        <v>1</v>
      </c>
      <c r="CG23">
        <v>0</v>
      </c>
      <c r="CH23">
        <v>0</v>
      </c>
      <c r="CI23">
        <v>0</v>
      </c>
      <c r="CJ23">
        <v>1</v>
      </c>
      <c r="CP23" t="s">
        <v>51</v>
      </c>
    </row>
    <row r="24" spans="1:94" x14ac:dyDescent="0.25">
      <c r="A24">
        <v>23</v>
      </c>
      <c r="B24">
        <v>2</v>
      </c>
      <c r="C24" t="s">
        <v>298</v>
      </c>
      <c r="D24" s="12">
        <v>8.4</v>
      </c>
      <c r="E24" s="7">
        <v>1.4</v>
      </c>
      <c r="F24" s="7">
        <f t="shared" si="4"/>
        <v>6.0000000000000009</v>
      </c>
      <c r="AW24" s="15"/>
      <c r="BK24" s="21"/>
      <c r="CP24" t="s">
        <v>51</v>
      </c>
    </row>
    <row r="25" spans="1:94" x14ac:dyDescent="0.25">
      <c r="A25">
        <v>24</v>
      </c>
      <c r="B25">
        <v>2</v>
      </c>
      <c r="C25" t="s">
        <v>298</v>
      </c>
      <c r="D25" s="12">
        <v>8.6999999999999993</v>
      </c>
      <c r="E25" s="7">
        <v>1.5</v>
      </c>
      <c r="F25" s="7">
        <f t="shared" si="4"/>
        <v>5.8</v>
      </c>
      <c r="AW25" s="15"/>
      <c r="BK25" s="21"/>
      <c r="CP25" t="s">
        <v>51</v>
      </c>
    </row>
    <row r="26" spans="1:94" x14ac:dyDescent="0.25">
      <c r="A26">
        <v>25</v>
      </c>
      <c r="B26">
        <v>2</v>
      </c>
      <c r="C26" t="s">
        <v>298</v>
      </c>
      <c r="D26" s="12">
        <v>8.8000000000000007</v>
      </c>
      <c r="E26" s="7">
        <v>1.5</v>
      </c>
      <c r="F26" s="7">
        <f t="shared" si="4"/>
        <v>5.8666666666666671</v>
      </c>
      <c r="AW26" s="15"/>
      <c r="BK26" s="21"/>
      <c r="CP26" t="s">
        <v>51</v>
      </c>
    </row>
    <row r="27" spans="1:94" x14ac:dyDescent="0.25">
      <c r="A27">
        <v>26</v>
      </c>
      <c r="B27">
        <v>2</v>
      </c>
      <c r="C27" t="s">
        <v>298</v>
      </c>
      <c r="D27" s="12">
        <v>11.6</v>
      </c>
      <c r="E27" s="7">
        <v>3</v>
      </c>
      <c r="F27" s="7">
        <f t="shared" si="4"/>
        <v>3.8666666666666667</v>
      </c>
      <c r="AW27" s="15"/>
      <c r="BK27" s="21"/>
      <c r="CP27" t="s">
        <v>51</v>
      </c>
    </row>
    <row r="28" spans="1:94" x14ac:dyDescent="0.25">
      <c r="A28">
        <v>27</v>
      </c>
      <c r="B28">
        <v>2</v>
      </c>
      <c r="C28" t="s">
        <v>298</v>
      </c>
      <c r="D28" s="12">
        <v>9.1999999999999993</v>
      </c>
      <c r="E28" s="7">
        <v>2.4</v>
      </c>
      <c r="F28" s="7">
        <f t="shared" si="4"/>
        <v>3.833333333333333</v>
      </c>
      <c r="AW28" s="15"/>
      <c r="BK28" s="21"/>
      <c r="CP28" t="s">
        <v>51</v>
      </c>
    </row>
    <row r="29" spans="1:94" x14ac:dyDescent="0.25">
      <c r="A29">
        <v>28</v>
      </c>
      <c r="B29">
        <v>2</v>
      </c>
      <c r="C29" t="s">
        <v>298</v>
      </c>
      <c r="D29" s="12">
        <v>16.7</v>
      </c>
      <c r="E29" s="7">
        <v>4.3</v>
      </c>
      <c r="F29" s="7">
        <f t="shared" si="4"/>
        <v>3.8837209302325579</v>
      </c>
      <c r="AW29" s="15"/>
      <c r="BK29" s="21"/>
      <c r="CP29" t="s">
        <v>51</v>
      </c>
    </row>
    <row r="30" spans="1:94" x14ac:dyDescent="0.25">
      <c r="A30">
        <v>29</v>
      </c>
      <c r="AW30" s="15"/>
      <c r="BK30" s="21"/>
      <c r="CP30" t="s">
        <v>51</v>
      </c>
    </row>
    <row r="31" spans="1:94" x14ac:dyDescent="0.25">
      <c r="A31">
        <v>30</v>
      </c>
      <c r="AW31" s="15"/>
      <c r="BK31" s="21"/>
      <c r="CP31" t="s">
        <v>51</v>
      </c>
    </row>
    <row r="32" spans="1:94" x14ac:dyDescent="0.25">
      <c r="A32">
        <v>31</v>
      </c>
      <c r="AW32" s="15"/>
      <c r="BK32" s="21"/>
      <c r="CP32" t="s">
        <v>51</v>
      </c>
    </row>
    <row r="33" spans="1:94" x14ac:dyDescent="0.25">
      <c r="A33">
        <v>32</v>
      </c>
      <c r="AW33" s="15"/>
      <c r="BK33" s="21"/>
      <c r="CP33" t="s">
        <v>51</v>
      </c>
    </row>
    <row r="34" spans="1:94" x14ac:dyDescent="0.25">
      <c r="A34">
        <v>33</v>
      </c>
      <c r="AW34" s="15"/>
      <c r="BK34" s="21"/>
      <c r="CP34" t="s">
        <v>51</v>
      </c>
    </row>
    <row r="35" spans="1:94" x14ac:dyDescent="0.25">
      <c r="A35">
        <v>34</v>
      </c>
      <c r="AW35" s="15"/>
      <c r="BK35" s="21"/>
      <c r="CP35" t="s">
        <v>51</v>
      </c>
    </row>
    <row r="36" spans="1:94" x14ac:dyDescent="0.25">
      <c r="A36">
        <v>35</v>
      </c>
      <c r="AW36" s="15"/>
      <c r="BK36" s="21"/>
      <c r="CP36" t="s">
        <v>51</v>
      </c>
    </row>
    <row r="37" spans="1:94" x14ac:dyDescent="0.25">
      <c r="A37">
        <v>36</v>
      </c>
      <c r="AW37" s="15"/>
      <c r="BK37" s="21"/>
      <c r="CP37" t="s">
        <v>51</v>
      </c>
    </row>
    <row r="38" spans="1:94" x14ac:dyDescent="0.25">
      <c r="A38">
        <v>37</v>
      </c>
      <c r="AW38" s="15"/>
      <c r="BK38" s="21"/>
      <c r="CP38" t="s">
        <v>51</v>
      </c>
    </row>
    <row r="39" spans="1:94" x14ac:dyDescent="0.25">
      <c r="A39">
        <v>38</v>
      </c>
      <c r="AW39" s="15"/>
      <c r="BK39" s="21"/>
      <c r="CP39" t="s">
        <v>51</v>
      </c>
    </row>
    <row r="40" spans="1:94" x14ac:dyDescent="0.25">
      <c r="A40">
        <v>39</v>
      </c>
      <c r="AW40" s="15"/>
      <c r="BK40" s="21"/>
      <c r="CP40" t="s">
        <v>51</v>
      </c>
    </row>
    <row r="41" spans="1:94" x14ac:dyDescent="0.25">
      <c r="A41">
        <v>40</v>
      </c>
      <c r="AW41" s="15"/>
      <c r="BK41" s="21"/>
      <c r="CP41" t="s">
        <v>51</v>
      </c>
    </row>
    <row r="42" spans="1:94" x14ac:dyDescent="0.25">
      <c r="A42">
        <v>41</v>
      </c>
      <c r="AW42" s="15"/>
      <c r="BK42" s="21"/>
      <c r="CP42" t="s">
        <v>51</v>
      </c>
    </row>
    <row r="43" spans="1:94" x14ac:dyDescent="0.25">
      <c r="A43">
        <v>42</v>
      </c>
      <c r="AW43" s="15"/>
      <c r="BK43" s="21"/>
      <c r="CP43" t="s">
        <v>51</v>
      </c>
    </row>
    <row r="44" spans="1:94" x14ac:dyDescent="0.25">
      <c r="A44">
        <v>43</v>
      </c>
      <c r="AW44" s="15"/>
      <c r="BK44" s="21"/>
      <c r="CP44" t="s">
        <v>51</v>
      </c>
    </row>
    <row r="45" spans="1:94" x14ac:dyDescent="0.25">
      <c r="A45">
        <v>44</v>
      </c>
      <c r="AW45" s="15"/>
      <c r="BK45" s="21"/>
      <c r="CP45" t="s">
        <v>51</v>
      </c>
    </row>
    <row r="46" spans="1:94" x14ac:dyDescent="0.25">
      <c r="A46">
        <v>45</v>
      </c>
      <c r="AW46" s="15"/>
      <c r="BK46" s="21"/>
      <c r="CP46" t="s">
        <v>51</v>
      </c>
    </row>
    <row r="47" spans="1:94" x14ac:dyDescent="0.25">
      <c r="A47">
        <v>46</v>
      </c>
      <c r="AW47" s="15"/>
      <c r="BK47" s="21"/>
      <c r="CP47" t="s">
        <v>51</v>
      </c>
    </row>
    <row r="48" spans="1:94" x14ac:dyDescent="0.25">
      <c r="A48">
        <v>47</v>
      </c>
      <c r="AW48" s="15"/>
      <c r="BK48" s="21"/>
      <c r="CP48" t="s">
        <v>51</v>
      </c>
    </row>
    <row r="49" spans="1:94" x14ac:dyDescent="0.25">
      <c r="A49">
        <v>48</v>
      </c>
      <c r="AW49" s="15"/>
      <c r="BK49" s="21"/>
      <c r="CP49" t="s">
        <v>51</v>
      </c>
    </row>
    <row r="50" spans="1:94" x14ac:dyDescent="0.25">
      <c r="A50">
        <v>49</v>
      </c>
      <c r="AW50" s="15"/>
      <c r="BK50" s="21"/>
      <c r="CP50" t="s">
        <v>51</v>
      </c>
    </row>
    <row r="51" spans="1:94" x14ac:dyDescent="0.25">
      <c r="A51">
        <v>50</v>
      </c>
      <c r="AW51" s="15"/>
      <c r="BK51" s="21"/>
      <c r="CP51" t="s">
        <v>51</v>
      </c>
    </row>
    <row r="52" spans="1:94" x14ac:dyDescent="0.25">
      <c r="A52">
        <v>51</v>
      </c>
      <c r="AW52" s="15"/>
      <c r="BK52" s="21"/>
      <c r="CP52" t="s">
        <v>51</v>
      </c>
    </row>
    <row r="53" spans="1:94" x14ac:dyDescent="0.25">
      <c r="A53">
        <v>52</v>
      </c>
      <c r="AW53" s="15"/>
      <c r="BK53" s="21"/>
      <c r="CP53" t="s">
        <v>51</v>
      </c>
    </row>
    <row r="54" spans="1:94" x14ac:dyDescent="0.25">
      <c r="A54">
        <v>53</v>
      </c>
      <c r="AW54" s="15"/>
      <c r="BK54" s="21"/>
      <c r="CP54" t="s">
        <v>51</v>
      </c>
    </row>
    <row r="55" spans="1:94" x14ac:dyDescent="0.25">
      <c r="A55">
        <v>54</v>
      </c>
      <c r="AW55" s="15"/>
      <c r="BK55" s="21"/>
      <c r="CP55" t="s">
        <v>51</v>
      </c>
    </row>
    <row r="56" spans="1:94" x14ac:dyDescent="0.25">
      <c r="A56">
        <v>55</v>
      </c>
      <c r="AW56" s="15"/>
      <c r="BK56" s="21"/>
      <c r="CP56" t="s">
        <v>51</v>
      </c>
    </row>
    <row r="57" spans="1:94" x14ac:dyDescent="0.25">
      <c r="A57">
        <v>56</v>
      </c>
      <c r="AW57" s="15"/>
      <c r="BK57" s="21"/>
      <c r="CP57" t="s">
        <v>51</v>
      </c>
    </row>
    <row r="58" spans="1:94" x14ac:dyDescent="0.25">
      <c r="A58">
        <v>57</v>
      </c>
      <c r="AW58" s="15"/>
      <c r="BK58" s="21"/>
      <c r="CP58" t="s">
        <v>51</v>
      </c>
    </row>
    <row r="59" spans="1:94" x14ac:dyDescent="0.25">
      <c r="A59">
        <v>58</v>
      </c>
      <c r="AW59" s="15"/>
      <c r="BK59" s="21"/>
      <c r="CP59" t="s">
        <v>51</v>
      </c>
    </row>
    <row r="60" spans="1:94" x14ac:dyDescent="0.25">
      <c r="A60">
        <v>59</v>
      </c>
      <c r="AW60" s="15"/>
      <c r="BK60" s="21"/>
      <c r="CP60" t="s">
        <v>51</v>
      </c>
    </row>
    <row r="61" spans="1:94" x14ac:dyDescent="0.25">
      <c r="A61">
        <v>60</v>
      </c>
      <c r="AW61" s="15"/>
      <c r="BK61" s="21"/>
      <c r="CP61" t="s">
        <v>51</v>
      </c>
    </row>
    <row r="62" spans="1:94" x14ac:dyDescent="0.25">
      <c r="A62">
        <v>61</v>
      </c>
      <c r="AW62" s="15"/>
      <c r="BK62" s="21"/>
      <c r="CP62" t="s">
        <v>51</v>
      </c>
    </row>
    <row r="63" spans="1:94" x14ac:dyDescent="0.25">
      <c r="A63">
        <v>62</v>
      </c>
      <c r="AW63" s="15"/>
      <c r="BK63" s="21"/>
      <c r="CP63" t="s">
        <v>51</v>
      </c>
    </row>
    <row r="64" spans="1:94" x14ac:dyDescent="0.25">
      <c r="A64">
        <v>63</v>
      </c>
      <c r="AW64" s="15"/>
      <c r="BK64" s="21"/>
      <c r="CP64" t="s">
        <v>51</v>
      </c>
    </row>
    <row r="65" spans="1:94" x14ac:dyDescent="0.25">
      <c r="A65">
        <v>64</v>
      </c>
      <c r="AW65" s="15"/>
      <c r="BK65" s="21"/>
      <c r="CP65" t="s">
        <v>51</v>
      </c>
    </row>
    <row r="66" spans="1:94" x14ac:dyDescent="0.25">
      <c r="A66">
        <v>65</v>
      </c>
      <c r="AW66" s="15"/>
      <c r="BK66" s="21"/>
      <c r="CP66" t="s">
        <v>51</v>
      </c>
    </row>
    <row r="67" spans="1:94" x14ac:dyDescent="0.25">
      <c r="A67">
        <v>66</v>
      </c>
      <c r="AW67" s="15"/>
      <c r="BK67" s="21"/>
      <c r="CP67" t="s">
        <v>51</v>
      </c>
    </row>
    <row r="68" spans="1:94" x14ac:dyDescent="0.25">
      <c r="A68">
        <v>67</v>
      </c>
      <c r="AW68" s="15"/>
      <c r="BK68" s="21"/>
      <c r="CP68" t="s">
        <v>51</v>
      </c>
    </row>
    <row r="69" spans="1:94" x14ac:dyDescent="0.25">
      <c r="A69">
        <v>68</v>
      </c>
      <c r="AW69" s="15"/>
      <c r="BK69" s="21"/>
      <c r="CP69" t="s">
        <v>51</v>
      </c>
    </row>
    <row r="70" spans="1:94" x14ac:dyDescent="0.25">
      <c r="A70">
        <v>69</v>
      </c>
      <c r="AW70" s="15"/>
      <c r="BK70" s="21"/>
      <c r="CP70" t="s">
        <v>51</v>
      </c>
    </row>
    <row r="71" spans="1:94" x14ac:dyDescent="0.25">
      <c r="A71">
        <v>70</v>
      </c>
      <c r="AW71" s="15"/>
      <c r="BK71" s="21"/>
      <c r="CP71" t="s">
        <v>51</v>
      </c>
    </row>
    <row r="72" spans="1:94" x14ac:dyDescent="0.25">
      <c r="A72">
        <v>71</v>
      </c>
      <c r="AW72" s="15"/>
      <c r="BK72" s="21"/>
      <c r="CP72" t="s">
        <v>51</v>
      </c>
    </row>
    <row r="73" spans="1:94" x14ac:dyDescent="0.25">
      <c r="A73">
        <v>72</v>
      </c>
      <c r="AW73" s="15"/>
      <c r="BK73" s="21"/>
      <c r="CP73" t="s">
        <v>51</v>
      </c>
    </row>
    <row r="74" spans="1:94" x14ac:dyDescent="0.25">
      <c r="A74">
        <v>73</v>
      </c>
      <c r="AW74" s="15"/>
      <c r="BK74" s="21"/>
      <c r="CP74" t="s">
        <v>51</v>
      </c>
    </row>
    <row r="75" spans="1:94" x14ac:dyDescent="0.25">
      <c r="A75">
        <v>74</v>
      </c>
      <c r="AW75" s="15"/>
      <c r="BK75" s="21"/>
      <c r="CP75" t="s">
        <v>51</v>
      </c>
    </row>
    <row r="76" spans="1:94" x14ac:dyDescent="0.25">
      <c r="A76">
        <v>75</v>
      </c>
      <c r="AW76" s="15"/>
      <c r="BK76" s="21"/>
      <c r="CP76" t="s">
        <v>51</v>
      </c>
    </row>
    <row r="77" spans="1:94" x14ac:dyDescent="0.25">
      <c r="A77">
        <v>76</v>
      </c>
      <c r="AW77" s="15"/>
      <c r="BK77" s="21"/>
      <c r="CP77" t="s">
        <v>51</v>
      </c>
    </row>
    <row r="78" spans="1:94" x14ac:dyDescent="0.25">
      <c r="A78">
        <v>77</v>
      </c>
      <c r="AW78" s="15"/>
      <c r="BK78" s="21"/>
      <c r="CP78" t="s">
        <v>51</v>
      </c>
    </row>
    <row r="79" spans="1:94" x14ac:dyDescent="0.25">
      <c r="A79">
        <v>78</v>
      </c>
      <c r="AW79" s="15"/>
      <c r="BK79" s="21"/>
      <c r="CP79" t="s">
        <v>51</v>
      </c>
    </row>
    <row r="80" spans="1:94" x14ac:dyDescent="0.25">
      <c r="A80">
        <v>79</v>
      </c>
      <c r="AW80" s="15"/>
      <c r="BK80" s="21"/>
      <c r="CP80" t="s">
        <v>51</v>
      </c>
    </row>
    <row r="81" spans="1:94" x14ac:dyDescent="0.25">
      <c r="A81">
        <v>80</v>
      </c>
      <c r="AW81" s="15"/>
      <c r="BK81" s="21"/>
      <c r="CP81" t="s">
        <v>51</v>
      </c>
    </row>
    <row r="82" spans="1:94" x14ac:dyDescent="0.25">
      <c r="A82">
        <v>81</v>
      </c>
      <c r="AW82" s="15"/>
      <c r="BK82" s="21"/>
      <c r="CP82" t="s">
        <v>51</v>
      </c>
    </row>
    <row r="83" spans="1:94" x14ac:dyDescent="0.25">
      <c r="A83">
        <v>82</v>
      </c>
      <c r="AW83" s="15"/>
      <c r="BK83" s="21"/>
      <c r="CP83" t="s">
        <v>51</v>
      </c>
    </row>
    <row r="84" spans="1:94" x14ac:dyDescent="0.25">
      <c r="A84">
        <v>83</v>
      </c>
      <c r="AW84" s="15"/>
      <c r="BK84" s="21"/>
      <c r="CP84" t="s">
        <v>51</v>
      </c>
    </row>
    <row r="85" spans="1:94" x14ac:dyDescent="0.25">
      <c r="A85">
        <v>84</v>
      </c>
      <c r="AW85" s="15"/>
      <c r="BK85" s="21"/>
      <c r="CP85" t="s">
        <v>51</v>
      </c>
    </row>
    <row r="86" spans="1:94" x14ac:dyDescent="0.25">
      <c r="A86">
        <v>85</v>
      </c>
      <c r="AW86" s="15"/>
      <c r="BK86" s="21"/>
      <c r="CP86" t="s">
        <v>51</v>
      </c>
    </row>
    <row r="87" spans="1:94" x14ac:dyDescent="0.25">
      <c r="A87">
        <v>86</v>
      </c>
      <c r="AW87" s="15"/>
      <c r="BK87" s="21"/>
      <c r="CP87" t="s">
        <v>51</v>
      </c>
    </row>
    <row r="88" spans="1:94" x14ac:dyDescent="0.25">
      <c r="A88">
        <v>87</v>
      </c>
      <c r="AW88" s="15"/>
      <c r="BK88" s="21"/>
      <c r="CP88" t="s">
        <v>51</v>
      </c>
    </row>
    <row r="89" spans="1:94" x14ac:dyDescent="0.25">
      <c r="A89">
        <v>88</v>
      </c>
      <c r="AW89" s="15"/>
      <c r="BK89" s="21"/>
      <c r="CP89" t="s">
        <v>51</v>
      </c>
    </row>
    <row r="90" spans="1:94" x14ac:dyDescent="0.25">
      <c r="A90">
        <v>89</v>
      </c>
      <c r="AW90" s="15"/>
      <c r="BK90" s="21"/>
      <c r="CP90" t="s">
        <v>51</v>
      </c>
    </row>
    <row r="91" spans="1:94" x14ac:dyDescent="0.25">
      <c r="A91">
        <v>90</v>
      </c>
      <c r="AW91" s="15"/>
      <c r="BK91" s="21"/>
      <c r="CP91" t="s">
        <v>51</v>
      </c>
    </row>
    <row r="92" spans="1:94" x14ac:dyDescent="0.25">
      <c r="A92">
        <v>91</v>
      </c>
      <c r="AW92" s="15"/>
      <c r="BK92" s="21"/>
      <c r="CP92" t="s">
        <v>51</v>
      </c>
    </row>
    <row r="93" spans="1:94" x14ac:dyDescent="0.25">
      <c r="A93">
        <v>92</v>
      </c>
      <c r="AW93" s="15"/>
      <c r="BK93" s="21"/>
      <c r="CP93" t="s">
        <v>51</v>
      </c>
    </row>
    <row r="94" spans="1:94" x14ac:dyDescent="0.25">
      <c r="A94">
        <v>93</v>
      </c>
      <c r="AW94" s="15"/>
      <c r="BK94" s="21"/>
      <c r="CP94" t="s">
        <v>51</v>
      </c>
    </row>
    <row r="95" spans="1:94" x14ac:dyDescent="0.25">
      <c r="A95">
        <v>94</v>
      </c>
      <c r="AW95" s="15"/>
      <c r="BK95" s="21"/>
      <c r="CP95" t="s">
        <v>51</v>
      </c>
    </row>
    <row r="96" spans="1:94" x14ac:dyDescent="0.25">
      <c r="A96">
        <v>95</v>
      </c>
      <c r="AW96" s="15"/>
      <c r="BK96" s="21"/>
      <c r="CP96" t="s">
        <v>51</v>
      </c>
    </row>
    <row r="97" spans="1:94" x14ac:dyDescent="0.25">
      <c r="A97">
        <v>96</v>
      </c>
      <c r="AW97" s="15"/>
      <c r="BK97" s="21"/>
      <c r="CP97" t="s">
        <v>51</v>
      </c>
    </row>
    <row r="98" spans="1:94" x14ac:dyDescent="0.25">
      <c r="A98">
        <v>97</v>
      </c>
      <c r="AW98" s="15"/>
      <c r="BK98" s="21"/>
      <c r="CP98" t="s">
        <v>51</v>
      </c>
    </row>
    <row r="99" spans="1:94" x14ac:dyDescent="0.25">
      <c r="A99">
        <v>98</v>
      </c>
      <c r="AW99" s="15"/>
      <c r="BK99" s="21"/>
      <c r="CP99" t="s">
        <v>51</v>
      </c>
    </row>
    <row r="100" spans="1:94" x14ac:dyDescent="0.25">
      <c r="A100">
        <v>99</v>
      </c>
      <c r="AW100" s="15"/>
      <c r="BK100" s="21"/>
      <c r="CP100" t="s">
        <v>51</v>
      </c>
    </row>
    <row r="101" spans="1:94" x14ac:dyDescent="0.25">
      <c r="A101">
        <v>100</v>
      </c>
      <c r="AW101" s="15"/>
      <c r="BK101" s="21"/>
      <c r="CP101" t="s">
        <v>51</v>
      </c>
    </row>
    <row r="102" spans="1:94" x14ac:dyDescent="0.25">
      <c r="A102">
        <v>101</v>
      </c>
      <c r="AW102" s="15"/>
      <c r="BK102" s="21"/>
      <c r="CP102" t="s">
        <v>51</v>
      </c>
    </row>
    <row r="103" spans="1:94" x14ac:dyDescent="0.25">
      <c r="A103">
        <v>102</v>
      </c>
      <c r="AW103" s="15"/>
      <c r="BK103" s="21"/>
      <c r="CP103" t="s">
        <v>51</v>
      </c>
    </row>
    <row r="104" spans="1:94" x14ac:dyDescent="0.25">
      <c r="A104">
        <v>103</v>
      </c>
      <c r="AW104" s="15"/>
      <c r="BK104" s="21"/>
      <c r="CP104" t="s">
        <v>51</v>
      </c>
    </row>
    <row r="105" spans="1:94" x14ac:dyDescent="0.25">
      <c r="A105">
        <v>104</v>
      </c>
      <c r="AW105" s="15"/>
      <c r="BK105" s="21"/>
      <c r="CP105" t="s">
        <v>51</v>
      </c>
    </row>
    <row r="106" spans="1:94" x14ac:dyDescent="0.25">
      <c r="A106">
        <v>105</v>
      </c>
      <c r="AW106" s="15"/>
      <c r="BK106" s="21"/>
      <c r="CP106" t="s">
        <v>51</v>
      </c>
    </row>
    <row r="107" spans="1:94" x14ac:dyDescent="0.25">
      <c r="A107">
        <v>106</v>
      </c>
      <c r="AW107" s="15"/>
      <c r="BK107" s="21"/>
      <c r="CP107" t="s">
        <v>51</v>
      </c>
    </row>
    <row r="108" spans="1:94" x14ac:dyDescent="0.25">
      <c r="A108">
        <v>107</v>
      </c>
      <c r="AW108" s="15"/>
      <c r="BK108" s="21"/>
      <c r="CP108" t="s">
        <v>51</v>
      </c>
    </row>
    <row r="109" spans="1:94" x14ac:dyDescent="0.25">
      <c r="A109">
        <v>108</v>
      </c>
      <c r="AW109" s="15"/>
      <c r="BK109" s="21"/>
      <c r="CP109" t="s">
        <v>51</v>
      </c>
    </row>
    <row r="110" spans="1:94" x14ac:dyDescent="0.25">
      <c r="A110">
        <v>109</v>
      </c>
      <c r="AW110" s="15"/>
      <c r="BK110" s="21"/>
      <c r="CP110" t="s">
        <v>51</v>
      </c>
    </row>
    <row r="111" spans="1:94" x14ac:dyDescent="0.25">
      <c r="A111">
        <v>110</v>
      </c>
      <c r="AW111" s="15"/>
      <c r="BK111" s="21"/>
      <c r="CP111" t="s">
        <v>51</v>
      </c>
    </row>
    <row r="112" spans="1:94" x14ac:dyDescent="0.25">
      <c r="A112">
        <v>111</v>
      </c>
      <c r="AW112" s="15"/>
      <c r="BK112" s="21"/>
      <c r="CP112" t="s">
        <v>51</v>
      </c>
    </row>
    <row r="113" spans="1:94" x14ac:dyDescent="0.25">
      <c r="A113">
        <v>112</v>
      </c>
      <c r="AW113" s="15"/>
      <c r="BK113" s="21"/>
      <c r="CP113" t="s">
        <v>51</v>
      </c>
    </row>
    <row r="114" spans="1:94" x14ac:dyDescent="0.25">
      <c r="A114">
        <v>113</v>
      </c>
      <c r="AW114" s="15"/>
      <c r="BK114" s="21"/>
      <c r="CP114" t="s">
        <v>51</v>
      </c>
    </row>
    <row r="115" spans="1:94" x14ac:dyDescent="0.25">
      <c r="A115">
        <v>114</v>
      </c>
      <c r="AW115" s="15"/>
      <c r="BK115" s="21"/>
      <c r="CP115" t="s">
        <v>51</v>
      </c>
    </row>
    <row r="116" spans="1:94" x14ac:dyDescent="0.25">
      <c r="A116">
        <v>115</v>
      </c>
      <c r="AW116" s="15"/>
      <c r="BK116" s="21"/>
      <c r="CP116" t="s">
        <v>51</v>
      </c>
    </row>
    <row r="117" spans="1:94" x14ac:dyDescent="0.25">
      <c r="A117">
        <v>116</v>
      </c>
      <c r="AW117" s="15"/>
      <c r="BK117" s="21"/>
      <c r="CP117" t="s">
        <v>51</v>
      </c>
    </row>
    <row r="118" spans="1:94" x14ac:dyDescent="0.25">
      <c r="A118">
        <v>117</v>
      </c>
      <c r="AW118" s="15"/>
      <c r="BK118" s="21"/>
      <c r="CP118" t="s">
        <v>51</v>
      </c>
    </row>
    <row r="119" spans="1:94" x14ac:dyDescent="0.25">
      <c r="A119">
        <v>118</v>
      </c>
      <c r="AW119" s="15"/>
      <c r="BK119" s="21"/>
      <c r="CP119" t="s">
        <v>51</v>
      </c>
    </row>
    <row r="120" spans="1:94" x14ac:dyDescent="0.25">
      <c r="A120">
        <v>119</v>
      </c>
      <c r="AW120" s="15"/>
      <c r="BK120" s="21"/>
      <c r="CP120" t="s">
        <v>51</v>
      </c>
    </row>
    <row r="121" spans="1:94" x14ac:dyDescent="0.25">
      <c r="A121">
        <v>120</v>
      </c>
      <c r="AW121" s="15"/>
      <c r="BK121" s="21"/>
      <c r="CP121" t="s">
        <v>51</v>
      </c>
    </row>
    <row r="122" spans="1:94" x14ac:dyDescent="0.25">
      <c r="A122">
        <v>121</v>
      </c>
      <c r="AW122" s="15"/>
      <c r="BK122" s="21"/>
      <c r="CP122" t="s">
        <v>51</v>
      </c>
    </row>
    <row r="123" spans="1:94" x14ac:dyDescent="0.25">
      <c r="A123">
        <v>122</v>
      </c>
      <c r="AW123" s="15"/>
      <c r="BK123" s="21"/>
      <c r="CP123" t="s">
        <v>51</v>
      </c>
    </row>
    <row r="124" spans="1:94" x14ac:dyDescent="0.25">
      <c r="A124">
        <v>123</v>
      </c>
      <c r="AW124" s="15"/>
      <c r="BK124" s="21"/>
      <c r="CP124" t="s">
        <v>51</v>
      </c>
    </row>
    <row r="125" spans="1:94" x14ac:dyDescent="0.25">
      <c r="A125">
        <v>124</v>
      </c>
      <c r="AW125" s="15"/>
      <c r="BK125" s="21"/>
      <c r="CP125" t="s">
        <v>51</v>
      </c>
    </row>
    <row r="126" spans="1:94" x14ac:dyDescent="0.25">
      <c r="A126">
        <v>125</v>
      </c>
      <c r="AW126" s="15"/>
      <c r="BK126" s="21"/>
      <c r="CP126" t="s">
        <v>51</v>
      </c>
    </row>
    <row r="127" spans="1:94" x14ac:dyDescent="0.25">
      <c r="A127">
        <v>126</v>
      </c>
      <c r="AW127" s="15"/>
      <c r="BK127" s="21"/>
      <c r="CP127" t="s">
        <v>51</v>
      </c>
    </row>
    <row r="128" spans="1:94" x14ac:dyDescent="0.25">
      <c r="A128">
        <v>127</v>
      </c>
      <c r="AW128" s="15"/>
      <c r="BK128" s="21"/>
      <c r="CP128" t="s">
        <v>51</v>
      </c>
    </row>
    <row r="129" spans="1:94" x14ac:dyDescent="0.25">
      <c r="A129">
        <v>128</v>
      </c>
      <c r="AW129" s="15"/>
      <c r="BK129" s="21"/>
      <c r="CP129" t="s">
        <v>51</v>
      </c>
    </row>
    <row r="130" spans="1:94" x14ac:dyDescent="0.25">
      <c r="A130">
        <v>129</v>
      </c>
      <c r="AW130" s="15"/>
      <c r="BK130" s="21"/>
      <c r="CP130" t="s">
        <v>51</v>
      </c>
    </row>
    <row r="131" spans="1:94" x14ac:dyDescent="0.25">
      <c r="A131">
        <v>130</v>
      </c>
      <c r="AW131" s="15"/>
      <c r="BK131" s="21"/>
      <c r="CP131" t="s">
        <v>51</v>
      </c>
    </row>
    <row r="132" spans="1:94" x14ac:dyDescent="0.25">
      <c r="A132">
        <v>131</v>
      </c>
      <c r="AW132" s="15"/>
      <c r="BK132" s="21"/>
      <c r="CP132" t="s">
        <v>51</v>
      </c>
    </row>
    <row r="133" spans="1:94" x14ac:dyDescent="0.25">
      <c r="A133">
        <v>132</v>
      </c>
      <c r="AW133" s="15"/>
      <c r="BK133" s="21"/>
      <c r="CP133" t="s">
        <v>51</v>
      </c>
    </row>
    <row r="134" spans="1:94" x14ac:dyDescent="0.25">
      <c r="A134">
        <v>133</v>
      </c>
      <c r="AW134" s="15"/>
      <c r="BK134" s="21"/>
      <c r="CP134" t="s">
        <v>51</v>
      </c>
    </row>
    <row r="135" spans="1:94" x14ac:dyDescent="0.25">
      <c r="A135">
        <v>134</v>
      </c>
      <c r="AW135" s="15"/>
      <c r="BK135" s="21"/>
      <c r="CP135" t="s">
        <v>51</v>
      </c>
    </row>
    <row r="136" spans="1:94" x14ac:dyDescent="0.25">
      <c r="A136">
        <v>135</v>
      </c>
      <c r="AW136" s="15"/>
      <c r="BK136" s="21"/>
      <c r="CP136" t="s">
        <v>51</v>
      </c>
    </row>
    <row r="137" spans="1:94" x14ac:dyDescent="0.25">
      <c r="A137">
        <v>136</v>
      </c>
      <c r="AW137" s="15"/>
      <c r="BK137" s="21"/>
      <c r="CP137" t="s">
        <v>51</v>
      </c>
    </row>
    <row r="138" spans="1:94" x14ac:dyDescent="0.25">
      <c r="A138">
        <v>137</v>
      </c>
      <c r="AW138" s="15"/>
      <c r="BK138" s="21"/>
      <c r="CP138" t="s">
        <v>51</v>
      </c>
    </row>
    <row r="139" spans="1:94" x14ac:dyDescent="0.25">
      <c r="A139">
        <v>138</v>
      </c>
      <c r="AW139" s="15"/>
      <c r="BK139" s="21"/>
      <c r="CP139" t="s">
        <v>51</v>
      </c>
    </row>
    <row r="140" spans="1:94" x14ac:dyDescent="0.25">
      <c r="A140">
        <v>139</v>
      </c>
      <c r="AW140" s="15"/>
      <c r="BK140" s="21"/>
      <c r="CP140" t="s">
        <v>51</v>
      </c>
    </row>
    <row r="141" spans="1:94" x14ac:dyDescent="0.25">
      <c r="A141">
        <v>140</v>
      </c>
      <c r="AW141" s="15"/>
      <c r="BK141" s="21"/>
      <c r="CP141" t="s">
        <v>51</v>
      </c>
    </row>
    <row r="142" spans="1:94" x14ac:dyDescent="0.25">
      <c r="A142">
        <v>141</v>
      </c>
      <c r="AW142" s="15"/>
      <c r="BK142" s="21"/>
      <c r="CP142" t="s">
        <v>51</v>
      </c>
    </row>
    <row r="143" spans="1:94" x14ac:dyDescent="0.25">
      <c r="A143">
        <v>142</v>
      </c>
      <c r="AW143" s="15"/>
      <c r="BK143" s="21"/>
      <c r="CP143" t="s">
        <v>51</v>
      </c>
    </row>
    <row r="144" spans="1:94" x14ac:dyDescent="0.25">
      <c r="A144">
        <v>143</v>
      </c>
      <c r="AW144" s="15"/>
      <c r="BK144" s="21"/>
      <c r="CP144" t="s">
        <v>51</v>
      </c>
    </row>
    <row r="145" spans="1:94" x14ac:dyDescent="0.25">
      <c r="A145">
        <v>144</v>
      </c>
      <c r="AW145" s="15"/>
      <c r="BK145" s="21"/>
      <c r="CP145" t="s">
        <v>51</v>
      </c>
    </row>
    <row r="146" spans="1:94" x14ac:dyDescent="0.25">
      <c r="A146">
        <v>145</v>
      </c>
      <c r="AW146" s="15"/>
      <c r="BK146" s="21"/>
      <c r="CP146" t="s">
        <v>51</v>
      </c>
    </row>
    <row r="147" spans="1:94" x14ac:dyDescent="0.25">
      <c r="A147">
        <v>146</v>
      </c>
      <c r="AW147" s="15"/>
      <c r="BK147" s="21"/>
      <c r="CP147" t="s">
        <v>51</v>
      </c>
    </row>
    <row r="148" spans="1:94" x14ac:dyDescent="0.25">
      <c r="A148">
        <v>147</v>
      </c>
      <c r="AW148" s="15"/>
      <c r="BK148" s="21"/>
      <c r="CP148" t="s">
        <v>51</v>
      </c>
    </row>
    <row r="149" spans="1:94" x14ac:dyDescent="0.25">
      <c r="A149">
        <v>148</v>
      </c>
      <c r="AW149" s="15"/>
      <c r="BK149" s="21"/>
      <c r="CP149" t="s">
        <v>51</v>
      </c>
    </row>
    <row r="150" spans="1:94" x14ac:dyDescent="0.25">
      <c r="A150">
        <v>149</v>
      </c>
      <c r="AW150" s="15"/>
      <c r="BK150" s="21"/>
      <c r="CP150" t="s">
        <v>51</v>
      </c>
    </row>
    <row r="151" spans="1:94" x14ac:dyDescent="0.25">
      <c r="A151">
        <v>150</v>
      </c>
      <c r="AW151" s="15"/>
      <c r="BK151" s="21"/>
      <c r="CP151" t="s">
        <v>51</v>
      </c>
    </row>
    <row r="152" spans="1:94" x14ac:dyDescent="0.25">
      <c r="A152">
        <v>151</v>
      </c>
      <c r="AW152" s="15"/>
      <c r="BK152" s="21"/>
      <c r="CP152" t="s">
        <v>51</v>
      </c>
    </row>
    <row r="153" spans="1:94" x14ac:dyDescent="0.25">
      <c r="A153">
        <v>152</v>
      </c>
      <c r="AW153" s="15"/>
      <c r="BK153" s="21"/>
      <c r="CP153" t="s">
        <v>51</v>
      </c>
    </row>
    <row r="154" spans="1:94" x14ac:dyDescent="0.25">
      <c r="A154">
        <v>153</v>
      </c>
      <c r="AW154" s="15"/>
      <c r="BK154" s="21"/>
      <c r="CP154" t="s">
        <v>51</v>
      </c>
    </row>
    <row r="155" spans="1:94" x14ac:dyDescent="0.25">
      <c r="A155">
        <v>154</v>
      </c>
      <c r="AW155" s="15"/>
      <c r="BK155" s="21"/>
      <c r="CP155" t="s">
        <v>51</v>
      </c>
    </row>
    <row r="156" spans="1:94" x14ac:dyDescent="0.25">
      <c r="A156">
        <v>155</v>
      </c>
      <c r="AW156" s="15"/>
      <c r="BK156" s="21"/>
      <c r="CP156" t="s">
        <v>51</v>
      </c>
    </row>
    <row r="157" spans="1:94" x14ac:dyDescent="0.25">
      <c r="A157">
        <v>156</v>
      </c>
      <c r="AW157" s="15"/>
      <c r="BK157" s="21"/>
      <c r="CP157" t="s">
        <v>51</v>
      </c>
    </row>
    <row r="158" spans="1:94" x14ac:dyDescent="0.25">
      <c r="A158">
        <v>157</v>
      </c>
      <c r="AW158" s="15"/>
      <c r="BK158" s="21"/>
      <c r="CP158" t="s">
        <v>51</v>
      </c>
    </row>
    <row r="159" spans="1:94" x14ac:dyDescent="0.25">
      <c r="A159">
        <v>158</v>
      </c>
      <c r="AW159" s="15"/>
      <c r="BK159" s="21"/>
      <c r="CP159" t="s">
        <v>51</v>
      </c>
    </row>
    <row r="160" spans="1:94" x14ac:dyDescent="0.25">
      <c r="A160">
        <v>159</v>
      </c>
      <c r="AW160" s="15"/>
      <c r="BK160" s="21"/>
      <c r="CP160" t="s">
        <v>51</v>
      </c>
    </row>
    <row r="161" spans="1:94" x14ac:dyDescent="0.25">
      <c r="A161">
        <v>160</v>
      </c>
      <c r="AW161" s="15"/>
      <c r="BK161" s="21"/>
      <c r="CP161" t="s">
        <v>51</v>
      </c>
    </row>
    <row r="162" spans="1:94" x14ac:dyDescent="0.25">
      <c r="A162">
        <v>161</v>
      </c>
      <c r="AW162" s="15"/>
      <c r="BK162" s="21"/>
      <c r="CP162" t="s">
        <v>51</v>
      </c>
    </row>
    <row r="163" spans="1:94" x14ac:dyDescent="0.25">
      <c r="A163">
        <v>162</v>
      </c>
      <c r="AW163" s="15"/>
      <c r="BK163" s="21"/>
      <c r="CP163" t="s">
        <v>51</v>
      </c>
    </row>
    <row r="164" spans="1:94" x14ac:dyDescent="0.25">
      <c r="A164">
        <v>163</v>
      </c>
      <c r="AW164" s="15"/>
      <c r="BK164" s="21"/>
      <c r="CP164" t="s">
        <v>51</v>
      </c>
    </row>
    <row r="165" spans="1:94" x14ac:dyDescent="0.25">
      <c r="A165">
        <v>164</v>
      </c>
      <c r="AW165" s="15"/>
      <c r="BK165" s="21"/>
      <c r="CP165" t="s">
        <v>51</v>
      </c>
    </row>
    <row r="166" spans="1:94" x14ac:dyDescent="0.25">
      <c r="A166">
        <v>165</v>
      </c>
      <c r="AW166" s="15"/>
      <c r="BK166" s="21"/>
      <c r="CP166" t="s">
        <v>51</v>
      </c>
    </row>
    <row r="167" spans="1:94" x14ac:dyDescent="0.25">
      <c r="A167">
        <v>166</v>
      </c>
      <c r="AW167" s="15"/>
      <c r="BK167" s="21"/>
      <c r="CP167" t="s">
        <v>51</v>
      </c>
    </row>
    <row r="168" spans="1:94" x14ac:dyDescent="0.25">
      <c r="A168">
        <v>167</v>
      </c>
      <c r="AW168" s="15"/>
      <c r="BK168" s="21"/>
      <c r="CP168" t="s">
        <v>51</v>
      </c>
    </row>
    <row r="169" spans="1:94" x14ac:dyDescent="0.25">
      <c r="A169">
        <v>168</v>
      </c>
      <c r="AW169" s="15"/>
      <c r="BK169" s="21"/>
      <c r="CP169" t="s">
        <v>51</v>
      </c>
    </row>
    <row r="170" spans="1:94" x14ac:dyDescent="0.25">
      <c r="A170">
        <v>169</v>
      </c>
      <c r="AW170" s="15"/>
      <c r="BK170" s="21"/>
      <c r="CP170" t="s">
        <v>51</v>
      </c>
    </row>
    <row r="171" spans="1:94" x14ac:dyDescent="0.25">
      <c r="A171">
        <v>170</v>
      </c>
      <c r="AW171" s="15"/>
      <c r="BK171" s="21"/>
      <c r="CP171" t="s">
        <v>51</v>
      </c>
    </row>
    <row r="172" spans="1:94" x14ac:dyDescent="0.25">
      <c r="A172">
        <v>171</v>
      </c>
      <c r="AW172" s="15"/>
      <c r="BK172" s="21"/>
      <c r="CP172" t="s">
        <v>51</v>
      </c>
    </row>
    <row r="173" spans="1:94" x14ac:dyDescent="0.25">
      <c r="A173">
        <v>172</v>
      </c>
      <c r="AW173" s="15"/>
      <c r="BK173" s="21"/>
      <c r="CP173" t="s">
        <v>51</v>
      </c>
    </row>
    <row r="174" spans="1:94" x14ac:dyDescent="0.25">
      <c r="A174">
        <v>173</v>
      </c>
      <c r="AW174" s="15"/>
      <c r="BK174" s="21"/>
      <c r="CP174" t="s">
        <v>51</v>
      </c>
    </row>
    <row r="175" spans="1:94" x14ac:dyDescent="0.25">
      <c r="A175">
        <v>174</v>
      </c>
      <c r="AW175" s="15"/>
      <c r="BK175" s="21"/>
      <c r="CP175" t="s">
        <v>51</v>
      </c>
    </row>
    <row r="176" spans="1:94" x14ac:dyDescent="0.25">
      <c r="A176">
        <v>175</v>
      </c>
      <c r="AW176" s="15"/>
      <c r="BK176" s="21"/>
      <c r="CP176" t="s">
        <v>51</v>
      </c>
    </row>
    <row r="177" spans="1:94" x14ac:dyDescent="0.25">
      <c r="A177">
        <v>176</v>
      </c>
      <c r="AW177" s="15"/>
      <c r="BK177" s="21"/>
      <c r="CP177" t="s">
        <v>51</v>
      </c>
    </row>
    <row r="178" spans="1:94" x14ac:dyDescent="0.25">
      <c r="A178">
        <v>177</v>
      </c>
      <c r="AW178" s="15"/>
      <c r="BK178" s="21"/>
      <c r="CP178" t="s">
        <v>51</v>
      </c>
    </row>
    <row r="179" spans="1:94" x14ac:dyDescent="0.25">
      <c r="A179">
        <v>178</v>
      </c>
      <c r="AW179" s="15"/>
      <c r="BK179" s="21"/>
      <c r="CP179" t="s">
        <v>51</v>
      </c>
    </row>
    <row r="180" spans="1:94" x14ac:dyDescent="0.25">
      <c r="A180">
        <v>179</v>
      </c>
      <c r="AW180" s="15"/>
      <c r="BK180" s="21"/>
      <c r="CP180" t="s">
        <v>51</v>
      </c>
    </row>
  </sheetData>
  <conditionalFormatting sqref="A2:XFD19996">
    <cfRule type="containsBlanks" dxfId="186" priority="1">
      <formula>LEN(TRIM(A2))=0</formula>
    </cfRule>
    <cfRule type="expression" dxfId="185" priority="2">
      <formula>AND(NOT(ISBLANK($C2)),ISBLANK($C3))</formula>
    </cfRule>
    <cfRule type="expression" dxfId="184" priority="3">
      <formula>$C2&lt;&gt;$C3</formula>
    </cfRule>
  </conditionalFormatting>
  <conditionalFormatting sqref="A1:XFD1">
    <cfRule type="containsBlanks" dxfId="183" priority="843">
      <formula>LEN(TRIM(A1))=0</formula>
    </cfRule>
    <cfRule type="expression" dxfId="182" priority="844">
      <formula>AND(NOT(ISBLANK($C1)),ISBLANK(#REF!))</formula>
    </cfRule>
    <cfRule type="expression" dxfId="181" priority="845">
      <formula>$C1&lt;&gt;#REF!</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workbookViewId="0">
      <pane xSplit="1" ySplit="1" topLeftCell="B68" activePane="bottomRight" state="frozen"/>
      <selection pane="topRight" activeCell="B1" sqref="B1"/>
      <selection pane="bottomLeft" activeCell="A2" sqref="A2"/>
      <selection pane="bottomRight" activeCell="C76" sqref="C76"/>
    </sheetView>
  </sheetViews>
  <sheetFormatPr defaultRowHeight="15" x14ac:dyDescent="0.25"/>
  <cols>
    <col min="1" max="1" width="19.7109375" customWidth="1"/>
    <col min="2" max="2" width="27.28515625" customWidth="1"/>
    <col min="3" max="3" width="22.140625" style="48" customWidth="1"/>
    <col min="5" max="5" width="14.85546875" bestFit="1" customWidth="1"/>
    <col min="6" max="6" width="14.85546875" customWidth="1"/>
    <col min="7" max="7" width="17.5703125" style="36" bestFit="1" customWidth="1"/>
    <col min="8" max="8" width="13.85546875" style="36" bestFit="1" customWidth="1"/>
    <col min="10" max="10" width="9.140625" style="15"/>
    <col min="11" max="12" width="10.7109375" customWidth="1"/>
    <col min="13" max="13" width="15.140625" bestFit="1" customWidth="1"/>
    <col min="14" max="14" width="9.140625" style="36"/>
  </cols>
  <sheetData>
    <row r="1" spans="1:14" x14ac:dyDescent="0.25">
      <c r="A1" s="46" t="s">
        <v>107</v>
      </c>
      <c r="B1" s="46" t="s">
        <v>122</v>
      </c>
      <c r="C1" s="47" t="s">
        <v>273</v>
      </c>
      <c r="D1" s="46" t="s">
        <v>111</v>
      </c>
      <c r="E1" s="46" t="s">
        <v>115</v>
      </c>
      <c r="F1" s="46" t="s">
        <v>160</v>
      </c>
      <c r="G1" s="54" t="s">
        <v>118</v>
      </c>
      <c r="H1" s="65" t="s">
        <v>159</v>
      </c>
      <c r="I1" s="66" t="s">
        <v>119</v>
      </c>
      <c r="J1" s="67" t="s">
        <v>120</v>
      </c>
      <c r="K1" s="45" t="s">
        <v>108</v>
      </c>
      <c r="L1" s="45" t="s">
        <v>276</v>
      </c>
      <c r="M1" s="45" t="s">
        <v>152</v>
      </c>
      <c r="N1" s="68" t="s">
        <v>109</v>
      </c>
    </row>
    <row r="2" spans="1:14" x14ac:dyDescent="0.25">
      <c r="A2" s="24" t="s">
        <v>0</v>
      </c>
      <c r="B2" s="25" t="s">
        <v>125</v>
      </c>
      <c r="C2" s="56" t="s">
        <v>238</v>
      </c>
      <c r="D2" t="s">
        <v>113</v>
      </c>
      <c r="E2">
        <v>1</v>
      </c>
      <c r="F2" t="s">
        <v>161</v>
      </c>
      <c r="G2" s="36" t="b">
        <v>0</v>
      </c>
      <c r="H2" s="36" t="b">
        <v>0</v>
      </c>
      <c r="K2" t="b">
        <v>0</v>
      </c>
      <c r="L2" t="b">
        <v>0</v>
      </c>
      <c r="M2" t="b">
        <v>0</v>
      </c>
      <c r="N2" s="36" t="s">
        <v>161</v>
      </c>
    </row>
    <row r="3" spans="1:14" x14ac:dyDescent="0.25">
      <c r="A3" s="24" t="s">
        <v>1</v>
      </c>
      <c r="B3" s="25" t="s">
        <v>123</v>
      </c>
      <c r="C3" s="56" t="s">
        <v>237</v>
      </c>
      <c r="D3" t="s">
        <v>113</v>
      </c>
      <c r="E3">
        <v>2</v>
      </c>
      <c r="F3" t="s">
        <v>161</v>
      </c>
      <c r="G3" s="36" t="b">
        <v>0</v>
      </c>
      <c r="H3" s="36" t="b">
        <v>0</v>
      </c>
      <c r="K3" t="b">
        <v>0</v>
      </c>
      <c r="L3" t="b">
        <v>0</v>
      </c>
      <c r="M3" t="b">
        <v>0</v>
      </c>
      <c r="N3" s="36" t="s">
        <v>161</v>
      </c>
    </row>
    <row r="4" spans="1:14" x14ac:dyDescent="0.25">
      <c r="A4" s="24" t="s">
        <v>110</v>
      </c>
      <c r="B4" s="25" t="s">
        <v>124</v>
      </c>
      <c r="C4" s="56" t="s">
        <v>236</v>
      </c>
      <c r="D4" t="s">
        <v>121</v>
      </c>
      <c r="E4">
        <v>3</v>
      </c>
      <c r="F4" t="s">
        <v>161</v>
      </c>
      <c r="G4" s="36" t="b">
        <v>0</v>
      </c>
      <c r="H4" s="36" t="b">
        <v>0</v>
      </c>
      <c r="K4" t="b">
        <v>0</v>
      </c>
      <c r="L4" t="b">
        <v>0</v>
      </c>
      <c r="M4" t="b">
        <v>0</v>
      </c>
      <c r="N4" s="36" t="s">
        <v>161</v>
      </c>
    </row>
    <row r="5" spans="1:14" x14ac:dyDescent="0.25">
      <c r="A5" s="55" t="s">
        <v>158</v>
      </c>
      <c r="B5" s="55" t="s">
        <v>167</v>
      </c>
      <c r="C5" s="49" t="s">
        <v>239</v>
      </c>
      <c r="D5" t="s">
        <v>114</v>
      </c>
      <c r="E5">
        <v>4</v>
      </c>
      <c r="F5" t="s">
        <v>161</v>
      </c>
      <c r="G5" s="36" t="b">
        <v>1</v>
      </c>
      <c r="H5" s="36" t="b">
        <v>0</v>
      </c>
      <c r="K5" t="b">
        <v>1</v>
      </c>
      <c r="L5" t="b">
        <v>0</v>
      </c>
      <c r="M5" t="b">
        <v>0</v>
      </c>
      <c r="N5" s="36" t="s">
        <v>161</v>
      </c>
    </row>
    <row r="6" spans="1:14" x14ac:dyDescent="0.25">
      <c r="A6" s="24" t="s">
        <v>96</v>
      </c>
      <c r="B6" s="25" t="s">
        <v>289</v>
      </c>
      <c r="C6" s="56" t="s">
        <v>270</v>
      </c>
      <c r="D6" t="s">
        <v>114</v>
      </c>
      <c r="E6">
        <v>5</v>
      </c>
      <c r="F6" t="s">
        <v>161</v>
      </c>
      <c r="G6" s="36" t="b">
        <v>1</v>
      </c>
      <c r="H6" s="36" t="b">
        <v>0</v>
      </c>
      <c r="K6" t="b">
        <v>1</v>
      </c>
      <c r="L6" t="b">
        <v>0</v>
      </c>
      <c r="M6" t="b">
        <v>0</v>
      </c>
      <c r="N6" s="36">
        <v>0</v>
      </c>
    </row>
    <row r="7" spans="1:14" x14ac:dyDescent="0.25">
      <c r="A7" s="24" t="s">
        <v>52</v>
      </c>
      <c r="B7" s="25" t="s">
        <v>134</v>
      </c>
      <c r="C7" s="56" t="s">
        <v>272</v>
      </c>
      <c r="D7" t="s">
        <v>114</v>
      </c>
      <c r="E7">
        <v>6</v>
      </c>
      <c r="F7" t="s">
        <v>161</v>
      </c>
      <c r="G7" s="36" t="b">
        <v>1</v>
      </c>
      <c r="H7" s="36" t="b">
        <v>1</v>
      </c>
      <c r="J7" s="15" t="s">
        <v>163</v>
      </c>
      <c r="K7" t="b">
        <v>0</v>
      </c>
      <c r="L7" t="b">
        <v>0</v>
      </c>
      <c r="M7" t="b">
        <v>0</v>
      </c>
      <c r="N7" s="36" t="s">
        <v>161</v>
      </c>
    </row>
    <row r="8" spans="1:14" x14ac:dyDescent="0.25">
      <c r="A8" s="24" t="s">
        <v>53</v>
      </c>
      <c r="B8" s="25" t="s">
        <v>168</v>
      </c>
      <c r="C8" s="56" t="s">
        <v>240</v>
      </c>
      <c r="D8" t="s">
        <v>114</v>
      </c>
      <c r="E8">
        <v>7</v>
      </c>
      <c r="F8" t="s">
        <v>161</v>
      </c>
      <c r="G8" s="36" t="b">
        <v>0</v>
      </c>
      <c r="H8" s="36" t="b">
        <v>0</v>
      </c>
      <c r="K8" t="b">
        <v>0</v>
      </c>
      <c r="L8" t="b">
        <v>0</v>
      </c>
      <c r="M8" t="b">
        <v>0</v>
      </c>
      <c r="N8" s="36" t="s">
        <v>161</v>
      </c>
    </row>
    <row r="9" spans="1:14" x14ac:dyDescent="0.25">
      <c r="A9" s="24" t="s">
        <v>54</v>
      </c>
      <c r="B9" s="25" t="s">
        <v>169</v>
      </c>
      <c r="C9" s="56" t="s">
        <v>241</v>
      </c>
      <c r="D9" t="s">
        <v>114</v>
      </c>
      <c r="E9">
        <v>7</v>
      </c>
      <c r="F9" t="s">
        <v>161</v>
      </c>
      <c r="G9" s="36" t="b">
        <v>0</v>
      </c>
      <c r="H9" s="36" t="b">
        <v>0</v>
      </c>
      <c r="K9" t="b">
        <v>0</v>
      </c>
      <c r="L9" t="b">
        <v>0</v>
      </c>
      <c r="M9" t="b">
        <v>0</v>
      </c>
      <c r="N9" s="36" t="s">
        <v>161</v>
      </c>
    </row>
    <row r="10" spans="1:14" x14ac:dyDescent="0.25">
      <c r="A10" s="55" t="s">
        <v>164</v>
      </c>
      <c r="B10" s="55" t="s">
        <v>170</v>
      </c>
      <c r="C10" s="49" t="s">
        <v>242</v>
      </c>
      <c r="D10" t="s">
        <v>114</v>
      </c>
      <c r="E10">
        <v>8</v>
      </c>
      <c r="F10" t="s">
        <v>161</v>
      </c>
      <c r="G10" s="36" t="b">
        <v>1</v>
      </c>
      <c r="H10" s="36" t="b">
        <v>0</v>
      </c>
      <c r="K10" t="b">
        <v>0</v>
      </c>
      <c r="L10" t="b">
        <v>0</v>
      </c>
      <c r="M10" t="b">
        <v>0</v>
      </c>
      <c r="N10" s="36" t="s">
        <v>161</v>
      </c>
    </row>
    <row r="11" spans="1:14" x14ac:dyDescent="0.25">
      <c r="A11" s="24" t="s">
        <v>165</v>
      </c>
      <c r="B11" s="25" t="s">
        <v>171</v>
      </c>
      <c r="C11" s="56" t="s">
        <v>271</v>
      </c>
      <c r="D11" t="s">
        <v>114</v>
      </c>
      <c r="E11">
        <v>9</v>
      </c>
      <c r="F11" t="s">
        <v>161</v>
      </c>
      <c r="G11" s="36" t="b">
        <v>0</v>
      </c>
      <c r="H11" s="36" t="b">
        <v>0</v>
      </c>
      <c r="K11" t="b">
        <v>0</v>
      </c>
      <c r="L11" t="b">
        <v>0</v>
      </c>
      <c r="M11" t="b">
        <v>0</v>
      </c>
      <c r="N11" s="36" t="s">
        <v>161</v>
      </c>
    </row>
    <row r="12" spans="1:14" x14ac:dyDescent="0.25">
      <c r="A12" s="24" t="s">
        <v>166</v>
      </c>
      <c r="B12" s="25" t="s">
        <v>181</v>
      </c>
      <c r="C12" s="56" t="s">
        <v>243</v>
      </c>
      <c r="D12" t="s">
        <v>114</v>
      </c>
      <c r="E12">
        <v>9</v>
      </c>
      <c r="F12" t="s">
        <v>161</v>
      </c>
      <c r="G12" s="36" t="b">
        <v>1</v>
      </c>
      <c r="H12" s="36" t="b">
        <v>0</v>
      </c>
      <c r="K12" t="b">
        <v>0</v>
      </c>
      <c r="L12" t="b">
        <v>0</v>
      </c>
      <c r="M12" t="b">
        <v>0</v>
      </c>
      <c r="N12" s="36" t="s">
        <v>161</v>
      </c>
    </row>
    <row r="13" spans="1:14" x14ac:dyDescent="0.25">
      <c r="A13" s="6" t="s">
        <v>9</v>
      </c>
      <c r="B13" s="6" t="s">
        <v>188</v>
      </c>
      <c r="C13" s="50" t="str">
        <f>"=1 if the estimates within the study can be aggregated on a city level."</f>
        <v>=1 if the estimates within the study can be aggregated on a city level.</v>
      </c>
      <c r="D13" t="s">
        <v>112</v>
      </c>
      <c r="E13">
        <v>10</v>
      </c>
      <c r="F13" t="s">
        <v>161</v>
      </c>
      <c r="G13" s="36" t="b">
        <v>1</v>
      </c>
      <c r="H13" s="36" t="b">
        <v>1</v>
      </c>
      <c r="I13">
        <v>1</v>
      </c>
      <c r="K13" t="b">
        <v>1</v>
      </c>
      <c r="L13" t="b">
        <v>0</v>
      </c>
      <c r="M13" t="b">
        <v>0</v>
      </c>
      <c r="N13" s="36" t="s">
        <v>162</v>
      </c>
    </row>
    <row r="14" spans="1:14" x14ac:dyDescent="0.25">
      <c r="A14" s="6" t="s">
        <v>11</v>
      </c>
      <c r="B14" s="6" t="s">
        <v>189</v>
      </c>
      <c r="C14" s="50" t="str">
        <f>"=1 if the estimates within the study can be aggregated on a subregional level."</f>
        <v>=1 if the estimates within the study can be aggregated on a subregional level.</v>
      </c>
      <c r="D14" t="s">
        <v>112</v>
      </c>
      <c r="E14">
        <v>10</v>
      </c>
      <c r="F14" t="s">
        <v>161</v>
      </c>
      <c r="G14" s="36" t="b">
        <v>1</v>
      </c>
      <c r="H14" s="36" t="b">
        <v>1</v>
      </c>
      <c r="I14">
        <v>1</v>
      </c>
      <c r="K14" t="b">
        <v>1</v>
      </c>
      <c r="L14" t="b">
        <v>0</v>
      </c>
      <c r="M14" t="b">
        <v>0</v>
      </c>
      <c r="N14" s="36" t="s">
        <v>162</v>
      </c>
    </row>
    <row r="15" spans="1:14" x14ac:dyDescent="0.25">
      <c r="A15" s="6" t="s">
        <v>8</v>
      </c>
      <c r="B15" s="6" t="s">
        <v>190</v>
      </c>
      <c r="C15" s="50" t="str">
        <f>"=1 if the estimates within the study can be aggregated on a regional level."</f>
        <v>=1 if the estimates within the study can be aggregated on a regional level.</v>
      </c>
      <c r="D15" t="s">
        <v>112</v>
      </c>
      <c r="E15">
        <v>10</v>
      </c>
      <c r="F15" t="s">
        <v>161</v>
      </c>
      <c r="G15" s="36" t="b">
        <v>1</v>
      </c>
      <c r="H15" s="36" t="b">
        <v>1</v>
      </c>
      <c r="I15">
        <v>1</v>
      </c>
      <c r="K15" t="b">
        <v>1</v>
      </c>
      <c r="L15" t="b">
        <v>0</v>
      </c>
      <c r="M15" t="b">
        <v>0</v>
      </c>
      <c r="N15" s="36" t="s">
        <v>162</v>
      </c>
    </row>
    <row r="16" spans="1:14" x14ac:dyDescent="0.25">
      <c r="A16" s="6" t="s">
        <v>10</v>
      </c>
      <c r="B16" s="6" t="s">
        <v>191</v>
      </c>
      <c r="C16" s="50" t="str">
        <f>"=1 if the estimates within the study can be aggregated on a country level."</f>
        <v>=1 if the estimates within the study can be aggregated on a country level.</v>
      </c>
      <c r="D16" t="s">
        <v>112</v>
      </c>
      <c r="E16">
        <v>10</v>
      </c>
      <c r="F16" t="s">
        <v>161</v>
      </c>
      <c r="G16" s="36" t="b">
        <v>1</v>
      </c>
      <c r="H16" s="36" t="b">
        <v>1</v>
      </c>
      <c r="I16">
        <v>1</v>
      </c>
      <c r="K16" t="b">
        <v>1</v>
      </c>
      <c r="L16" t="b">
        <v>0</v>
      </c>
      <c r="M16" t="b">
        <v>0</v>
      </c>
      <c r="N16" s="36" t="s">
        <v>162</v>
      </c>
    </row>
    <row r="17" spans="1:14" x14ac:dyDescent="0.25">
      <c r="A17" s="6" t="s">
        <v>104</v>
      </c>
      <c r="B17" s="6" t="s">
        <v>192</v>
      </c>
      <c r="C17" s="50" t="str">
        <f>"=1 if the estimates within the study can not be aggregated on a country level or smaller (reference category)."</f>
        <v>=1 if the estimates within the study can not be aggregated on a country level or smaller (reference category).</v>
      </c>
      <c r="D17" t="s">
        <v>112</v>
      </c>
      <c r="E17">
        <v>10</v>
      </c>
      <c r="F17" t="s">
        <v>161</v>
      </c>
      <c r="G17" s="36" t="b">
        <v>1</v>
      </c>
      <c r="H17" s="36" t="b">
        <v>1</v>
      </c>
      <c r="I17">
        <v>1</v>
      </c>
      <c r="K17" t="b">
        <v>0</v>
      </c>
      <c r="L17" t="b">
        <v>1</v>
      </c>
      <c r="M17" t="b">
        <v>0</v>
      </c>
      <c r="N17" s="36" t="s">
        <v>161</v>
      </c>
    </row>
    <row r="18" spans="1:14" x14ac:dyDescent="0.25">
      <c r="A18" s="6" t="s">
        <v>56</v>
      </c>
      <c r="B18" s="6" t="s">
        <v>182</v>
      </c>
      <c r="C18" s="50" t="s">
        <v>244</v>
      </c>
      <c r="D18" t="s">
        <v>113</v>
      </c>
      <c r="E18">
        <v>11</v>
      </c>
      <c r="F18" t="s">
        <v>161</v>
      </c>
      <c r="G18" s="36" t="b">
        <v>1</v>
      </c>
      <c r="H18" s="36" t="b">
        <v>1</v>
      </c>
      <c r="J18" s="15" t="s">
        <v>163</v>
      </c>
      <c r="K18" t="b">
        <v>0</v>
      </c>
      <c r="L18" t="b">
        <v>0</v>
      </c>
      <c r="M18" t="b">
        <v>0</v>
      </c>
      <c r="N18" s="36" t="s">
        <v>161</v>
      </c>
    </row>
    <row r="19" spans="1:14" x14ac:dyDescent="0.25">
      <c r="A19" s="6" t="s">
        <v>57</v>
      </c>
      <c r="B19" s="6" t="s">
        <v>126</v>
      </c>
      <c r="C19" s="50" t="s">
        <v>245</v>
      </c>
      <c r="D19" t="s">
        <v>113</v>
      </c>
      <c r="E19">
        <v>11</v>
      </c>
      <c r="F19" t="s">
        <v>161</v>
      </c>
      <c r="G19" s="36" t="b">
        <v>0</v>
      </c>
      <c r="H19" s="36" t="b">
        <v>0</v>
      </c>
      <c r="K19" t="b">
        <v>0</v>
      </c>
      <c r="L19" t="b">
        <v>0</v>
      </c>
      <c r="M19" t="b">
        <v>0</v>
      </c>
      <c r="N19" s="36" t="s">
        <v>161</v>
      </c>
    </row>
    <row r="20" spans="1:14" x14ac:dyDescent="0.25">
      <c r="A20" s="6" t="s">
        <v>55</v>
      </c>
      <c r="B20" s="6" t="s">
        <v>127</v>
      </c>
      <c r="C20" s="50" t="s">
        <v>246</v>
      </c>
      <c r="D20" t="s">
        <v>113</v>
      </c>
      <c r="E20">
        <v>11</v>
      </c>
      <c r="F20" t="s">
        <v>161</v>
      </c>
      <c r="G20" s="36" t="b">
        <v>0</v>
      </c>
      <c r="H20" s="36" t="b">
        <v>0</v>
      </c>
      <c r="K20" t="b">
        <v>0</v>
      </c>
      <c r="L20" t="b">
        <v>0</v>
      </c>
      <c r="M20" t="b">
        <v>0</v>
      </c>
      <c r="N20" s="36" t="s">
        <v>161</v>
      </c>
    </row>
    <row r="21" spans="1:14" x14ac:dyDescent="0.25">
      <c r="A21" s="2" t="s">
        <v>95</v>
      </c>
      <c r="B21" s="2" t="s">
        <v>128</v>
      </c>
      <c r="C21" s="51" t="s">
        <v>248</v>
      </c>
      <c r="D21" t="s">
        <v>113</v>
      </c>
      <c r="E21">
        <v>12</v>
      </c>
      <c r="F21" t="s">
        <v>161</v>
      </c>
      <c r="G21" s="36" t="b">
        <v>1</v>
      </c>
      <c r="H21" s="36" t="b">
        <v>1</v>
      </c>
      <c r="J21" s="15" t="s">
        <v>163</v>
      </c>
      <c r="K21" t="b">
        <v>1</v>
      </c>
      <c r="L21" t="b">
        <v>0</v>
      </c>
      <c r="M21" t="b">
        <v>1</v>
      </c>
      <c r="N21" s="36" t="s">
        <v>162</v>
      </c>
    </row>
    <row r="22" spans="1:14" x14ac:dyDescent="0.25">
      <c r="A22" s="2" t="s">
        <v>2</v>
      </c>
      <c r="B22" s="2" t="s">
        <v>183</v>
      </c>
      <c r="C22" s="51" t="s">
        <v>409</v>
      </c>
      <c r="D22" t="s">
        <v>114</v>
      </c>
      <c r="E22">
        <v>13</v>
      </c>
      <c r="F22" t="s">
        <v>163</v>
      </c>
      <c r="G22" s="36" t="b">
        <v>1</v>
      </c>
      <c r="H22" s="36" t="b">
        <v>1</v>
      </c>
      <c r="J22" s="15" t="s">
        <v>163</v>
      </c>
      <c r="K22" t="b">
        <v>1</v>
      </c>
      <c r="L22" t="b">
        <v>0</v>
      </c>
      <c r="M22" t="b">
        <v>0</v>
      </c>
      <c r="N22" s="36" t="s">
        <v>162</v>
      </c>
    </row>
    <row r="23" spans="1:14" x14ac:dyDescent="0.25">
      <c r="A23" s="2" t="s">
        <v>12</v>
      </c>
      <c r="B23" s="2" t="s">
        <v>184</v>
      </c>
      <c r="C23" s="51" t="s">
        <v>410</v>
      </c>
      <c r="D23" t="s">
        <v>114</v>
      </c>
      <c r="E23">
        <v>14</v>
      </c>
      <c r="F23" t="s">
        <v>163</v>
      </c>
      <c r="G23" s="36" t="b">
        <v>1</v>
      </c>
      <c r="H23" s="36" t="b">
        <v>1</v>
      </c>
      <c r="J23" s="15" t="s">
        <v>163</v>
      </c>
      <c r="K23" t="b">
        <v>1</v>
      </c>
      <c r="L23" t="b">
        <v>0</v>
      </c>
      <c r="M23" t="b">
        <v>0</v>
      </c>
      <c r="N23" s="36" t="s">
        <v>162</v>
      </c>
    </row>
    <row r="24" spans="1:14" x14ac:dyDescent="0.25">
      <c r="A24" s="2" t="s">
        <v>99</v>
      </c>
      <c r="B24" s="2" t="s">
        <v>274</v>
      </c>
      <c r="C24" s="51" t="str">
        <f>"=1 if authors report schooling in years."</f>
        <v>=1 if authors report schooling in years.</v>
      </c>
      <c r="D24" t="s">
        <v>112</v>
      </c>
      <c r="E24">
        <v>15</v>
      </c>
      <c r="F24" t="s">
        <v>161</v>
      </c>
      <c r="G24" s="36" t="b">
        <v>1</v>
      </c>
      <c r="H24" s="36" t="b">
        <v>1</v>
      </c>
      <c r="I24">
        <v>1</v>
      </c>
      <c r="K24" t="b">
        <v>1</v>
      </c>
      <c r="L24" t="b">
        <v>0</v>
      </c>
      <c r="M24" t="b">
        <v>0</v>
      </c>
      <c r="N24" s="36" t="s">
        <v>162</v>
      </c>
    </row>
    <row r="25" spans="1:14" x14ac:dyDescent="0.25">
      <c r="A25" s="2" t="s">
        <v>100</v>
      </c>
      <c r="B25" s="2" t="s">
        <v>275</v>
      </c>
      <c r="C25" s="51" t="str">
        <f>"=1 if the authors report schooling in levels (e.g., attained college degree) (reference category)."</f>
        <v>=1 if the authors report schooling in levels (e.g., attained college degree) (reference category).</v>
      </c>
      <c r="D25" t="s">
        <v>112</v>
      </c>
      <c r="E25">
        <v>15</v>
      </c>
      <c r="F25" t="s">
        <v>161</v>
      </c>
      <c r="G25" s="36" t="b">
        <v>1</v>
      </c>
      <c r="H25" s="36" t="b">
        <v>1</v>
      </c>
      <c r="I25">
        <v>1</v>
      </c>
      <c r="K25" t="b">
        <v>0</v>
      </c>
      <c r="L25" t="b">
        <v>1</v>
      </c>
      <c r="M25" t="b">
        <v>0</v>
      </c>
      <c r="N25" s="36" t="s">
        <v>161</v>
      </c>
    </row>
    <row r="26" spans="1:14" x14ac:dyDescent="0.25">
      <c r="A26" s="2" t="s">
        <v>85</v>
      </c>
      <c r="B26" s="2" t="s">
        <v>193</v>
      </c>
      <c r="C26" s="51" t="str">
        <f>"=1 if the dependent variable in the regression is log hourly wage."</f>
        <v>=1 if the dependent variable in the regression is log hourly wage.</v>
      </c>
      <c r="D26" t="s">
        <v>112</v>
      </c>
      <c r="E26">
        <v>16</v>
      </c>
      <c r="F26" t="s">
        <v>161</v>
      </c>
      <c r="G26" s="36" t="b">
        <v>1</v>
      </c>
      <c r="H26" s="36" t="b">
        <v>1</v>
      </c>
      <c r="I26">
        <v>1</v>
      </c>
      <c r="K26" t="b">
        <v>1</v>
      </c>
      <c r="L26" t="b">
        <v>0</v>
      </c>
      <c r="M26" t="b">
        <v>0</v>
      </c>
      <c r="N26" s="36" t="s">
        <v>162</v>
      </c>
    </row>
    <row r="27" spans="1:14" x14ac:dyDescent="0.25">
      <c r="A27" s="2" t="s">
        <v>93</v>
      </c>
      <c r="B27" s="2" t="s">
        <v>194</v>
      </c>
      <c r="C27" s="51" t="str">
        <f>"=1 if the dependent variable in the regression is log daily or weekly wage."</f>
        <v>=1 if the dependent variable in the regression is log daily or weekly wage.</v>
      </c>
      <c r="D27" t="s">
        <v>112</v>
      </c>
      <c r="E27">
        <v>16</v>
      </c>
      <c r="F27" t="s">
        <v>161</v>
      </c>
      <c r="G27" s="36" t="b">
        <v>1</v>
      </c>
      <c r="H27" s="36" t="b">
        <v>1</v>
      </c>
      <c r="I27">
        <v>1</v>
      </c>
      <c r="K27" t="b">
        <v>1</v>
      </c>
      <c r="L27" t="b">
        <v>0</v>
      </c>
      <c r="M27" t="b">
        <v>0</v>
      </c>
      <c r="N27" s="36" t="s">
        <v>162</v>
      </c>
    </row>
    <row r="28" spans="1:14" x14ac:dyDescent="0.25">
      <c r="A28" s="2" t="s">
        <v>89</v>
      </c>
      <c r="B28" s="2" t="s">
        <v>195</v>
      </c>
      <c r="C28" s="51" t="str">
        <f>"=1 if the dependent variable in the regression is log monthly wage."</f>
        <v>=1 if the dependent variable in the regression is log monthly wage.</v>
      </c>
      <c r="D28" t="s">
        <v>112</v>
      </c>
      <c r="E28">
        <v>16</v>
      </c>
      <c r="F28" t="s">
        <v>161</v>
      </c>
      <c r="G28" s="36" t="b">
        <v>1</v>
      </c>
      <c r="H28" s="36" t="b">
        <v>1</v>
      </c>
      <c r="I28">
        <v>1</v>
      </c>
      <c r="K28" t="b">
        <v>1</v>
      </c>
      <c r="L28" t="b">
        <v>0</v>
      </c>
      <c r="M28" t="b">
        <v>0</v>
      </c>
      <c r="N28" s="36" t="s">
        <v>162</v>
      </c>
    </row>
    <row r="29" spans="1:14" x14ac:dyDescent="0.25">
      <c r="A29" s="2" t="s">
        <v>86</v>
      </c>
      <c r="B29" s="2" t="s">
        <v>285</v>
      </c>
      <c r="C29" s="51" t="str">
        <f>"=1 if the dependent variable in the regression is log of mean annual earnings (reference category)."</f>
        <v>=1 if the dependent variable in the regression is log of mean annual earnings (reference category).</v>
      </c>
      <c r="D29" t="s">
        <v>112</v>
      </c>
      <c r="E29">
        <v>16</v>
      </c>
      <c r="F29" t="s">
        <v>161</v>
      </c>
      <c r="G29" s="36" t="b">
        <v>1</v>
      </c>
      <c r="H29" s="36" t="b">
        <v>1</v>
      </c>
      <c r="I29">
        <v>1</v>
      </c>
      <c r="K29" t="b">
        <v>0</v>
      </c>
      <c r="L29" t="b">
        <v>1</v>
      </c>
      <c r="M29" t="b">
        <v>0</v>
      </c>
      <c r="N29" s="36" t="s">
        <v>161</v>
      </c>
    </row>
    <row r="30" spans="1:14" x14ac:dyDescent="0.25">
      <c r="A30" s="2" t="s">
        <v>13</v>
      </c>
      <c r="B30" s="2" t="s">
        <v>234</v>
      </c>
      <c r="C30" s="51" t="str">
        <f>"=1 if the study uses micro data."</f>
        <v>=1 if the study uses micro data.</v>
      </c>
      <c r="D30" t="s">
        <v>112</v>
      </c>
      <c r="E30">
        <v>17</v>
      </c>
      <c r="F30" t="s">
        <v>161</v>
      </c>
      <c r="G30" s="36" t="b">
        <v>1</v>
      </c>
      <c r="H30" s="36" t="b">
        <v>1</v>
      </c>
      <c r="I30">
        <v>1</v>
      </c>
      <c r="K30" t="b">
        <v>1</v>
      </c>
      <c r="L30" t="b">
        <v>0</v>
      </c>
      <c r="M30" t="b">
        <v>0</v>
      </c>
      <c r="N30" s="36" t="s">
        <v>162</v>
      </c>
    </row>
    <row r="31" spans="1:14" x14ac:dyDescent="0.25">
      <c r="A31" s="2" t="s">
        <v>14</v>
      </c>
      <c r="B31" s="2" t="s">
        <v>233</v>
      </c>
      <c r="C31" s="51" t="str">
        <f>"=1 if the study uses data from a survey."</f>
        <v>=1 if the study uses data from a survey.</v>
      </c>
      <c r="D31" t="s">
        <v>112</v>
      </c>
      <c r="E31">
        <v>17</v>
      </c>
      <c r="F31" t="s">
        <v>161</v>
      </c>
      <c r="G31" s="36" t="b">
        <v>1</v>
      </c>
      <c r="H31" s="36" t="b">
        <v>1</v>
      </c>
      <c r="I31">
        <v>1</v>
      </c>
      <c r="K31" t="b">
        <v>1</v>
      </c>
      <c r="L31" t="b">
        <v>0</v>
      </c>
      <c r="M31" t="b">
        <v>0</v>
      </c>
      <c r="N31" s="36" t="s">
        <v>162</v>
      </c>
    </row>
    <row r="32" spans="1:14" x14ac:dyDescent="0.25">
      <c r="A32" s="2" t="s">
        <v>15</v>
      </c>
      <c r="B32" s="2" t="s">
        <v>232</v>
      </c>
      <c r="C32" s="51" t="str">
        <f>"=1 if the study uses data from a national register (reference category)."</f>
        <v>=1 if the study uses data from a national register (reference category).</v>
      </c>
      <c r="D32" t="s">
        <v>112</v>
      </c>
      <c r="E32">
        <v>17</v>
      </c>
      <c r="F32" t="s">
        <v>161</v>
      </c>
      <c r="G32" s="36" t="b">
        <v>1</v>
      </c>
      <c r="H32" s="36" t="b">
        <v>1</v>
      </c>
      <c r="I32">
        <v>1</v>
      </c>
      <c r="K32" t="b">
        <v>0</v>
      </c>
      <c r="L32" t="b">
        <v>1</v>
      </c>
      <c r="M32" t="b">
        <v>0</v>
      </c>
      <c r="N32" s="36" t="s">
        <v>161</v>
      </c>
    </row>
    <row r="33" spans="1:14" x14ac:dyDescent="0.25">
      <c r="A33" s="2" t="s">
        <v>16</v>
      </c>
      <c r="B33" s="2" t="s">
        <v>185</v>
      </c>
      <c r="C33" s="51" t="str">
        <f>"=1 if the study uses cross-sectional data."</f>
        <v>=1 if the study uses cross-sectional data.</v>
      </c>
      <c r="D33" t="s">
        <v>112</v>
      </c>
      <c r="E33">
        <v>18</v>
      </c>
      <c r="F33" t="s">
        <v>161</v>
      </c>
      <c r="G33" s="36" t="b">
        <v>1</v>
      </c>
      <c r="H33" s="36" t="b">
        <v>1</v>
      </c>
      <c r="I33">
        <v>1</v>
      </c>
      <c r="K33" t="b">
        <v>1</v>
      </c>
      <c r="L33" t="b">
        <v>0</v>
      </c>
      <c r="M33" t="b">
        <v>0</v>
      </c>
      <c r="N33" s="36" t="s">
        <v>162</v>
      </c>
    </row>
    <row r="34" spans="1:14" x14ac:dyDescent="0.25">
      <c r="A34" s="2" t="s">
        <v>17</v>
      </c>
      <c r="B34" s="2" t="s">
        <v>186</v>
      </c>
      <c r="C34" s="51" t="str">
        <f>"=1 if the study uses panel data (reference category)."</f>
        <v>=1 if the study uses panel data (reference category).</v>
      </c>
      <c r="D34" t="s">
        <v>112</v>
      </c>
      <c r="E34">
        <v>18</v>
      </c>
      <c r="F34" t="s">
        <v>161</v>
      </c>
      <c r="G34" s="36" t="b">
        <v>1</v>
      </c>
      <c r="H34" s="36" t="b">
        <v>1</v>
      </c>
      <c r="I34">
        <v>1</v>
      </c>
      <c r="K34" t="b">
        <v>0</v>
      </c>
      <c r="L34" t="b">
        <v>1</v>
      </c>
      <c r="M34" t="b">
        <v>0</v>
      </c>
      <c r="N34" s="36" t="s">
        <v>161</v>
      </c>
    </row>
    <row r="35" spans="1:14" x14ac:dyDescent="0.25">
      <c r="A35" s="2" t="s">
        <v>30</v>
      </c>
      <c r="B35" s="2" t="s">
        <v>235</v>
      </c>
      <c r="C35" s="51" t="s">
        <v>247</v>
      </c>
      <c r="D35" t="s">
        <v>114</v>
      </c>
      <c r="E35">
        <v>19</v>
      </c>
      <c r="F35" t="s">
        <v>163</v>
      </c>
      <c r="G35" s="36" t="b">
        <v>1</v>
      </c>
      <c r="H35" s="36" t="b">
        <v>1</v>
      </c>
      <c r="J35" s="15" t="s">
        <v>163</v>
      </c>
      <c r="K35" t="b">
        <v>1</v>
      </c>
      <c r="L35" t="b">
        <v>0</v>
      </c>
      <c r="M35" t="b">
        <v>1</v>
      </c>
      <c r="N35" s="36" t="s">
        <v>162</v>
      </c>
    </row>
    <row r="36" spans="1:14" x14ac:dyDescent="0.25">
      <c r="A36" s="33" t="s">
        <v>69</v>
      </c>
      <c r="B36" s="3" t="s">
        <v>229</v>
      </c>
      <c r="C36" s="57" t="s">
        <v>251</v>
      </c>
      <c r="D36" t="s">
        <v>116</v>
      </c>
      <c r="E36">
        <v>20</v>
      </c>
      <c r="F36" t="s">
        <v>162</v>
      </c>
      <c r="G36" s="36" t="b">
        <v>1</v>
      </c>
      <c r="H36" s="36" t="b">
        <v>0</v>
      </c>
      <c r="K36" t="b">
        <v>0</v>
      </c>
      <c r="L36" t="b">
        <v>1</v>
      </c>
      <c r="M36" t="b">
        <v>0</v>
      </c>
      <c r="N36" s="36" t="s">
        <v>161</v>
      </c>
    </row>
    <row r="37" spans="1:14" x14ac:dyDescent="0.25">
      <c r="A37" s="33" t="s">
        <v>65</v>
      </c>
      <c r="B37" s="3" t="s">
        <v>228</v>
      </c>
      <c r="C37" s="57" t="s">
        <v>249</v>
      </c>
      <c r="D37" t="s">
        <v>116</v>
      </c>
      <c r="E37">
        <v>20</v>
      </c>
      <c r="F37" t="s">
        <v>162</v>
      </c>
      <c r="G37" s="36" t="b">
        <v>1</v>
      </c>
      <c r="H37" s="36" t="b">
        <v>0</v>
      </c>
      <c r="K37" t="b">
        <v>1</v>
      </c>
      <c r="L37" t="b">
        <v>0</v>
      </c>
      <c r="M37" t="b">
        <v>0</v>
      </c>
      <c r="N37" s="36" t="s">
        <v>162</v>
      </c>
    </row>
    <row r="38" spans="1:14" x14ac:dyDescent="0.25">
      <c r="A38" s="33" t="s">
        <v>66</v>
      </c>
      <c r="B38" s="3" t="s">
        <v>187</v>
      </c>
      <c r="C38" s="57" t="s">
        <v>250</v>
      </c>
      <c r="D38" t="s">
        <v>116</v>
      </c>
      <c r="E38">
        <v>20</v>
      </c>
      <c r="F38" t="s">
        <v>162</v>
      </c>
      <c r="G38" s="36" t="b">
        <v>1</v>
      </c>
      <c r="H38" s="36" t="b">
        <v>0</v>
      </c>
      <c r="K38" t="b">
        <v>1</v>
      </c>
      <c r="L38" t="b">
        <v>0</v>
      </c>
      <c r="M38" t="b">
        <v>0</v>
      </c>
      <c r="N38" s="36" t="s">
        <v>162</v>
      </c>
    </row>
    <row r="39" spans="1:14" x14ac:dyDescent="0.25">
      <c r="A39" s="33" t="s">
        <v>67</v>
      </c>
      <c r="B39" s="3" t="s">
        <v>154</v>
      </c>
      <c r="C39" s="57" t="s">
        <v>252</v>
      </c>
      <c r="D39" t="s">
        <v>116</v>
      </c>
      <c r="E39">
        <v>20</v>
      </c>
      <c r="F39" t="s">
        <v>162</v>
      </c>
      <c r="G39" s="36" t="b">
        <v>1</v>
      </c>
      <c r="H39" s="36" t="b">
        <v>1</v>
      </c>
      <c r="J39" s="15">
        <v>0.5</v>
      </c>
      <c r="K39" t="b">
        <v>1</v>
      </c>
      <c r="L39" t="b">
        <v>0</v>
      </c>
      <c r="M39" t="b">
        <v>0</v>
      </c>
      <c r="N39" s="36" t="s">
        <v>162</v>
      </c>
    </row>
    <row r="40" spans="1:14" x14ac:dyDescent="0.25">
      <c r="A40" s="33" t="s">
        <v>59</v>
      </c>
      <c r="B40" s="3" t="s">
        <v>287</v>
      </c>
      <c r="C40" s="57" t="s">
        <v>257</v>
      </c>
      <c r="D40" t="s">
        <v>116</v>
      </c>
      <c r="E40">
        <v>22</v>
      </c>
      <c r="F40" t="s">
        <v>162</v>
      </c>
      <c r="G40" s="36" t="b">
        <v>1</v>
      </c>
      <c r="H40" s="36" t="b">
        <v>1</v>
      </c>
      <c r="J40" s="15">
        <v>0.5</v>
      </c>
      <c r="K40" t="b">
        <v>1</v>
      </c>
      <c r="L40" t="b">
        <v>0</v>
      </c>
      <c r="M40" t="b">
        <v>0</v>
      </c>
      <c r="N40" s="36" t="s">
        <v>162</v>
      </c>
    </row>
    <row r="41" spans="1:14" x14ac:dyDescent="0.25">
      <c r="A41" s="33" t="s">
        <v>58</v>
      </c>
      <c r="B41" s="3" t="s">
        <v>288</v>
      </c>
      <c r="C41" s="57" t="s">
        <v>256</v>
      </c>
      <c r="D41" t="s">
        <v>116</v>
      </c>
      <c r="E41">
        <v>22</v>
      </c>
      <c r="F41" t="s">
        <v>162</v>
      </c>
      <c r="G41" s="36" t="b">
        <v>0</v>
      </c>
      <c r="H41" s="36" t="b">
        <v>0</v>
      </c>
      <c r="K41" t="b">
        <v>0</v>
      </c>
      <c r="L41" t="b">
        <v>1</v>
      </c>
      <c r="M41" t="b">
        <v>0</v>
      </c>
      <c r="N41" s="36" t="s">
        <v>161</v>
      </c>
    </row>
    <row r="42" spans="1:14" x14ac:dyDescent="0.25">
      <c r="A42" s="33" t="s">
        <v>3</v>
      </c>
      <c r="B42" s="3" t="s">
        <v>196</v>
      </c>
      <c r="C42" s="57" t="s">
        <v>255</v>
      </c>
      <c r="D42" t="s">
        <v>116</v>
      </c>
      <c r="E42">
        <v>23</v>
      </c>
      <c r="F42" t="s">
        <v>162</v>
      </c>
      <c r="G42" s="36" t="b">
        <v>1</v>
      </c>
      <c r="H42" s="36" t="b">
        <v>1</v>
      </c>
      <c r="J42" s="15">
        <v>0.5</v>
      </c>
      <c r="K42" t="b">
        <v>1</v>
      </c>
      <c r="L42" t="b">
        <v>0</v>
      </c>
      <c r="M42" t="b">
        <v>0</v>
      </c>
      <c r="N42" s="36" t="s">
        <v>162</v>
      </c>
    </row>
    <row r="43" spans="1:14" x14ac:dyDescent="0.25">
      <c r="A43" s="33" t="s">
        <v>4</v>
      </c>
      <c r="B43" s="3" t="s">
        <v>197</v>
      </c>
      <c r="C43" s="57" t="s">
        <v>254</v>
      </c>
      <c r="D43" t="s">
        <v>116</v>
      </c>
      <c r="E43">
        <v>23</v>
      </c>
      <c r="F43" t="s">
        <v>162</v>
      </c>
      <c r="G43" s="36" t="b">
        <v>0</v>
      </c>
      <c r="H43" s="36" t="b">
        <v>0</v>
      </c>
      <c r="K43" t="b">
        <v>0</v>
      </c>
      <c r="L43" t="b">
        <v>1</v>
      </c>
      <c r="M43" t="b">
        <v>0</v>
      </c>
      <c r="N43" s="36" t="s">
        <v>161</v>
      </c>
    </row>
    <row r="44" spans="1:14" x14ac:dyDescent="0.25">
      <c r="A44" s="33" t="s">
        <v>5</v>
      </c>
      <c r="B44" s="3" t="s">
        <v>198</v>
      </c>
      <c r="C44" s="57" t="s">
        <v>253</v>
      </c>
      <c r="D44" t="s">
        <v>116</v>
      </c>
      <c r="E44">
        <v>24</v>
      </c>
      <c r="F44" t="s">
        <v>162</v>
      </c>
      <c r="G44" s="36" t="b">
        <v>1</v>
      </c>
      <c r="H44" s="36" t="b">
        <v>1</v>
      </c>
      <c r="J44" s="15">
        <v>0.5</v>
      </c>
      <c r="K44" t="b">
        <v>1</v>
      </c>
      <c r="L44" t="b">
        <v>0</v>
      </c>
      <c r="M44" t="b">
        <v>0</v>
      </c>
      <c r="N44" s="36" t="s">
        <v>162</v>
      </c>
    </row>
    <row r="45" spans="1:14" x14ac:dyDescent="0.25">
      <c r="A45" s="33" t="s">
        <v>6</v>
      </c>
      <c r="B45" s="3" t="s">
        <v>199</v>
      </c>
      <c r="C45" s="57" t="s">
        <v>258</v>
      </c>
      <c r="D45" t="s">
        <v>116</v>
      </c>
      <c r="E45">
        <v>24</v>
      </c>
      <c r="F45" t="s">
        <v>162</v>
      </c>
      <c r="G45" s="36" t="b">
        <v>0</v>
      </c>
      <c r="H45" s="36" t="b">
        <v>0</v>
      </c>
      <c r="K45" t="b">
        <v>0</v>
      </c>
      <c r="L45" t="b">
        <v>1</v>
      </c>
      <c r="M45" t="b">
        <v>0</v>
      </c>
      <c r="N45" s="36" t="s">
        <v>161</v>
      </c>
    </row>
    <row r="46" spans="1:14" x14ac:dyDescent="0.25">
      <c r="A46" s="33" t="s">
        <v>18</v>
      </c>
      <c r="B46" s="3" t="s">
        <v>200</v>
      </c>
      <c r="C46" s="57" t="s">
        <v>259</v>
      </c>
      <c r="D46" t="s">
        <v>116</v>
      </c>
      <c r="E46">
        <v>25</v>
      </c>
      <c r="F46" t="s">
        <v>162</v>
      </c>
      <c r="G46" s="36" t="b">
        <v>1</v>
      </c>
      <c r="H46" s="36" t="b">
        <v>1</v>
      </c>
      <c r="J46" s="15">
        <v>0.5</v>
      </c>
      <c r="K46" t="b">
        <v>1</v>
      </c>
      <c r="L46" t="b">
        <v>0</v>
      </c>
      <c r="M46" t="b">
        <v>0</v>
      </c>
      <c r="N46" s="36" t="s">
        <v>162</v>
      </c>
    </row>
    <row r="47" spans="1:14" x14ac:dyDescent="0.25">
      <c r="A47" s="33" t="s">
        <v>19</v>
      </c>
      <c r="B47" s="3" t="s">
        <v>201</v>
      </c>
      <c r="C47" s="57" t="s">
        <v>260</v>
      </c>
      <c r="D47" t="s">
        <v>116</v>
      </c>
      <c r="E47">
        <v>25</v>
      </c>
      <c r="F47" t="s">
        <v>162</v>
      </c>
      <c r="G47" s="36" t="b">
        <v>0</v>
      </c>
      <c r="H47" s="36" t="b">
        <v>0</v>
      </c>
      <c r="K47" t="b">
        <v>0</v>
      </c>
      <c r="L47" t="b">
        <v>1</v>
      </c>
      <c r="M47" t="b">
        <v>0</v>
      </c>
      <c r="N47" s="36" t="s">
        <v>161</v>
      </c>
    </row>
    <row r="48" spans="1:14" x14ac:dyDescent="0.25">
      <c r="A48" s="33" t="s">
        <v>102</v>
      </c>
      <c r="B48" s="3" t="s">
        <v>202</v>
      </c>
      <c r="C48" s="57" t="s">
        <v>261</v>
      </c>
      <c r="D48" t="s">
        <v>116</v>
      </c>
      <c r="E48">
        <v>26</v>
      </c>
      <c r="F48" t="s">
        <v>162</v>
      </c>
      <c r="G48" s="36" t="b">
        <v>1</v>
      </c>
      <c r="H48" s="36" t="b">
        <v>1</v>
      </c>
      <c r="J48" s="15">
        <v>0.5</v>
      </c>
      <c r="K48" t="b">
        <v>1</v>
      </c>
      <c r="L48" t="b">
        <v>0</v>
      </c>
      <c r="M48" t="b">
        <v>0</v>
      </c>
      <c r="N48" s="36" t="s">
        <v>162</v>
      </c>
    </row>
    <row r="49" spans="1:14" x14ac:dyDescent="0.25">
      <c r="A49" s="33" t="s">
        <v>101</v>
      </c>
      <c r="B49" s="3" t="s">
        <v>203</v>
      </c>
      <c r="C49" s="57" t="s">
        <v>262</v>
      </c>
      <c r="D49" t="s">
        <v>116</v>
      </c>
      <c r="E49">
        <v>26</v>
      </c>
      <c r="F49" t="s">
        <v>162</v>
      </c>
      <c r="G49" s="36" t="b">
        <v>1</v>
      </c>
      <c r="H49" s="36" t="b">
        <v>0</v>
      </c>
      <c r="K49" t="b">
        <v>0</v>
      </c>
      <c r="L49" t="b">
        <v>1</v>
      </c>
      <c r="M49" t="b">
        <v>0</v>
      </c>
      <c r="N49" s="36" t="s">
        <v>161</v>
      </c>
    </row>
    <row r="50" spans="1:14" x14ac:dyDescent="0.25">
      <c r="A50" s="33" t="s">
        <v>7</v>
      </c>
      <c r="B50" s="3" t="s">
        <v>105</v>
      </c>
      <c r="C50" s="57" t="s">
        <v>263</v>
      </c>
      <c r="D50" t="s">
        <v>121</v>
      </c>
      <c r="E50">
        <v>27</v>
      </c>
      <c r="F50" t="s">
        <v>161</v>
      </c>
      <c r="G50" s="36" t="b">
        <v>0</v>
      </c>
      <c r="H50" s="36" t="b">
        <v>0</v>
      </c>
      <c r="K50" t="b">
        <v>0</v>
      </c>
      <c r="L50" t="b">
        <v>0</v>
      </c>
      <c r="M50" t="b">
        <v>0</v>
      </c>
      <c r="N50" s="36" t="s">
        <v>161</v>
      </c>
    </row>
    <row r="51" spans="1:14" x14ac:dyDescent="0.25">
      <c r="A51" s="33" t="s">
        <v>23</v>
      </c>
      <c r="B51" s="3" t="s">
        <v>277</v>
      </c>
      <c r="C51" s="57" t="str">
        <f>"=1 if the study was conducted in a country with advanced economy. (reference group)"</f>
        <v>=1 if the study was conducted in a country with advanced economy. (reference group)</v>
      </c>
      <c r="D51" t="s">
        <v>112</v>
      </c>
      <c r="E51">
        <v>28</v>
      </c>
      <c r="F51" t="s">
        <v>161</v>
      </c>
      <c r="G51" s="36" t="b">
        <v>1</v>
      </c>
      <c r="H51" s="36" t="b">
        <v>1</v>
      </c>
      <c r="I51">
        <v>1</v>
      </c>
      <c r="K51" t="b">
        <v>0</v>
      </c>
      <c r="L51" t="b">
        <v>1</v>
      </c>
      <c r="M51" t="b">
        <v>0</v>
      </c>
      <c r="N51" s="36" t="s">
        <v>161</v>
      </c>
    </row>
    <row r="52" spans="1:14" x14ac:dyDescent="0.25">
      <c r="A52" s="33" t="s">
        <v>24</v>
      </c>
      <c r="B52" s="3" t="s">
        <v>278</v>
      </c>
      <c r="C52" s="57" t="str">
        <f>"=1 if the study was conducted in the East Asia and Pacific region."</f>
        <v>=1 if the study was conducted in the East Asia and Pacific region.</v>
      </c>
      <c r="D52" t="s">
        <v>112</v>
      </c>
      <c r="E52">
        <v>28</v>
      </c>
      <c r="F52" t="s">
        <v>161</v>
      </c>
      <c r="G52" s="36" t="b">
        <v>1</v>
      </c>
      <c r="H52" s="36" t="b">
        <v>1</v>
      </c>
      <c r="I52">
        <v>1</v>
      </c>
      <c r="K52" t="b">
        <v>0</v>
      </c>
      <c r="L52" t="b">
        <v>0</v>
      </c>
      <c r="M52" t="b">
        <v>0</v>
      </c>
      <c r="N52" s="36" t="s">
        <v>161</v>
      </c>
    </row>
    <row r="53" spans="1:14" x14ac:dyDescent="0.25">
      <c r="A53" s="33" t="s">
        <v>25</v>
      </c>
      <c r="B53" s="3" t="s">
        <v>279</v>
      </c>
      <c r="C53" s="57" t="str">
        <f>"=1 if the study was conducted in the Europe and Central Asia region."</f>
        <v>=1 if the study was conducted in the Europe and Central Asia region.</v>
      </c>
      <c r="D53" t="s">
        <v>112</v>
      </c>
      <c r="E53">
        <v>28</v>
      </c>
      <c r="F53" t="s">
        <v>161</v>
      </c>
      <c r="G53" s="36" t="b">
        <v>1</v>
      </c>
      <c r="H53" s="36" t="b">
        <v>1</v>
      </c>
      <c r="I53">
        <v>1</v>
      </c>
      <c r="K53" t="b">
        <v>0</v>
      </c>
      <c r="L53" t="b">
        <v>0</v>
      </c>
      <c r="M53" t="b">
        <v>0</v>
      </c>
      <c r="N53" s="36" t="s">
        <v>161</v>
      </c>
    </row>
    <row r="54" spans="1:14" x14ac:dyDescent="0.25">
      <c r="A54" s="33" t="s">
        <v>26</v>
      </c>
      <c r="B54" s="3" t="s">
        <v>280</v>
      </c>
      <c r="C54" s="57" t="str">
        <f>"=1 if the study was conducted in the Latin America and Caribbean region."</f>
        <v>=1 if the study was conducted in the Latin America and Caribbean region.</v>
      </c>
      <c r="D54" t="s">
        <v>112</v>
      </c>
      <c r="E54">
        <v>28</v>
      </c>
      <c r="F54" t="s">
        <v>161</v>
      </c>
      <c r="G54" s="36" t="b">
        <v>1</v>
      </c>
      <c r="H54" s="36" t="b">
        <v>1</v>
      </c>
      <c r="I54">
        <v>1</v>
      </c>
      <c r="K54" t="b">
        <v>0</v>
      </c>
      <c r="L54" t="b">
        <v>0</v>
      </c>
      <c r="M54" t="b">
        <v>0</v>
      </c>
      <c r="N54" s="36" t="s">
        <v>161</v>
      </c>
    </row>
    <row r="55" spans="1:14" x14ac:dyDescent="0.25">
      <c r="A55" s="33" t="s">
        <v>27</v>
      </c>
      <c r="B55" s="3" t="s">
        <v>281</v>
      </c>
      <c r="C55" s="57" t="str">
        <f>"=1 if the study was conducted in the Middle East and North Africa region."</f>
        <v>=1 if the study was conducted in the Middle East and North Africa region.</v>
      </c>
      <c r="D55" t="s">
        <v>112</v>
      </c>
      <c r="E55">
        <v>28</v>
      </c>
      <c r="F55" t="s">
        <v>161</v>
      </c>
      <c r="G55" s="36" t="b">
        <v>1</v>
      </c>
      <c r="H55" s="36" t="b">
        <v>1</v>
      </c>
      <c r="I55">
        <v>1</v>
      </c>
      <c r="K55" t="b">
        <v>0</v>
      </c>
      <c r="L55" t="b">
        <v>0</v>
      </c>
      <c r="M55" t="b">
        <v>0</v>
      </c>
      <c r="N55" s="36" t="s">
        <v>161</v>
      </c>
    </row>
    <row r="56" spans="1:14" x14ac:dyDescent="0.25">
      <c r="A56" s="33" t="s">
        <v>28</v>
      </c>
      <c r="B56" s="3" t="s">
        <v>282</v>
      </c>
      <c r="C56" s="57" t="str">
        <f>"=1 if the study was conducted in the South African region."</f>
        <v>=1 if the study was conducted in the South African region.</v>
      </c>
      <c r="D56" t="s">
        <v>112</v>
      </c>
      <c r="E56">
        <v>28</v>
      </c>
      <c r="F56" t="s">
        <v>161</v>
      </c>
      <c r="G56" s="36" t="b">
        <v>1</v>
      </c>
      <c r="H56" s="36" t="b">
        <v>1</v>
      </c>
      <c r="I56">
        <v>1</v>
      </c>
      <c r="K56" t="b">
        <v>0</v>
      </c>
      <c r="L56" t="b">
        <v>0</v>
      </c>
      <c r="M56" t="b">
        <v>0</v>
      </c>
      <c r="N56" s="36" t="s">
        <v>161</v>
      </c>
    </row>
    <row r="57" spans="1:14" x14ac:dyDescent="0.25">
      <c r="A57" s="33" t="s">
        <v>29</v>
      </c>
      <c r="B57" s="3" t="s">
        <v>283</v>
      </c>
      <c r="C57" s="57" t="str">
        <f>"=1 if the study was conducted in the region of Sub Saharan Africa."</f>
        <v>=1 if the study was conducted in the region of Sub Saharan Africa.</v>
      </c>
      <c r="D57" t="s">
        <v>112</v>
      </c>
      <c r="E57">
        <v>28</v>
      </c>
      <c r="F57" t="s">
        <v>161</v>
      </c>
      <c r="G57" s="36" t="b">
        <v>1</v>
      </c>
      <c r="H57" s="36" t="b">
        <v>1</v>
      </c>
      <c r="I57">
        <v>1</v>
      </c>
      <c r="K57" t="b">
        <v>0</v>
      </c>
      <c r="L57" t="b">
        <v>0</v>
      </c>
      <c r="M57" t="b">
        <v>0</v>
      </c>
      <c r="N57" s="36" t="s">
        <v>161</v>
      </c>
    </row>
    <row r="58" spans="1:14" x14ac:dyDescent="0.25">
      <c r="A58" s="33" t="s">
        <v>22</v>
      </c>
      <c r="B58" s="3" t="s">
        <v>204</v>
      </c>
      <c r="C58" s="57" t="str">
        <f>"=1 if the study was conducted in a high income country (reference category)"</f>
        <v>=1 if the study was conducted in a high income country (reference category)</v>
      </c>
      <c r="D58" t="s">
        <v>112</v>
      </c>
      <c r="E58">
        <v>29</v>
      </c>
      <c r="F58" t="s">
        <v>161</v>
      </c>
      <c r="G58" s="36" t="b">
        <v>1</v>
      </c>
      <c r="H58" s="36" t="b">
        <v>1</v>
      </c>
      <c r="I58">
        <v>1</v>
      </c>
      <c r="K58" t="b">
        <v>0</v>
      </c>
      <c r="L58" t="b">
        <v>1</v>
      </c>
      <c r="M58" t="b">
        <v>0</v>
      </c>
      <c r="N58" s="36" t="s">
        <v>161</v>
      </c>
    </row>
    <row r="59" spans="1:14" x14ac:dyDescent="0.25">
      <c r="A59" s="33" t="s">
        <v>21</v>
      </c>
      <c r="B59" s="3" t="s">
        <v>205</v>
      </c>
      <c r="C59" s="57" t="str">
        <f>"=1 if the study was conducted in a middle income country"</f>
        <v>=1 if the study was conducted in a middle income country</v>
      </c>
      <c r="D59" t="s">
        <v>112</v>
      </c>
      <c r="E59">
        <v>29</v>
      </c>
      <c r="F59" t="s">
        <v>161</v>
      </c>
      <c r="G59" s="36" t="b">
        <v>1</v>
      </c>
      <c r="H59" s="36" t="b">
        <v>1</v>
      </c>
      <c r="I59">
        <v>1</v>
      </c>
      <c r="K59" t="b">
        <v>0</v>
      </c>
      <c r="L59" t="b">
        <v>0</v>
      </c>
      <c r="M59" t="b">
        <v>0</v>
      </c>
      <c r="N59" s="36" t="s">
        <v>161</v>
      </c>
    </row>
    <row r="60" spans="1:14" x14ac:dyDescent="0.25">
      <c r="A60" s="33" t="s">
        <v>20</v>
      </c>
      <c r="B60" s="3" t="s">
        <v>206</v>
      </c>
      <c r="C60" s="57" t="str">
        <f>"=1 if the study was conducted in a low income country"</f>
        <v>=1 if the study was conducted in a low income country</v>
      </c>
      <c r="D60" t="s">
        <v>112</v>
      </c>
      <c r="E60">
        <v>29</v>
      </c>
      <c r="F60" t="s">
        <v>161</v>
      </c>
      <c r="G60" s="36" t="b">
        <v>1</v>
      </c>
      <c r="H60" s="36" t="b">
        <v>1</v>
      </c>
      <c r="I60">
        <v>1</v>
      </c>
      <c r="K60" t="b">
        <v>0</v>
      </c>
      <c r="L60" t="b">
        <v>0</v>
      </c>
      <c r="M60" t="b">
        <v>0</v>
      </c>
      <c r="N60" s="36" t="s">
        <v>161</v>
      </c>
    </row>
    <row r="61" spans="1:14" x14ac:dyDescent="0.25">
      <c r="A61" s="33" t="s">
        <v>31</v>
      </c>
      <c r="B61" s="3" t="s">
        <v>129</v>
      </c>
      <c r="C61" s="57" t="s">
        <v>264</v>
      </c>
      <c r="D61" t="s">
        <v>114</v>
      </c>
      <c r="E61">
        <v>30</v>
      </c>
      <c r="F61" t="s">
        <v>163</v>
      </c>
      <c r="G61" s="36" t="b">
        <v>1</v>
      </c>
      <c r="H61" s="36" t="b">
        <v>1</v>
      </c>
      <c r="J61" s="15" t="s">
        <v>163</v>
      </c>
      <c r="K61" t="b">
        <v>1</v>
      </c>
      <c r="L61" t="b">
        <v>0</v>
      </c>
      <c r="M61" t="b">
        <v>1</v>
      </c>
      <c r="N61" s="36" t="s">
        <v>162</v>
      </c>
    </row>
    <row r="62" spans="1:14" x14ac:dyDescent="0.25">
      <c r="A62" s="33" t="s">
        <v>32</v>
      </c>
      <c r="B62" s="3" t="s">
        <v>130</v>
      </c>
      <c r="C62" s="57" t="s">
        <v>265</v>
      </c>
      <c r="D62" t="s">
        <v>114</v>
      </c>
      <c r="E62">
        <v>31</v>
      </c>
      <c r="F62" t="s">
        <v>163</v>
      </c>
      <c r="G62" s="36" t="b">
        <v>1</v>
      </c>
      <c r="H62" s="36" t="b">
        <v>1</v>
      </c>
      <c r="J62" s="15" t="s">
        <v>163</v>
      </c>
      <c r="K62" t="b">
        <v>1</v>
      </c>
      <c r="L62" t="b">
        <v>0</v>
      </c>
      <c r="M62" t="b">
        <v>1</v>
      </c>
      <c r="N62" s="36" t="s">
        <v>162</v>
      </c>
    </row>
    <row r="63" spans="1:14" x14ac:dyDescent="0.25">
      <c r="A63" s="33" t="s">
        <v>177</v>
      </c>
      <c r="B63" s="3" t="s">
        <v>178</v>
      </c>
      <c r="C63" s="57" t="s">
        <v>266</v>
      </c>
      <c r="D63" t="s">
        <v>114</v>
      </c>
      <c r="E63">
        <v>32</v>
      </c>
      <c r="F63" t="s">
        <v>163</v>
      </c>
      <c r="G63" s="36" t="b">
        <v>1</v>
      </c>
      <c r="H63" s="36" t="b">
        <v>1</v>
      </c>
      <c r="J63" s="15" t="s">
        <v>163</v>
      </c>
      <c r="K63" t="b">
        <v>1</v>
      </c>
      <c r="L63" t="b">
        <v>0</v>
      </c>
      <c r="M63" t="b">
        <v>0</v>
      </c>
      <c r="N63" s="36" t="s">
        <v>162</v>
      </c>
    </row>
    <row r="64" spans="1:14" x14ac:dyDescent="0.25">
      <c r="A64" s="33" t="s">
        <v>33</v>
      </c>
      <c r="B64" s="3" t="s">
        <v>180</v>
      </c>
      <c r="C64" s="57" t="s">
        <v>267</v>
      </c>
      <c r="D64" t="s">
        <v>114</v>
      </c>
      <c r="E64">
        <v>33</v>
      </c>
      <c r="F64" t="s">
        <v>163</v>
      </c>
      <c r="G64" s="36" t="b">
        <v>1</v>
      </c>
      <c r="H64" s="36" t="b">
        <v>1</v>
      </c>
      <c r="J64" s="15" t="s">
        <v>163</v>
      </c>
      <c r="K64" t="b">
        <v>1</v>
      </c>
      <c r="L64" t="b">
        <v>0</v>
      </c>
      <c r="M64" t="b">
        <v>1</v>
      </c>
      <c r="N64" s="36" t="s">
        <v>162</v>
      </c>
    </row>
    <row r="65" spans="1:14" x14ac:dyDescent="0.25">
      <c r="A65" s="4" t="s">
        <v>34</v>
      </c>
      <c r="B65" s="4" t="s">
        <v>207</v>
      </c>
      <c r="C65" s="52" t="str">
        <f>"=1 if the authors use Ordinary least squares."</f>
        <v>=1 if the authors use Ordinary least squares.</v>
      </c>
      <c r="D65" t="s">
        <v>112</v>
      </c>
      <c r="E65">
        <v>34</v>
      </c>
      <c r="F65" t="s">
        <v>161</v>
      </c>
      <c r="G65" s="36" t="b">
        <v>1</v>
      </c>
      <c r="H65" s="36" t="b">
        <v>1</v>
      </c>
      <c r="I65">
        <v>1</v>
      </c>
      <c r="K65" t="b">
        <v>0</v>
      </c>
      <c r="L65" t="b">
        <v>1</v>
      </c>
      <c r="M65" t="b">
        <v>0</v>
      </c>
      <c r="N65" s="36" t="s">
        <v>161</v>
      </c>
    </row>
    <row r="66" spans="1:14" x14ac:dyDescent="0.25">
      <c r="A66" s="4" t="s">
        <v>290</v>
      </c>
      <c r="B66" s="4" t="s">
        <v>291</v>
      </c>
      <c r="C66" s="52" t="str">
        <f>"=1 if the authors use Cohort-type or Fixed-effects estimation."</f>
        <v>=1 if the authors use Cohort-type or Fixed-effects estimation.</v>
      </c>
      <c r="D66" t="s">
        <v>112</v>
      </c>
      <c r="E66">
        <v>34</v>
      </c>
      <c r="F66" t="s">
        <v>161</v>
      </c>
      <c r="G66" s="36" t="b">
        <v>1</v>
      </c>
      <c r="H66" s="36" t="b">
        <v>1</v>
      </c>
      <c r="I66">
        <v>1</v>
      </c>
      <c r="K66" t="b">
        <v>1</v>
      </c>
      <c r="L66" t="b">
        <v>0</v>
      </c>
      <c r="M66" t="b">
        <v>0</v>
      </c>
      <c r="N66" s="36" t="s">
        <v>162</v>
      </c>
    </row>
    <row r="67" spans="1:14" x14ac:dyDescent="0.25">
      <c r="A67" s="4" t="s">
        <v>87</v>
      </c>
      <c r="B67" s="4" t="s">
        <v>208</v>
      </c>
      <c r="C67" s="52" t="str">
        <f>"=1 if the authors use Two-Stage least squares estimation."</f>
        <v>=1 if the authors use Two-Stage least squares estimation.</v>
      </c>
      <c r="D67" t="s">
        <v>112</v>
      </c>
      <c r="E67">
        <v>34</v>
      </c>
      <c r="F67" t="s">
        <v>161</v>
      </c>
      <c r="G67" s="36" t="b">
        <v>1</v>
      </c>
      <c r="H67" s="36" t="b">
        <v>1</v>
      </c>
      <c r="I67">
        <v>1</v>
      </c>
      <c r="K67" t="b">
        <v>1</v>
      </c>
      <c r="L67" t="b">
        <v>0</v>
      </c>
      <c r="M67" t="b">
        <v>0</v>
      </c>
      <c r="N67" s="36" t="s">
        <v>162</v>
      </c>
    </row>
    <row r="68" spans="1:14" x14ac:dyDescent="0.25">
      <c r="A68" s="4" t="s">
        <v>91</v>
      </c>
      <c r="B68" s="4" t="s">
        <v>209</v>
      </c>
      <c r="C68" s="52" t="str">
        <f>"=1 if the authors use Two-step estimation (Heckman and Polachek, 1974)."</f>
        <v>=1 if the authors use Two-step estimation (Heckman and Polachek, 1974).</v>
      </c>
      <c r="D68" t="s">
        <v>112</v>
      </c>
      <c r="E68">
        <v>34</v>
      </c>
      <c r="F68" t="s">
        <v>161</v>
      </c>
      <c r="G68" s="36" t="b">
        <v>1</v>
      </c>
      <c r="H68" s="36" t="b">
        <v>1</v>
      </c>
      <c r="I68">
        <v>1</v>
      </c>
      <c r="K68" t="b">
        <v>1</v>
      </c>
      <c r="L68" t="b">
        <v>0</v>
      </c>
      <c r="M68" t="b">
        <v>0</v>
      </c>
      <c r="N68" s="36" t="s">
        <v>162</v>
      </c>
    </row>
    <row r="69" spans="1:14" x14ac:dyDescent="0.25">
      <c r="A69" s="4" t="s">
        <v>90</v>
      </c>
      <c r="B69" s="4" t="s">
        <v>210</v>
      </c>
      <c r="C69" s="52" t="str">
        <f>"=1 if the authors use Probit estimation."</f>
        <v>=1 if the authors use Probit estimation.</v>
      </c>
      <c r="D69" t="s">
        <v>112</v>
      </c>
      <c r="E69">
        <v>34</v>
      </c>
      <c r="F69" t="s">
        <v>161</v>
      </c>
      <c r="G69" s="36" t="b">
        <v>1</v>
      </c>
      <c r="H69" s="36" t="b">
        <v>1</v>
      </c>
      <c r="I69">
        <v>1</v>
      </c>
      <c r="K69" t="b">
        <v>1</v>
      </c>
      <c r="L69" t="b">
        <v>0</v>
      </c>
      <c r="M69" t="b">
        <v>0</v>
      </c>
      <c r="N69" s="36" t="s">
        <v>162</v>
      </c>
    </row>
    <row r="70" spans="1:14" x14ac:dyDescent="0.25">
      <c r="A70" s="4" t="s">
        <v>35</v>
      </c>
      <c r="B70" s="4" t="s">
        <v>211</v>
      </c>
      <c r="C70" s="52" t="str">
        <f>"=1 if the authors use Instrumental variables estimation (reference category)."</f>
        <v>=1 if the authors use Instrumental variables estimation (reference category).</v>
      </c>
      <c r="D70" t="s">
        <v>112</v>
      </c>
      <c r="E70">
        <v>34</v>
      </c>
      <c r="F70" t="s">
        <v>161</v>
      </c>
      <c r="G70" s="36" t="b">
        <v>1</v>
      </c>
      <c r="H70" s="36" t="b">
        <v>1</v>
      </c>
      <c r="I70">
        <v>1</v>
      </c>
      <c r="K70" t="b">
        <v>1</v>
      </c>
      <c r="L70" t="b">
        <v>0</v>
      </c>
      <c r="M70" t="b">
        <v>0</v>
      </c>
      <c r="N70" s="36" t="s">
        <v>162</v>
      </c>
    </row>
    <row r="71" spans="1:14" x14ac:dyDescent="0.25">
      <c r="A71" s="4" t="s">
        <v>36</v>
      </c>
      <c r="B71" s="4" t="s">
        <v>212</v>
      </c>
      <c r="C71" s="52" t="str">
        <f>"=1 if the authors include a direct measure of ability in their study."</f>
        <v>=1 if the authors include a direct measure of ability in their study.</v>
      </c>
      <c r="D71" t="s">
        <v>112</v>
      </c>
      <c r="E71">
        <v>35</v>
      </c>
      <c r="F71" t="s">
        <v>161</v>
      </c>
      <c r="G71" s="36" t="b">
        <v>1</v>
      </c>
      <c r="H71" s="36" t="b">
        <v>1</v>
      </c>
      <c r="I71">
        <v>1</v>
      </c>
      <c r="K71" t="b">
        <v>1</v>
      </c>
      <c r="L71" t="b">
        <v>0</v>
      </c>
      <c r="M71" t="b">
        <v>0</v>
      </c>
      <c r="N71" s="36" t="s">
        <v>162</v>
      </c>
    </row>
    <row r="72" spans="1:14" x14ac:dyDescent="0.25">
      <c r="A72" s="4" t="s">
        <v>37</v>
      </c>
      <c r="B72" s="4" t="s">
        <v>213</v>
      </c>
      <c r="C72" s="52" t="str">
        <f>"=1 if the authors use a proxy for ability in their study."</f>
        <v>=1 if the authors use a proxy for ability in their study.</v>
      </c>
      <c r="D72" t="s">
        <v>112</v>
      </c>
      <c r="E72">
        <v>35</v>
      </c>
      <c r="F72" t="s">
        <v>161</v>
      </c>
      <c r="G72" s="36" t="b">
        <v>1</v>
      </c>
      <c r="H72" s="36" t="b">
        <v>1</v>
      </c>
      <c r="I72">
        <v>1</v>
      </c>
      <c r="K72" t="b">
        <v>1</v>
      </c>
      <c r="L72" t="b">
        <v>0</v>
      </c>
      <c r="M72" t="b">
        <v>0</v>
      </c>
      <c r="N72" s="36" t="s">
        <v>162</v>
      </c>
    </row>
    <row r="73" spans="1:14" x14ac:dyDescent="0.25">
      <c r="A73" s="4" t="s">
        <v>83</v>
      </c>
      <c r="B73" s="4" t="s">
        <v>214</v>
      </c>
      <c r="C73" s="52" t="str">
        <f>"=1 if the authors acknowledge, but do not control for ability in any way in their study."</f>
        <v>=1 if the authors acknowledge, but do not control for ability in any way in their study.</v>
      </c>
      <c r="D73" t="s">
        <v>112</v>
      </c>
      <c r="E73">
        <v>35</v>
      </c>
      <c r="F73" t="s">
        <v>161</v>
      </c>
      <c r="G73" s="36" t="b">
        <v>1</v>
      </c>
      <c r="H73" s="36" t="b">
        <v>1</v>
      </c>
      <c r="I73">
        <v>1</v>
      </c>
      <c r="K73" t="b">
        <v>1</v>
      </c>
      <c r="L73" t="b">
        <v>0</v>
      </c>
      <c r="M73" t="b">
        <v>0</v>
      </c>
      <c r="N73" s="36" t="s">
        <v>162</v>
      </c>
    </row>
    <row r="74" spans="1:14" x14ac:dyDescent="0.25">
      <c r="A74" s="4" t="s">
        <v>84</v>
      </c>
      <c r="B74" s="4" t="s">
        <v>215</v>
      </c>
      <c r="C74" s="52" t="str">
        <f>"=1 if the authors do not mention ability anywhere in their study (reference category)."</f>
        <v>=1 if the authors do not mention ability anywhere in their study (reference category).</v>
      </c>
      <c r="D74" t="s">
        <v>112</v>
      </c>
      <c r="E74">
        <v>35</v>
      </c>
      <c r="F74" t="s">
        <v>161</v>
      </c>
      <c r="G74" s="36" t="b">
        <v>1</v>
      </c>
      <c r="H74" s="36" t="b">
        <v>1</v>
      </c>
      <c r="I74">
        <v>1</v>
      </c>
      <c r="K74" t="b">
        <v>0</v>
      </c>
      <c r="L74" t="b">
        <v>1</v>
      </c>
      <c r="M74" t="b">
        <v>0</v>
      </c>
      <c r="N74" s="36" t="s">
        <v>161</v>
      </c>
    </row>
    <row r="75" spans="1:14" x14ac:dyDescent="0.25">
      <c r="A75" s="4" t="s">
        <v>411</v>
      </c>
      <c r="B75" s="4" t="s">
        <v>412</v>
      </c>
      <c r="C75" s="52" t="str">
        <f>"=1 if the authors use sibling's education as an instrument in the regression."</f>
        <v>=1 if the authors use sibling's education as an instrument in the regression.</v>
      </c>
      <c r="D75" t="s">
        <v>113</v>
      </c>
      <c r="E75">
        <v>36</v>
      </c>
      <c r="F75" t="s">
        <v>161</v>
      </c>
      <c r="G75" s="36" t="b">
        <v>1</v>
      </c>
      <c r="H75" s="36" t="b">
        <v>1</v>
      </c>
      <c r="I75">
        <v>1</v>
      </c>
      <c r="K75" t="b">
        <v>0</v>
      </c>
      <c r="L75" t="b">
        <v>0</v>
      </c>
      <c r="M75" t="b">
        <v>0</v>
      </c>
      <c r="N75" s="36" t="s">
        <v>161</v>
      </c>
    </row>
    <row r="76" spans="1:14" x14ac:dyDescent="0.25">
      <c r="A76" s="4" t="s">
        <v>94</v>
      </c>
      <c r="B76" s="4" t="s">
        <v>216</v>
      </c>
      <c r="C76" s="52" t="str">
        <f>"=1 if the authors use distance to school as an instrument in the regression."</f>
        <v>=1 if the authors use distance to school as an instrument in the regression.</v>
      </c>
      <c r="D76" t="s">
        <v>113</v>
      </c>
      <c r="E76">
        <v>36</v>
      </c>
      <c r="F76" t="s">
        <v>161</v>
      </c>
      <c r="G76" s="36" t="b">
        <v>1</v>
      </c>
      <c r="H76" s="36" t="b">
        <v>1</v>
      </c>
      <c r="I76">
        <v>1</v>
      </c>
      <c r="K76" t="b">
        <v>0</v>
      </c>
      <c r="L76" t="b">
        <v>0</v>
      </c>
      <c r="M76" t="b">
        <v>0</v>
      </c>
      <c r="N76" s="36" t="s">
        <v>161</v>
      </c>
    </row>
    <row r="77" spans="1:14" x14ac:dyDescent="0.25">
      <c r="A77" s="4" t="s">
        <v>88</v>
      </c>
      <c r="B77" s="4" t="s">
        <v>217</v>
      </c>
      <c r="C77" s="52" t="str">
        <f>"=1 if the authors use another instrument in the regression."</f>
        <v>=1 if the authors use another instrument in the regression.</v>
      </c>
      <c r="D77" t="s">
        <v>113</v>
      </c>
      <c r="E77">
        <v>36</v>
      </c>
      <c r="F77" t="s">
        <v>161</v>
      </c>
      <c r="G77" s="36" t="b">
        <v>1</v>
      </c>
      <c r="H77" s="36" t="b">
        <v>1</v>
      </c>
      <c r="I77">
        <v>1</v>
      </c>
      <c r="K77" t="b">
        <v>0</v>
      </c>
      <c r="L77" t="b">
        <v>0</v>
      </c>
      <c r="M77" t="b">
        <v>0</v>
      </c>
      <c r="N77" s="36" t="s">
        <v>161</v>
      </c>
    </row>
    <row r="78" spans="1:14" x14ac:dyDescent="0.25">
      <c r="A78" s="4" t="s">
        <v>38</v>
      </c>
      <c r="B78" s="4" t="s">
        <v>218</v>
      </c>
      <c r="C78" s="52" t="str">
        <f>"=1 if the authors control for age in the regression."</f>
        <v>=1 if the authors control for age in the regression.</v>
      </c>
      <c r="D78" t="s">
        <v>113</v>
      </c>
      <c r="E78">
        <v>37</v>
      </c>
      <c r="F78" t="s">
        <v>161</v>
      </c>
      <c r="G78" s="36" t="b">
        <v>1</v>
      </c>
      <c r="H78" s="36" t="b">
        <v>1</v>
      </c>
      <c r="I78">
        <v>1</v>
      </c>
      <c r="K78" t="b">
        <v>1</v>
      </c>
      <c r="L78" t="b">
        <v>0</v>
      </c>
      <c r="M78" t="b">
        <v>0</v>
      </c>
      <c r="N78" s="36" t="s">
        <v>162</v>
      </c>
    </row>
    <row r="79" spans="1:14" x14ac:dyDescent="0.25">
      <c r="A79" s="4" t="s">
        <v>39</v>
      </c>
      <c r="B79" s="4" t="s">
        <v>231</v>
      </c>
      <c r="C79" s="52" t="str">
        <f>"=1 if the authors control for age in quadratic form in the regression."</f>
        <v>=1 if the authors control for age in quadratic form in the regression.</v>
      </c>
      <c r="D79" t="s">
        <v>113</v>
      </c>
      <c r="E79">
        <v>37</v>
      </c>
      <c r="F79" t="s">
        <v>161</v>
      </c>
      <c r="G79" s="36" t="b">
        <v>1</v>
      </c>
      <c r="H79" s="36" t="b">
        <v>1</v>
      </c>
      <c r="I79">
        <v>1</v>
      </c>
      <c r="K79" t="b">
        <v>1</v>
      </c>
      <c r="L79" t="b">
        <v>0</v>
      </c>
      <c r="M79" t="b">
        <v>0</v>
      </c>
      <c r="N79" s="36" t="s">
        <v>162</v>
      </c>
    </row>
    <row r="80" spans="1:14" x14ac:dyDescent="0.25">
      <c r="A80" s="4" t="s">
        <v>40</v>
      </c>
      <c r="B80" s="4" t="s">
        <v>219</v>
      </c>
      <c r="C80" s="52" t="str">
        <f>"=1 if the authors control for experience in the regression."</f>
        <v>=1 if the authors control for experience in the regression.</v>
      </c>
      <c r="D80" t="s">
        <v>113</v>
      </c>
      <c r="E80">
        <v>37</v>
      </c>
      <c r="F80" t="s">
        <v>161</v>
      </c>
      <c r="G80" s="36" t="b">
        <v>1</v>
      </c>
      <c r="H80" s="36" t="b">
        <v>1</v>
      </c>
      <c r="I80">
        <v>1</v>
      </c>
      <c r="K80" t="b">
        <v>1</v>
      </c>
      <c r="L80" t="b">
        <v>0</v>
      </c>
      <c r="M80" t="b">
        <v>0</v>
      </c>
      <c r="N80" s="36" t="s">
        <v>162</v>
      </c>
    </row>
    <row r="81" spans="1:14" x14ac:dyDescent="0.25">
      <c r="A81" s="4" t="s">
        <v>68</v>
      </c>
      <c r="B81" s="4" t="s">
        <v>230</v>
      </c>
      <c r="C81" s="52" t="str">
        <f>"=1 if the authors control for experience in quadratic form in the regression."</f>
        <v>=1 if the authors control for experience in quadratic form in the regression.</v>
      </c>
      <c r="D81" t="s">
        <v>113</v>
      </c>
      <c r="E81">
        <v>37</v>
      </c>
      <c r="F81" t="s">
        <v>161</v>
      </c>
      <c r="G81" s="36" t="b">
        <v>1</v>
      </c>
      <c r="H81" s="36" t="b">
        <v>1</v>
      </c>
      <c r="I81">
        <v>1</v>
      </c>
      <c r="K81" t="b">
        <v>1</v>
      </c>
      <c r="L81" t="b">
        <v>0</v>
      </c>
      <c r="M81" t="b">
        <v>0</v>
      </c>
      <c r="N81" s="36" t="s">
        <v>162</v>
      </c>
    </row>
    <row r="82" spans="1:14" x14ac:dyDescent="0.25">
      <c r="A82" s="4" t="s">
        <v>41</v>
      </c>
      <c r="B82" s="4" t="s">
        <v>220</v>
      </c>
      <c r="C82" s="52" t="str">
        <f>"=1 if the authors control for ethnicity in the regression."</f>
        <v>=1 if the authors control for ethnicity in the regression.</v>
      </c>
      <c r="D82" t="s">
        <v>113</v>
      </c>
      <c r="E82">
        <v>37</v>
      </c>
      <c r="F82" t="s">
        <v>161</v>
      </c>
      <c r="G82" s="36" t="b">
        <v>1</v>
      </c>
      <c r="H82" s="36" t="b">
        <v>1</v>
      </c>
      <c r="I82">
        <v>1</v>
      </c>
      <c r="K82" t="b">
        <v>1</v>
      </c>
      <c r="L82" t="b">
        <v>0</v>
      </c>
      <c r="M82" t="b">
        <v>0</v>
      </c>
      <c r="N82" s="36" t="s">
        <v>162</v>
      </c>
    </row>
    <row r="83" spans="1:14" x14ac:dyDescent="0.25">
      <c r="A83" s="4" t="s">
        <v>42</v>
      </c>
      <c r="B83" s="4" t="s">
        <v>221</v>
      </c>
      <c r="C83" s="52" t="str">
        <f>"=1 if the authors control for health in the regression."</f>
        <v>=1 if the authors control for health in the regression.</v>
      </c>
      <c r="D83" t="s">
        <v>113</v>
      </c>
      <c r="E83">
        <v>37</v>
      </c>
      <c r="F83" t="s">
        <v>161</v>
      </c>
      <c r="G83" s="36" t="b">
        <v>1</v>
      </c>
      <c r="H83" s="36" t="b">
        <v>1</v>
      </c>
      <c r="I83">
        <v>1</v>
      </c>
      <c r="K83" t="b">
        <v>1</v>
      </c>
      <c r="L83" t="b">
        <v>0</v>
      </c>
      <c r="M83" t="b">
        <v>0</v>
      </c>
      <c r="N83" s="36" t="s">
        <v>162</v>
      </c>
    </row>
    <row r="84" spans="1:14" x14ac:dyDescent="0.25">
      <c r="A84" s="4" t="s">
        <v>43</v>
      </c>
      <c r="B84" s="4" t="s">
        <v>222</v>
      </c>
      <c r="C84" s="52" t="str">
        <f>"=1 if the authors control for gender in the regression."</f>
        <v>=1 if the authors control for gender in the regression.</v>
      </c>
      <c r="D84" t="s">
        <v>113</v>
      </c>
      <c r="E84">
        <v>37</v>
      </c>
      <c r="F84" t="s">
        <v>161</v>
      </c>
      <c r="G84" s="36" t="b">
        <v>1</v>
      </c>
      <c r="H84" s="36" t="b">
        <v>1</v>
      </c>
      <c r="I84">
        <v>1</v>
      </c>
      <c r="K84" t="b">
        <v>1</v>
      </c>
      <c r="L84" t="b">
        <v>0</v>
      </c>
      <c r="M84" t="b">
        <v>0</v>
      </c>
      <c r="N84" s="36" t="s">
        <v>162</v>
      </c>
    </row>
    <row r="85" spans="1:14" x14ac:dyDescent="0.25">
      <c r="A85" s="4" t="s">
        <v>175</v>
      </c>
      <c r="B85" s="4" t="s">
        <v>223</v>
      </c>
      <c r="C85" s="52" t="str">
        <f>"=1 if the authors control for marriage in the regression."</f>
        <v>=1 if the authors control for marriage in the regression.</v>
      </c>
      <c r="D85" t="s">
        <v>113</v>
      </c>
      <c r="E85">
        <v>37</v>
      </c>
      <c r="F85" t="s">
        <v>161</v>
      </c>
      <c r="G85" s="36" t="b">
        <v>1</v>
      </c>
      <c r="H85" s="36" t="b">
        <v>1</v>
      </c>
      <c r="I85">
        <v>1</v>
      </c>
      <c r="K85" t="b">
        <v>1</v>
      </c>
      <c r="L85" t="b">
        <v>0</v>
      </c>
      <c r="M85" t="b">
        <v>0</v>
      </c>
      <c r="N85" s="36" t="s">
        <v>162</v>
      </c>
    </row>
    <row r="86" spans="1:14" x14ac:dyDescent="0.25">
      <c r="A86" s="4" t="s">
        <v>44</v>
      </c>
      <c r="B86" s="4" t="s">
        <v>224</v>
      </c>
      <c r="C86" s="52" t="str">
        <f>"=1 if the authors control for occupation of the subjects in the regression."</f>
        <v>=1 if the authors control for occupation of the subjects in the regression.</v>
      </c>
      <c r="D86" t="s">
        <v>113</v>
      </c>
      <c r="E86">
        <v>37</v>
      </c>
      <c r="F86" t="s">
        <v>161</v>
      </c>
      <c r="G86" s="36" t="b">
        <v>1</v>
      </c>
      <c r="H86" s="36" t="b">
        <v>1</v>
      </c>
      <c r="I86">
        <v>1</v>
      </c>
      <c r="K86" t="b">
        <v>1</v>
      </c>
      <c r="L86" t="b">
        <v>0</v>
      </c>
      <c r="M86" t="b">
        <v>0</v>
      </c>
      <c r="N86" s="36" t="s">
        <v>162</v>
      </c>
    </row>
    <row r="87" spans="1:14" x14ac:dyDescent="0.25">
      <c r="A87" s="4" t="s">
        <v>46</v>
      </c>
      <c r="B87" s="4" t="s">
        <v>284</v>
      </c>
      <c r="C87" s="52" t="str">
        <f>"=1 if the authors control for firm characteristics in the regression."</f>
        <v>=1 if the authors control for firm characteristics in the regression.</v>
      </c>
      <c r="D87" t="s">
        <v>113</v>
      </c>
      <c r="E87">
        <v>37</v>
      </c>
      <c r="F87" t="s">
        <v>161</v>
      </c>
      <c r="G87" s="36" t="b">
        <v>1</v>
      </c>
      <c r="H87" s="36" t="b">
        <v>1</v>
      </c>
      <c r="I87">
        <v>1</v>
      </c>
      <c r="K87" t="b">
        <v>1</v>
      </c>
      <c r="L87" t="b">
        <v>0</v>
      </c>
      <c r="M87" t="b">
        <v>0</v>
      </c>
      <c r="N87" s="36" t="s">
        <v>162</v>
      </c>
    </row>
    <row r="88" spans="1:14" x14ac:dyDescent="0.25">
      <c r="A88" s="4" t="s">
        <v>92</v>
      </c>
      <c r="B88" s="4" t="s">
        <v>225</v>
      </c>
      <c r="C88" s="52" t="str">
        <f>"=1 if the authors control for area type in the regression (e.g., urban, rural)."</f>
        <v>=1 if the authors control for area type in the regression (e.g., urban, rural).</v>
      </c>
      <c r="D88" t="s">
        <v>113</v>
      </c>
      <c r="E88">
        <v>37</v>
      </c>
      <c r="F88" t="s">
        <v>161</v>
      </c>
      <c r="G88" s="36" t="b">
        <v>1</v>
      </c>
      <c r="H88" s="36" t="b">
        <v>1</v>
      </c>
      <c r="I88">
        <v>1</v>
      </c>
      <c r="K88" t="b">
        <v>1</v>
      </c>
      <c r="L88" t="b">
        <v>0</v>
      </c>
      <c r="M88" t="b">
        <v>0</v>
      </c>
      <c r="N88" s="36" t="s">
        <v>162</v>
      </c>
    </row>
    <row r="89" spans="1:14" x14ac:dyDescent="0.25">
      <c r="A89" s="4" t="s">
        <v>45</v>
      </c>
      <c r="B89" s="4" t="s">
        <v>286</v>
      </c>
      <c r="C89" s="52" t="str">
        <f>"=1 if the authors control for macroeconomic variables in the regression."</f>
        <v>=1 if the authors control for macroeconomic variables in the regression.</v>
      </c>
      <c r="D89" t="s">
        <v>113</v>
      </c>
      <c r="E89">
        <v>37</v>
      </c>
      <c r="F89" t="s">
        <v>161</v>
      </c>
      <c r="G89" s="36" t="b">
        <v>1</v>
      </c>
      <c r="H89" s="36" t="b">
        <v>1</v>
      </c>
      <c r="I89">
        <v>1</v>
      </c>
      <c r="K89" t="b">
        <v>1</v>
      </c>
      <c r="L89" t="b">
        <v>0</v>
      </c>
      <c r="M89" t="b">
        <v>0</v>
      </c>
      <c r="N89" s="36" t="s">
        <v>162</v>
      </c>
    </row>
    <row r="90" spans="1:14" x14ac:dyDescent="0.25">
      <c r="A90" s="37" t="s">
        <v>47</v>
      </c>
      <c r="B90" s="37" t="s">
        <v>131</v>
      </c>
      <c r="C90" s="53" t="s">
        <v>268</v>
      </c>
      <c r="D90" t="s">
        <v>114</v>
      </c>
      <c r="E90">
        <v>38</v>
      </c>
      <c r="F90" t="s">
        <v>161</v>
      </c>
      <c r="G90" s="36" t="b">
        <v>1</v>
      </c>
      <c r="H90" s="36" t="b">
        <v>1</v>
      </c>
      <c r="J90" s="15" t="s">
        <v>163</v>
      </c>
      <c r="K90" t="b">
        <v>1</v>
      </c>
      <c r="L90" t="b">
        <v>0</v>
      </c>
      <c r="M90" t="b">
        <v>1</v>
      </c>
      <c r="N90" s="36" t="s">
        <v>179</v>
      </c>
    </row>
    <row r="91" spans="1:14" x14ac:dyDescent="0.25">
      <c r="A91" s="37" t="s">
        <v>48</v>
      </c>
      <c r="B91" s="37" t="s">
        <v>132</v>
      </c>
      <c r="C91" s="53" t="s">
        <v>269</v>
      </c>
      <c r="D91" t="s">
        <v>113</v>
      </c>
      <c r="E91">
        <v>39</v>
      </c>
      <c r="F91" t="s">
        <v>161</v>
      </c>
      <c r="G91" s="36" t="b">
        <v>1</v>
      </c>
      <c r="H91" s="36" t="b">
        <v>1</v>
      </c>
      <c r="J91" s="15" t="s">
        <v>163</v>
      </c>
      <c r="K91" t="b">
        <v>1</v>
      </c>
      <c r="L91" t="b">
        <v>0</v>
      </c>
      <c r="M91" t="b">
        <v>1</v>
      </c>
      <c r="N91" s="36" t="s">
        <v>179</v>
      </c>
    </row>
    <row r="92" spans="1:14" x14ac:dyDescent="0.25">
      <c r="A92" s="37" t="s">
        <v>49</v>
      </c>
      <c r="B92" s="37" t="s">
        <v>226</v>
      </c>
      <c r="C92" s="53" t="str">
        <f>"=1 if the study was published in a journal."</f>
        <v>=1 if the study was published in a journal.</v>
      </c>
      <c r="D92" t="s">
        <v>112</v>
      </c>
      <c r="E92">
        <v>40</v>
      </c>
      <c r="F92" t="s">
        <v>161</v>
      </c>
      <c r="G92" s="36" t="b">
        <v>1</v>
      </c>
      <c r="H92" s="36" t="b">
        <v>1</v>
      </c>
      <c r="I92">
        <v>1</v>
      </c>
      <c r="K92" t="b">
        <v>1</v>
      </c>
      <c r="L92" t="b">
        <v>0</v>
      </c>
      <c r="M92" t="b">
        <v>0</v>
      </c>
      <c r="N92" s="36" t="s">
        <v>162</v>
      </c>
    </row>
    <row r="93" spans="1:14" x14ac:dyDescent="0.25">
      <c r="A93" s="37" t="s">
        <v>117</v>
      </c>
      <c r="B93" s="37" t="s">
        <v>227</v>
      </c>
      <c r="C93" s="53" t="str">
        <f>"=1 if the study was not published in a journal (reference category)."</f>
        <v>=1 if the study was not published in a journal (reference category).</v>
      </c>
      <c r="D93" t="s">
        <v>112</v>
      </c>
      <c r="E93">
        <v>40</v>
      </c>
      <c r="F93" t="s">
        <v>161</v>
      </c>
      <c r="G93" s="36" t="b">
        <v>1</v>
      </c>
      <c r="H93" s="36" t="b">
        <v>1</v>
      </c>
      <c r="I93">
        <v>1</v>
      </c>
      <c r="K93" t="b">
        <v>0</v>
      </c>
      <c r="L93" t="b">
        <v>1</v>
      </c>
      <c r="M93" t="b">
        <v>0</v>
      </c>
      <c r="N93" s="36" t="s">
        <v>161</v>
      </c>
    </row>
    <row r="94" spans="1:14" x14ac:dyDescent="0.25">
      <c r="A94" s="37" t="s">
        <v>50</v>
      </c>
      <c r="B94" s="37" t="s">
        <v>133</v>
      </c>
      <c r="C94" s="53" t="s">
        <v>408</v>
      </c>
      <c r="D94" t="s">
        <v>113</v>
      </c>
      <c r="E94">
        <v>41</v>
      </c>
      <c r="F94" t="s">
        <v>161</v>
      </c>
      <c r="G94" s="36" t="b">
        <v>1</v>
      </c>
      <c r="H94" s="36" t="b">
        <v>1</v>
      </c>
      <c r="J94" s="15" t="s">
        <v>163</v>
      </c>
      <c r="K94" t="b">
        <v>1</v>
      </c>
      <c r="L94" t="b">
        <v>0</v>
      </c>
      <c r="M94" t="b">
        <v>1</v>
      </c>
      <c r="N94" s="36" t="s">
        <v>162</v>
      </c>
    </row>
  </sheetData>
  <conditionalFormatting sqref="A2:C94">
    <cfRule type="containsBlanks" dxfId="180" priority="7">
      <formula>LEN(TRIM(A2))=0</formula>
    </cfRule>
  </conditionalFormatting>
  <conditionalFormatting sqref="N2:N1989">
    <cfRule type="notContainsText" dxfId="179" priority="2" operator="notContains" text="stop">
      <formula>ISERROR(SEARCH("stop",N2))</formula>
    </cfRule>
    <cfRule type="containsText" dxfId="178" priority="3" operator="containsText" text="stop">
      <formula>NOT(ISERROR(SEARCH("stop",N2)))</formula>
    </cfRule>
  </conditionalFormatting>
  <conditionalFormatting sqref="G2:H1989 K2:M1989">
    <cfRule type="containsText" dxfId="177" priority="4" operator="containsText" text="FALSE">
      <formula>NOT(ISERROR(SEARCH("FALSE",G2)))</formula>
    </cfRule>
    <cfRule type="containsText" dxfId="17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8"/>
  <sheetViews>
    <sheetView workbookViewId="0">
      <pane ySplit="1" topLeftCell="A2" activePane="bottomLeft" state="frozen"/>
      <selection activeCell="D1" sqref="D1"/>
      <selection pane="bottomLeft" activeCell="H14" sqref="H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59" t="s">
        <v>135</v>
      </c>
      <c r="B1" s="60" t="s">
        <v>136</v>
      </c>
      <c r="C1" s="61" t="s">
        <v>137</v>
      </c>
      <c r="D1" s="60" t="s">
        <v>106</v>
      </c>
      <c r="E1" s="60" t="s">
        <v>138</v>
      </c>
      <c r="F1" s="60" t="s">
        <v>139</v>
      </c>
      <c r="G1" s="60" t="s">
        <v>140</v>
      </c>
      <c r="H1" s="60" t="s">
        <v>153</v>
      </c>
      <c r="I1" s="60" t="s">
        <v>150</v>
      </c>
      <c r="J1" s="60" t="s">
        <v>151</v>
      </c>
      <c r="K1" s="60" t="s">
        <v>149</v>
      </c>
      <c r="L1" s="60" t="s">
        <v>141</v>
      </c>
      <c r="M1" s="60" t="s">
        <v>142</v>
      </c>
      <c r="N1" s="60" t="s">
        <v>143</v>
      </c>
      <c r="O1" s="60" t="s">
        <v>144</v>
      </c>
      <c r="P1" s="62"/>
      <c r="Q1" s="62" t="s">
        <v>145</v>
      </c>
      <c r="R1" s="62" t="s">
        <v>146</v>
      </c>
      <c r="S1" s="62" t="s">
        <v>147</v>
      </c>
      <c r="T1" s="63" t="s">
        <v>148</v>
      </c>
      <c r="U1" s="69" t="s">
        <v>401</v>
      </c>
    </row>
    <row r="2" spans="1:21" x14ac:dyDescent="0.25">
      <c r="A2">
        <v>1</v>
      </c>
      <c r="B2" t="s">
        <v>292</v>
      </c>
      <c r="C2" t="s">
        <v>293</v>
      </c>
      <c r="D2">
        <v>1998</v>
      </c>
      <c r="E2" t="s">
        <v>294</v>
      </c>
      <c r="F2" t="s">
        <v>295</v>
      </c>
      <c r="G2" t="s">
        <v>51</v>
      </c>
      <c r="H2" t="s">
        <v>172</v>
      </c>
      <c r="I2" t="b">
        <v>1</v>
      </c>
      <c r="J2">
        <f t="shared" ref="J2:J18" si="0">D2-MIN($D$2:$D$18)</f>
        <v>22</v>
      </c>
      <c r="K2">
        <v>3.0920000000000001</v>
      </c>
      <c r="L2">
        <v>908</v>
      </c>
      <c r="M2" t="s">
        <v>296</v>
      </c>
      <c r="N2" t="s">
        <v>297</v>
      </c>
      <c r="O2" s="64" t="s">
        <v>297</v>
      </c>
      <c r="P2" s="64" t="s">
        <v>292</v>
      </c>
      <c r="Q2" t="s">
        <v>98</v>
      </c>
      <c r="R2" t="s">
        <v>98</v>
      </c>
      <c r="S2" t="s">
        <v>97</v>
      </c>
      <c r="T2" s="21">
        <v>1</v>
      </c>
    </row>
    <row r="3" spans="1:21" x14ac:dyDescent="0.25">
      <c r="A3">
        <v>2</v>
      </c>
      <c r="B3" t="s">
        <v>298</v>
      </c>
      <c r="C3" t="s">
        <v>299</v>
      </c>
      <c r="D3">
        <v>1994</v>
      </c>
      <c r="E3" t="s">
        <v>300</v>
      </c>
      <c r="F3" t="s">
        <v>301</v>
      </c>
      <c r="G3" t="s">
        <v>51</v>
      </c>
      <c r="H3" t="s">
        <v>405</v>
      </c>
      <c r="I3" t="b">
        <v>1</v>
      </c>
      <c r="J3">
        <f t="shared" si="0"/>
        <v>18</v>
      </c>
      <c r="K3">
        <v>3.0070000000000001</v>
      </c>
      <c r="L3">
        <v>1812</v>
      </c>
      <c r="M3" t="s">
        <v>302</v>
      </c>
      <c r="N3" t="s">
        <v>303</v>
      </c>
      <c r="O3" t="s">
        <v>303</v>
      </c>
      <c r="P3" t="s">
        <v>298</v>
      </c>
      <c r="Q3" t="s">
        <v>98</v>
      </c>
      <c r="R3" t="s">
        <v>98</v>
      </c>
      <c r="S3" t="s">
        <v>97</v>
      </c>
      <c r="T3" s="21">
        <v>1</v>
      </c>
    </row>
    <row r="4" spans="1:21" x14ac:dyDescent="0.25">
      <c r="A4">
        <v>3</v>
      </c>
      <c r="B4" t="s">
        <v>304</v>
      </c>
      <c r="C4" t="s">
        <v>305</v>
      </c>
      <c r="D4">
        <v>1999</v>
      </c>
      <c r="E4" t="s">
        <v>306</v>
      </c>
      <c r="F4" t="s">
        <v>307</v>
      </c>
      <c r="G4" t="s">
        <v>51</v>
      </c>
      <c r="H4" t="s">
        <v>155</v>
      </c>
      <c r="I4" t="b">
        <v>1</v>
      </c>
      <c r="J4">
        <f t="shared" si="0"/>
        <v>23</v>
      </c>
      <c r="K4">
        <v>0.29799999999999999</v>
      </c>
      <c r="L4">
        <v>188</v>
      </c>
      <c r="M4" t="s">
        <v>308</v>
      </c>
      <c r="N4" t="s">
        <v>309</v>
      </c>
      <c r="O4" t="s">
        <v>310</v>
      </c>
      <c r="P4" t="s">
        <v>304</v>
      </c>
      <c r="Q4" t="s">
        <v>98</v>
      </c>
      <c r="R4" t="s">
        <v>98</v>
      </c>
      <c r="S4" t="s">
        <v>97</v>
      </c>
      <c r="T4" s="21">
        <v>1</v>
      </c>
      <c r="U4" t="s">
        <v>311</v>
      </c>
    </row>
    <row r="5" spans="1:21" x14ac:dyDescent="0.25">
      <c r="A5">
        <v>4</v>
      </c>
      <c r="B5" t="s">
        <v>312</v>
      </c>
      <c r="C5" t="s">
        <v>313</v>
      </c>
      <c r="D5">
        <v>2003</v>
      </c>
      <c r="E5" t="s">
        <v>314</v>
      </c>
      <c r="F5" t="s">
        <v>315</v>
      </c>
      <c r="G5" t="s">
        <v>51</v>
      </c>
      <c r="H5" t="s">
        <v>156</v>
      </c>
      <c r="I5" t="b">
        <v>1</v>
      </c>
      <c r="J5">
        <f t="shared" si="0"/>
        <v>27</v>
      </c>
      <c r="K5">
        <v>3.0070000000000001</v>
      </c>
      <c r="L5">
        <v>158</v>
      </c>
      <c r="M5" t="s">
        <v>316</v>
      </c>
      <c r="N5" t="s">
        <v>317</v>
      </c>
      <c r="O5" t="s">
        <v>317</v>
      </c>
      <c r="P5" t="s">
        <v>312</v>
      </c>
      <c r="Q5" t="s">
        <v>98</v>
      </c>
      <c r="R5" t="s">
        <v>98</v>
      </c>
      <c r="S5" t="s">
        <v>97</v>
      </c>
      <c r="T5" s="21">
        <v>1</v>
      </c>
    </row>
    <row r="6" spans="1:21" x14ac:dyDescent="0.25">
      <c r="A6">
        <v>5</v>
      </c>
      <c r="B6" t="s">
        <v>318</v>
      </c>
      <c r="C6" t="s">
        <v>319</v>
      </c>
      <c r="D6">
        <v>2012</v>
      </c>
      <c r="E6" t="s">
        <v>320</v>
      </c>
      <c r="F6" t="s">
        <v>321</v>
      </c>
      <c r="G6" t="s">
        <v>51</v>
      </c>
      <c r="H6" t="s">
        <v>174</v>
      </c>
      <c r="I6" t="b">
        <v>1</v>
      </c>
      <c r="J6">
        <f t="shared" si="0"/>
        <v>36</v>
      </c>
      <c r="K6">
        <v>0.76700000000000002</v>
      </c>
      <c r="L6">
        <v>176</v>
      </c>
      <c r="M6" t="s">
        <v>322</v>
      </c>
      <c r="N6" t="s">
        <v>323</v>
      </c>
      <c r="O6" t="s">
        <v>323</v>
      </c>
      <c r="P6" t="s">
        <v>318</v>
      </c>
      <c r="Q6" t="s">
        <v>98</v>
      </c>
      <c r="R6" t="s">
        <v>98</v>
      </c>
      <c r="S6" t="s">
        <v>97</v>
      </c>
      <c r="T6" s="21">
        <v>1</v>
      </c>
    </row>
    <row r="7" spans="1:21" x14ac:dyDescent="0.25">
      <c r="A7">
        <v>6</v>
      </c>
      <c r="B7" t="s">
        <v>324</v>
      </c>
      <c r="C7" t="s">
        <v>325</v>
      </c>
      <c r="D7">
        <v>1995</v>
      </c>
      <c r="E7" t="s">
        <v>326</v>
      </c>
      <c r="F7" t="s">
        <v>327</v>
      </c>
      <c r="G7" t="s">
        <v>51</v>
      </c>
      <c r="H7" t="s">
        <v>156</v>
      </c>
      <c r="I7" t="b">
        <v>1</v>
      </c>
      <c r="J7">
        <f t="shared" si="0"/>
        <v>19</v>
      </c>
      <c r="K7">
        <v>3.0070000000000001</v>
      </c>
      <c r="L7">
        <v>372</v>
      </c>
      <c r="M7" t="s">
        <v>328</v>
      </c>
      <c r="N7" t="s">
        <v>329</v>
      </c>
      <c r="O7" t="s">
        <v>329</v>
      </c>
      <c r="P7" t="s">
        <v>324</v>
      </c>
      <c r="Q7" t="s">
        <v>98</v>
      </c>
      <c r="R7" t="s">
        <v>98</v>
      </c>
      <c r="S7" t="s">
        <v>97</v>
      </c>
      <c r="T7" s="21">
        <v>1</v>
      </c>
    </row>
    <row r="8" spans="1:21" x14ac:dyDescent="0.25">
      <c r="A8">
        <v>7</v>
      </c>
      <c r="B8" t="s">
        <v>330</v>
      </c>
      <c r="C8" t="s">
        <v>331</v>
      </c>
      <c r="D8">
        <v>1976</v>
      </c>
      <c r="E8" t="s">
        <v>332</v>
      </c>
      <c r="F8" t="s">
        <v>333</v>
      </c>
      <c r="G8" t="s">
        <v>51</v>
      </c>
      <c r="H8" t="s">
        <v>156</v>
      </c>
      <c r="I8" t="b">
        <v>1</v>
      </c>
      <c r="J8">
        <f t="shared" si="0"/>
        <v>0</v>
      </c>
      <c r="K8">
        <v>3.0070000000000001</v>
      </c>
      <c r="L8">
        <v>382</v>
      </c>
      <c r="M8" t="s">
        <v>334</v>
      </c>
      <c r="N8" t="s">
        <v>335</v>
      </c>
      <c r="O8" t="s">
        <v>335</v>
      </c>
      <c r="P8" t="s">
        <v>330</v>
      </c>
      <c r="Q8" t="s">
        <v>98</v>
      </c>
      <c r="R8" t="s">
        <v>98</v>
      </c>
      <c r="S8" t="s">
        <v>97</v>
      </c>
      <c r="T8" s="21">
        <v>1</v>
      </c>
    </row>
    <row r="9" spans="1:21" x14ac:dyDescent="0.25">
      <c r="A9">
        <v>8</v>
      </c>
      <c r="B9" t="s">
        <v>336</v>
      </c>
      <c r="C9" t="s">
        <v>337</v>
      </c>
      <c r="D9">
        <v>1994</v>
      </c>
      <c r="E9" t="s">
        <v>338</v>
      </c>
      <c r="F9" t="s">
        <v>339</v>
      </c>
      <c r="G9" t="s">
        <v>51</v>
      </c>
      <c r="H9" t="s">
        <v>402</v>
      </c>
      <c r="I9" t="b">
        <v>1</v>
      </c>
      <c r="J9">
        <f t="shared" si="0"/>
        <v>18</v>
      </c>
      <c r="K9">
        <v>1.8520000000000001</v>
      </c>
      <c r="L9">
        <v>616</v>
      </c>
      <c r="M9" t="s">
        <v>340</v>
      </c>
      <c r="N9" t="s">
        <v>341</v>
      </c>
      <c r="P9" t="s">
        <v>336</v>
      </c>
      <c r="Q9" t="s">
        <v>98</v>
      </c>
      <c r="R9" t="s">
        <v>98</v>
      </c>
      <c r="S9" t="s">
        <v>97</v>
      </c>
      <c r="T9" s="21">
        <v>1</v>
      </c>
    </row>
    <row r="10" spans="1:21" x14ac:dyDescent="0.25">
      <c r="A10">
        <v>9</v>
      </c>
      <c r="B10" t="s">
        <v>342</v>
      </c>
      <c r="C10" t="s">
        <v>343</v>
      </c>
      <c r="D10">
        <v>1999</v>
      </c>
      <c r="E10" t="s">
        <v>344</v>
      </c>
      <c r="F10" t="s">
        <v>345</v>
      </c>
      <c r="G10" t="s">
        <v>51</v>
      </c>
      <c r="H10" t="s">
        <v>403</v>
      </c>
      <c r="I10" t="b">
        <v>1</v>
      </c>
      <c r="J10">
        <f t="shared" si="0"/>
        <v>23</v>
      </c>
      <c r="K10">
        <v>0.29799999999999999</v>
      </c>
      <c r="L10">
        <v>196</v>
      </c>
      <c r="M10" t="s">
        <v>346</v>
      </c>
      <c r="N10" t="s">
        <v>347</v>
      </c>
      <c r="O10" t="s">
        <v>347</v>
      </c>
      <c r="P10" t="s">
        <v>342</v>
      </c>
      <c r="Q10" t="s">
        <v>98</v>
      </c>
      <c r="R10" t="s">
        <v>98</v>
      </c>
      <c r="S10" t="s">
        <v>97</v>
      </c>
      <c r="T10" s="21">
        <v>1</v>
      </c>
    </row>
    <row r="11" spans="1:21" x14ac:dyDescent="0.25">
      <c r="A11">
        <v>10</v>
      </c>
      <c r="B11" t="s">
        <v>348</v>
      </c>
      <c r="C11" t="s">
        <v>349</v>
      </c>
      <c r="D11">
        <v>1996</v>
      </c>
      <c r="E11" t="s">
        <v>350</v>
      </c>
      <c r="F11" t="s">
        <v>351</v>
      </c>
      <c r="G11" t="s">
        <v>51</v>
      </c>
      <c r="H11" t="s">
        <v>176</v>
      </c>
      <c r="I11" t="b">
        <v>1</v>
      </c>
      <c r="J11">
        <f t="shared" si="0"/>
        <v>20</v>
      </c>
      <c r="K11">
        <v>1.383</v>
      </c>
      <c r="L11">
        <v>218</v>
      </c>
      <c r="M11" t="s">
        <v>352</v>
      </c>
      <c r="N11" t="s">
        <v>353</v>
      </c>
      <c r="P11" t="s">
        <v>348</v>
      </c>
      <c r="Q11" t="s">
        <v>98</v>
      </c>
      <c r="R11" t="s">
        <v>98</v>
      </c>
      <c r="S11" t="s">
        <v>97</v>
      </c>
      <c r="T11" s="21">
        <v>1</v>
      </c>
    </row>
    <row r="12" spans="1:21" x14ac:dyDescent="0.25">
      <c r="A12">
        <v>11</v>
      </c>
      <c r="B12" t="s">
        <v>354</v>
      </c>
      <c r="C12" t="s">
        <v>355</v>
      </c>
      <c r="D12">
        <v>2018</v>
      </c>
      <c r="E12" t="s">
        <v>356</v>
      </c>
      <c r="F12" t="s">
        <v>357</v>
      </c>
      <c r="G12" t="s">
        <v>51</v>
      </c>
      <c r="H12" t="s">
        <v>173</v>
      </c>
      <c r="I12" t="b">
        <v>1</v>
      </c>
      <c r="J12">
        <f t="shared" si="0"/>
        <v>42</v>
      </c>
      <c r="K12">
        <v>0.52800000000000002</v>
      </c>
      <c r="L12">
        <v>181</v>
      </c>
      <c r="M12" t="s">
        <v>358</v>
      </c>
      <c r="N12" t="s">
        <v>359</v>
      </c>
      <c r="O12" t="s">
        <v>359</v>
      </c>
      <c r="P12" t="s">
        <v>354</v>
      </c>
      <c r="Q12" t="s">
        <v>98</v>
      </c>
      <c r="R12" t="s">
        <v>98</v>
      </c>
      <c r="S12" t="s">
        <v>97</v>
      </c>
      <c r="T12" s="21" t="s">
        <v>360</v>
      </c>
    </row>
    <row r="13" spans="1:21" x14ac:dyDescent="0.25">
      <c r="A13">
        <v>12</v>
      </c>
      <c r="B13" t="s">
        <v>361</v>
      </c>
      <c r="C13" t="s">
        <v>362</v>
      </c>
      <c r="D13">
        <v>2012</v>
      </c>
      <c r="E13" t="s">
        <v>363</v>
      </c>
      <c r="F13" t="s">
        <v>364</v>
      </c>
      <c r="G13" t="s">
        <v>51</v>
      </c>
      <c r="H13" t="s">
        <v>157</v>
      </c>
      <c r="I13" t="b">
        <v>0</v>
      </c>
      <c r="J13">
        <f t="shared" si="0"/>
        <v>36</v>
      </c>
      <c r="K13">
        <v>0</v>
      </c>
      <c r="L13">
        <v>18</v>
      </c>
      <c r="M13" t="s">
        <v>365</v>
      </c>
      <c r="N13" t="s">
        <v>366</v>
      </c>
      <c r="O13" t="s">
        <v>366</v>
      </c>
      <c r="P13" t="s">
        <v>361</v>
      </c>
      <c r="Q13" t="s">
        <v>98</v>
      </c>
      <c r="R13" t="s">
        <v>98</v>
      </c>
      <c r="S13" t="s">
        <v>97</v>
      </c>
      <c r="T13" s="21">
        <v>1</v>
      </c>
    </row>
    <row r="14" spans="1:21" x14ac:dyDescent="0.25">
      <c r="A14">
        <v>13</v>
      </c>
      <c r="B14" t="s">
        <v>367</v>
      </c>
      <c r="C14" t="s">
        <v>368</v>
      </c>
      <c r="D14">
        <v>2020</v>
      </c>
      <c r="E14" t="s">
        <v>369</v>
      </c>
      <c r="F14" t="s">
        <v>370</v>
      </c>
      <c r="G14" t="s">
        <v>51</v>
      </c>
      <c r="H14" t="s">
        <v>404</v>
      </c>
      <c r="I14" t="b">
        <v>1</v>
      </c>
      <c r="J14">
        <f t="shared" si="0"/>
        <v>44</v>
      </c>
      <c r="K14">
        <v>8.1000000000000003E-2</v>
      </c>
      <c r="L14">
        <v>11</v>
      </c>
      <c r="M14" t="s">
        <v>371</v>
      </c>
      <c r="N14" t="s">
        <v>372</v>
      </c>
      <c r="O14" t="s">
        <v>372</v>
      </c>
      <c r="P14" t="s">
        <v>367</v>
      </c>
      <c r="Q14" t="s">
        <v>98</v>
      </c>
      <c r="R14" t="s">
        <v>98</v>
      </c>
      <c r="S14" t="s">
        <v>97</v>
      </c>
      <c r="T14" s="21">
        <v>1</v>
      </c>
    </row>
    <row r="15" spans="1:21" x14ac:dyDescent="0.25">
      <c r="A15">
        <v>14</v>
      </c>
      <c r="B15" t="s">
        <v>373</v>
      </c>
      <c r="C15" t="s">
        <v>374</v>
      </c>
      <c r="D15">
        <v>2005</v>
      </c>
      <c r="E15" t="s">
        <v>375</v>
      </c>
      <c r="F15" t="s">
        <v>376</v>
      </c>
      <c r="G15" t="s">
        <v>377</v>
      </c>
      <c r="H15" t="s">
        <v>157</v>
      </c>
      <c r="I15" t="b">
        <v>0</v>
      </c>
      <c r="J15">
        <f t="shared" si="0"/>
        <v>29</v>
      </c>
      <c r="K15">
        <v>0</v>
      </c>
      <c r="L15">
        <v>1</v>
      </c>
      <c r="M15" t="s">
        <v>378</v>
      </c>
      <c r="N15" t="s">
        <v>379</v>
      </c>
      <c r="O15" t="s">
        <v>379</v>
      </c>
      <c r="P15" t="s">
        <v>373</v>
      </c>
      <c r="Q15" t="s">
        <v>98</v>
      </c>
      <c r="R15" t="s">
        <v>98</v>
      </c>
      <c r="S15" t="s">
        <v>97</v>
      </c>
      <c r="T15" s="21">
        <v>1</v>
      </c>
      <c r="U15" t="s">
        <v>380</v>
      </c>
    </row>
    <row r="16" spans="1:21" x14ac:dyDescent="0.25">
      <c r="A16">
        <v>15</v>
      </c>
      <c r="B16" t="s">
        <v>381</v>
      </c>
      <c r="C16" t="s">
        <v>382</v>
      </c>
      <c r="D16">
        <v>2003</v>
      </c>
      <c r="E16" t="s">
        <v>383</v>
      </c>
      <c r="F16" t="s">
        <v>384</v>
      </c>
      <c r="G16" t="s">
        <v>385</v>
      </c>
      <c r="H16" t="s">
        <v>173</v>
      </c>
      <c r="I16" t="b">
        <v>1</v>
      </c>
      <c r="J16">
        <f t="shared" si="0"/>
        <v>27</v>
      </c>
      <c r="K16">
        <v>0.52800000000000002</v>
      </c>
      <c r="L16">
        <v>265</v>
      </c>
      <c r="M16" t="s">
        <v>386</v>
      </c>
      <c r="N16" t="s">
        <v>387</v>
      </c>
      <c r="O16" t="s">
        <v>388</v>
      </c>
      <c r="P16" t="s">
        <v>381</v>
      </c>
      <c r="Q16" t="s">
        <v>98</v>
      </c>
      <c r="R16" t="s">
        <v>98</v>
      </c>
      <c r="S16" t="s">
        <v>97</v>
      </c>
      <c r="T16" s="21">
        <v>1</v>
      </c>
      <c r="U16" t="s">
        <v>380</v>
      </c>
    </row>
    <row r="17" spans="1:21" x14ac:dyDescent="0.25">
      <c r="A17">
        <v>16</v>
      </c>
      <c r="B17" t="s">
        <v>389</v>
      </c>
      <c r="C17" t="s">
        <v>325</v>
      </c>
      <c r="D17">
        <v>2004</v>
      </c>
      <c r="E17" t="s">
        <v>390</v>
      </c>
      <c r="F17" t="s">
        <v>391</v>
      </c>
      <c r="G17" t="s">
        <v>392</v>
      </c>
      <c r="H17" t="s">
        <v>155</v>
      </c>
      <c r="I17" t="b">
        <v>1</v>
      </c>
      <c r="J17">
        <f t="shared" si="0"/>
        <v>28</v>
      </c>
      <c r="K17">
        <v>0.29799999999999999</v>
      </c>
      <c r="L17">
        <v>19</v>
      </c>
      <c r="M17" t="s">
        <v>393</v>
      </c>
      <c r="N17" t="s">
        <v>394</v>
      </c>
      <c r="O17" t="s">
        <v>395</v>
      </c>
      <c r="P17" t="s">
        <v>389</v>
      </c>
      <c r="Q17" t="s">
        <v>98</v>
      </c>
      <c r="R17" t="s">
        <v>98</v>
      </c>
      <c r="S17" t="s">
        <v>97</v>
      </c>
      <c r="T17" s="21">
        <v>1</v>
      </c>
      <c r="U17" t="s">
        <v>380</v>
      </c>
    </row>
    <row r="18" spans="1:21" x14ac:dyDescent="0.25">
      <c r="A18">
        <v>17</v>
      </c>
      <c r="B18" t="s">
        <v>396</v>
      </c>
      <c r="C18" t="s">
        <v>397</v>
      </c>
      <c r="D18">
        <v>1999</v>
      </c>
      <c r="E18" t="s">
        <v>398</v>
      </c>
      <c r="F18" t="s">
        <v>399</v>
      </c>
      <c r="G18" t="s">
        <v>51</v>
      </c>
      <c r="H18" t="s">
        <v>173</v>
      </c>
      <c r="I18" t="b">
        <v>1</v>
      </c>
      <c r="J18">
        <f t="shared" si="0"/>
        <v>23</v>
      </c>
      <c r="K18">
        <v>0.52800000000000002</v>
      </c>
      <c r="L18">
        <v>177</v>
      </c>
      <c r="M18" t="s">
        <v>51</v>
      </c>
      <c r="N18" t="s">
        <v>406</v>
      </c>
      <c r="O18" t="s">
        <v>407</v>
      </c>
      <c r="P18" t="s">
        <v>396</v>
      </c>
      <c r="Q18" t="s">
        <v>98</v>
      </c>
      <c r="R18" t="s">
        <v>98</v>
      </c>
      <c r="S18" t="s">
        <v>97</v>
      </c>
      <c r="T18" s="21" t="s">
        <v>51</v>
      </c>
      <c r="U18" t="s">
        <v>400</v>
      </c>
    </row>
  </sheetData>
  <conditionalFormatting sqref="F1">
    <cfRule type="containsBlanks" dxfId="175" priority="802">
      <formula>LEN(TRIM(F1))=0</formula>
    </cfRule>
  </conditionalFormatting>
  <conditionalFormatting sqref="Q2:S2">
    <cfRule type="containsText" dxfId="174" priority="189" operator="containsText" text="PRIMARY STUDY">
      <formula>NOT(ISERROR(SEARCH("PRIMARY STUDY",Q2)))</formula>
    </cfRule>
    <cfRule type="notContainsText" dxfId="173" priority="190" operator="notContains" text="YES">
      <formula>ISERROR(SEARCH("YES",Q2))</formula>
    </cfRule>
    <cfRule type="containsText" dxfId="172" priority="191" operator="containsText" text="YES">
      <formula>NOT(ISERROR(SEARCH("YES",Q2)))</formula>
    </cfRule>
  </conditionalFormatting>
  <conditionalFormatting sqref="T2">
    <cfRule type="containsBlanks" dxfId="171" priority="192">
      <formula>LEN(TRIM(T2))=0</formula>
    </cfRule>
  </conditionalFormatting>
  <conditionalFormatting sqref="T2">
    <cfRule type="cellIs" dxfId="170" priority="187" operator="between">
      <formula>1</formula>
      <formula>4</formula>
    </cfRule>
    <cfRule type="containsText" dxfId="169" priority="188" operator="containsText" text="X">
      <formula>NOT(ISERROR(SEARCH("X",T2)))</formula>
    </cfRule>
  </conditionalFormatting>
  <conditionalFormatting sqref="Q3:S3">
    <cfRule type="containsText" dxfId="168" priority="183" operator="containsText" text="PRIMARY STUDY">
      <formula>NOT(ISERROR(SEARCH("PRIMARY STUDY",Q3)))</formula>
    </cfRule>
    <cfRule type="notContainsText" dxfId="167" priority="184" operator="notContains" text="YES">
      <formula>ISERROR(SEARCH("YES",Q3))</formula>
    </cfRule>
    <cfRule type="containsText" dxfId="166" priority="185" operator="containsText" text="YES">
      <formula>NOT(ISERROR(SEARCH("YES",Q3)))</formula>
    </cfRule>
  </conditionalFormatting>
  <conditionalFormatting sqref="T3">
    <cfRule type="containsBlanks" dxfId="165" priority="186">
      <formula>LEN(TRIM(T3))=0</formula>
    </cfRule>
  </conditionalFormatting>
  <conditionalFormatting sqref="T3">
    <cfRule type="cellIs" dxfId="164" priority="181" operator="between">
      <formula>1</formula>
      <formula>4</formula>
    </cfRule>
    <cfRule type="containsText" dxfId="163" priority="182" operator="containsText" text="X">
      <formula>NOT(ISERROR(SEARCH("X",T3)))</formula>
    </cfRule>
  </conditionalFormatting>
  <conditionalFormatting sqref="Q4:S4">
    <cfRule type="containsText" dxfId="162" priority="177" operator="containsText" text="PRIMARY STUDY">
      <formula>NOT(ISERROR(SEARCH("PRIMARY STUDY",Q4)))</formula>
    </cfRule>
    <cfRule type="notContainsText" dxfId="161" priority="178" operator="notContains" text="YES">
      <formula>ISERROR(SEARCH("YES",Q4))</formula>
    </cfRule>
    <cfRule type="containsText" dxfId="160" priority="179" operator="containsText" text="YES">
      <formula>NOT(ISERROR(SEARCH("YES",Q4)))</formula>
    </cfRule>
  </conditionalFormatting>
  <conditionalFormatting sqref="T4">
    <cfRule type="containsBlanks" dxfId="159" priority="180">
      <formula>LEN(TRIM(T4))=0</formula>
    </cfRule>
  </conditionalFormatting>
  <conditionalFormatting sqref="T4">
    <cfRule type="cellIs" dxfId="158" priority="175" operator="between">
      <formula>1</formula>
      <formula>4</formula>
    </cfRule>
    <cfRule type="containsText" dxfId="157" priority="176" operator="containsText" text="X">
      <formula>NOT(ISERROR(SEARCH("X",T4)))</formula>
    </cfRule>
  </conditionalFormatting>
  <conditionalFormatting sqref="Q6:S6">
    <cfRule type="containsText" dxfId="156" priority="171" operator="containsText" text="PRIMARY STUDY">
      <formula>NOT(ISERROR(SEARCH("PRIMARY STUDY",Q6)))</formula>
    </cfRule>
    <cfRule type="notContainsText" dxfId="155" priority="172" operator="notContains" text="YES">
      <formula>ISERROR(SEARCH("YES",Q6))</formula>
    </cfRule>
    <cfRule type="containsText" dxfId="154" priority="173" operator="containsText" text="YES">
      <formula>NOT(ISERROR(SEARCH("YES",Q6)))</formula>
    </cfRule>
  </conditionalFormatting>
  <conditionalFormatting sqref="T6">
    <cfRule type="containsBlanks" dxfId="153" priority="174">
      <formula>LEN(TRIM(T6))=0</formula>
    </cfRule>
  </conditionalFormatting>
  <conditionalFormatting sqref="T6">
    <cfRule type="cellIs" dxfId="152" priority="169" operator="between">
      <formula>1</formula>
      <formula>4</formula>
    </cfRule>
    <cfRule type="containsText" dxfId="151" priority="170" operator="containsText" text="X">
      <formula>NOT(ISERROR(SEARCH("X",T6)))</formula>
    </cfRule>
  </conditionalFormatting>
  <conditionalFormatting sqref="Q7:S7">
    <cfRule type="containsText" dxfId="150" priority="165" operator="containsText" text="PRIMARY STUDY">
      <formula>NOT(ISERROR(SEARCH("PRIMARY STUDY",Q7)))</formula>
    </cfRule>
    <cfRule type="notContainsText" dxfId="149" priority="166" operator="notContains" text="YES">
      <formula>ISERROR(SEARCH("YES",Q7))</formula>
    </cfRule>
    <cfRule type="containsText" dxfId="148" priority="167" operator="containsText" text="YES">
      <formula>NOT(ISERROR(SEARCH("YES",Q7)))</formula>
    </cfRule>
  </conditionalFormatting>
  <conditionalFormatting sqref="T7">
    <cfRule type="containsBlanks" dxfId="147" priority="168">
      <formula>LEN(TRIM(T7))=0</formula>
    </cfRule>
  </conditionalFormatting>
  <conditionalFormatting sqref="T7">
    <cfRule type="cellIs" dxfId="146" priority="163" operator="between">
      <formula>1</formula>
      <formula>4</formula>
    </cfRule>
    <cfRule type="containsText" dxfId="145" priority="164" operator="containsText" text="X">
      <formula>NOT(ISERROR(SEARCH("X",T7)))</formula>
    </cfRule>
  </conditionalFormatting>
  <conditionalFormatting sqref="Q8:S8">
    <cfRule type="containsText" dxfId="144" priority="159" operator="containsText" text="PRIMARY STUDY">
      <formula>NOT(ISERROR(SEARCH("PRIMARY STUDY",Q8)))</formula>
    </cfRule>
    <cfRule type="notContainsText" dxfId="143" priority="160" operator="notContains" text="YES">
      <formula>ISERROR(SEARCH("YES",Q8))</formula>
    </cfRule>
    <cfRule type="containsText" dxfId="142" priority="161" operator="containsText" text="YES">
      <formula>NOT(ISERROR(SEARCH("YES",Q8)))</formula>
    </cfRule>
  </conditionalFormatting>
  <conditionalFormatting sqref="T8">
    <cfRule type="containsBlanks" dxfId="141" priority="162">
      <formula>LEN(TRIM(T8))=0</formula>
    </cfRule>
  </conditionalFormatting>
  <conditionalFormatting sqref="T8">
    <cfRule type="cellIs" dxfId="140" priority="157" operator="between">
      <formula>1</formula>
      <formula>4</formula>
    </cfRule>
    <cfRule type="containsText" dxfId="139" priority="158" operator="containsText" text="X">
      <formula>NOT(ISERROR(SEARCH("X",T8)))</formula>
    </cfRule>
  </conditionalFormatting>
  <conditionalFormatting sqref="Q9:S9">
    <cfRule type="containsText" dxfId="138" priority="153" operator="containsText" text="PRIMARY STUDY">
      <formula>NOT(ISERROR(SEARCH("PRIMARY STUDY",Q9)))</formula>
    </cfRule>
    <cfRule type="notContainsText" dxfId="137" priority="154" operator="notContains" text="YES">
      <formula>ISERROR(SEARCH("YES",Q9))</formula>
    </cfRule>
    <cfRule type="containsText" dxfId="136" priority="155" operator="containsText" text="YES">
      <formula>NOT(ISERROR(SEARCH("YES",Q9)))</formula>
    </cfRule>
  </conditionalFormatting>
  <conditionalFormatting sqref="T9">
    <cfRule type="containsBlanks" dxfId="135" priority="156">
      <formula>LEN(TRIM(T9))=0</formula>
    </cfRule>
  </conditionalFormatting>
  <conditionalFormatting sqref="T9">
    <cfRule type="cellIs" dxfId="134" priority="151" operator="between">
      <formula>1</formula>
      <formula>4</formula>
    </cfRule>
    <cfRule type="containsText" dxfId="133" priority="152" operator="containsText" text="X">
      <formula>NOT(ISERROR(SEARCH("X",T9)))</formula>
    </cfRule>
  </conditionalFormatting>
  <conditionalFormatting sqref="Q10:S10">
    <cfRule type="containsText" dxfId="132" priority="147" operator="containsText" text="PRIMARY STUDY">
      <formula>NOT(ISERROR(SEARCH("PRIMARY STUDY",Q10)))</formula>
    </cfRule>
    <cfRule type="notContainsText" dxfId="131" priority="148" operator="notContains" text="YES">
      <formula>ISERROR(SEARCH("YES",Q10))</formula>
    </cfRule>
    <cfRule type="containsText" dxfId="130" priority="149" operator="containsText" text="YES">
      <formula>NOT(ISERROR(SEARCH("YES",Q10)))</formula>
    </cfRule>
  </conditionalFormatting>
  <conditionalFormatting sqref="T10">
    <cfRule type="containsBlanks" dxfId="129" priority="150">
      <formula>LEN(TRIM(T10))=0</formula>
    </cfRule>
  </conditionalFormatting>
  <conditionalFormatting sqref="T10">
    <cfRule type="cellIs" dxfId="128" priority="145" operator="between">
      <formula>1</formula>
      <formula>4</formula>
    </cfRule>
    <cfRule type="containsText" dxfId="127" priority="146" operator="containsText" text="X">
      <formula>NOT(ISERROR(SEARCH("X",T10)))</formula>
    </cfRule>
  </conditionalFormatting>
  <conditionalFormatting sqref="Q11:S11">
    <cfRule type="containsText" dxfId="126" priority="141" operator="containsText" text="PRIMARY STUDY">
      <formula>NOT(ISERROR(SEARCH("PRIMARY STUDY",Q11)))</formula>
    </cfRule>
    <cfRule type="notContainsText" dxfId="125" priority="142" operator="notContains" text="YES">
      <formula>ISERROR(SEARCH("YES",Q11))</formula>
    </cfRule>
    <cfRule type="containsText" dxfId="124" priority="143" operator="containsText" text="YES">
      <formula>NOT(ISERROR(SEARCH("YES",Q11)))</formula>
    </cfRule>
  </conditionalFormatting>
  <conditionalFormatting sqref="T11">
    <cfRule type="containsBlanks" dxfId="123" priority="144">
      <formula>LEN(TRIM(T11))=0</formula>
    </cfRule>
  </conditionalFormatting>
  <conditionalFormatting sqref="T11">
    <cfRule type="cellIs" dxfId="122" priority="139" operator="between">
      <formula>1</formula>
      <formula>4</formula>
    </cfRule>
    <cfRule type="containsText" dxfId="121" priority="140" operator="containsText" text="X">
      <formula>NOT(ISERROR(SEARCH("X",T11)))</formula>
    </cfRule>
  </conditionalFormatting>
  <conditionalFormatting sqref="Q12:S12">
    <cfRule type="containsText" dxfId="120" priority="129" operator="containsText" text="PRIMARY STUDY">
      <formula>NOT(ISERROR(SEARCH("PRIMARY STUDY",Q12)))</formula>
    </cfRule>
    <cfRule type="notContainsText" dxfId="119" priority="130" operator="notContains" text="YES">
      <formula>ISERROR(SEARCH("YES",Q12))</formula>
    </cfRule>
    <cfRule type="containsText" dxfId="118" priority="131" operator="containsText" text="YES">
      <formula>NOT(ISERROR(SEARCH("YES",Q12)))</formula>
    </cfRule>
  </conditionalFormatting>
  <conditionalFormatting sqref="T12">
    <cfRule type="containsBlanks" dxfId="117" priority="132">
      <formula>LEN(TRIM(T12))=0</formula>
    </cfRule>
  </conditionalFormatting>
  <conditionalFormatting sqref="T12">
    <cfRule type="cellIs" dxfId="116" priority="127" operator="between">
      <formula>1</formula>
      <formula>4</formula>
    </cfRule>
    <cfRule type="containsText" dxfId="115" priority="128" operator="containsText" text="X">
      <formula>NOT(ISERROR(SEARCH("X",T12)))</formula>
    </cfRule>
  </conditionalFormatting>
  <conditionalFormatting sqref="Q13:S13">
    <cfRule type="containsText" dxfId="114" priority="123" operator="containsText" text="PRIMARY STUDY">
      <formula>NOT(ISERROR(SEARCH("PRIMARY STUDY",Q13)))</formula>
    </cfRule>
    <cfRule type="notContainsText" dxfId="113" priority="124" operator="notContains" text="YES">
      <formula>ISERROR(SEARCH("YES",Q13))</formula>
    </cfRule>
    <cfRule type="containsText" dxfId="112" priority="125" operator="containsText" text="YES">
      <formula>NOT(ISERROR(SEARCH("YES",Q13)))</formula>
    </cfRule>
  </conditionalFormatting>
  <conditionalFormatting sqref="T13">
    <cfRule type="containsBlanks" dxfId="111" priority="126">
      <formula>LEN(TRIM(T13))=0</formula>
    </cfRule>
  </conditionalFormatting>
  <conditionalFormatting sqref="T13">
    <cfRule type="cellIs" dxfId="110" priority="121" operator="between">
      <formula>1</formula>
      <formula>4</formula>
    </cfRule>
    <cfRule type="containsText" dxfId="109" priority="122" operator="containsText" text="X">
      <formula>NOT(ISERROR(SEARCH("X",T13)))</formula>
    </cfRule>
  </conditionalFormatting>
  <conditionalFormatting sqref="Q6:S6">
    <cfRule type="containsText" dxfId="108" priority="117" operator="containsText" text="PRIMARY STUDY">
      <formula>NOT(ISERROR(SEARCH("PRIMARY STUDY",Q6)))</formula>
    </cfRule>
    <cfRule type="notContainsText" dxfId="107" priority="118" operator="notContains" text="YES">
      <formula>ISERROR(SEARCH("YES",Q6))</formula>
    </cfRule>
    <cfRule type="containsText" dxfId="106" priority="119" operator="containsText" text="YES">
      <formula>NOT(ISERROR(SEARCH("YES",Q6)))</formula>
    </cfRule>
  </conditionalFormatting>
  <conditionalFormatting sqref="T6">
    <cfRule type="containsBlanks" dxfId="105" priority="120">
      <formula>LEN(TRIM(T6))=0</formula>
    </cfRule>
  </conditionalFormatting>
  <conditionalFormatting sqref="T6">
    <cfRule type="cellIs" dxfId="104" priority="115" operator="between">
      <formula>1</formula>
      <formula>4</formula>
    </cfRule>
    <cfRule type="containsText" dxfId="103" priority="116" operator="containsText" text="X">
      <formula>NOT(ISERROR(SEARCH("X",T6)))</formula>
    </cfRule>
  </conditionalFormatting>
  <conditionalFormatting sqref="Q7:S7">
    <cfRule type="containsText" dxfId="102" priority="111" operator="containsText" text="PRIMARY STUDY">
      <formula>NOT(ISERROR(SEARCH("PRIMARY STUDY",Q7)))</formula>
    </cfRule>
    <cfRule type="notContainsText" dxfId="101" priority="112" operator="notContains" text="YES">
      <formula>ISERROR(SEARCH("YES",Q7))</formula>
    </cfRule>
    <cfRule type="containsText" dxfId="100" priority="113" operator="containsText" text="YES">
      <formula>NOT(ISERROR(SEARCH("YES",Q7)))</formula>
    </cfRule>
  </conditionalFormatting>
  <conditionalFormatting sqref="T7">
    <cfRule type="containsBlanks" dxfId="99" priority="114">
      <formula>LEN(TRIM(T7))=0</formula>
    </cfRule>
  </conditionalFormatting>
  <conditionalFormatting sqref="T7">
    <cfRule type="cellIs" dxfId="98" priority="109" operator="between">
      <formula>1</formula>
      <formula>4</formula>
    </cfRule>
    <cfRule type="containsText" dxfId="97" priority="110" operator="containsText" text="X">
      <formula>NOT(ISERROR(SEARCH("X",T7)))</formula>
    </cfRule>
  </conditionalFormatting>
  <conditionalFormatting sqref="Q8:S8">
    <cfRule type="containsText" dxfId="96" priority="105" operator="containsText" text="PRIMARY STUDY">
      <formula>NOT(ISERROR(SEARCH("PRIMARY STUDY",Q8)))</formula>
    </cfRule>
    <cfRule type="notContainsText" dxfId="95" priority="106" operator="notContains" text="YES">
      <formula>ISERROR(SEARCH("YES",Q8))</formula>
    </cfRule>
    <cfRule type="containsText" dxfId="94" priority="107" operator="containsText" text="YES">
      <formula>NOT(ISERROR(SEARCH("YES",Q8)))</formula>
    </cfRule>
  </conditionalFormatting>
  <conditionalFormatting sqref="T8">
    <cfRule type="containsBlanks" dxfId="93" priority="108">
      <formula>LEN(TRIM(T8))=0</formula>
    </cfRule>
  </conditionalFormatting>
  <conditionalFormatting sqref="T8">
    <cfRule type="cellIs" dxfId="92" priority="103" operator="between">
      <formula>1</formula>
      <formula>4</formula>
    </cfRule>
    <cfRule type="containsText" dxfId="91" priority="104" operator="containsText" text="X">
      <formula>NOT(ISERROR(SEARCH("X",T8)))</formula>
    </cfRule>
  </conditionalFormatting>
  <conditionalFormatting sqref="Q9:S9">
    <cfRule type="containsText" dxfId="90" priority="99" operator="containsText" text="PRIMARY STUDY">
      <formula>NOT(ISERROR(SEARCH("PRIMARY STUDY",Q9)))</formula>
    </cfRule>
    <cfRule type="notContainsText" dxfId="89" priority="100" operator="notContains" text="YES">
      <formula>ISERROR(SEARCH("YES",Q9))</formula>
    </cfRule>
    <cfRule type="containsText" dxfId="88" priority="101" operator="containsText" text="YES">
      <formula>NOT(ISERROR(SEARCH("YES",Q9)))</formula>
    </cfRule>
  </conditionalFormatting>
  <conditionalFormatting sqref="T9">
    <cfRule type="containsBlanks" dxfId="87" priority="102">
      <formula>LEN(TRIM(T9))=0</formula>
    </cfRule>
  </conditionalFormatting>
  <conditionalFormatting sqref="T9">
    <cfRule type="cellIs" dxfId="86" priority="97" operator="between">
      <formula>1</formula>
      <formula>4</formula>
    </cfRule>
    <cfRule type="containsText" dxfId="85" priority="98" operator="containsText" text="X">
      <formula>NOT(ISERROR(SEARCH("X",T9)))</formula>
    </cfRule>
  </conditionalFormatting>
  <conditionalFormatting sqref="Q10:S10">
    <cfRule type="containsText" dxfId="84" priority="93" operator="containsText" text="PRIMARY STUDY">
      <formula>NOT(ISERROR(SEARCH("PRIMARY STUDY",Q10)))</formula>
    </cfRule>
    <cfRule type="notContainsText" dxfId="83" priority="94" operator="notContains" text="YES">
      <formula>ISERROR(SEARCH("YES",Q10))</formula>
    </cfRule>
    <cfRule type="containsText" dxfId="82" priority="95" operator="containsText" text="YES">
      <formula>NOT(ISERROR(SEARCH("YES",Q10)))</formula>
    </cfRule>
  </conditionalFormatting>
  <conditionalFormatting sqref="T10">
    <cfRule type="containsBlanks" dxfId="81" priority="96">
      <formula>LEN(TRIM(T10))=0</formula>
    </cfRule>
  </conditionalFormatting>
  <conditionalFormatting sqref="T10">
    <cfRule type="cellIs" dxfId="80" priority="91" operator="between">
      <formula>1</formula>
      <formula>4</formula>
    </cfRule>
    <cfRule type="containsText" dxfId="79" priority="92" operator="containsText" text="X">
      <formula>NOT(ISERROR(SEARCH("X",T10)))</formula>
    </cfRule>
  </conditionalFormatting>
  <conditionalFormatting sqref="Q11:S11">
    <cfRule type="containsText" dxfId="78" priority="87" operator="containsText" text="PRIMARY STUDY">
      <formula>NOT(ISERROR(SEARCH("PRIMARY STUDY",Q11)))</formula>
    </cfRule>
    <cfRule type="notContainsText" dxfId="77" priority="88" operator="notContains" text="YES">
      <formula>ISERROR(SEARCH("YES",Q11))</formula>
    </cfRule>
    <cfRule type="containsText" dxfId="76" priority="89" operator="containsText" text="YES">
      <formula>NOT(ISERROR(SEARCH("YES",Q11)))</formula>
    </cfRule>
  </conditionalFormatting>
  <conditionalFormatting sqref="T11">
    <cfRule type="containsBlanks" dxfId="75" priority="90">
      <formula>LEN(TRIM(T11))=0</formula>
    </cfRule>
  </conditionalFormatting>
  <conditionalFormatting sqref="T11">
    <cfRule type="cellIs" dxfId="74" priority="85" operator="between">
      <formula>1</formula>
      <formula>4</formula>
    </cfRule>
    <cfRule type="containsText" dxfId="73" priority="86" operator="containsText" text="X">
      <formula>NOT(ISERROR(SEARCH("X",T11)))</formula>
    </cfRule>
  </conditionalFormatting>
  <conditionalFormatting sqref="Q12:S12">
    <cfRule type="containsText" dxfId="72" priority="75" operator="containsText" text="PRIMARY STUDY">
      <formula>NOT(ISERROR(SEARCH("PRIMARY STUDY",Q12)))</formula>
    </cfRule>
    <cfRule type="notContainsText" dxfId="71" priority="76" operator="notContains" text="YES">
      <formula>ISERROR(SEARCH("YES",Q12))</formula>
    </cfRule>
    <cfRule type="containsText" dxfId="70" priority="77" operator="containsText" text="YES">
      <formula>NOT(ISERROR(SEARCH("YES",Q12)))</formula>
    </cfRule>
  </conditionalFormatting>
  <conditionalFormatting sqref="T12">
    <cfRule type="containsBlanks" dxfId="69" priority="78">
      <formula>LEN(TRIM(T12))=0</formula>
    </cfRule>
  </conditionalFormatting>
  <conditionalFormatting sqref="T12">
    <cfRule type="cellIs" dxfId="68" priority="73" operator="between">
      <formula>1</formula>
      <formula>4</formula>
    </cfRule>
    <cfRule type="containsText" dxfId="67" priority="74" operator="containsText" text="X">
      <formula>NOT(ISERROR(SEARCH("X",T12)))</formula>
    </cfRule>
  </conditionalFormatting>
  <conditionalFormatting sqref="Q13:S13">
    <cfRule type="containsText" dxfId="66" priority="69" operator="containsText" text="PRIMARY STUDY">
      <formula>NOT(ISERROR(SEARCH("PRIMARY STUDY",Q13)))</formula>
    </cfRule>
    <cfRule type="notContainsText" dxfId="65" priority="70" operator="notContains" text="YES">
      <formula>ISERROR(SEARCH("YES",Q13))</formula>
    </cfRule>
    <cfRule type="containsText" dxfId="64" priority="71" operator="containsText" text="YES">
      <formula>NOT(ISERROR(SEARCH("YES",Q13)))</formula>
    </cfRule>
  </conditionalFormatting>
  <conditionalFormatting sqref="T13">
    <cfRule type="containsBlanks" dxfId="63" priority="72">
      <formula>LEN(TRIM(T13))=0</formula>
    </cfRule>
  </conditionalFormatting>
  <conditionalFormatting sqref="T13">
    <cfRule type="cellIs" dxfId="62" priority="67" operator="between">
      <formula>1</formula>
      <formula>4</formula>
    </cfRule>
    <cfRule type="containsText" dxfId="61" priority="68" operator="containsText" text="X">
      <formula>NOT(ISERROR(SEARCH("X",T13)))</formula>
    </cfRule>
  </conditionalFormatting>
  <conditionalFormatting sqref="Q14:S14">
    <cfRule type="containsText" dxfId="60" priority="63" operator="containsText" text="PRIMARY STUDY">
      <formula>NOT(ISERROR(SEARCH("PRIMARY STUDY",Q14)))</formula>
    </cfRule>
    <cfRule type="notContainsText" dxfId="59" priority="64" operator="notContains" text="YES">
      <formula>ISERROR(SEARCH("YES",Q14))</formula>
    </cfRule>
    <cfRule type="containsText" dxfId="58" priority="65" operator="containsText" text="YES">
      <formula>NOT(ISERROR(SEARCH("YES",Q14)))</formula>
    </cfRule>
  </conditionalFormatting>
  <conditionalFormatting sqref="T14">
    <cfRule type="containsBlanks" dxfId="57" priority="66">
      <formula>LEN(TRIM(T14))=0</formula>
    </cfRule>
  </conditionalFormatting>
  <conditionalFormatting sqref="T14">
    <cfRule type="cellIs" dxfId="56" priority="61" operator="between">
      <formula>1</formula>
      <formula>4</formula>
    </cfRule>
    <cfRule type="containsText" dxfId="55" priority="62" operator="containsText" text="X">
      <formula>NOT(ISERROR(SEARCH("X",T14)))</formula>
    </cfRule>
  </conditionalFormatting>
  <conditionalFormatting sqref="Q5:S5">
    <cfRule type="containsText" dxfId="54" priority="57" operator="containsText" text="PRIMARY STUDY">
      <formula>NOT(ISERROR(SEARCH("PRIMARY STUDY",Q5)))</formula>
    </cfRule>
    <cfRule type="notContainsText" dxfId="53" priority="58" operator="notContains" text="YES">
      <formula>ISERROR(SEARCH("YES",Q5))</formula>
    </cfRule>
    <cfRule type="containsText" dxfId="52" priority="59" operator="containsText" text="YES">
      <formula>NOT(ISERROR(SEARCH("YES",Q5)))</formula>
    </cfRule>
  </conditionalFormatting>
  <conditionalFormatting sqref="T5">
    <cfRule type="containsBlanks" dxfId="51" priority="60">
      <formula>LEN(TRIM(T5))=0</formula>
    </cfRule>
  </conditionalFormatting>
  <conditionalFormatting sqref="T5">
    <cfRule type="cellIs" dxfId="50" priority="55" operator="between">
      <formula>1</formula>
      <formula>4</formula>
    </cfRule>
    <cfRule type="containsText" dxfId="49" priority="56" operator="containsText" text="X">
      <formula>NOT(ISERROR(SEARCH("X",T5)))</formula>
    </cfRule>
  </conditionalFormatting>
  <conditionalFormatting sqref="Q15:S15">
    <cfRule type="containsText" dxfId="48" priority="51" operator="containsText" text="PRIMARY STUDY">
      <formula>NOT(ISERROR(SEARCH("PRIMARY STUDY",Q15)))</formula>
    </cfRule>
    <cfRule type="notContainsText" dxfId="47" priority="52" operator="notContains" text="YES">
      <formula>ISERROR(SEARCH("YES",Q15))</formula>
    </cfRule>
    <cfRule type="containsText" dxfId="46" priority="53" operator="containsText" text="YES">
      <formula>NOT(ISERROR(SEARCH("YES",Q15)))</formula>
    </cfRule>
  </conditionalFormatting>
  <conditionalFormatting sqref="T15">
    <cfRule type="cellIs" dxfId="45" priority="49" operator="between">
      <formula>1</formula>
      <formula>4</formula>
    </cfRule>
    <cfRule type="containsText" dxfId="44" priority="50" operator="containsText" text="X">
      <formula>NOT(ISERROR(SEARCH("X",T15)))</formula>
    </cfRule>
    <cfRule type="containsBlanks" dxfId="43" priority="54">
      <formula>LEN(TRIM(T15))=0</formula>
    </cfRule>
  </conditionalFormatting>
  <conditionalFormatting sqref="Q15:S15">
    <cfRule type="containsText" dxfId="42" priority="45" operator="containsText" text="PRIMARY STUDY">
      <formula>NOT(ISERROR(SEARCH("PRIMARY STUDY",Q15)))</formula>
    </cfRule>
    <cfRule type="notContainsText" dxfId="41" priority="46" operator="notContains" text="YES">
      <formula>ISERROR(SEARCH("YES",Q15))</formula>
    </cfRule>
    <cfRule type="containsText" dxfId="40" priority="47" operator="containsText" text="YES">
      <formula>NOT(ISERROR(SEARCH("YES",Q15)))</formula>
    </cfRule>
  </conditionalFormatting>
  <conditionalFormatting sqref="T15">
    <cfRule type="containsBlanks" dxfId="39" priority="48">
      <formula>LEN(TRIM(T15))=0</formula>
    </cfRule>
  </conditionalFormatting>
  <conditionalFormatting sqref="T15">
    <cfRule type="cellIs" dxfId="38" priority="43" operator="between">
      <formula>1</formula>
      <formula>4</formula>
    </cfRule>
    <cfRule type="containsText" dxfId="37" priority="44" operator="containsText" text="X">
      <formula>NOT(ISERROR(SEARCH("X",T15)))</formula>
    </cfRule>
  </conditionalFormatting>
  <conditionalFormatting sqref="Q16:S16">
    <cfRule type="containsText" dxfId="36" priority="39" operator="containsText" text="PRIMARY STUDY">
      <formula>NOT(ISERROR(SEARCH("PRIMARY STUDY",Q16)))</formula>
    </cfRule>
    <cfRule type="notContainsText" dxfId="35" priority="40" operator="notContains" text="YES">
      <formula>ISERROR(SEARCH("YES",Q16))</formula>
    </cfRule>
    <cfRule type="containsText" dxfId="34" priority="41" operator="containsText" text="YES">
      <formula>NOT(ISERROR(SEARCH("YES",Q16)))</formula>
    </cfRule>
  </conditionalFormatting>
  <conditionalFormatting sqref="T16">
    <cfRule type="containsBlanks" dxfId="33" priority="42">
      <formula>LEN(TRIM(T16))=0</formula>
    </cfRule>
  </conditionalFormatting>
  <conditionalFormatting sqref="T16">
    <cfRule type="cellIs" dxfId="32" priority="37" operator="between">
      <formula>1</formula>
      <formula>4</formula>
    </cfRule>
    <cfRule type="containsText" dxfId="31" priority="38" operator="containsText" text="X">
      <formula>NOT(ISERROR(SEARCH("X",T16)))</formula>
    </cfRule>
  </conditionalFormatting>
  <conditionalFormatting sqref="Q17:S17">
    <cfRule type="containsText" dxfId="30" priority="33" operator="containsText" text="PRIMARY STUDY">
      <formula>NOT(ISERROR(SEARCH("PRIMARY STUDY",Q17)))</formula>
    </cfRule>
    <cfRule type="notContainsText" dxfId="29" priority="34" operator="notContains" text="YES">
      <formula>ISERROR(SEARCH("YES",Q17))</formula>
    </cfRule>
    <cfRule type="containsText" dxfId="28" priority="35" operator="containsText" text="YES">
      <formula>NOT(ISERROR(SEARCH("YES",Q17)))</formula>
    </cfRule>
  </conditionalFormatting>
  <conditionalFormatting sqref="T17">
    <cfRule type="containsBlanks" dxfId="27" priority="36">
      <formula>LEN(TRIM(T17))=0</formula>
    </cfRule>
  </conditionalFormatting>
  <conditionalFormatting sqref="T17">
    <cfRule type="cellIs" dxfId="26" priority="31" operator="between">
      <formula>1</formula>
      <formula>4</formula>
    </cfRule>
    <cfRule type="containsText" dxfId="25" priority="32" operator="containsText" text="X">
      <formula>NOT(ISERROR(SEARCH("X",T17)))</formula>
    </cfRule>
  </conditionalFormatting>
  <conditionalFormatting sqref="Q15:S15">
    <cfRule type="containsText" dxfId="24" priority="27" operator="containsText" text="PRIMARY STUDY">
      <formula>NOT(ISERROR(SEARCH("PRIMARY STUDY",Q15)))</formula>
    </cfRule>
    <cfRule type="notContainsText" dxfId="23" priority="28" operator="notContains" text="YES">
      <formula>ISERROR(SEARCH("YES",Q15))</formula>
    </cfRule>
    <cfRule type="containsText" dxfId="22" priority="29" operator="containsText" text="YES">
      <formula>NOT(ISERROR(SEARCH("YES",Q15)))</formula>
    </cfRule>
  </conditionalFormatting>
  <conditionalFormatting sqref="T15">
    <cfRule type="containsBlanks" dxfId="21" priority="30">
      <formula>LEN(TRIM(T15))=0</formula>
    </cfRule>
  </conditionalFormatting>
  <conditionalFormatting sqref="T15">
    <cfRule type="cellIs" dxfId="20" priority="25" operator="between">
      <formula>1</formula>
      <formula>4</formula>
    </cfRule>
    <cfRule type="containsText" dxfId="19" priority="26" operator="containsText" text="X">
      <formula>NOT(ISERROR(SEARCH("X",T15)))</formula>
    </cfRule>
  </conditionalFormatting>
  <conditionalFormatting sqref="Q16:S16">
    <cfRule type="containsText" dxfId="18" priority="21" operator="containsText" text="PRIMARY STUDY">
      <formula>NOT(ISERROR(SEARCH("PRIMARY STUDY",Q16)))</formula>
    </cfRule>
    <cfRule type="notContainsText" dxfId="17" priority="22" operator="notContains" text="YES">
      <formula>ISERROR(SEARCH("YES",Q16))</formula>
    </cfRule>
    <cfRule type="containsText" dxfId="16" priority="23" operator="containsText" text="YES">
      <formula>NOT(ISERROR(SEARCH("YES",Q16)))</formula>
    </cfRule>
  </conditionalFormatting>
  <conditionalFormatting sqref="T16">
    <cfRule type="containsBlanks" dxfId="15" priority="24">
      <formula>LEN(TRIM(T16))=0</formula>
    </cfRule>
  </conditionalFormatting>
  <conditionalFormatting sqref="T16">
    <cfRule type="cellIs" dxfId="14" priority="19" operator="between">
      <formula>1</formula>
      <formula>4</formula>
    </cfRule>
    <cfRule type="containsText" dxfId="13" priority="20" operator="containsText" text="X">
      <formula>NOT(ISERROR(SEARCH("X",T16)))</formula>
    </cfRule>
  </conditionalFormatting>
  <conditionalFormatting sqref="Q17:S17">
    <cfRule type="containsText" dxfId="12" priority="15" operator="containsText" text="PRIMARY STUDY">
      <formula>NOT(ISERROR(SEARCH("PRIMARY STUDY",Q17)))</formula>
    </cfRule>
    <cfRule type="notContainsText" dxfId="11" priority="16" operator="notContains" text="YES">
      <formula>ISERROR(SEARCH("YES",Q17))</formula>
    </cfRule>
    <cfRule type="containsText" dxfId="10" priority="17" operator="containsText" text="YES">
      <formula>NOT(ISERROR(SEARCH("YES",Q17)))</formula>
    </cfRule>
  </conditionalFormatting>
  <conditionalFormatting sqref="T17">
    <cfRule type="containsBlanks" dxfId="9" priority="18">
      <formula>LEN(TRIM(T17))=0</formula>
    </cfRule>
  </conditionalFormatting>
  <conditionalFormatting sqref="T17">
    <cfRule type="cellIs" dxfId="8" priority="13" operator="between">
      <formula>1</formula>
      <formula>4</formula>
    </cfRule>
    <cfRule type="containsText" dxfId="7" priority="14" operator="containsText" text="X">
      <formula>NOT(ISERROR(SEARCH("X",T17)))</formula>
    </cfRule>
  </conditionalFormatting>
  <conditionalFormatting sqref="Q18:S18">
    <cfRule type="containsText" dxfId="6" priority="9" operator="containsText" text="PRIMARY STUDY">
      <formula>NOT(ISERROR(SEARCH("PRIMARY STUDY",Q18)))</formula>
    </cfRule>
    <cfRule type="notContainsText" dxfId="5" priority="10" operator="notContains" text="YES">
      <formula>ISERROR(SEARCH("YES",Q18))</formula>
    </cfRule>
    <cfRule type="containsText" dxfId="4" priority="11" operator="containsText" text="YES">
      <formula>NOT(ISERROR(SEARCH("YES",Q18)))</formula>
    </cfRule>
  </conditionalFormatting>
  <conditionalFormatting sqref="T18">
    <cfRule type="containsBlanks" dxfId="3" priority="12">
      <formula>LEN(TRIM(T18))=0</formula>
    </cfRule>
  </conditionalFormatting>
  <conditionalFormatting sqref="T18">
    <cfRule type="cellIs" dxfId="2" priority="7" operator="between">
      <formula>1</formula>
      <formula>4</formula>
    </cfRule>
    <cfRule type="containsText" dxfId="1" priority="8" operator="containsText" text="X">
      <formula>NOT(ISERROR(SEARCH("X",T18)))</formula>
    </cfRule>
  </conditionalFormatting>
  <conditionalFormatting sqref="B1">
    <cfRule type="duplicateValues" dxfId="0" priority="846"/>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32" customWidth="1"/>
    <col min="2" max="2" width="6.85546875" customWidth="1"/>
    <col min="3" max="3" width="8.85546875" style="29"/>
  </cols>
  <sheetData>
    <row r="1" spans="1:8" s="30" customFormat="1" ht="15.75" thickBot="1" x14ac:dyDescent="0.3">
      <c r="A1" s="40" t="s">
        <v>60</v>
      </c>
      <c r="B1" s="41" t="s">
        <v>62</v>
      </c>
      <c r="C1" s="31" t="s">
        <v>61</v>
      </c>
    </row>
    <row r="2" spans="1:8" x14ac:dyDescent="0.25">
      <c r="A2" s="23"/>
      <c r="B2" t="s">
        <v>77</v>
      </c>
      <c r="C2" s="29" t="s">
        <v>70</v>
      </c>
    </row>
    <row r="3" spans="1:8" x14ac:dyDescent="0.25">
      <c r="A3" s="39"/>
      <c r="B3" t="s">
        <v>78</v>
      </c>
      <c r="C3" s="29" t="s">
        <v>71</v>
      </c>
    </row>
    <row r="4" spans="1:8" x14ac:dyDescent="0.25">
      <c r="A4" s="17"/>
      <c r="B4" t="s">
        <v>63</v>
      </c>
      <c r="C4" s="29" t="s">
        <v>72</v>
      </c>
    </row>
    <row r="5" spans="1:8" x14ac:dyDescent="0.25">
      <c r="A5" s="19"/>
      <c r="B5" t="s">
        <v>82</v>
      </c>
      <c r="C5" s="29" t="s">
        <v>73</v>
      </c>
      <c r="H5" s="44"/>
    </row>
    <row r="6" spans="1:8" x14ac:dyDescent="0.25">
      <c r="A6" s="20"/>
      <c r="B6" t="s">
        <v>79</v>
      </c>
      <c r="C6" s="29" t="s">
        <v>74</v>
      </c>
    </row>
    <row r="7" spans="1:8" x14ac:dyDescent="0.25">
      <c r="A7" s="22"/>
      <c r="B7" t="s">
        <v>81</v>
      </c>
      <c r="C7" s="29" t="s">
        <v>75</v>
      </c>
      <c r="H7" s="44"/>
    </row>
    <row r="8" spans="1:8" x14ac:dyDescent="0.25">
      <c r="A8" s="38"/>
      <c r="B8" t="s">
        <v>80</v>
      </c>
      <c r="C8" s="29" t="s">
        <v>76</v>
      </c>
    </row>
    <row r="21" spans="8:8" x14ac:dyDescent="0.25">
      <c r="H21" s="4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2023-07-10T06:28:03Z</dcterms:modified>
</cp:coreProperties>
</file>