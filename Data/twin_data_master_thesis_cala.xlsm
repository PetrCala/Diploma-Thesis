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4D4E2D90-0D88-4321-835C-A5575F810790}"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9" i="13" l="1"/>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1"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16" i="18"/>
  <c r="J17" i="18"/>
  <c r="J18" i="18"/>
  <c r="J2" i="18"/>
  <c r="C77" i="13" l="1"/>
  <c r="C17" i="13" l="1"/>
  <c r="C96" i="13"/>
  <c r="C95" i="13"/>
  <c r="C92" i="13"/>
  <c r="C91" i="13"/>
  <c r="C90" i="13"/>
  <c r="C89" i="13"/>
  <c r="C88" i="13"/>
  <c r="C87" i="13"/>
  <c r="C86" i="13"/>
  <c r="C85" i="13"/>
  <c r="C84" i="13"/>
  <c r="C83" i="13"/>
  <c r="C82" i="13"/>
  <c r="C81" i="13"/>
  <c r="C80" i="13"/>
  <c r="C79" i="13"/>
  <c r="C72" i="13"/>
  <c r="C76" i="13"/>
  <c r="C75" i="13"/>
  <c r="C74" i="13"/>
  <c r="C73" i="13"/>
  <c r="C68" i="13"/>
  <c r="C70"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P1" authorId="0" shapeId="0" xr:uid="{C6326B5B-BB88-490F-93ED-C190D35397E3}">
      <text>
        <r>
          <rPr>
            <sz val="11"/>
            <color theme="1"/>
            <rFont val="Calibri"/>
            <family val="2"/>
            <scheme val="minor"/>
          </rPr>
          <t xml:space="preserve">Petr Čala:
Cohort years to average out the individual effect (ability)
or Fixed-effects
</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2F895017-3969-40FF-862F-7B1BE49B8A99}">
      <text>
        <r>
          <rPr>
            <sz val="11"/>
            <color theme="1"/>
            <rFont val="Calibri"/>
            <family val="2"/>
            <scheme val="minor"/>
          </rPr>
          <t>Petr Čala:
The study uses parents' education as an instrument for the estimate</t>
        </r>
      </text>
    </comment>
    <comment ref="BZ1" authorId="0" shapeId="0" xr:uid="{3F415A2B-88EC-47CD-AFE0-3A1A77DB5929}">
      <text>
        <r>
          <rPr>
            <sz val="11"/>
            <color theme="1"/>
            <rFont val="Calibri"/>
            <family val="2"/>
            <scheme val="minor"/>
          </rPr>
          <t>Petr Čala:
Distance to school or school per area</t>
        </r>
      </text>
    </comment>
    <comment ref="CA1" authorId="0" shapeId="0" xr:uid="{A41D2BFD-9167-49E3-A436-66D336D1C8BC}">
      <text>
        <r>
          <rPr>
            <sz val="11"/>
            <color theme="1"/>
            <rFont val="Calibri"/>
            <family val="2"/>
            <scheme val="minor"/>
          </rPr>
          <t>Petr Čala:
The study uses another instrument</t>
        </r>
      </text>
    </comment>
    <comment ref="CB1" authorId="0" shapeId="0" xr:uid="{3E9AAFF6-4DE8-4BC2-9160-401FCC9A4E41}">
      <text>
        <r>
          <rPr>
            <sz val="11"/>
            <color theme="1"/>
            <rFont val="Calibri"/>
            <family val="2"/>
            <scheme val="minor"/>
          </rPr>
          <t>Petr Čala:
Age is controlled for in the Mincer equation</t>
        </r>
      </text>
    </comment>
    <comment ref="CC1" authorId="0" shapeId="0" xr:uid="{C4837C67-8A3D-4F5A-99B8-938329B9DB58}">
      <text>
        <r>
          <rPr>
            <sz val="11"/>
            <color theme="1"/>
            <rFont val="Calibri"/>
            <family val="2"/>
            <scheme val="minor"/>
          </rPr>
          <t>Petr Čala:
Squared age is controlled for in the Mincer equation</t>
        </r>
      </text>
    </comment>
    <comment ref="CD1" authorId="0" shapeId="0" xr:uid="{44BCC188-A821-48CE-98C1-33BC4DE54391}">
      <text>
        <r>
          <rPr>
            <sz val="11"/>
            <color theme="1"/>
            <rFont val="Calibri"/>
            <family val="2"/>
            <scheme val="minor"/>
          </rPr>
          <t>Petr Čala:
Experience control in the Mincer equation</t>
        </r>
      </text>
    </comment>
    <comment ref="CE1" authorId="0" shapeId="0" xr:uid="{3A6EDC0D-DA25-46AC-873B-43D6E855993F}">
      <text>
        <r>
          <rPr>
            <sz val="11"/>
            <color theme="1"/>
            <rFont val="Calibri"/>
            <family val="2"/>
            <scheme val="minor"/>
          </rPr>
          <t>Petr Čala:
Experience squared control</t>
        </r>
      </text>
    </comment>
    <comment ref="CF1" authorId="0" shapeId="0" xr:uid="{35D42C96-44CA-429D-8F74-52EC7A7733ED}">
      <text>
        <r>
          <rPr>
            <sz val="11"/>
            <color theme="1"/>
            <rFont val="Calibri"/>
            <family val="2"/>
            <scheme val="minor"/>
          </rPr>
          <t>Petr Čala:
Ethnicity control in the Mincer equation</t>
        </r>
      </text>
    </comment>
    <comment ref="CG1" authorId="0" shapeId="0" xr:uid="{00DEC1A5-D4BB-489C-93CD-5408C554DB67}">
      <text>
        <r>
          <rPr>
            <sz val="11"/>
            <color theme="1"/>
            <rFont val="Calibri"/>
            <family val="2"/>
            <scheme val="minor"/>
          </rPr>
          <t>Petr Čala:
Health control in the Mincer equation</t>
        </r>
      </text>
    </comment>
    <comment ref="CH1" authorId="0" shapeId="0" xr:uid="{2D503D4C-015D-4282-B212-A72CF7EAAF5F}">
      <text>
        <r>
          <rPr>
            <sz val="11"/>
            <color theme="1"/>
            <rFont val="Calibri"/>
            <family val="2"/>
            <scheme val="minor"/>
          </rPr>
          <t>Petr Čala:
Gender control in the Mincer equation</t>
        </r>
      </text>
    </comment>
    <comment ref="CI1" authorId="0" shapeId="0" xr:uid="{8EFB2D40-1686-4749-908A-00B4BAE02E84}">
      <text>
        <r>
          <rPr>
            <sz val="11"/>
            <color theme="1"/>
            <rFont val="Calibri"/>
            <family val="2"/>
            <scheme val="minor"/>
          </rPr>
          <t>Petr Čala:
Marriage control in the Mincer equation</t>
        </r>
      </text>
    </comment>
    <comment ref="CJ1" authorId="0" shapeId="0" xr:uid="{D52621D7-E7AD-41D6-A13F-25FADC8F4693}">
      <text>
        <r>
          <rPr>
            <sz val="11"/>
            <color theme="1"/>
            <rFont val="Calibri"/>
            <family val="2"/>
            <scheme val="minor"/>
          </rPr>
          <t>Petr Čala:
Occupation control in the Mincer equation</t>
        </r>
      </text>
    </comment>
    <comment ref="CK1" authorId="0" shapeId="0" xr:uid="{398C9D56-89DC-4216-9503-98CCE6489FC2}">
      <text>
        <r>
          <rPr>
            <sz val="11"/>
            <color theme="1"/>
            <rFont val="Calibri"/>
            <family val="2"/>
            <scheme val="minor"/>
          </rPr>
          <t>Petr Čala:
Firm characteristics control in the Mincer equation</t>
        </r>
      </text>
    </comment>
    <comment ref="CL1" authorId="0" shapeId="0" xr:uid="{0F4D6292-CD11-4EE2-9875-9BC6D568BE79}">
      <text>
        <r>
          <rPr>
            <sz val="11"/>
            <color theme="1"/>
            <rFont val="Calibri"/>
            <family val="2"/>
            <scheme val="minor"/>
          </rPr>
          <t xml:space="preserve">Petr Čala:
Urban/rural control
</t>
        </r>
      </text>
    </comment>
    <comment ref="CM1" authorId="0" shapeId="0" xr:uid="{6338CD52-9D65-48E4-A728-90FF75BE0942}">
      <text>
        <r>
          <rPr>
            <sz val="11"/>
            <color theme="1"/>
            <rFont val="Calibri"/>
            <family val="2"/>
            <scheme val="minor"/>
          </rPr>
          <t>Petr Čala:
Macroeconomic variables control in the Mincer equation, such as sector of activity</t>
        </r>
      </text>
    </comment>
    <comment ref="CN1" authorId="0" shapeId="0" xr:uid="{0E83382F-9392-4ED5-BBFD-820EF855E0FC}">
      <text>
        <r>
          <rPr>
            <sz val="11"/>
            <color theme="1"/>
            <rFont val="Calibri"/>
            <family val="2"/>
            <scheme val="minor"/>
          </rPr>
          <t>Petr Čala:
Impact factor, via tools</t>
        </r>
      </text>
    </comment>
    <comment ref="CO1" authorId="0" shapeId="0" xr:uid="{22B88D5F-84A2-4520-AFB8-E7EAA14B06AB}">
      <text>
        <r>
          <rPr>
            <sz val="11"/>
            <color theme="1"/>
            <rFont val="Calibri"/>
            <family val="2"/>
            <scheme val="minor"/>
          </rPr>
          <t>Petr Čala:
Log number of citations in google scholar</t>
        </r>
      </text>
    </comment>
    <comment ref="CP1" authorId="0" shapeId="0" xr:uid="{70F56552-FA85-46A3-9E60-5041B8BFA7AC}">
      <text>
        <r>
          <rPr>
            <sz val="11"/>
            <color theme="1"/>
            <rFont val="Calibri"/>
            <family val="2"/>
            <scheme val="minor"/>
          </rPr>
          <t>Petr Čala:
1 if published in journal, 0 if working/discussion paper</t>
        </r>
      </text>
    </comment>
    <comment ref="CR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A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<sst xmlns="http://schemas.openxmlformats.org/spreadsheetml/2006/main" count="1755" uniqueCount="425">
  <si>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</si>
  <si>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</si>
  <si>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</si>
  <si>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</si>
  <si>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</si>
  <si>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</si>
  <si>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</si>
  <si>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</si>
  <si>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</si>
  <si>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</si>
  <si>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</si>
  <si>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</si>
  <si>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</si>
  <si>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</si>
  <si>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</si>
  <si>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</si>
  <si>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</si>
  <si>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</si>
  <si>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</si>
  <si>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</si>
  <si>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</si>
  <si>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</si>
  <si>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</si>
  <si>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</si>
  <si>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</si>
  <si>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</si>
  <si>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</si>
  <si>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</si>
  <si>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</si>
  <si>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</si>
  <si>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</si>
  <si>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</si>
  <si>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</si>
  <si>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</si>
  <si>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</si>
  <si>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</si>
  <si>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</si>
  <si>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</si>
  <si>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</si>
  <si>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</si>
  <si>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</si>
  <si>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</si>
  <si>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</si>
  <si>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</si>
  <si>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</si>
  <si>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</si>
  <si>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</si>
  <si>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</si>
  <si>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</si>
  <si>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</si>
  <si>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</si>
  <si>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</si>
  <si>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</si>
  <si>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</si>
  <si>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</si>
  <si>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</si>
  <si>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</si>
  <si>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</si>
  <si>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</si>
  <si>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</si>
  <si>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</si>
  <si>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</si>
  <si>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</si>
  <si>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</si>
  <si>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</si>
  <si>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</si>
  <si>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</si>
  <si>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</si>
  <si>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</si>
  <si>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</si>
  <si>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</si>
  <si>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</si>
  <si>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</si>
  <si>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</si>
  <si>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</si>
  <si>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</si>
  <si>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</si>
  <si>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</si>
  <si>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</si>
  <si>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</si>
  <si>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</si>
  <si>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</si>
  <si>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</si>
  <si>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</si>
  <si>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</si>
  <si>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</si>
  <si>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instr_other</t>
  </si>
  <si>
    <t>wage_log_monthly</t>
  </si>
  <si>
    <t>method_probit</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</si>
  <si>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</si>
  <si>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</si>
  <si>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</si>
  <si>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</si>
  <si>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</si>
  <si>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</si>
  <si>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</si>
  <si>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</si>
  <si>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</si>
  <si>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</si>
  <si>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</si>
  <si>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</si>
  <si>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</si>
  <si>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</si>
  <si>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</si>
  <si>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</si>
  <si>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</si>
  <si>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</si>
  <si>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</si>
  <si>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</si>
  <si>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</si>
  <si>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</si>
  <si>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</si>
  <si>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</si>
  <si>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</si>
  <si>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</si>
  <si>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</si>
  <si>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</si>
  <si>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</si>
  <si>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</si>
  <si>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</si>
  <si>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</si>
  <si>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</si>
  <si>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</si>
  <si>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</si>
  <si>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</si>
  <si>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</si>
  <si>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</si>
  <si>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</si>
  <si>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</si>
  <si>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</si>
  <si>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</si>
  <si>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</si>
  <si>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</si>
  <si>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</si>
  <si>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</si>
  <si>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</si>
  <si>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</si>
  <si>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</si>
  <si>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</si>
  <si>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</si>
  <si>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</si>
  <si>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</si>
  <si>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</si>
  <si>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Ability bias group</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</si>
  <si>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</si>
  <si>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</si>
  <si>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</si>
  <si>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</si>
  <si>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</si>
  <si>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</si>
  <si>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</si>
  <si>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</si>
  <si>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</si>
  <si>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</si>
  <si>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</si>
  <si>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</si>
  <si>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</si>
  <si>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</si>
  <si>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</si>
  <si>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</si>
  <si>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</si>
  <si>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</si>
  <si>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</si>
  <si>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</si>
  <si>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</si>
  <si>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</si>
  <si>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</si>
  <si>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</si>
  <si>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</si>
  <si>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</si>
  <si>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</si>
  <si>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The Review of Economics and Statistics</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</si>
  <si>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</si>
  <si>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</si>
  <si>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</si>
  <si>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</si>
  <si>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</si>
  <si>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</si>
  <si>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</si>
  <si>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</si>
  <si>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</si>
  <si>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</si>
  <si>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</si>
  <si>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</si>
  <si>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</si>
  <si>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</si>
  <si>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</si>
  <si>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</si>
  <si>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</si>
  <si>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</si>
  <si>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</si>
  <si>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</si>
  <si>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</si>
  <si>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</si>
  <si>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</si>
  <si>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</si>
  <si>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</si>
  <si>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</si>
  <si>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</si>
  <si>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</si>
  <si>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Method: Probit</t>
  </si>
  <si>
    <t>Method: IV</t>
  </si>
  <si>
    <t>Ability: Direct</t>
  </si>
  <si>
    <t>Ability: Proxied</t>
  </si>
  <si>
    <t>Ability: Uncontrolled</t>
  </si>
  <si>
    <t>Ability: Unmentioned</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</si>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</sst>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6">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4">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4" fillId="5" borderId="13"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4" xfId="0" applyNumberFormat="1" applyBorder="1" applyAlignment="1">
      <alignment horizontal="center"/>
    </xf>
    <xf numFmtId="0" fontId="0" fillId="8" borderId="15" xfId="0" applyFill="1" applyBorder="1"/>
    <xf numFmtId="0" fontId="0" fillId="0" borderId="15" xfId="0" applyBorder="1"/>
    <xf numFmtId="0" fontId="0" fillId="8" borderId="14" xfId="0" applyFill="1" applyBorder="1"/>
    <xf numFmtId="0" fontId="0" fillId="0" borderId="14"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4" xfId="0" applyFont="1" applyFill="1" applyBorder="1"/>
    <xf numFmtId="0" fontId="0" fillId="0" borderId="0" xfId="0" applyFill="1" applyBorder="1"/>
    <xf numFmtId="0" fontId="0" fillId="0" borderId="0" xfId="0" applyAlignment="1"/>
    <xf numFmtId="0" fontId="0" fillId="0" borderId="14" xfId="0" applyBorder="1" applyAlignment="1">
      <alignment horizontal="center"/>
    </xf>
    <xf numFmtId="0" fontId="0" fillId="0" borderId="0" xfId="0" applyAlignment="1">
      <alignment horizontal="center"/>
    </xf>
    <xf numFmtId="0" fontId="0" fillId="4" borderId="2" xfId="0" applyFill="1" applyBorder="1" applyAlignment="1"/>
    <xf numFmtId="164" fontId="0" fillId="0" borderId="0" xfId="0" applyNumberFormat="1" applyAlignment="1"/>
    <xf numFmtId="0" fontId="0" fillId="0" borderId="2" xfId="0" applyBorder="1" applyAlignment="1"/>
    <xf numFmtId="0" fontId="0" fillId="0" borderId="3"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4"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4" xfId="0" applyFill="1" applyBorder="1" applyAlignment="1">
      <alignment horizontal="center"/>
    </xf>
    <xf numFmtId="0" fontId="0" fillId="0" borderId="2" xfId="0" applyBorder="1" applyAlignment="1">
      <alignment horizontal="center"/>
    </xf>
    <xf numFmtId="1" fontId="0" fillId="0" borderId="3" xfId="0" applyNumberFormat="1" applyFill="1" applyBorder="1" applyAlignment="1">
      <alignment horizontal="center"/>
    </xf>
    <xf numFmtId="0" fontId="0" fillId="4" borderId="0" xfId="0" applyFill="1" applyAlignment="1">
      <alignment horizontal="center"/>
    </xf>
  </cellXfs>
  <cellStyles count="3">
    <cellStyle name="Currency 2" xfId="2" xr:uid="{00000000-0005-0000-0000-000001000000}"/>
    <cellStyle name="Hyperlink" xfId="1" builtinId="8"/>
    <cellStyle name="Normal" xfId="0" builtinId="0"/>
  </cellStyles>
  <dxfs count="184">
    <dxf>
      <border>
        <bottom style="dashed">
          <color auto="1"/>
        </bottom>
      </border>
    </dxf>
    <dxf>
      <border>
        <bottom style="thin">
          <color auto="1"/>
        </bottom>
        <vertical/>
        <horizontal/>
      </border>
    </dxf>
    <dxf>
      <fill>
        <patternFill>
          <bgColor theme="4" tint="0.79998168889431442"/>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2.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S180"/>
  <sheetViews>
    <sheetView tabSelected="1" workbookViewId="0">
      <pane xSplit="4" ySplit="1" topLeftCell="E77" activePane="bottomRight" state="frozen"/>
      <selection pane="topRight" activeCell="E1" sqref="E1"/>
      <selection pane="bottomLeft" activeCell="A2" sqref="A2"/>
      <selection pane="bottomRight" activeCell="E95" sqref="E95"/>
    </sheetView>
  </sheetViews>
  <sheetFormatPr defaultRowHeight="15" x14ac:dyDescent="0.25"/>
  <cols>
    <col min="1" max="1" width="5.140625" customWidth="1"/>
    <col min="2" max="2" width="4.140625" customWidth="1"/>
    <col min="4" max="4" width="9.140625" style="93"/>
    <col min="5" max="6" width="9.140625" style="6"/>
    <col min="7" max="8" width="9.140625" style="77" hidden="1" customWidth="1"/>
    <col min="9" max="9" width="9.140625" style="82" hidden="1" customWidth="1"/>
    <col min="10" max="11" width="9.140625" style="77" hidden="1" customWidth="1"/>
    <col min="12" max="12" width="9.140625" style="91"/>
    <col min="13" max="16" width="9.140625" style="79"/>
    <col min="17" max="17" width="9.140625" style="91"/>
    <col min="18" max="19" width="9.140625" style="79"/>
    <col min="20" max="20" width="9.140625" style="78" hidden="1" customWidth="1"/>
    <col min="21" max="22" width="9.140625" style="79"/>
    <col min="23" max="23" width="9.140625" style="91"/>
    <col min="24" max="24" width="9.140625" style="79"/>
    <col min="25" max="25" width="9.140625" style="91"/>
    <col min="26" max="28" width="9.140625" style="79"/>
    <col min="29" max="29" width="9.140625" style="91"/>
    <col min="30" max="31" width="9.140625" style="79"/>
    <col min="32" max="32" width="9.140625" style="91"/>
    <col min="33" max="33" width="9.140625" style="79"/>
    <col min="34" max="34" width="9.140625" style="78"/>
    <col min="39" max="39" width="9.140625" style="29"/>
    <col min="41" max="41" width="9.140625" style="29"/>
    <col min="43" max="43" width="9.140625" style="29"/>
    <col min="45" max="45" width="9.140625" style="29" hidden="1" customWidth="1"/>
    <col min="46" max="46" width="9.140625" hidden="1" customWidth="1"/>
    <col min="47" max="47" width="9.140625" style="29"/>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9"/>
    <col min="73" max="73" width="9.140625" style="29" hidden="1" customWidth="1"/>
    <col min="74" max="76" width="9.140625" hidden="1" customWidth="1"/>
    <col min="77" max="77" width="9.140625" style="29"/>
    <col min="80" max="80" width="9.140625" style="29"/>
    <col min="91" max="91" width="9.140625" style="17"/>
    <col min="92" max="92" width="9.140625" hidden="1" customWidth="1"/>
    <col min="93" max="94" width="9.140625" style="29" hidden="1" customWidth="1"/>
    <col min="95" max="95" width="9.140625" hidden="1" customWidth="1"/>
    <col min="96" max="96" width="9.140625" style="69" hidden="1" customWidth="1"/>
  </cols>
  <sheetData>
    <row r="1" spans="1:97" x14ac:dyDescent="0.25">
      <c r="A1" s="1" t="s">
        <v>0</v>
      </c>
      <c r="B1" s="1" t="s">
        <v>1</v>
      </c>
      <c r="C1" s="19" t="s">
        <v>105</v>
      </c>
      <c r="D1" s="9" t="s">
        <v>153</v>
      </c>
      <c r="E1" s="63" t="s">
        <v>93</v>
      </c>
      <c r="F1" s="64" t="s">
        <v>50</v>
      </c>
      <c r="G1" s="21" t="s">
        <v>51</v>
      </c>
      <c r="H1" s="21" t="s">
        <v>52</v>
      </c>
      <c r="I1" s="71" t="s">
        <v>159</v>
      </c>
      <c r="J1" s="21" t="s">
        <v>160</v>
      </c>
      <c r="K1" s="21" t="s">
        <v>161</v>
      </c>
      <c r="L1" s="84" t="s">
        <v>7</v>
      </c>
      <c r="M1" s="85" t="s">
        <v>9</v>
      </c>
      <c r="N1" s="85" t="s">
        <v>6</v>
      </c>
      <c r="O1" s="85" t="s">
        <v>8</v>
      </c>
      <c r="P1" s="85" t="s">
        <v>99</v>
      </c>
      <c r="Q1" s="84" t="s">
        <v>54</v>
      </c>
      <c r="R1" s="85" t="s">
        <v>55</v>
      </c>
      <c r="S1" s="85" t="s">
        <v>53</v>
      </c>
      <c r="T1" s="86" t="s">
        <v>92</v>
      </c>
      <c r="U1" s="87" t="s">
        <v>2</v>
      </c>
      <c r="V1" s="87" t="s">
        <v>10</v>
      </c>
      <c r="W1" s="88" t="s">
        <v>96</v>
      </c>
      <c r="X1" s="87" t="s">
        <v>97</v>
      </c>
      <c r="Y1" s="88" t="s">
        <v>83</v>
      </c>
      <c r="Z1" s="87" t="s">
        <v>90</v>
      </c>
      <c r="AA1" s="87" t="s">
        <v>87</v>
      </c>
      <c r="AB1" s="89" t="s">
        <v>84</v>
      </c>
      <c r="AC1" s="88" t="s">
        <v>11</v>
      </c>
      <c r="AD1" s="87" t="s">
        <v>12</v>
      </c>
      <c r="AE1" s="89" t="s">
        <v>13</v>
      </c>
      <c r="AF1" s="88" t="s">
        <v>14</v>
      </c>
      <c r="AG1" s="89" t="s">
        <v>15</v>
      </c>
      <c r="AH1" s="90" t="s">
        <v>28</v>
      </c>
      <c r="AI1" s="3" t="s">
        <v>67</v>
      </c>
      <c r="AJ1" s="27" t="s">
        <v>63</v>
      </c>
      <c r="AK1" s="3" t="s">
        <v>64</v>
      </c>
      <c r="AL1" s="11" t="s">
        <v>65</v>
      </c>
      <c r="AM1" s="28" t="s">
        <v>57</v>
      </c>
      <c r="AN1" s="11" t="s">
        <v>56</v>
      </c>
      <c r="AO1" s="28" t="s">
        <v>3</v>
      </c>
      <c r="AP1" s="11" t="s">
        <v>4</v>
      </c>
      <c r="AQ1" s="28" t="s">
        <v>404</v>
      </c>
      <c r="AR1" s="3" t="s">
        <v>405</v>
      </c>
      <c r="AS1" s="28" t="s">
        <v>16</v>
      </c>
      <c r="AT1" s="11" t="s">
        <v>17</v>
      </c>
      <c r="AU1" s="28" t="s">
        <v>400</v>
      </c>
      <c r="AV1" s="11" t="s">
        <v>401</v>
      </c>
      <c r="AW1" s="11" t="s">
        <v>416</v>
      </c>
      <c r="AX1" s="11" t="s">
        <v>417</v>
      </c>
      <c r="AY1" s="11" t="s">
        <v>418</v>
      </c>
      <c r="AZ1" s="66" t="s">
        <v>5</v>
      </c>
      <c r="BA1" s="3" t="s">
        <v>21</v>
      </c>
      <c r="BB1" s="3" t="s">
        <v>22</v>
      </c>
      <c r="BC1" s="3" t="s">
        <v>23</v>
      </c>
      <c r="BD1" s="3" t="s">
        <v>24</v>
      </c>
      <c r="BE1" s="3" t="s">
        <v>25</v>
      </c>
      <c r="BF1" s="3" t="s">
        <v>26</v>
      </c>
      <c r="BG1" s="3" t="s">
        <v>27</v>
      </c>
      <c r="BH1" s="28" t="s">
        <v>20</v>
      </c>
      <c r="BI1" s="3" t="s">
        <v>19</v>
      </c>
      <c r="BJ1" s="3" t="s">
        <v>18</v>
      </c>
      <c r="BK1" s="28" t="s">
        <v>29</v>
      </c>
      <c r="BL1" s="3" t="s">
        <v>30</v>
      </c>
      <c r="BM1" s="16" t="s">
        <v>172</v>
      </c>
      <c r="BN1" s="68" t="s">
        <v>31</v>
      </c>
      <c r="BO1" s="4" t="s">
        <v>32</v>
      </c>
      <c r="BP1" s="4" t="s">
        <v>423</v>
      </c>
      <c r="BQ1" s="4" t="s">
        <v>85</v>
      </c>
      <c r="BR1" s="4" t="s">
        <v>397</v>
      </c>
      <c r="BS1" s="4" t="s">
        <v>88</v>
      </c>
      <c r="BT1" s="4" t="s">
        <v>33</v>
      </c>
      <c r="BU1" s="73" t="s">
        <v>34</v>
      </c>
      <c r="BV1" s="35" t="s">
        <v>35</v>
      </c>
      <c r="BW1" s="35" t="s">
        <v>81</v>
      </c>
      <c r="BX1" s="36" t="s">
        <v>82</v>
      </c>
      <c r="BY1" s="70" t="s">
        <v>395</v>
      </c>
      <c r="BZ1" s="4" t="s">
        <v>91</v>
      </c>
      <c r="CA1" s="13" t="s">
        <v>86</v>
      </c>
      <c r="CB1" s="70" t="s">
        <v>36</v>
      </c>
      <c r="CC1" s="4" t="s">
        <v>37</v>
      </c>
      <c r="CD1" s="4" t="s">
        <v>38</v>
      </c>
      <c r="CE1" s="4" t="s">
        <v>66</v>
      </c>
      <c r="CF1" s="4" t="s">
        <v>39</v>
      </c>
      <c r="CG1" s="4" t="s">
        <v>40</v>
      </c>
      <c r="CH1" s="4" t="s">
        <v>41</v>
      </c>
      <c r="CI1" s="4" t="s">
        <v>170</v>
      </c>
      <c r="CJ1" s="4" t="s">
        <v>42</v>
      </c>
      <c r="CK1" s="4" t="s">
        <v>44</v>
      </c>
      <c r="CL1" s="4" t="s">
        <v>89</v>
      </c>
      <c r="CM1" s="18" t="s">
        <v>43</v>
      </c>
      <c r="CN1" s="30" t="s">
        <v>45</v>
      </c>
      <c r="CO1" s="74" t="s">
        <v>46</v>
      </c>
      <c r="CP1" s="74" t="s">
        <v>47</v>
      </c>
      <c r="CQ1" s="30" t="s">
        <v>112</v>
      </c>
      <c r="CR1" s="75" t="s">
        <v>48</v>
      </c>
      <c r="CS1" s="51" t="s">
        <v>49</v>
      </c>
    </row>
    <row r="2" spans="1:97" x14ac:dyDescent="0.25">
      <c r="A2">
        <v>1</v>
      </c>
      <c r="B2">
        <v>1</v>
      </c>
      <c r="C2" t="s">
        <v>276</v>
      </c>
      <c r="D2" s="10">
        <v>10.199999999999999</v>
      </c>
      <c r="E2" s="6">
        <v>1</v>
      </c>
      <c r="F2" s="6">
        <f>D2/E2</f>
        <v>10.199999999999999</v>
      </c>
      <c r="I2" s="80">
        <f t="shared" ref="I2:I11" si="0">IFERROR(F2/SQRT(F2^2+S2), "X")</f>
        <v>0.36567831673481643</v>
      </c>
      <c r="J2" s="81">
        <f t="shared" ref="J2:J11" si="1">IFERROR(SQRT((1-I2^2)/S2), "X")</f>
        <v>3.5850815366158473E-2</v>
      </c>
      <c r="K2" s="81">
        <f t="shared" ref="K2:K11" si="2">IFERROR(1/J2, "X")</f>
        <v>27.893368387485943</v>
      </c>
      <c r="L2" s="7">
        <v>1</v>
      </c>
      <c r="M2" s="8">
        <v>0</v>
      </c>
      <c r="N2" s="8">
        <v>0</v>
      </c>
      <c r="O2" s="8">
        <v>0</v>
      </c>
      <c r="P2" s="8">
        <v>0</v>
      </c>
      <c r="Q2" s="7">
        <v>680</v>
      </c>
      <c r="R2" s="8">
        <v>5</v>
      </c>
      <c r="S2" s="8">
        <f t="shared" ref="S2:S11" si="3">Q2-R2-1</f>
        <v>674</v>
      </c>
      <c r="T2" s="65">
        <f>COUNTIF(B:B,B2)</f>
        <v>22</v>
      </c>
      <c r="U2" s="6">
        <v>14.03</v>
      </c>
      <c r="V2" s="6">
        <v>8.34</v>
      </c>
      <c r="W2" s="7">
        <v>1</v>
      </c>
      <c r="X2" s="8">
        <v>0</v>
      </c>
      <c r="Y2" s="7">
        <v>1</v>
      </c>
      <c r="Z2" s="8">
        <v>0</v>
      </c>
      <c r="AA2" s="8">
        <v>0</v>
      </c>
      <c r="AB2" s="22">
        <v>0</v>
      </c>
      <c r="AC2" s="7">
        <v>0</v>
      </c>
      <c r="AD2" s="8">
        <v>1</v>
      </c>
      <c r="AE2" s="22">
        <v>0</v>
      </c>
      <c r="AF2" s="7">
        <v>0</v>
      </c>
      <c r="AG2" s="22">
        <v>1</v>
      </c>
      <c r="AH2" s="65">
        <v>1992</v>
      </c>
      <c r="AI2" t="s">
        <v>62</v>
      </c>
      <c r="AJ2" t="s">
        <v>62</v>
      </c>
      <c r="AK2" t="s">
        <v>62</v>
      </c>
      <c r="AL2" t="s">
        <v>62</v>
      </c>
      <c r="AM2" s="29" t="s">
        <v>62</v>
      </c>
      <c r="AN2" s="12" t="s">
        <v>62</v>
      </c>
      <c r="AO2" s="29">
        <v>0.41</v>
      </c>
      <c r="AP2">
        <v>0.59</v>
      </c>
      <c r="AQ2" s="29">
        <v>0.92</v>
      </c>
      <c r="AR2" s="72">
        <f>1-AQ2</f>
        <v>7.999999999999996E-2</v>
      </c>
      <c r="AU2" s="29">
        <v>0.64</v>
      </c>
      <c r="AV2" s="12">
        <f>1-AU2</f>
        <v>0.36</v>
      </c>
      <c r="AW2" s="12">
        <v>1</v>
      </c>
      <c r="AX2" s="12">
        <v>0</v>
      </c>
      <c r="AY2" s="12">
        <v>0</v>
      </c>
      <c r="AZ2" s="67" t="s">
        <v>98</v>
      </c>
      <c r="BN2" s="69">
        <v>38.07</v>
      </c>
      <c r="BO2">
        <v>1</v>
      </c>
      <c r="BP2">
        <v>0</v>
      </c>
      <c r="BQ2">
        <v>0</v>
      </c>
      <c r="BR2">
        <v>0</v>
      </c>
      <c r="BS2">
        <v>0</v>
      </c>
      <c r="BT2">
        <v>0</v>
      </c>
      <c r="BU2" s="29">
        <v>1</v>
      </c>
      <c r="BV2">
        <v>0</v>
      </c>
      <c r="BW2">
        <v>0</v>
      </c>
      <c r="BX2" s="12">
        <v>0</v>
      </c>
      <c r="BY2" s="29">
        <v>0</v>
      </c>
      <c r="BZ2">
        <v>0</v>
      </c>
      <c r="CA2" s="12">
        <v>0</v>
      </c>
      <c r="CB2" s="29">
        <v>1</v>
      </c>
      <c r="CC2">
        <v>1</v>
      </c>
      <c r="CD2">
        <v>0</v>
      </c>
      <c r="CE2">
        <v>0</v>
      </c>
      <c r="CF2">
        <v>1</v>
      </c>
      <c r="CG2">
        <v>0</v>
      </c>
      <c r="CH2">
        <v>1</v>
      </c>
      <c r="CI2">
        <v>0</v>
      </c>
      <c r="CJ2">
        <v>0</v>
      </c>
      <c r="CK2">
        <v>0</v>
      </c>
      <c r="CL2">
        <v>0</v>
      </c>
      <c r="CM2" s="17">
        <v>0</v>
      </c>
      <c r="CS2" t="s">
        <v>49</v>
      </c>
    </row>
    <row r="3" spans="1:97" x14ac:dyDescent="0.25">
      <c r="A3">
        <v>2</v>
      </c>
      <c r="B3">
        <v>1</v>
      </c>
      <c r="C3" t="s">
        <v>276</v>
      </c>
      <c r="D3" s="10">
        <v>6.6</v>
      </c>
      <c r="E3" s="6">
        <v>1.8</v>
      </c>
      <c r="F3" s="6">
        <f t="shared" ref="F3:F80" si="4">D3/E3</f>
        <v>3.6666666666666665</v>
      </c>
      <c r="I3" s="80">
        <f t="shared" si="0"/>
        <v>0.13994865635766554</v>
      </c>
      <c r="J3" s="81">
        <f t="shared" si="1"/>
        <v>3.8167815370272418E-2</v>
      </c>
      <c r="K3" s="81">
        <f t="shared" si="2"/>
        <v>26.200084817504781</v>
      </c>
      <c r="L3" s="7">
        <v>1</v>
      </c>
      <c r="M3" s="8">
        <v>0</v>
      </c>
      <c r="N3" s="8">
        <v>0</v>
      </c>
      <c r="O3" s="8">
        <v>0</v>
      </c>
      <c r="P3" s="8">
        <v>0</v>
      </c>
      <c r="Q3" s="7">
        <v>680</v>
      </c>
      <c r="R3" s="8">
        <v>6</v>
      </c>
      <c r="S3" s="8">
        <f t="shared" si="3"/>
        <v>673</v>
      </c>
      <c r="T3" s="65">
        <f>COUNTIF(B:B,B3)</f>
        <v>22</v>
      </c>
      <c r="U3" s="6">
        <v>14.03</v>
      </c>
      <c r="V3" s="6">
        <v>8.34</v>
      </c>
      <c r="W3" s="7">
        <v>1</v>
      </c>
      <c r="X3" s="8">
        <v>0</v>
      </c>
      <c r="Y3" s="7">
        <v>1</v>
      </c>
      <c r="Z3" s="8">
        <v>0</v>
      </c>
      <c r="AA3" s="8">
        <v>0</v>
      </c>
      <c r="AB3" s="22">
        <v>0</v>
      </c>
      <c r="AC3" s="7">
        <v>0</v>
      </c>
      <c r="AD3" s="8">
        <v>1</v>
      </c>
      <c r="AE3" s="22">
        <v>0</v>
      </c>
      <c r="AF3" s="7">
        <v>0</v>
      </c>
      <c r="AG3" s="22">
        <v>1</v>
      </c>
      <c r="AH3" s="65">
        <v>1992</v>
      </c>
      <c r="AI3" t="s">
        <v>62</v>
      </c>
      <c r="AJ3" t="s">
        <v>62</v>
      </c>
      <c r="AK3" t="s">
        <v>62</v>
      </c>
      <c r="AL3" t="s">
        <v>62</v>
      </c>
      <c r="AM3" s="29" t="s">
        <v>62</v>
      </c>
      <c r="AN3" s="12" t="s">
        <v>62</v>
      </c>
      <c r="AO3" s="29">
        <v>0.41</v>
      </c>
      <c r="AP3">
        <v>0.59</v>
      </c>
      <c r="AQ3" s="29">
        <v>0.92</v>
      </c>
      <c r="AR3" s="72">
        <f t="shared" ref="AR3:AR23" si="5">1-AQ3</f>
        <v>7.999999999999996E-2</v>
      </c>
      <c r="AU3" s="29">
        <v>0.64</v>
      </c>
      <c r="AV3" s="12">
        <f t="shared" ref="AV3:AV23" si="6">1-AU3</f>
        <v>0.36</v>
      </c>
      <c r="AW3" s="12">
        <v>1</v>
      </c>
      <c r="AX3" s="12">
        <v>0</v>
      </c>
      <c r="AY3" s="12">
        <v>0</v>
      </c>
      <c r="AZ3" s="67" t="s">
        <v>98</v>
      </c>
      <c r="BN3" s="69">
        <v>38.07</v>
      </c>
      <c r="BO3">
        <v>1</v>
      </c>
      <c r="BP3">
        <v>0</v>
      </c>
      <c r="BQ3">
        <v>0</v>
      </c>
      <c r="BR3">
        <v>0</v>
      </c>
      <c r="BS3">
        <v>0</v>
      </c>
      <c r="BT3">
        <v>0</v>
      </c>
      <c r="BU3" s="29">
        <v>1</v>
      </c>
      <c r="BV3">
        <v>0</v>
      </c>
      <c r="BW3">
        <v>0</v>
      </c>
      <c r="BX3" s="12">
        <v>0</v>
      </c>
      <c r="BY3" s="29">
        <v>0</v>
      </c>
      <c r="BZ3">
        <v>0</v>
      </c>
      <c r="CA3" s="12">
        <v>0</v>
      </c>
      <c r="CB3" s="29">
        <v>1</v>
      </c>
      <c r="CC3">
        <v>1</v>
      </c>
      <c r="CD3">
        <v>0</v>
      </c>
      <c r="CE3">
        <v>0</v>
      </c>
      <c r="CF3">
        <v>1</v>
      </c>
      <c r="CG3">
        <v>0</v>
      </c>
      <c r="CH3">
        <v>1</v>
      </c>
      <c r="CI3">
        <v>0</v>
      </c>
      <c r="CJ3">
        <v>0</v>
      </c>
      <c r="CK3">
        <v>0</v>
      </c>
      <c r="CL3">
        <v>0</v>
      </c>
      <c r="CM3" s="17">
        <v>0</v>
      </c>
      <c r="CS3" t="s">
        <v>49</v>
      </c>
    </row>
    <row r="4" spans="1:97" x14ac:dyDescent="0.25">
      <c r="A4">
        <v>3</v>
      </c>
      <c r="B4">
        <v>1</v>
      </c>
      <c r="C4" t="s">
        <v>276</v>
      </c>
      <c r="D4" s="10">
        <v>9.1</v>
      </c>
      <c r="E4" s="6">
        <v>2.4</v>
      </c>
      <c r="F4" s="6">
        <f t="shared" si="4"/>
        <v>3.7916666666666665</v>
      </c>
      <c r="I4" s="80">
        <f t="shared" si="0"/>
        <v>0.14462145808585403</v>
      </c>
      <c r="J4" s="81">
        <f t="shared" si="1"/>
        <v>3.8141923011653811E-2</v>
      </c>
      <c r="K4" s="81">
        <f t="shared" si="2"/>
        <v>26.217870548751879</v>
      </c>
      <c r="L4" s="7">
        <v>1</v>
      </c>
      <c r="M4" s="8">
        <v>0</v>
      </c>
      <c r="N4" s="8">
        <v>0</v>
      </c>
      <c r="O4" s="8">
        <v>0</v>
      </c>
      <c r="P4" s="8">
        <v>0</v>
      </c>
      <c r="Q4" s="7">
        <v>680</v>
      </c>
      <c r="R4" s="8">
        <v>6</v>
      </c>
      <c r="S4" s="8">
        <f t="shared" si="3"/>
        <v>673</v>
      </c>
      <c r="T4" s="65">
        <f>COUNTIF(B:B,B4)</f>
        <v>22</v>
      </c>
      <c r="U4" s="6">
        <v>14.03</v>
      </c>
      <c r="V4" s="6">
        <v>8.34</v>
      </c>
      <c r="W4" s="7">
        <v>1</v>
      </c>
      <c r="X4" s="8">
        <v>0</v>
      </c>
      <c r="Y4" s="7">
        <v>1</v>
      </c>
      <c r="Z4" s="8">
        <v>0</v>
      </c>
      <c r="AA4" s="8">
        <v>0</v>
      </c>
      <c r="AB4" s="22">
        <v>0</v>
      </c>
      <c r="AC4" s="7">
        <v>0</v>
      </c>
      <c r="AD4" s="8">
        <v>1</v>
      </c>
      <c r="AE4" s="22">
        <v>0</v>
      </c>
      <c r="AF4" s="7">
        <v>0</v>
      </c>
      <c r="AG4" s="22">
        <v>1</v>
      </c>
      <c r="AH4" s="65">
        <v>1992</v>
      </c>
      <c r="AI4" t="s">
        <v>62</v>
      </c>
      <c r="AJ4" t="s">
        <v>62</v>
      </c>
      <c r="AK4" t="s">
        <v>62</v>
      </c>
      <c r="AL4" t="s">
        <v>62</v>
      </c>
      <c r="AM4" s="29" t="s">
        <v>62</v>
      </c>
      <c r="AN4" s="12" t="s">
        <v>62</v>
      </c>
      <c r="AO4" s="29">
        <v>0.41</v>
      </c>
      <c r="AP4">
        <v>0.59</v>
      </c>
      <c r="AQ4" s="29">
        <v>0.92</v>
      </c>
      <c r="AR4" s="72">
        <f t="shared" si="5"/>
        <v>7.999999999999996E-2</v>
      </c>
      <c r="AU4" s="29">
        <v>0.64</v>
      </c>
      <c r="AV4" s="12">
        <f t="shared" si="6"/>
        <v>0.36</v>
      </c>
      <c r="AW4" s="12">
        <v>1</v>
      </c>
      <c r="AX4" s="12">
        <v>0</v>
      </c>
      <c r="AY4" s="12">
        <v>0</v>
      </c>
      <c r="AZ4" s="67" t="s">
        <v>98</v>
      </c>
      <c r="BN4" s="69">
        <v>38.07</v>
      </c>
      <c r="BO4">
        <v>0</v>
      </c>
      <c r="BP4">
        <v>0</v>
      </c>
      <c r="BQ4">
        <v>1</v>
      </c>
      <c r="BR4">
        <v>0</v>
      </c>
      <c r="BS4">
        <v>0</v>
      </c>
      <c r="BT4">
        <v>0</v>
      </c>
      <c r="BU4" s="29">
        <v>1</v>
      </c>
      <c r="BV4">
        <v>0</v>
      </c>
      <c r="BW4">
        <v>0</v>
      </c>
      <c r="BX4" s="12">
        <v>0</v>
      </c>
      <c r="BY4" s="29">
        <v>0</v>
      </c>
      <c r="BZ4">
        <v>0</v>
      </c>
      <c r="CA4" s="12">
        <v>0</v>
      </c>
      <c r="CB4" s="29">
        <v>1</v>
      </c>
      <c r="CC4">
        <v>1</v>
      </c>
      <c r="CD4">
        <v>0</v>
      </c>
      <c r="CE4">
        <v>0</v>
      </c>
      <c r="CF4">
        <v>1</v>
      </c>
      <c r="CG4">
        <v>0</v>
      </c>
      <c r="CH4">
        <v>1</v>
      </c>
      <c r="CI4">
        <v>0</v>
      </c>
      <c r="CJ4">
        <v>0</v>
      </c>
      <c r="CK4">
        <v>0</v>
      </c>
      <c r="CL4">
        <v>0</v>
      </c>
      <c r="CM4" s="17">
        <v>0</v>
      </c>
      <c r="CS4" t="s">
        <v>49</v>
      </c>
    </row>
    <row r="5" spans="1:97" x14ac:dyDescent="0.25">
      <c r="A5">
        <v>4</v>
      </c>
      <c r="B5">
        <v>1</v>
      </c>
      <c r="C5" t="s">
        <v>276</v>
      </c>
      <c r="D5" s="10">
        <v>7</v>
      </c>
      <c r="E5" s="6">
        <v>1.9</v>
      </c>
      <c r="F5" s="6">
        <f t="shared" si="4"/>
        <v>3.6842105263157898</v>
      </c>
      <c r="I5" s="80">
        <f t="shared" si="0"/>
        <v>0.19648818007772637</v>
      </c>
      <c r="J5" s="81">
        <f t="shared" si="1"/>
        <v>5.3332506021097147E-2</v>
      </c>
      <c r="K5" s="81">
        <f t="shared" si="2"/>
        <v>18.750290856469832</v>
      </c>
      <c r="L5" s="7">
        <v>1</v>
      </c>
      <c r="M5" s="8">
        <v>0</v>
      </c>
      <c r="N5" s="8">
        <v>0</v>
      </c>
      <c r="O5" s="8">
        <v>0</v>
      </c>
      <c r="P5" s="8">
        <v>0</v>
      </c>
      <c r="Q5" s="7">
        <v>340</v>
      </c>
      <c r="R5" s="8">
        <v>1</v>
      </c>
      <c r="S5" s="8">
        <f t="shared" si="3"/>
        <v>338</v>
      </c>
      <c r="T5" s="65">
        <f>COUNTIF(B:B,B5)</f>
        <v>22</v>
      </c>
      <c r="U5" s="6">
        <v>14.03</v>
      </c>
      <c r="V5" s="6">
        <v>8.34</v>
      </c>
      <c r="W5" s="7">
        <v>1</v>
      </c>
      <c r="X5" s="8">
        <v>0</v>
      </c>
      <c r="Y5" s="7">
        <v>1</v>
      </c>
      <c r="Z5" s="8">
        <v>0</v>
      </c>
      <c r="AA5" s="8">
        <v>0</v>
      </c>
      <c r="AB5" s="22">
        <v>0</v>
      </c>
      <c r="AC5" s="7">
        <v>0</v>
      </c>
      <c r="AD5" s="8">
        <v>1</v>
      </c>
      <c r="AE5" s="22">
        <v>0</v>
      </c>
      <c r="AF5" s="7">
        <v>0</v>
      </c>
      <c r="AG5" s="22">
        <v>1</v>
      </c>
      <c r="AH5" s="65">
        <v>1992</v>
      </c>
      <c r="AI5" t="s">
        <v>62</v>
      </c>
      <c r="AJ5" t="s">
        <v>62</v>
      </c>
      <c r="AK5" t="s">
        <v>62</v>
      </c>
      <c r="AL5" t="s">
        <v>62</v>
      </c>
      <c r="AM5" s="29" t="s">
        <v>62</v>
      </c>
      <c r="AN5" s="12" t="s">
        <v>62</v>
      </c>
      <c r="AO5" s="29">
        <v>0.41</v>
      </c>
      <c r="AP5">
        <v>0.59</v>
      </c>
      <c r="AQ5" s="29">
        <v>0.92</v>
      </c>
      <c r="AR5" s="72">
        <f t="shared" si="5"/>
        <v>7.999999999999996E-2</v>
      </c>
      <c r="AU5" s="29">
        <v>0.64</v>
      </c>
      <c r="AV5" s="12">
        <f t="shared" si="6"/>
        <v>0.36</v>
      </c>
      <c r="AW5" s="12">
        <v>1</v>
      </c>
      <c r="AX5" s="12">
        <v>0</v>
      </c>
      <c r="AY5" s="12">
        <v>0</v>
      </c>
      <c r="AZ5" s="67" t="s">
        <v>98</v>
      </c>
      <c r="BN5" s="69">
        <v>38.07</v>
      </c>
      <c r="BO5">
        <v>0</v>
      </c>
      <c r="BP5">
        <v>1</v>
      </c>
      <c r="BQ5">
        <v>0</v>
      </c>
      <c r="BR5">
        <v>0</v>
      </c>
      <c r="BS5">
        <v>0</v>
      </c>
      <c r="BT5">
        <v>0</v>
      </c>
      <c r="BU5" s="29">
        <v>1</v>
      </c>
      <c r="BV5">
        <v>0</v>
      </c>
      <c r="BW5">
        <v>0</v>
      </c>
      <c r="BX5" s="12">
        <v>0</v>
      </c>
      <c r="BY5" s="29">
        <v>0</v>
      </c>
      <c r="BZ5">
        <v>0</v>
      </c>
      <c r="CA5" s="12">
        <v>0</v>
      </c>
      <c r="CB5" s="29">
        <v>0</v>
      </c>
      <c r="CC5">
        <v>0</v>
      </c>
      <c r="CD5">
        <v>0</v>
      </c>
      <c r="CE5">
        <v>0</v>
      </c>
      <c r="CF5">
        <v>0</v>
      </c>
      <c r="CG5">
        <v>0</v>
      </c>
      <c r="CH5">
        <v>0</v>
      </c>
      <c r="CI5">
        <v>0</v>
      </c>
      <c r="CJ5">
        <v>0</v>
      </c>
      <c r="CK5">
        <v>0</v>
      </c>
      <c r="CL5">
        <v>0</v>
      </c>
      <c r="CM5" s="17">
        <v>0</v>
      </c>
      <c r="CS5" t="s">
        <v>49</v>
      </c>
    </row>
    <row r="6" spans="1:97" x14ac:dyDescent="0.25">
      <c r="A6">
        <v>5</v>
      </c>
      <c r="B6">
        <v>1</v>
      </c>
      <c r="C6" t="s">
        <v>276</v>
      </c>
      <c r="D6" s="10">
        <v>8.8000000000000007</v>
      </c>
      <c r="E6" s="6">
        <v>2.5</v>
      </c>
      <c r="F6" s="6">
        <f t="shared" si="4"/>
        <v>3.5200000000000005</v>
      </c>
      <c r="I6" s="80">
        <f t="shared" si="0"/>
        <v>0.18804706699996604</v>
      </c>
      <c r="J6" s="81">
        <f t="shared" si="1"/>
        <v>5.3422462215899427E-2</v>
      </c>
      <c r="K6" s="81">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5">
        <v>1992</v>
      </c>
      <c r="AI6" t="s">
        <v>62</v>
      </c>
      <c r="AJ6" t="s">
        <v>62</v>
      </c>
      <c r="AK6" t="s">
        <v>62</v>
      </c>
      <c r="AL6" t="s">
        <v>62</v>
      </c>
      <c r="AM6" s="29" t="s">
        <v>62</v>
      </c>
      <c r="AN6" s="12" t="s">
        <v>62</v>
      </c>
      <c r="AO6" s="29">
        <v>0.41</v>
      </c>
      <c r="AP6">
        <v>0.59</v>
      </c>
      <c r="AQ6" s="29">
        <v>0.92</v>
      </c>
      <c r="AR6" s="72">
        <f t="shared" si="5"/>
        <v>7.999999999999996E-2</v>
      </c>
      <c r="AU6" s="29">
        <v>0.64</v>
      </c>
      <c r="AV6" s="12">
        <f t="shared" si="6"/>
        <v>0.36</v>
      </c>
      <c r="AW6" s="12">
        <v>1</v>
      </c>
      <c r="AX6" s="12">
        <v>0</v>
      </c>
      <c r="AY6" s="12">
        <v>0</v>
      </c>
      <c r="AZ6" s="67" t="s">
        <v>98</v>
      </c>
      <c r="BN6" s="69">
        <v>38.07</v>
      </c>
      <c r="BO6">
        <v>0</v>
      </c>
      <c r="BP6">
        <v>0</v>
      </c>
      <c r="BQ6">
        <v>0</v>
      </c>
      <c r="BR6">
        <v>0</v>
      </c>
      <c r="BS6">
        <v>0</v>
      </c>
      <c r="BT6">
        <v>1</v>
      </c>
      <c r="BU6" s="29">
        <v>1</v>
      </c>
      <c r="BV6">
        <v>0</v>
      </c>
      <c r="BW6">
        <v>0</v>
      </c>
      <c r="BX6" s="12">
        <v>0</v>
      </c>
      <c r="BY6" s="29">
        <v>1</v>
      </c>
      <c r="BZ6">
        <v>0</v>
      </c>
      <c r="CA6" s="12">
        <v>0</v>
      </c>
      <c r="CB6" s="29">
        <v>0</v>
      </c>
      <c r="CC6">
        <v>0</v>
      </c>
      <c r="CD6">
        <v>0</v>
      </c>
      <c r="CE6">
        <v>0</v>
      </c>
      <c r="CF6">
        <v>0</v>
      </c>
      <c r="CG6">
        <v>0</v>
      </c>
      <c r="CH6">
        <v>0</v>
      </c>
      <c r="CI6">
        <v>0</v>
      </c>
      <c r="CJ6">
        <v>0</v>
      </c>
      <c r="CK6">
        <v>0</v>
      </c>
      <c r="CL6">
        <v>0</v>
      </c>
      <c r="CM6" s="17">
        <v>0</v>
      </c>
      <c r="CS6" t="s">
        <v>49</v>
      </c>
    </row>
    <row r="7" spans="1:97" x14ac:dyDescent="0.25">
      <c r="A7">
        <v>6</v>
      </c>
      <c r="B7">
        <v>1</v>
      </c>
      <c r="C7" t="s">
        <v>276</v>
      </c>
      <c r="D7" s="10">
        <v>11.3</v>
      </c>
      <c r="E7" s="6">
        <v>1</v>
      </c>
      <c r="F7" s="6">
        <f t="shared" si="4"/>
        <v>11.3</v>
      </c>
      <c r="I7" s="80">
        <f t="shared" si="0"/>
        <v>0.40339395369089359</v>
      </c>
      <c r="J7" s="81">
        <f t="shared" si="1"/>
        <v>3.5698579972645444E-2</v>
      </c>
      <c r="K7" s="81">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5">
        <v>1992</v>
      </c>
      <c r="AI7" t="s">
        <v>62</v>
      </c>
      <c r="AJ7" t="s">
        <v>62</v>
      </c>
      <c r="AK7" t="s">
        <v>62</v>
      </c>
      <c r="AL7" t="s">
        <v>62</v>
      </c>
      <c r="AM7" s="29" t="s">
        <v>62</v>
      </c>
      <c r="AN7" s="12" t="s">
        <v>62</v>
      </c>
      <c r="AO7" s="29">
        <v>0.41</v>
      </c>
      <c r="AP7">
        <v>0.59</v>
      </c>
      <c r="AQ7" s="29">
        <v>0.92</v>
      </c>
      <c r="AR7" s="72">
        <f t="shared" si="5"/>
        <v>7.999999999999996E-2</v>
      </c>
      <c r="AU7" s="29">
        <v>0.64</v>
      </c>
      <c r="AV7" s="12">
        <f t="shared" si="6"/>
        <v>0.36</v>
      </c>
      <c r="AW7" s="12">
        <v>1</v>
      </c>
      <c r="AX7" s="12">
        <v>0</v>
      </c>
      <c r="AY7" s="12">
        <v>0</v>
      </c>
      <c r="AZ7" s="67" t="s">
        <v>98</v>
      </c>
      <c r="BN7" s="69">
        <v>38.07</v>
      </c>
      <c r="BO7">
        <v>1</v>
      </c>
      <c r="BP7">
        <v>0</v>
      </c>
      <c r="BQ7">
        <v>0</v>
      </c>
      <c r="BR7">
        <v>0</v>
      </c>
      <c r="BS7">
        <v>0</v>
      </c>
      <c r="BT7">
        <v>0</v>
      </c>
      <c r="BU7" s="29">
        <v>1</v>
      </c>
      <c r="BV7">
        <v>0</v>
      </c>
      <c r="BW7">
        <v>0</v>
      </c>
      <c r="BX7" s="12">
        <v>0</v>
      </c>
      <c r="BY7" s="29">
        <v>0</v>
      </c>
      <c r="BZ7">
        <v>0</v>
      </c>
      <c r="CA7" s="12">
        <v>0</v>
      </c>
      <c r="CB7" s="29">
        <v>1</v>
      </c>
      <c r="CC7">
        <v>1</v>
      </c>
      <c r="CD7">
        <v>0</v>
      </c>
      <c r="CE7">
        <v>1</v>
      </c>
      <c r="CF7">
        <v>1</v>
      </c>
      <c r="CG7">
        <v>0</v>
      </c>
      <c r="CH7">
        <v>1</v>
      </c>
      <c r="CI7">
        <v>1</v>
      </c>
      <c r="CJ7">
        <v>0</v>
      </c>
      <c r="CK7">
        <v>0</v>
      </c>
      <c r="CL7">
        <v>0</v>
      </c>
      <c r="CM7" s="17">
        <v>1</v>
      </c>
      <c r="CS7" t="s">
        <v>49</v>
      </c>
    </row>
    <row r="8" spans="1:97" x14ac:dyDescent="0.25">
      <c r="A8">
        <v>7</v>
      </c>
      <c r="B8">
        <v>1</v>
      </c>
      <c r="C8" t="s">
        <v>276</v>
      </c>
      <c r="D8" s="10">
        <v>7.4</v>
      </c>
      <c r="E8" s="6">
        <v>1.7</v>
      </c>
      <c r="F8" s="6">
        <f t="shared" si="4"/>
        <v>4.3529411764705888</v>
      </c>
      <c r="I8" s="80">
        <f t="shared" si="0"/>
        <v>0.16755122592426927</v>
      </c>
      <c r="J8" s="81">
        <f t="shared" si="1"/>
        <v>3.8491497847467263E-2</v>
      </c>
      <c r="K8" s="81">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5">
        <v>1992</v>
      </c>
      <c r="AI8" t="s">
        <v>62</v>
      </c>
      <c r="AJ8" t="s">
        <v>62</v>
      </c>
      <c r="AK8" t="s">
        <v>62</v>
      </c>
      <c r="AL8" t="s">
        <v>62</v>
      </c>
      <c r="AM8" s="29" t="s">
        <v>62</v>
      </c>
      <c r="AN8" s="12" t="s">
        <v>62</v>
      </c>
      <c r="AO8" s="29">
        <v>0.41</v>
      </c>
      <c r="AP8">
        <v>0.59</v>
      </c>
      <c r="AQ8" s="29">
        <v>0.92</v>
      </c>
      <c r="AR8" s="72">
        <f t="shared" si="5"/>
        <v>7.999999999999996E-2</v>
      </c>
      <c r="AU8" s="29">
        <v>0.64</v>
      </c>
      <c r="AV8" s="12">
        <f t="shared" si="6"/>
        <v>0.36</v>
      </c>
      <c r="AW8" s="12">
        <v>1</v>
      </c>
      <c r="AX8" s="12">
        <v>0</v>
      </c>
      <c r="AY8" s="12">
        <v>0</v>
      </c>
      <c r="AZ8" s="67" t="s">
        <v>98</v>
      </c>
      <c r="BN8" s="69">
        <v>38.07</v>
      </c>
      <c r="BO8">
        <v>1</v>
      </c>
      <c r="BP8">
        <v>0</v>
      </c>
      <c r="BQ8">
        <v>0</v>
      </c>
      <c r="BR8">
        <v>0</v>
      </c>
      <c r="BS8">
        <v>0</v>
      </c>
      <c r="BT8">
        <v>0</v>
      </c>
      <c r="BU8" s="29">
        <v>1</v>
      </c>
      <c r="BV8">
        <v>0</v>
      </c>
      <c r="BW8">
        <v>0</v>
      </c>
      <c r="BX8" s="12">
        <v>0</v>
      </c>
      <c r="BY8" s="29">
        <v>0</v>
      </c>
      <c r="BZ8">
        <v>0</v>
      </c>
      <c r="CA8" s="12">
        <v>0</v>
      </c>
      <c r="CB8" s="29">
        <v>1</v>
      </c>
      <c r="CC8">
        <v>1</v>
      </c>
      <c r="CD8">
        <v>0</v>
      </c>
      <c r="CE8">
        <v>0</v>
      </c>
      <c r="CF8">
        <v>1</v>
      </c>
      <c r="CG8">
        <v>0</v>
      </c>
      <c r="CH8">
        <v>1</v>
      </c>
      <c r="CI8">
        <v>1</v>
      </c>
      <c r="CJ8">
        <v>0</v>
      </c>
      <c r="CK8">
        <v>0</v>
      </c>
      <c r="CL8">
        <v>0</v>
      </c>
      <c r="CM8" s="17">
        <v>1</v>
      </c>
      <c r="CS8" t="s">
        <v>49</v>
      </c>
    </row>
    <row r="9" spans="1:97" x14ac:dyDescent="0.25">
      <c r="A9">
        <v>8</v>
      </c>
      <c r="B9">
        <v>1</v>
      </c>
      <c r="C9" t="s">
        <v>276</v>
      </c>
      <c r="D9" s="10">
        <v>10.6</v>
      </c>
      <c r="E9" s="6">
        <v>2.2000000000000002</v>
      </c>
      <c r="F9" s="6">
        <f t="shared" si="4"/>
        <v>4.8181818181818175</v>
      </c>
      <c r="I9" s="80">
        <f t="shared" si="0"/>
        <v>0.18487559718104329</v>
      </c>
      <c r="J9" s="81">
        <f t="shared" si="1"/>
        <v>3.837040696210333E-2</v>
      </c>
      <c r="K9" s="81">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5">
        <v>1992</v>
      </c>
      <c r="AI9" t="s">
        <v>62</v>
      </c>
      <c r="AJ9" t="s">
        <v>62</v>
      </c>
      <c r="AK9" t="s">
        <v>62</v>
      </c>
      <c r="AL9" t="s">
        <v>62</v>
      </c>
      <c r="AM9" s="29" t="s">
        <v>62</v>
      </c>
      <c r="AN9" s="12" t="s">
        <v>62</v>
      </c>
      <c r="AO9" s="29">
        <v>0.41</v>
      </c>
      <c r="AP9">
        <v>0.59</v>
      </c>
      <c r="AQ9" s="29">
        <v>0.92</v>
      </c>
      <c r="AR9" s="72">
        <f t="shared" si="5"/>
        <v>7.999999999999996E-2</v>
      </c>
      <c r="AU9" s="29">
        <v>0.64</v>
      </c>
      <c r="AV9" s="12">
        <f t="shared" si="6"/>
        <v>0.36</v>
      </c>
      <c r="AW9" s="12">
        <v>1</v>
      </c>
      <c r="AX9" s="12">
        <v>0</v>
      </c>
      <c r="AY9" s="12">
        <v>0</v>
      </c>
      <c r="AZ9" s="67" t="s">
        <v>98</v>
      </c>
      <c r="BN9" s="69">
        <v>38.07</v>
      </c>
      <c r="BO9">
        <v>0</v>
      </c>
      <c r="BP9">
        <v>0</v>
      </c>
      <c r="BQ9">
        <v>1</v>
      </c>
      <c r="BR9">
        <v>0</v>
      </c>
      <c r="BS9">
        <v>0</v>
      </c>
      <c r="BT9">
        <v>0</v>
      </c>
      <c r="BU9" s="29">
        <v>1</v>
      </c>
      <c r="BV9">
        <v>0</v>
      </c>
      <c r="BW9">
        <v>0</v>
      </c>
      <c r="BX9" s="12">
        <v>0</v>
      </c>
      <c r="BY9" s="29">
        <v>0</v>
      </c>
      <c r="BZ9">
        <v>0</v>
      </c>
      <c r="CA9" s="12">
        <v>0</v>
      </c>
      <c r="CB9" s="29">
        <v>1</v>
      </c>
      <c r="CC9">
        <v>1</v>
      </c>
      <c r="CD9">
        <v>0</v>
      </c>
      <c r="CE9">
        <v>0</v>
      </c>
      <c r="CF9">
        <v>1</v>
      </c>
      <c r="CG9">
        <v>0</v>
      </c>
      <c r="CH9">
        <v>1</v>
      </c>
      <c r="CI9">
        <v>1</v>
      </c>
      <c r="CJ9">
        <v>0</v>
      </c>
      <c r="CK9">
        <v>0</v>
      </c>
      <c r="CL9">
        <v>0</v>
      </c>
      <c r="CM9" s="17">
        <v>1</v>
      </c>
      <c r="CS9" t="s">
        <v>49</v>
      </c>
    </row>
    <row r="10" spans="1:97" x14ac:dyDescent="0.25">
      <c r="A10">
        <v>9</v>
      </c>
      <c r="B10">
        <v>1</v>
      </c>
      <c r="C10" t="s">
        <v>276</v>
      </c>
      <c r="D10" s="10">
        <v>7.8</v>
      </c>
      <c r="E10" s="6">
        <v>1.8</v>
      </c>
      <c r="F10" s="6">
        <f t="shared" si="4"/>
        <v>4.333333333333333</v>
      </c>
      <c r="I10" s="80">
        <f t="shared" si="0"/>
        <v>0.23270004537651326</v>
      </c>
      <c r="J10" s="81">
        <f t="shared" si="1"/>
        <v>5.3700010471503065E-2</v>
      </c>
      <c r="K10" s="81">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5">
        <v>1992</v>
      </c>
      <c r="AI10" t="s">
        <v>62</v>
      </c>
      <c r="AJ10" t="s">
        <v>62</v>
      </c>
      <c r="AK10" t="s">
        <v>62</v>
      </c>
      <c r="AL10" t="s">
        <v>62</v>
      </c>
      <c r="AM10" s="29" t="s">
        <v>62</v>
      </c>
      <c r="AN10" s="12" t="s">
        <v>62</v>
      </c>
      <c r="AO10" s="29">
        <v>0.41</v>
      </c>
      <c r="AP10">
        <v>0.59</v>
      </c>
      <c r="AQ10" s="29">
        <v>0.92</v>
      </c>
      <c r="AR10" s="72">
        <f t="shared" si="5"/>
        <v>7.999999999999996E-2</v>
      </c>
      <c r="AU10" s="29">
        <v>0.64</v>
      </c>
      <c r="AV10" s="12">
        <f t="shared" si="6"/>
        <v>0.36</v>
      </c>
      <c r="AW10" s="12">
        <v>1</v>
      </c>
      <c r="AX10" s="12">
        <v>0</v>
      </c>
      <c r="AY10" s="12">
        <v>0</v>
      </c>
      <c r="AZ10" s="67" t="s">
        <v>98</v>
      </c>
      <c r="BN10" s="69">
        <v>38.07</v>
      </c>
      <c r="BO10">
        <v>0</v>
      </c>
      <c r="BP10">
        <v>1</v>
      </c>
      <c r="BQ10">
        <v>0</v>
      </c>
      <c r="BR10">
        <v>0</v>
      </c>
      <c r="BS10">
        <v>0</v>
      </c>
      <c r="BT10">
        <v>0</v>
      </c>
      <c r="BU10" s="29">
        <v>1</v>
      </c>
      <c r="BV10">
        <v>0</v>
      </c>
      <c r="BW10">
        <v>0</v>
      </c>
      <c r="BX10" s="12">
        <v>0</v>
      </c>
      <c r="BY10" s="29">
        <v>0</v>
      </c>
      <c r="BZ10">
        <v>0</v>
      </c>
      <c r="CA10" s="12">
        <v>0</v>
      </c>
      <c r="CB10" s="29">
        <v>0</v>
      </c>
      <c r="CC10">
        <v>0</v>
      </c>
      <c r="CD10">
        <v>0</v>
      </c>
      <c r="CE10">
        <v>0</v>
      </c>
      <c r="CF10">
        <v>0</v>
      </c>
      <c r="CG10">
        <v>0</v>
      </c>
      <c r="CH10">
        <v>0</v>
      </c>
      <c r="CI10">
        <v>1</v>
      </c>
      <c r="CJ10">
        <v>0</v>
      </c>
      <c r="CK10">
        <v>0</v>
      </c>
      <c r="CL10">
        <v>0</v>
      </c>
      <c r="CM10" s="17">
        <v>1</v>
      </c>
      <c r="CS10" t="s">
        <v>49</v>
      </c>
    </row>
    <row r="11" spans="1:97" x14ac:dyDescent="0.25">
      <c r="A11">
        <v>10</v>
      </c>
      <c r="B11">
        <v>1</v>
      </c>
      <c r="C11" t="s">
        <v>276</v>
      </c>
      <c r="D11" s="10">
        <v>10</v>
      </c>
      <c r="E11" s="6">
        <v>2.2999999999999998</v>
      </c>
      <c r="F11" s="6">
        <f t="shared" si="4"/>
        <v>4.3478260869565224</v>
      </c>
      <c r="I11" s="80">
        <f t="shared" si="0"/>
        <v>0.23343596396905494</v>
      </c>
      <c r="J11" s="81">
        <f t="shared" si="1"/>
        <v>5.3690271712882633E-2</v>
      </c>
      <c r="K11" s="81">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5">
        <v>1992</v>
      </c>
      <c r="AI11" t="s">
        <v>62</v>
      </c>
      <c r="AJ11" t="s">
        <v>62</v>
      </c>
      <c r="AK11" t="s">
        <v>62</v>
      </c>
      <c r="AL11" t="s">
        <v>62</v>
      </c>
      <c r="AM11" s="29" t="s">
        <v>62</v>
      </c>
      <c r="AN11" s="12" t="s">
        <v>62</v>
      </c>
      <c r="AO11" s="29">
        <v>0.41</v>
      </c>
      <c r="AP11">
        <v>0.59</v>
      </c>
      <c r="AQ11" s="29">
        <v>0.92</v>
      </c>
      <c r="AR11" s="72">
        <f t="shared" si="5"/>
        <v>7.999999999999996E-2</v>
      </c>
      <c r="AU11" s="29">
        <v>0.64</v>
      </c>
      <c r="AV11" s="12">
        <f t="shared" si="6"/>
        <v>0.36</v>
      </c>
      <c r="AW11" s="12">
        <v>1</v>
      </c>
      <c r="AX11" s="12">
        <v>0</v>
      </c>
      <c r="AY11" s="12">
        <v>0</v>
      </c>
      <c r="AZ11" s="67" t="s">
        <v>98</v>
      </c>
      <c r="BN11" s="69">
        <v>38.07</v>
      </c>
      <c r="BO11">
        <v>0</v>
      </c>
      <c r="BP11">
        <v>0</v>
      </c>
      <c r="BQ11">
        <v>0</v>
      </c>
      <c r="BR11">
        <v>0</v>
      </c>
      <c r="BS11">
        <v>0</v>
      </c>
      <c r="BT11">
        <v>1</v>
      </c>
      <c r="BU11" s="29">
        <v>1</v>
      </c>
      <c r="BV11">
        <v>0</v>
      </c>
      <c r="BW11">
        <v>0</v>
      </c>
      <c r="BX11" s="12">
        <v>0</v>
      </c>
      <c r="BY11" s="29">
        <v>1</v>
      </c>
      <c r="BZ11">
        <v>0</v>
      </c>
      <c r="CA11" s="12">
        <v>0</v>
      </c>
      <c r="CB11" s="29">
        <v>0</v>
      </c>
      <c r="CC11">
        <v>0</v>
      </c>
      <c r="CD11">
        <v>0</v>
      </c>
      <c r="CE11">
        <v>0</v>
      </c>
      <c r="CF11">
        <v>0</v>
      </c>
      <c r="CG11">
        <v>0</v>
      </c>
      <c r="CH11">
        <v>0</v>
      </c>
      <c r="CI11">
        <v>1</v>
      </c>
      <c r="CJ11">
        <v>0</v>
      </c>
      <c r="CK11">
        <v>0</v>
      </c>
      <c r="CL11">
        <v>0</v>
      </c>
      <c r="CM11" s="17">
        <v>1</v>
      </c>
      <c r="CS11" t="s">
        <v>49</v>
      </c>
    </row>
    <row r="12" spans="1:97" x14ac:dyDescent="0.25">
      <c r="A12">
        <v>11</v>
      </c>
      <c r="B12">
        <v>1</v>
      </c>
      <c r="C12" t="s">
        <v>276</v>
      </c>
      <c r="D12" s="10">
        <v>6.6</v>
      </c>
      <c r="E12" s="6">
        <v>1.8</v>
      </c>
      <c r="F12" s="6">
        <f t="shared" si="4"/>
        <v>3.6666666666666665</v>
      </c>
      <c r="L12" s="7">
        <v>1</v>
      </c>
      <c r="M12" s="8">
        <v>0</v>
      </c>
      <c r="N12" s="8">
        <v>0</v>
      </c>
      <c r="O12" s="8">
        <v>0</v>
      </c>
      <c r="P12" s="8">
        <v>0</v>
      </c>
      <c r="Q12" s="7">
        <v>395</v>
      </c>
      <c r="R12" s="8">
        <v>5</v>
      </c>
      <c r="S12" s="8">
        <f t="shared" ref="S12:S95" si="7">Q12-R12-1</f>
        <v>389</v>
      </c>
      <c r="U12" s="6">
        <v>14.03</v>
      </c>
      <c r="V12" s="6">
        <v>8.34</v>
      </c>
      <c r="W12" s="7">
        <v>1</v>
      </c>
      <c r="X12" s="8">
        <v>0</v>
      </c>
      <c r="Y12" s="7">
        <v>1</v>
      </c>
      <c r="Z12" s="8">
        <v>0</v>
      </c>
      <c r="AA12" s="8">
        <v>0</v>
      </c>
      <c r="AB12" s="22">
        <v>0</v>
      </c>
      <c r="AC12" s="7">
        <v>0</v>
      </c>
      <c r="AD12" s="8">
        <v>1</v>
      </c>
      <c r="AE12" s="22">
        <v>0</v>
      </c>
      <c r="AF12" s="7">
        <v>0</v>
      </c>
      <c r="AG12" s="22">
        <v>1</v>
      </c>
      <c r="AH12" s="65">
        <v>1992</v>
      </c>
      <c r="AI12" t="s">
        <v>62</v>
      </c>
      <c r="AJ12" t="s">
        <v>62</v>
      </c>
      <c r="AK12" t="s">
        <v>62</v>
      </c>
      <c r="AL12" t="s">
        <v>62</v>
      </c>
      <c r="AM12" s="29" t="s">
        <v>62</v>
      </c>
      <c r="AN12" s="12" t="s">
        <v>62</v>
      </c>
      <c r="AO12" s="29">
        <v>0.41</v>
      </c>
      <c r="AP12">
        <v>0.59</v>
      </c>
      <c r="AQ12" s="29">
        <v>0.92</v>
      </c>
      <c r="AR12" s="72">
        <f t="shared" si="5"/>
        <v>7.999999999999996E-2</v>
      </c>
      <c r="AU12" s="29">
        <v>0.64</v>
      </c>
      <c r="AV12" s="12">
        <f t="shared" si="6"/>
        <v>0.36</v>
      </c>
      <c r="AW12" s="12">
        <v>1</v>
      </c>
      <c r="AX12" s="12">
        <v>0</v>
      </c>
      <c r="AY12" s="12">
        <v>0</v>
      </c>
      <c r="AZ12" s="67" t="s">
        <v>98</v>
      </c>
      <c r="BN12" s="69">
        <v>38.07</v>
      </c>
      <c r="BO12">
        <v>1</v>
      </c>
      <c r="BP12">
        <v>0</v>
      </c>
      <c r="BQ12">
        <v>0</v>
      </c>
      <c r="BR12">
        <v>0</v>
      </c>
      <c r="BS12">
        <v>0</v>
      </c>
      <c r="BT12">
        <v>0</v>
      </c>
      <c r="BY12" s="29">
        <v>0</v>
      </c>
      <c r="BZ12">
        <v>0</v>
      </c>
      <c r="CA12" s="12">
        <v>0</v>
      </c>
      <c r="CB12" s="29">
        <v>1</v>
      </c>
      <c r="CC12">
        <v>1</v>
      </c>
      <c r="CD12">
        <v>0</v>
      </c>
      <c r="CE12">
        <v>0</v>
      </c>
      <c r="CF12">
        <v>1</v>
      </c>
      <c r="CG12">
        <v>0</v>
      </c>
      <c r="CH12">
        <v>1</v>
      </c>
      <c r="CI12">
        <v>0</v>
      </c>
      <c r="CJ12">
        <v>0</v>
      </c>
      <c r="CK12">
        <v>0</v>
      </c>
      <c r="CL12">
        <v>0</v>
      </c>
      <c r="CM12" s="17">
        <v>0</v>
      </c>
      <c r="CS12" t="s">
        <v>49</v>
      </c>
    </row>
    <row r="13" spans="1:97" x14ac:dyDescent="0.25">
      <c r="A13">
        <v>12</v>
      </c>
      <c r="B13">
        <v>1</v>
      </c>
      <c r="C13" t="s">
        <v>276</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5">
        <v>1992</v>
      </c>
      <c r="AI13" t="s">
        <v>62</v>
      </c>
      <c r="AJ13" t="s">
        <v>62</v>
      </c>
      <c r="AK13" t="s">
        <v>62</v>
      </c>
      <c r="AL13" t="s">
        <v>62</v>
      </c>
      <c r="AM13" s="29" t="s">
        <v>62</v>
      </c>
      <c r="AN13" s="12" t="s">
        <v>62</v>
      </c>
      <c r="AO13" s="29">
        <v>0.41</v>
      </c>
      <c r="AP13">
        <v>0.59</v>
      </c>
      <c r="AQ13" s="29">
        <v>0.92</v>
      </c>
      <c r="AR13" s="72">
        <f t="shared" si="5"/>
        <v>7.999999999999996E-2</v>
      </c>
      <c r="AU13" s="29">
        <v>0.64</v>
      </c>
      <c r="AV13" s="12">
        <f t="shared" si="6"/>
        <v>0.36</v>
      </c>
      <c r="AW13" s="12">
        <v>1</v>
      </c>
      <c r="AX13" s="12">
        <v>0</v>
      </c>
      <c r="AY13" s="12">
        <v>0</v>
      </c>
      <c r="AZ13" s="67" t="s">
        <v>98</v>
      </c>
      <c r="BN13" s="69">
        <v>38.07</v>
      </c>
      <c r="BO13">
        <v>1</v>
      </c>
      <c r="BP13">
        <v>0</v>
      </c>
      <c r="BQ13">
        <v>0</v>
      </c>
      <c r="BR13">
        <v>0</v>
      </c>
      <c r="BS13">
        <v>0</v>
      </c>
      <c r="BT13">
        <v>0</v>
      </c>
      <c r="BY13" s="29">
        <v>0</v>
      </c>
      <c r="BZ13">
        <v>0</v>
      </c>
      <c r="CA13" s="12">
        <v>0</v>
      </c>
      <c r="CB13" s="29">
        <v>1</v>
      </c>
      <c r="CC13">
        <v>1</v>
      </c>
      <c r="CD13">
        <v>0</v>
      </c>
      <c r="CE13">
        <v>0</v>
      </c>
      <c r="CF13">
        <v>1</v>
      </c>
      <c r="CG13">
        <v>0</v>
      </c>
      <c r="CH13">
        <v>1</v>
      </c>
      <c r="CI13">
        <v>0</v>
      </c>
      <c r="CJ13">
        <v>0</v>
      </c>
      <c r="CK13">
        <v>0</v>
      </c>
      <c r="CL13">
        <v>0</v>
      </c>
      <c r="CM13" s="17">
        <v>0</v>
      </c>
      <c r="CS13" t="s">
        <v>49</v>
      </c>
    </row>
    <row r="14" spans="1:97" x14ac:dyDescent="0.25">
      <c r="A14">
        <v>13</v>
      </c>
      <c r="B14">
        <v>1</v>
      </c>
      <c r="C14" t="s">
        <v>276</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5">
        <v>1992</v>
      </c>
      <c r="AI14" t="s">
        <v>62</v>
      </c>
      <c r="AJ14" t="s">
        <v>62</v>
      </c>
      <c r="AK14" t="s">
        <v>62</v>
      </c>
      <c r="AL14" t="s">
        <v>62</v>
      </c>
      <c r="AM14" s="29" t="s">
        <v>62</v>
      </c>
      <c r="AN14" s="12" t="s">
        <v>62</v>
      </c>
      <c r="AO14" s="29">
        <v>0.41</v>
      </c>
      <c r="AP14">
        <v>0.59</v>
      </c>
      <c r="AQ14" s="29">
        <v>0.92</v>
      </c>
      <c r="AR14" s="72">
        <f t="shared" si="5"/>
        <v>7.999999999999996E-2</v>
      </c>
      <c r="AU14" s="29">
        <v>0.64</v>
      </c>
      <c r="AV14" s="12">
        <f t="shared" si="6"/>
        <v>0.36</v>
      </c>
      <c r="AW14" s="12">
        <v>1</v>
      </c>
      <c r="AX14" s="12">
        <v>0</v>
      </c>
      <c r="AY14" s="12">
        <v>0</v>
      </c>
      <c r="AZ14" s="67" t="s">
        <v>98</v>
      </c>
      <c r="BN14" s="69">
        <v>38.07</v>
      </c>
      <c r="BO14">
        <v>1</v>
      </c>
      <c r="BP14">
        <v>0</v>
      </c>
      <c r="BQ14">
        <v>0</v>
      </c>
      <c r="BR14">
        <v>0</v>
      </c>
      <c r="BS14">
        <v>0</v>
      </c>
      <c r="BT14">
        <v>0</v>
      </c>
      <c r="BY14" s="29">
        <v>0</v>
      </c>
      <c r="BZ14">
        <v>0</v>
      </c>
      <c r="CA14" s="12">
        <v>0</v>
      </c>
      <c r="CB14" s="29">
        <v>1</v>
      </c>
      <c r="CC14">
        <v>1</v>
      </c>
      <c r="CD14">
        <v>0</v>
      </c>
      <c r="CE14">
        <v>0</v>
      </c>
      <c r="CF14">
        <v>1</v>
      </c>
      <c r="CG14">
        <v>0</v>
      </c>
      <c r="CH14">
        <v>1</v>
      </c>
      <c r="CI14">
        <v>0</v>
      </c>
      <c r="CJ14">
        <v>0</v>
      </c>
      <c r="CK14">
        <v>0</v>
      </c>
      <c r="CL14">
        <v>0</v>
      </c>
      <c r="CM14" s="17">
        <v>0</v>
      </c>
      <c r="CS14" t="s">
        <v>49</v>
      </c>
    </row>
    <row r="15" spans="1:97" x14ac:dyDescent="0.25">
      <c r="A15">
        <v>14</v>
      </c>
      <c r="B15">
        <v>1</v>
      </c>
      <c r="C15" t="s">
        <v>276</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5">
        <v>1992</v>
      </c>
      <c r="AI15" t="s">
        <v>62</v>
      </c>
      <c r="AJ15" t="s">
        <v>62</v>
      </c>
      <c r="AK15" t="s">
        <v>62</v>
      </c>
      <c r="AL15" t="s">
        <v>62</v>
      </c>
      <c r="AM15" s="29" t="s">
        <v>62</v>
      </c>
      <c r="AN15" s="12" t="s">
        <v>62</v>
      </c>
      <c r="AO15" s="29">
        <v>0.41</v>
      </c>
      <c r="AP15">
        <v>0.59</v>
      </c>
      <c r="AQ15" s="29">
        <v>0.92</v>
      </c>
      <c r="AR15" s="72">
        <f t="shared" si="5"/>
        <v>7.999999999999996E-2</v>
      </c>
      <c r="AU15" s="29">
        <v>0.64</v>
      </c>
      <c r="AV15" s="12">
        <f t="shared" si="6"/>
        <v>0.36</v>
      </c>
      <c r="AW15" s="12">
        <v>1</v>
      </c>
      <c r="AX15" s="12">
        <v>0</v>
      </c>
      <c r="AY15" s="12">
        <v>0</v>
      </c>
      <c r="AZ15" s="67" t="s">
        <v>98</v>
      </c>
      <c r="BN15" s="69">
        <v>38.07</v>
      </c>
      <c r="BO15">
        <v>1</v>
      </c>
      <c r="BP15">
        <v>0</v>
      </c>
      <c r="BQ15">
        <v>0</v>
      </c>
      <c r="BR15">
        <v>0</v>
      </c>
      <c r="BS15">
        <v>0</v>
      </c>
      <c r="BT15">
        <v>0</v>
      </c>
      <c r="BY15" s="29">
        <v>0</v>
      </c>
      <c r="BZ15">
        <v>0</v>
      </c>
      <c r="CA15" s="12">
        <v>0</v>
      </c>
      <c r="CB15" s="29">
        <v>1</v>
      </c>
      <c r="CC15">
        <v>1</v>
      </c>
      <c r="CD15">
        <v>0</v>
      </c>
      <c r="CE15">
        <v>0</v>
      </c>
      <c r="CF15">
        <v>1</v>
      </c>
      <c r="CG15">
        <v>0</v>
      </c>
      <c r="CH15">
        <v>1</v>
      </c>
      <c r="CI15">
        <v>0</v>
      </c>
      <c r="CJ15">
        <v>0</v>
      </c>
      <c r="CK15">
        <v>0</v>
      </c>
      <c r="CL15">
        <v>0</v>
      </c>
      <c r="CM15" s="17">
        <v>0</v>
      </c>
      <c r="CS15" t="s">
        <v>49</v>
      </c>
    </row>
    <row r="16" spans="1:97" x14ac:dyDescent="0.25">
      <c r="A16">
        <v>15</v>
      </c>
      <c r="B16">
        <v>1</v>
      </c>
      <c r="C16" t="s">
        <v>276</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5">
        <v>1992</v>
      </c>
      <c r="AI16" t="s">
        <v>62</v>
      </c>
      <c r="AJ16" t="s">
        <v>62</v>
      </c>
      <c r="AK16" t="s">
        <v>62</v>
      </c>
      <c r="AL16" t="s">
        <v>62</v>
      </c>
      <c r="AM16" s="29" t="s">
        <v>62</v>
      </c>
      <c r="AN16" s="12" t="s">
        <v>62</v>
      </c>
      <c r="AO16" s="29">
        <v>0.41</v>
      </c>
      <c r="AP16">
        <v>0.59</v>
      </c>
      <c r="AQ16" s="29">
        <v>0.92</v>
      </c>
      <c r="AR16" s="72">
        <f t="shared" si="5"/>
        <v>7.999999999999996E-2</v>
      </c>
      <c r="AU16" s="29">
        <v>0.64</v>
      </c>
      <c r="AV16" s="12">
        <f t="shared" si="6"/>
        <v>0.36</v>
      </c>
      <c r="AW16" s="12">
        <v>1</v>
      </c>
      <c r="AX16" s="12">
        <v>0</v>
      </c>
      <c r="AY16" s="12">
        <v>0</v>
      </c>
      <c r="AZ16" s="67" t="s">
        <v>98</v>
      </c>
      <c r="BN16" s="69">
        <v>38.07</v>
      </c>
      <c r="BO16">
        <v>1</v>
      </c>
      <c r="BP16">
        <v>0</v>
      </c>
      <c r="BQ16">
        <v>0</v>
      </c>
      <c r="BR16">
        <v>0</v>
      </c>
      <c r="BS16">
        <v>0</v>
      </c>
      <c r="BT16">
        <v>0</v>
      </c>
      <c r="BY16" s="29">
        <v>0</v>
      </c>
      <c r="BZ16">
        <v>0</v>
      </c>
      <c r="CA16" s="12">
        <v>0</v>
      </c>
      <c r="CB16" s="29">
        <v>1</v>
      </c>
      <c r="CC16">
        <v>1</v>
      </c>
      <c r="CD16">
        <v>0</v>
      </c>
      <c r="CE16">
        <v>0</v>
      </c>
      <c r="CF16">
        <v>1</v>
      </c>
      <c r="CG16">
        <v>0</v>
      </c>
      <c r="CH16">
        <v>1</v>
      </c>
      <c r="CI16">
        <v>0</v>
      </c>
      <c r="CJ16">
        <v>0</v>
      </c>
      <c r="CK16">
        <v>0</v>
      </c>
      <c r="CL16">
        <v>0</v>
      </c>
      <c r="CM16" s="17">
        <v>0</v>
      </c>
      <c r="CS16" t="s">
        <v>49</v>
      </c>
    </row>
    <row r="17" spans="1:97" x14ac:dyDescent="0.25">
      <c r="A17">
        <v>16</v>
      </c>
      <c r="B17">
        <v>1</v>
      </c>
      <c r="C17" t="s">
        <v>276</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5">
        <v>1992</v>
      </c>
      <c r="AI17" t="s">
        <v>62</v>
      </c>
      <c r="AJ17" t="s">
        <v>62</v>
      </c>
      <c r="AK17" t="s">
        <v>62</v>
      </c>
      <c r="AL17" t="s">
        <v>62</v>
      </c>
      <c r="AM17" s="29" t="s">
        <v>62</v>
      </c>
      <c r="AN17" s="12" t="s">
        <v>62</v>
      </c>
      <c r="AO17" s="29">
        <v>0.41</v>
      </c>
      <c r="AP17">
        <v>0.59</v>
      </c>
      <c r="AQ17" s="29">
        <v>0.92</v>
      </c>
      <c r="AR17" s="72">
        <f t="shared" si="5"/>
        <v>7.999999999999996E-2</v>
      </c>
      <c r="AU17" s="29">
        <v>0.64</v>
      </c>
      <c r="AV17" s="12">
        <f t="shared" si="6"/>
        <v>0.36</v>
      </c>
      <c r="AW17" s="12">
        <v>1</v>
      </c>
      <c r="AX17" s="12">
        <v>0</v>
      </c>
      <c r="AY17" s="12">
        <v>0</v>
      </c>
      <c r="AZ17" s="67" t="s">
        <v>98</v>
      </c>
      <c r="BN17" s="69">
        <v>38.07</v>
      </c>
      <c r="BO17">
        <v>1</v>
      </c>
      <c r="BP17">
        <v>0</v>
      </c>
      <c r="BQ17">
        <v>0</v>
      </c>
      <c r="BR17">
        <v>0</v>
      </c>
      <c r="BS17">
        <v>0</v>
      </c>
      <c r="BT17">
        <v>0</v>
      </c>
      <c r="BY17" s="29">
        <v>0</v>
      </c>
      <c r="BZ17">
        <v>0</v>
      </c>
      <c r="CA17" s="12">
        <v>0</v>
      </c>
      <c r="CB17" s="29">
        <v>1</v>
      </c>
      <c r="CC17">
        <v>1</v>
      </c>
      <c r="CD17">
        <v>0</v>
      </c>
      <c r="CE17">
        <v>0</v>
      </c>
      <c r="CF17">
        <v>1</v>
      </c>
      <c r="CG17">
        <v>0</v>
      </c>
      <c r="CH17">
        <v>1</v>
      </c>
      <c r="CI17">
        <v>0</v>
      </c>
      <c r="CJ17">
        <v>0</v>
      </c>
      <c r="CK17">
        <v>0</v>
      </c>
      <c r="CL17">
        <v>0</v>
      </c>
      <c r="CM17" s="17">
        <v>0</v>
      </c>
      <c r="CS17" t="s">
        <v>49</v>
      </c>
    </row>
    <row r="18" spans="1:97" x14ac:dyDescent="0.25">
      <c r="A18">
        <v>17</v>
      </c>
      <c r="B18">
        <v>1</v>
      </c>
      <c r="C18" t="s">
        <v>276</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5">
        <v>1992</v>
      </c>
      <c r="AI18" t="s">
        <v>62</v>
      </c>
      <c r="AJ18" t="s">
        <v>62</v>
      </c>
      <c r="AK18" t="s">
        <v>62</v>
      </c>
      <c r="AL18" t="s">
        <v>62</v>
      </c>
      <c r="AM18" s="29" t="s">
        <v>62</v>
      </c>
      <c r="AN18" s="12" t="s">
        <v>62</v>
      </c>
      <c r="AO18" s="29">
        <v>0.41</v>
      </c>
      <c r="AP18">
        <v>0.59</v>
      </c>
      <c r="AQ18" s="29">
        <v>0.92</v>
      </c>
      <c r="AR18" s="72">
        <f t="shared" si="5"/>
        <v>7.999999999999996E-2</v>
      </c>
      <c r="AU18" s="29">
        <v>0.64</v>
      </c>
      <c r="AV18" s="12">
        <f t="shared" si="6"/>
        <v>0.36</v>
      </c>
      <c r="AW18" s="12">
        <v>1</v>
      </c>
      <c r="AX18" s="12">
        <v>0</v>
      </c>
      <c r="AY18" s="12">
        <v>0</v>
      </c>
      <c r="AZ18" s="67" t="s">
        <v>98</v>
      </c>
      <c r="BN18" s="69">
        <v>38.07</v>
      </c>
      <c r="BO18">
        <v>0</v>
      </c>
      <c r="BP18">
        <v>0</v>
      </c>
      <c r="BQ18">
        <v>0</v>
      </c>
      <c r="BR18">
        <v>0</v>
      </c>
      <c r="BS18">
        <v>0</v>
      </c>
      <c r="BT18">
        <v>1</v>
      </c>
      <c r="BY18" s="29">
        <v>1</v>
      </c>
      <c r="BZ18">
        <v>0</v>
      </c>
      <c r="CA18" s="12">
        <v>0</v>
      </c>
      <c r="CB18" s="29">
        <v>0</v>
      </c>
      <c r="CC18">
        <v>0</v>
      </c>
      <c r="CD18">
        <v>0</v>
      </c>
      <c r="CE18">
        <v>0</v>
      </c>
      <c r="CF18">
        <v>0</v>
      </c>
      <c r="CG18">
        <v>0</v>
      </c>
      <c r="CH18">
        <v>0</v>
      </c>
      <c r="CI18">
        <v>1</v>
      </c>
      <c r="CJ18">
        <v>0</v>
      </c>
      <c r="CK18">
        <v>0</v>
      </c>
      <c r="CL18">
        <v>0</v>
      </c>
      <c r="CM18" s="17">
        <v>1</v>
      </c>
      <c r="CS18" t="s">
        <v>49</v>
      </c>
    </row>
    <row r="19" spans="1:97" x14ac:dyDescent="0.25">
      <c r="A19">
        <v>18</v>
      </c>
      <c r="B19">
        <v>1</v>
      </c>
      <c r="C19" t="s">
        <v>276</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5">
        <v>1992</v>
      </c>
      <c r="AI19" t="s">
        <v>62</v>
      </c>
      <c r="AJ19" t="s">
        <v>62</v>
      </c>
      <c r="AK19" t="s">
        <v>62</v>
      </c>
      <c r="AL19" t="s">
        <v>62</v>
      </c>
      <c r="AM19" s="29" t="s">
        <v>62</v>
      </c>
      <c r="AN19" s="12" t="s">
        <v>62</v>
      </c>
      <c r="AO19" s="29">
        <v>0.41</v>
      </c>
      <c r="AP19">
        <v>0.59</v>
      </c>
      <c r="AQ19" s="29">
        <v>0.92</v>
      </c>
      <c r="AR19" s="72">
        <f t="shared" si="5"/>
        <v>7.999999999999996E-2</v>
      </c>
      <c r="AU19" s="29">
        <v>0.64</v>
      </c>
      <c r="AV19" s="12">
        <f t="shared" si="6"/>
        <v>0.36</v>
      </c>
      <c r="AW19" s="12">
        <v>1</v>
      </c>
      <c r="AX19" s="12">
        <v>0</v>
      </c>
      <c r="AY19" s="12">
        <v>0</v>
      </c>
      <c r="AZ19" s="67" t="s">
        <v>98</v>
      </c>
      <c r="BN19" s="69">
        <v>38.07</v>
      </c>
      <c r="BO19">
        <v>0</v>
      </c>
      <c r="BP19">
        <v>0</v>
      </c>
      <c r="BQ19">
        <v>0</v>
      </c>
      <c r="BR19">
        <v>0</v>
      </c>
      <c r="BS19">
        <v>0</v>
      </c>
      <c r="BT19">
        <v>1</v>
      </c>
      <c r="BY19" s="29">
        <v>1</v>
      </c>
      <c r="BZ19">
        <v>0</v>
      </c>
      <c r="CA19" s="12">
        <v>0</v>
      </c>
      <c r="CB19" s="29">
        <v>0</v>
      </c>
      <c r="CC19">
        <v>0</v>
      </c>
      <c r="CD19">
        <v>0</v>
      </c>
      <c r="CE19">
        <v>0</v>
      </c>
      <c r="CF19">
        <v>0</v>
      </c>
      <c r="CG19">
        <v>0</v>
      </c>
      <c r="CH19">
        <v>0</v>
      </c>
      <c r="CI19">
        <v>1</v>
      </c>
      <c r="CJ19">
        <v>0</v>
      </c>
      <c r="CK19">
        <v>0</v>
      </c>
      <c r="CL19">
        <v>0</v>
      </c>
      <c r="CM19" s="17">
        <v>1</v>
      </c>
      <c r="CS19" t="s">
        <v>49</v>
      </c>
    </row>
    <row r="20" spans="1:97" x14ac:dyDescent="0.25">
      <c r="A20">
        <v>19</v>
      </c>
      <c r="B20">
        <v>1</v>
      </c>
      <c r="C20" t="s">
        <v>276</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5">
        <v>1992</v>
      </c>
      <c r="AI20" t="s">
        <v>62</v>
      </c>
      <c r="AJ20" t="s">
        <v>62</v>
      </c>
      <c r="AK20" t="s">
        <v>62</v>
      </c>
      <c r="AL20" t="s">
        <v>62</v>
      </c>
      <c r="AM20" s="29" t="s">
        <v>62</v>
      </c>
      <c r="AN20" s="12" t="s">
        <v>62</v>
      </c>
      <c r="AO20" s="29">
        <v>0.41</v>
      </c>
      <c r="AP20">
        <v>0.59</v>
      </c>
      <c r="AQ20" s="29">
        <v>0.92</v>
      </c>
      <c r="AR20" s="72">
        <f t="shared" si="5"/>
        <v>7.999999999999996E-2</v>
      </c>
      <c r="AU20" s="29">
        <v>0.64</v>
      </c>
      <c r="AV20" s="12">
        <f t="shared" si="6"/>
        <v>0.36</v>
      </c>
      <c r="AW20" s="12">
        <v>1</v>
      </c>
      <c r="AX20" s="12">
        <v>0</v>
      </c>
      <c r="AY20" s="12">
        <v>0</v>
      </c>
      <c r="AZ20" s="67" t="s">
        <v>98</v>
      </c>
      <c r="BN20" s="69">
        <v>38.07</v>
      </c>
      <c r="BO20">
        <v>0</v>
      </c>
      <c r="BP20">
        <v>0</v>
      </c>
      <c r="BQ20">
        <v>0</v>
      </c>
      <c r="BR20">
        <v>0</v>
      </c>
      <c r="BS20">
        <v>0</v>
      </c>
      <c r="BT20">
        <v>1</v>
      </c>
      <c r="BY20" s="29">
        <v>1</v>
      </c>
      <c r="BZ20">
        <v>0</v>
      </c>
      <c r="CA20" s="12">
        <v>0</v>
      </c>
      <c r="CB20" s="29">
        <v>0</v>
      </c>
      <c r="CC20">
        <v>0</v>
      </c>
      <c r="CD20">
        <v>0</v>
      </c>
      <c r="CE20">
        <v>0</v>
      </c>
      <c r="CF20">
        <v>0</v>
      </c>
      <c r="CG20">
        <v>0</v>
      </c>
      <c r="CH20">
        <v>0</v>
      </c>
      <c r="CI20">
        <v>1</v>
      </c>
      <c r="CJ20">
        <v>0</v>
      </c>
      <c r="CK20">
        <v>0</v>
      </c>
      <c r="CL20">
        <v>0</v>
      </c>
      <c r="CM20" s="17">
        <v>1</v>
      </c>
      <c r="CS20" t="s">
        <v>49</v>
      </c>
    </row>
    <row r="21" spans="1:97" x14ac:dyDescent="0.25">
      <c r="A21">
        <v>20</v>
      </c>
      <c r="B21">
        <v>1</v>
      </c>
      <c r="C21" t="s">
        <v>276</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5">
        <v>1992</v>
      </c>
      <c r="AI21" t="s">
        <v>62</v>
      </c>
      <c r="AJ21" t="s">
        <v>62</v>
      </c>
      <c r="AK21" t="s">
        <v>62</v>
      </c>
      <c r="AL21" t="s">
        <v>62</v>
      </c>
      <c r="AM21" s="29" t="s">
        <v>62</v>
      </c>
      <c r="AN21" s="12" t="s">
        <v>62</v>
      </c>
      <c r="AO21" s="29">
        <v>0.41</v>
      </c>
      <c r="AP21">
        <v>0.59</v>
      </c>
      <c r="AQ21" s="29">
        <v>0.92</v>
      </c>
      <c r="AR21" s="72">
        <f t="shared" si="5"/>
        <v>7.999999999999996E-2</v>
      </c>
      <c r="AU21" s="29">
        <v>0.64</v>
      </c>
      <c r="AV21" s="12">
        <f t="shared" si="6"/>
        <v>0.36</v>
      </c>
      <c r="AW21" s="12">
        <v>1</v>
      </c>
      <c r="AX21" s="12">
        <v>0</v>
      </c>
      <c r="AY21" s="12">
        <v>0</v>
      </c>
      <c r="AZ21" s="67" t="s">
        <v>98</v>
      </c>
      <c r="BN21" s="69">
        <v>38.07</v>
      </c>
      <c r="BO21">
        <v>0</v>
      </c>
      <c r="BP21">
        <v>0</v>
      </c>
      <c r="BQ21">
        <v>0</v>
      </c>
      <c r="BR21">
        <v>0</v>
      </c>
      <c r="BS21">
        <v>0</v>
      </c>
      <c r="BT21">
        <v>1</v>
      </c>
      <c r="BY21" s="29">
        <v>1</v>
      </c>
      <c r="BZ21">
        <v>0</v>
      </c>
      <c r="CA21" s="12">
        <v>0</v>
      </c>
      <c r="CB21" s="29">
        <v>0</v>
      </c>
      <c r="CC21">
        <v>0</v>
      </c>
      <c r="CD21">
        <v>0</v>
      </c>
      <c r="CE21">
        <v>0</v>
      </c>
      <c r="CF21">
        <v>0</v>
      </c>
      <c r="CG21">
        <v>0</v>
      </c>
      <c r="CH21">
        <v>0</v>
      </c>
      <c r="CI21">
        <v>1</v>
      </c>
      <c r="CJ21">
        <v>0</v>
      </c>
      <c r="CK21">
        <v>0</v>
      </c>
      <c r="CL21">
        <v>0</v>
      </c>
      <c r="CM21" s="17">
        <v>1</v>
      </c>
      <c r="CS21" t="s">
        <v>49</v>
      </c>
    </row>
    <row r="22" spans="1:97" x14ac:dyDescent="0.25">
      <c r="A22">
        <v>21</v>
      </c>
      <c r="B22">
        <v>1</v>
      </c>
      <c r="C22" t="s">
        <v>276</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5">
        <v>1992</v>
      </c>
      <c r="AI22" t="s">
        <v>62</v>
      </c>
      <c r="AJ22" t="s">
        <v>62</v>
      </c>
      <c r="AK22" t="s">
        <v>62</v>
      </c>
      <c r="AL22" t="s">
        <v>62</v>
      </c>
      <c r="AM22" s="29" t="s">
        <v>62</v>
      </c>
      <c r="AN22" s="12" t="s">
        <v>62</v>
      </c>
      <c r="AO22" s="29">
        <v>0.41</v>
      </c>
      <c r="AP22">
        <v>0.59</v>
      </c>
      <c r="AQ22" s="29">
        <v>0.92</v>
      </c>
      <c r="AR22" s="72">
        <f t="shared" si="5"/>
        <v>7.999999999999996E-2</v>
      </c>
      <c r="AU22" s="29">
        <v>0.64</v>
      </c>
      <c r="AV22" s="12">
        <f t="shared" si="6"/>
        <v>0.36</v>
      </c>
      <c r="AW22" s="12">
        <v>1</v>
      </c>
      <c r="AX22" s="12">
        <v>0</v>
      </c>
      <c r="AY22" s="12">
        <v>0</v>
      </c>
      <c r="AZ22" s="67" t="s">
        <v>98</v>
      </c>
      <c r="BN22" s="69">
        <v>38.07</v>
      </c>
      <c r="BO22">
        <v>0</v>
      </c>
      <c r="BP22">
        <v>0</v>
      </c>
      <c r="BQ22">
        <v>0</v>
      </c>
      <c r="BR22">
        <v>0</v>
      </c>
      <c r="BS22">
        <v>0</v>
      </c>
      <c r="BT22">
        <v>1</v>
      </c>
      <c r="BY22" s="29">
        <v>1</v>
      </c>
      <c r="BZ22">
        <v>0</v>
      </c>
      <c r="CA22" s="12">
        <v>0</v>
      </c>
      <c r="CB22" s="29">
        <v>0</v>
      </c>
      <c r="CC22">
        <v>0</v>
      </c>
      <c r="CD22">
        <v>0</v>
      </c>
      <c r="CE22">
        <v>0</v>
      </c>
      <c r="CF22">
        <v>0</v>
      </c>
      <c r="CG22">
        <v>0</v>
      </c>
      <c r="CH22">
        <v>0</v>
      </c>
      <c r="CI22">
        <v>1</v>
      </c>
      <c r="CJ22">
        <v>0</v>
      </c>
      <c r="CK22">
        <v>0</v>
      </c>
      <c r="CL22">
        <v>0</v>
      </c>
      <c r="CM22" s="17">
        <v>1</v>
      </c>
      <c r="CS22" t="s">
        <v>49</v>
      </c>
    </row>
    <row r="23" spans="1:97" x14ac:dyDescent="0.25">
      <c r="A23">
        <v>22</v>
      </c>
      <c r="B23">
        <v>1</v>
      </c>
      <c r="C23" t="s">
        <v>276</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5">
        <v>1992</v>
      </c>
      <c r="AI23" t="s">
        <v>62</v>
      </c>
      <c r="AJ23" t="s">
        <v>62</v>
      </c>
      <c r="AK23" t="s">
        <v>62</v>
      </c>
      <c r="AL23" t="s">
        <v>62</v>
      </c>
      <c r="AM23" s="29" t="s">
        <v>62</v>
      </c>
      <c r="AN23" s="12" t="s">
        <v>62</v>
      </c>
      <c r="AO23" s="29">
        <v>0.41</v>
      </c>
      <c r="AP23">
        <v>0.59</v>
      </c>
      <c r="AQ23" s="29">
        <v>0.92</v>
      </c>
      <c r="AR23" s="72">
        <f t="shared" si="5"/>
        <v>7.999999999999996E-2</v>
      </c>
      <c r="AU23" s="29">
        <v>0.64</v>
      </c>
      <c r="AV23" s="12">
        <f t="shared" si="6"/>
        <v>0.36</v>
      </c>
      <c r="AW23" s="12">
        <v>1</v>
      </c>
      <c r="AX23" s="12">
        <v>0</v>
      </c>
      <c r="AY23" s="12">
        <v>0</v>
      </c>
      <c r="AZ23" s="67" t="s">
        <v>98</v>
      </c>
      <c r="BN23" s="69">
        <v>38.07</v>
      </c>
      <c r="BO23">
        <v>0</v>
      </c>
      <c r="BP23">
        <v>0</v>
      </c>
      <c r="BQ23">
        <v>0</v>
      </c>
      <c r="BR23">
        <v>0</v>
      </c>
      <c r="BS23">
        <v>0</v>
      </c>
      <c r="BT23">
        <v>1</v>
      </c>
      <c r="BY23" s="29">
        <v>1</v>
      </c>
      <c r="BZ23">
        <v>0</v>
      </c>
      <c r="CA23" s="12">
        <v>0</v>
      </c>
      <c r="CB23" s="29">
        <v>0</v>
      </c>
      <c r="CC23">
        <v>0</v>
      </c>
      <c r="CD23">
        <v>0</v>
      </c>
      <c r="CE23">
        <v>0</v>
      </c>
      <c r="CF23">
        <v>0</v>
      </c>
      <c r="CG23">
        <v>0</v>
      </c>
      <c r="CH23">
        <v>0</v>
      </c>
      <c r="CI23">
        <v>1</v>
      </c>
      <c r="CJ23">
        <v>0</v>
      </c>
      <c r="CK23">
        <v>0</v>
      </c>
      <c r="CL23">
        <v>0</v>
      </c>
      <c r="CM23" s="17">
        <v>1</v>
      </c>
      <c r="CS23" t="s">
        <v>49</v>
      </c>
    </row>
    <row r="24" spans="1:97" x14ac:dyDescent="0.25">
      <c r="A24">
        <v>23</v>
      </c>
      <c r="B24">
        <v>2</v>
      </c>
      <c r="C24" t="s">
        <v>282</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5">
        <v>1991</v>
      </c>
      <c r="AI24" t="s">
        <v>62</v>
      </c>
      <c r="AJ24" t="s">
        <v>62</v>
      </c>
      <c r="AK24" t="s">
        <v>62</v>
      </c>
      <c r="AL24" t="s">
        <v>62</v>
      </c>
      <c r="AM24" s="29">
        <v>0.85</v>
      </c>
      <c r="AN24">
        <v>0.15</v>
      </c>
      <c r="AO24" s="29">
        <v>0.46</v>
      </c>
      <c r="AP24">
        <v>0.54</v>
      </c>
      <c r="AQ24" s="29">
        <v>0.94</v>
      </c>
      <c r="AR24" s="72">
        <v>0.06</v>
      </c>
      <c r="AU24" s="29">
        <v>0.45</v>
      </c>
      <c r="AV24" s="12">
        <v>0.55000000000000004</v>
      </c>
      <c r="AW24" s="12">
        <v>1</v>
      </c>
      <c r="AX24" s="12">
        <v>0</v>
      </c>
      <c r="AY24" s="12">
        <v>0</v>
      </c>
      <c r="AZ24" s="67" t="s">
        <v>98</v>
      </c>
      <c r="BN24" s="69">
        <v>36.56</v>
      </c>
      <c r="BO24">
        <v>1</v>
      </c>
      <c r="BP24">
        <v>0</v>
      </c>
      <c r="BQ24">
        <v>0</v>
      </c>
      <c r="BR24">
        <v>0</v>
      </c>
      <c r="BS24">
        <v>0</v>
      </c>
      <c r="BT24">
        <v>0</v>
      </c>
      <c r="BY24" s="29">
        <v>0</v>
      </c>
      <c r="BZ24">
        <v>0</v>
      </c>
      <c r="CA24" s="12">
        <v>0</v>
      </c>
      <c r="CB24" s="29">
        <v>1</v>
      </c>
      <c r="CC24">
        <v>1</v>
      </c>
      <c r="CD24">
        <v>0</v>
      </c>
      <c r="CE24">
        <v>0</v>
      </c>
      <c r="CF24">
        <v>1</v>
      </c>
      <c r="CG24">
        <v>0</v>
      </c>
      <c r="CH24">
        <v>1</v>
      </c>
      <c r="CI24">
        <v>0</v>
      </c>
      <c r="CJ24">
        <v>0</v>
      </c>
      <c r="CK24">
        <v>0</v>
      </c>
      <c r="CL24">
        <v>0</v>
      </c>
      <c r="CM24" s="17">
        <v>0</v>
      </c>
      <c r="CS24" t="s">
        <v>49</v>
      </c>
    </row>
    <row r="25" spans="1:97" x14ac:dyDescent="0.25">
      <c r="A25">
        <v>24</v>
      </c>
      <c r="B25">
        <v>2</v>
      </c>
      <c r="C25" t="s">
        <v>282</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5">
        <v>1991</v>
      </c>
      <c r="AI25" t="s">
        <v>62</v>
      </c>
      <c r="AJ25" t="s">
        <v>62</v>
      </c>
      <c r="AK25" t="s">
        <v>62</v>
      </c>
      <c r="AL25" t="s">
        <v>62</v>
      </c>
      <c r="AM25" s="29">
        <v>0.85</v>
      </c>
      <c r="AN25">
        <v>0.15</v>
      </c>
      <c r="AO25" s="29">
        <v>0.46</v>
      </c>
      <c r="AP25">
        <v>0.54</v>
      </c>
      <c r="AQ25" s="29">
        <v>0.94</v>
      </c>
      <c r="AR25" s="72">
        <v>0.06</v>
      </c>
      <c r="AU25" s="29">
        <v>0.45</v>
      </c>
      <c r="AV25" s="12">
        <v>0.55000000000000004</v>
      </c>
      <c r="AW25" s="12">
        <v>1</v>
      </c>
      <c r="AX25" s="12">
        <v>0</v>
      </c>
      <c r="AY25" s="12">
        <v>0</v>
      </c>
      <c r="AZ25" s="67" t="s">
        <v>98</v>
      </c>
      <c r="BN25" s="69">
        <v>36.56</v>
      </c>
      <c r="BO25">
        <v>1</v>
      </c>
      <c r="BP25">
        <v>0</v>
      </c>
      <c r="BQ25">
        <v>0</v>
      </c>
      <c r="BR25">
        <v>0</v>
      </c>
      <c r="BS25">
        <v>0</v>
      </c>
      <c r="BT25">
        <v>0</v>
      </c>
      <c r="BY25" s="29">
        <v>0</v>
      </c>
      <c r="BZ25">
        <v>0</v>
      </c>
      <c r="CA25" s="12">
        <v>0</v>
      </c>
      <c r="CB25" s="29">
        <v>1</v>
      </c>
      <c r="CC25">
        <v>1</v>
      </c>
      <c r="CD25">
        <v>0</v>
      </c>
      <c r="CE25">
        <v>0</v>
      </c>
      <c r="CF25">
        <v>1</v>
      </c>
      <c r="CG25">
        <v>0</v>
      </c>
      <c r="CH25">
        <v>1</v>
      </c>
      <c r="CI25">
        <v>0</v>
      </c>
      <c r="CJ25">
        <v>0</v>
      </c>
      <c r="CK25">
        <v>0</v>
      </c>
      <c r="CL25">
        <v>0</v>
      </c>
      <c r="CM25" s="17">
        <v>0</v>
      </c>
      <c r="CS25" t="s">
        <v>49</v>
      </c>
    </row>
    <row r="26" spans="1:97" x14ac:dyDescent="0.25">
      <c r="A26">
        <v>25</v>
      </c>
      <c r="B26">
        <v>2</v>
      </c>
      <c r="C26" t="s">
        <v>282</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5">
        <v>1991</v>
      </c>
      <c r="AI26" t="s">
        <v>62</v>
      </c>
      <c r="AJ26" t="s">
        <v>62</v>
      </c>
      <c r="AK26" t="s">
        <v>62</v>
      </c>
      <c r="AL26" t="s">
        <v>62</v>
      </c>
      <c r="AM26" s="29">
        <v>0.85</v>
      </c>
      <c r="AN26">
        <v>0.15</v>
      </c>
      <c r="AO26" s="29">
        <v>0.46</v>
      </c>
      <c r="AP26">
        <v>0.54</v>
      </c>
      <c r="AQ26" s="29">
        <v>0.94</v>
      </c>
      <c r="AR26" s="72">
        <v>0.06</v>
      </c>
      <c r="AU26" s="29">
        <v>0.45</v>
      </c>
      <c r="AV26" s="12">
        <v>0.55000000000000004</v>
      </c>
      <c r="AW26" s="12">
        <v>1</v>
      </c>
      <c r="AX26" s="12">
        <v>0</v>
      </c>
      <c r="AY26" s="12">
        <v>0</v>
      </c>
      <c r="AZ26" s="67" t="s">
        <v>98</v>
      </c>
      <c r="BN26" s="69">
        <v>36.56</v>
      </c>
      <c r="BO26">
        <v>1</v>
      </c>
      <c r="BP26">
        <v>0</v>
      </c>
      <c r="BQ26">
        <v>0</v>
      </c>
      <c r="BR26">
        <v>0</v>
      </c>
      <c r="BS26">
        <v>0</v>
      </c>
      <c r="BT26">
        <v>0</v>
      </c>
      <c r="BY26" s="29">
        <v>0</v>
      </c>
      <c r="BZ26">
        <v>0</v>
      </c>
      <c r="CA26" s="12">
        <v>0</v>
      </c>
      <c r="CB26" s="29">
        <v>1</v>
      </c>
      <c r="CC26">
        <v>1</v>
      </c>
      <c r="CD26">
        <v>0</v>
      </c>
      <c r="CE26">
        <v>0</v>
      </c>
      <c r="CF26">
        <v>1</v>
      </c>
      <c r="CG26">
        <v>0</v>
      </c>
      <c r="CH26">
        <v>1</v>
      </c>
      <c r="CI26">
        <v>0</v>
      </c>
      <c r="CJ26">
        <v>0</v>
      </c>
      <c r="CK26">
        <v>0</v>
      </c>
      <c r="CL26">
        <v>0</v>
      </c>
      <c r="CM26" s="17">
        <v>0</v>
      </c>
      <c r="CS26" t="s">
        <v>49</v>
      </c>
    </row>
    <row r="27" spans="1:97" x14ac:dyDescent="0.25">
      <c r="A27">
        <v>26</v>
      </c>
      <c r="B27">
        <v>2</v>
      </c>
      <c r="C27" t="s">
        <v>282</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5">
        <v>1991</v>
      </c>
      <c r="AI27" t="s">
        <v>62</v>
      </c>
      <c r="AJ27" t="s">
        <v>62</v>
      </c>
      <c r="AK27" t="s">
        <v>62</v>
      </c>
      <c r="AL27" t="s">
        <v>62</v>
      </c>
      <c r="AM27" s="29">
        <v>0.85</v>
      </c>
      <c r="AN27">
        <v>0.15</v>
      </c>
      <c r="AO27" s="29">
        <v>0.46</v>
      </c>
      <c r="AP27">
        <v>0.54</v>
      </c>
      <c r="AQ27" s="29">
        <v>0.94</v>
      </c>
      <c r="AR27" s="72">
        <v>0.06</v>
      </c>
      <c r="AU27" s="29">
        <v>0.45</v>
      </c>
      <c r="AV27" s="12">
        <v>0.55000000000000004</v>
      </c>
      <c r="AW27" s="12">
        <v>1</v>
      </c>
      <c r="AX27" s="12">
        <v>0</v>
      </c>
      <c r="AY27" s="12">
        <v>0</v>
      </c>
      <c r="AZ27" s="67" t="s">
        <v>98</v>
      </c>
      <c r="BN27" s="69">
        <v>36.56</v>
      </c>
      <c r="BO27">
        <v>0</v>
      </c>
      <c r="BP27">
        <v>0</v>
      </c>
      <c r="BQ27">
        <v>0</v>
      </c>
      <c r="BR27">
        <v>0</v>
      </c>
      <c r="BS27">
        <v>0</v>
      </c>
      <c r="BT27">
        <v>1</v>
      </c>
      <c r="BY27" s="29">
        <v>1</v>
      </c>
      <c r="BZ27">
        <v>0</v>
      </c>
      <c r="CA27" s="12">
        <v>0</v>
      </c>
      <c r="CB27" s="29">
        <v>1</v>
      </c>
      <c r="CC27">
        <v>1</v>
      </c>
      <c r="CD27">
        <v>0</v>
      </c>
      <c r="CE27">
        <v>0</v>
      </c>
      <c r="CF27">
        <v>1</v>
      </c>
      <c r="CG27">
        <v>0</v>
      </c>
      <c r="CH27">
        <v>1</v>
      </c>
      <c r="CI27">
        <v>0</v>
      </c>
      <c r="CJ27">
        <v>0</v>
      </c>
      <c r="CK27">
        <v>0</v>
      </c>
      <c r="CL27">
        <v>0</v>
      </c>
      <c r="CM27" s="17">
        <v>0</v>
      </c>
      <c r="CS27" t="s">
        <v>49</v>
      </c>
    </row>
    <row r="28" spans="1:97" x14ac:dyDescent="0.25">
      <c r="A28">
        <v>27</v>
      </c>
      <c r="B28">
        <v>2</v>
      </c>
      <c r="C28" t="s">
        <v>282</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5">
        <v>1991</v>
      </c>
      <c r="AI28" t="s">
        <v>62</v>
      </c>
      <c r="AJ28" t="s">
        <v>62</v>
      </c>
      <c r="AK28" t="s">
        <v>62</v>
      </c>
      <c r="AL28" t="s">
        <v>62</v>
      </c>
      <c r="AM28" s="29">
        <v>0.85</v>
      </c>
      <c r="AN28">
        <v>0.15</v>
      </c>
      <c r="AO28" s="29">
        <v>0.46</v>
      </c>
      <c r="AP28">
        <v>0.54</v>
      </c>
      <c r="AQ28" s="29">
        <v>0.94</v>
      </c>
      <c r="AR28" s="72">
        <v>0.06</v>
      </c>
      <c r="AU28" s="29">
        <v>0.45</v>
      </c>
      <c r="AV28" s="12">
        <v>0.55000000000000004</v>
      </c>
      <c r="AW28" s="12">
        <v>1</v>
      </c>
      <c r="AX28" s="12">
        <v>0</v>
      </c>
      <c r="AY28" s="12">
        <v>0</v>
      </c>
      <c r="AZ28" s="67" t="s">
        <v>98</v>
      </c>
      <c r="BN28" s="69">
        <v>36.56</v>
      </c>
      <c r="BO28">
        <v>0</v>
      </c>
      <c r="BP28">
        <v>0</v>
      </c>
      <c r="BQ28">
        <v>0</v>
      </c>
      <c r="BR28">
        <v>1</v>
      </c>
      <c r="BS28">
        <v>0</v>
      </c>
      <c r="BT28">
        <v>0</v>
      </c>
      <c r="BY28" s="29">
        <v>0</v>
      </c>
      <c r="BZ28">
        <v>0</v>
      </c>
      <c r="CA28" s="12">
        <v>0</v>
      </c>
      <c r="CB28" s="29">
        <v>0</v>
      </c>
      <c r="CC28">
        <v>0</v>
      </c>
      <c r="CD28">
        <v>0</v>
      </c>
      <c r="CE28">
        <v>0</v>
      </c>
      <c r="CF28">
        <v>0</v>
      </c>
      <c r="CG28">
        <v>0</v>
      </c>
      <c r="CH28">
        <v>0</v>
      </c>
      <c r="CI28">
        <v>0</v>
      </c>
      <c r="CJ28">
        <v>0</v>
      </c>
      <c r="CK28">
        <v>0</v>
      </c>
      <c r="CL28">
        <v>0</v>
      </c>
      <c r="CM28" s="17">
        <v>0</v>
      </c>
      <c r="CS28" t="s">
        <v>49</v>
      </c>
    </row>
    <row r="29" spans="1:97" x14ac:dyDescent="0.25">
      <c r="A29">
        <v>28</v>
      </c>
      <c r="B29">
        <v>2</v>
      </c>
      <c r="C29" t="s">
        <v>282</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5">
        <v>1991</v>
      </c>
      <c r="AI29" t="s">
        <v>62</v>
      </c>
      <c r="AJ29" t="s">
        <v>62</v>
      </c>
      <c r="AK29" t="s">
        <v>62</v>
      </c>
      <c r="AL29" t="s">
        <v>62</v>
      </c>
      <c r="AM29" s="29">
        <v>0.85</v>
      </c>
      <c r="AN29">
        <v>0.15</v>
      </c>
      <c r="AO29" s="29">
        <v>0.46</v>
      </c>
      <c r="AP29">
        <v>0.54</v>
      </c>
      <c r="AQ29" s="29">
        <v>0.94</v>
      </c>
      <c r="AR29" s="72">
        <v>0.06</v>
      </c>
      <c r="AU29" s="29">
        <v>0.45</v>
      </c>
      <c r="AV29" s="12">
        <v>0.55000000000000004</v>
      </c>
      <c r="AW29" s="12">
        <v>1</v>
      </c>
      <c r="AX29" s="12">
        <v>0</v>
      </c>
      <c r="AY29" s="12">
        <v>0</v>
      </c>
      <c r="AZ29" s="67" t="s">
        <v>98</v>
      </c>
      <c r="BN29" s="69">
        <v>36.56</v>
      </c>
      <c r="BO29">
        <v>0</v>
      </c>
      <c r="BP29">
        <v>0</v>
      </c>
      <c r="BQ29">
        <v>0</v>
      </c>
      <c r="BR29">
        <v>0</v>
      </c>
      <c r="BS29">
        <v>0</v>
      </c>
      <c r="BT29">
        <v>1</v>
      </c>
      <c r="BY29" s="29">
        <v>1</v>
      </c>
      <c r="BZ29">
        <v>0</v>
      </c>
      <c r="CA29">
        <v>0</v>
      </c>
      <c r="CB29" s="29">
        <v>0</v>
      </c>
      <c r="CC29">
        <v>0</v>
      </c>
      <c r="CD29">
        <v>0</v>
      </c>
      <c r="CE29">
        <v>0</v>
      </c>
      <c r="CF29">
        <v>0</v>
      </c>
      <c r="CG29">
        <v>0</v>
      </c>
      <c r="CH29">
        <v>0</v>
      </c>
      <c r="CI29">
        <v>0</v>
      </c>
      <c r="CJ29">
        <v>0</v>
      </c>
      <c r="CK29">
        <v>0</v>
      </c>
      <c r="CL29">
        <v>0</v>
      </c>
      <c r="CM29" s="17">
        <v>0</v>
      </c>
      <c r="CS29" t="s">
        <v>49</v>
      </c>
    </row>
    <row r="30" spans="1:97" x14ac:dyDescent="0.25">
      <c r="A30">
        <v>29</v>
      </c>
      <c r="B30">
        <v>2</v>
      </c>
      <c r="C30" t="s">
        <v>282</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5">
        <v>1991</v>
      </c>
      <c r="AI30" t="s">
        <v>62</v>
      </c>
      <c r="AJ30" t="s">
        <v>62</v>
      </c>
      <c r="AK30" t="s">
        <v>62</v>
      </c>
      <c r="AL30" t="s">
        <v>62</v>
      </c>
      <c r="AM30" s="29">
        <v>0.85</v>
      </c>
      <c r="AN30">
        <v>0.15</v>
      </c>
      <c r="AO30" s="29">
        <v>0.46</v>
      </c>
      <c r="AP30">
        <v>0.54</v>
      </c>
      <c r="AQ30" s="29">
        <v>0.94</v>
      </c>
      <c r="AR30" s="72">
        <v>0.06</v>
      </c>
      <c r="AU30" s="29">
        <v>0.45</v>
      </c>
      <c r="AV30" s="12">
        <v>0.55000000000000004</v>
      </c>
      <c r="AW30" s="12">
        <v>1</v>
      </c>
      <c r="AX30" s="12">
        <v>0</v>
      </c>
      <c r="AY30" s="12">
        <v>0</v>
      </c>
      <c r="AZ30" s="67" t="s">
        <v>98</v>
      </c>
      <c r="BN30" s="69">
        <v>36.56</v>
      </c>
      <c r="BO30">
        <v>1</v>
      </c>
      <c r="BP30">
        <v>0</v>
      </c>
      <c r="BQ30">
        <v>0</v>
      </c>
      <c r="BR30">
        <v>0</v>
      </c>
      <c r="BS30">
        <v>0</v>
      </c>
      <c r="BT30">
        <v>0</v>
      </c>
      <c r="BY30" s="29">
        <v>0</v>
      </c>
      <c r="BZ30">
        <v>0</v>
      </c>
      <c r="CA30">
        <v>0</v>
      </c>
      <c r="CB30" s="29">
        <v>1</v>
      </c>
      <c r="CC30">
        <v>1</v>
      </c>
      <c r="CD30">
        <v>0</v>
      </c>
      <c r="CE30">
        <v>0</v>
      </c>
      <c r="CF30">
        <v>1</v>
      </c>
      <c r="CG30">
        <v>0</v>
      </c>
      <c r="CH30">
        <v>1</v>
      </c>
      <c r="CI30">
        <v>0</v>
      </c>
      <c r="CJ30">
        <v>0</v>
      </c>
      <c r="CK30">
        <v>0</v>
      </c>
      <c r="CL30">
        <v>0</v>
      </c>
      <c r="CM30" s="17">
        <v>0</v>
      </c>
      <c r="CS30" t="s">
        <v>49</v>
      </c>
    </row>
    <row r="31" spans="1:97" x14ac:dyDescent="0.25">
      <c r="A31">
        <v>30</v>
      </c>
      <c r="B31">
        <v>2</v>
      </c>
      <c r="C31" t="s">
        <v>282</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5">
        <v>1991</v>
      </c>
      <c r="AI31" t="s">
        <v>62</v>
      </c>
      <c r="AJ31" t="s">
        <v>62</v>
      </c>
      <c r="AK31" t="s">
        <v>62</v>
      </c>
      <c r="AL31" t="s">
        <v>62</v>
      </c>
      <c r="AM31" s="29">
        <v>0.85</v>
      </c>
      <c r="AN31">
        <v>0.15</v>
      </c>
      <c r="AO31" s="29">
        <v>0.46</v>
      </c>
      <c r="AP31">
        <v>0.54</v>
      </c>
      <c r="AQ31" s="29">
        <v>0.94</v>
      </c>
      <c r="AR31" s="72">
        <v>0.06</v>
      </c>
      <c r="AU31" s="29">
        <v>0.45</v>
      </c>
      <c r="AV31" s="12">
        <v>0.55000000000000004</v>
      </c>
      <c r="AW31" s="12">
        <v>1</v>
      </c>
      <c r="AX31" s="12">
        <v>0</v>
      </c>
      <c r="AY31" s="12">
        <v>0</v>
      </c>
      <c r="AZ31" s="67" t="s">
        <v>98</v>
      </c>
      <c r="BN31" s="69">
        <v>36.56</v>
      </c>
      <c r="BO31">
        <v>1</v>
      </c>
      <c r="BP31">
        <v>0</v>
      </c>
      <c r="BQ31">
        <v>0</v>
      </c>
      <c r="BR31">
        <v>0</v>
      </c>
      <c r="BS31">
        <v>0</v>
      </c>
      <c r="BT31">
        <v>0</v>
      </c>
      <c r="BY31" s="29">
        <v>0</v>
      </c>
      <c r="BZ31">
        <v>0</v>
      </c>
      <c r="CA31">
        <v>0</v>
      </c>
      <c r="CB31" s="29">
        <v>1</v>
      </c>
      <c r="CC31">
        <v>1</v>
      </c>
      <c r="CD31">
        <v>0</v>
      </c>
      <c r="CE31">
        <v>0</v>
      </c>
      <c r="CF31">
        <v>1</v>
      </c>
      <c r="CG31">
        <v>0</v>
      </c>
      <c r="CH31">
        <v>1</v>
      </c>
      <c r="CI31">
        <v>0</v>
      </c>
      <c r="CJ31">
        <v>0</v>
      </c>
      <c r="CK31">
        <v>0</v>
      </c>
      <c r="CL31">
        <v>0</v>
      </c>
      <c r="CM31" s="17">
        <v>0</v>
      </c>
      <c r="CS31" t="s">
        <v>49</v>
      </c>
    </row>
    <row r="32" spans="1:97" x14ac:dyDescent="0.25">
      <c r="A32">
        <v>31</v>
      </c>
      <c r="B32">
        <v>2</v>
      </c>
      <c r="C32" t="s">
        <v>282</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5">
        <v>1991</v>
      </c>
      <c r="AI32" t="s">
        <v>62</v>
      </c>
      <c r="AJ32" t="s">
        <v>62</v>
      </c>
      <c r="AK32" t="s">
        <v>62</v>
      </c>
      <c r="AL32" t="s">
        <v>62</v>
      </c>
      <c r="AM32" s="29">
        <v>0.85</v>
      </c>
      <c r="AN32">
        <v>0.15</v>
      </c>
      <c r="AO32" s="29">
        <v>0.46</v>
      </c>
      <c r="AP32">
        <v>0.54</v>
      </c>
      <c r="AQ32" s="29">
        <v>0.94</v>
      </c>
      <c r="AR32" s="72">
        <v>0.06</v>
      </c>
      <c r="AU32" s="29">
        <v>0.45</v>
      </c>
      <c r="AV32" s="12">
        <v>0.55000000000000004</v>
      </c>
      <c r="AW32" s="12">
        <v>1</v>
      </c>
      <c r="AX32" s="12">
        <v>0</v>
      </c>
      <c r="AY32" s="12">
        <v>0</v>
      </c>
      <c r="AZ32" s="67" t="s">
        <v>98</v>
      </c>
      <c r="BN32" s="69">
        <v>36.56</v>
      </c>
      <c r="BO32">
        <v>1</v>
      </c>
      <c r="BP32">
        <v>0</v>
      </c>
      <c r="BQ32">
        <v>0</v>
      </c>
      <c r="BR32">
        <v>0</v>
      </c>
      <c r="BS32">
        <v>0</v>
      </c>
      <c r="BT32">
        <v>0</v>
      </c>
      <c r="BY32" s="29">
        <v>0</v>
      </c>
      <c r="BZ32">
        <v>0</v>
      </c>
      <c r="CA32">
        <v>0</v>
      </c>
      <c r="CB32" s="29">
        <v>1</v>
      </c>
      <c r="CC32">
        <v>1</v>
      </c>
      <c r="CD32">
        <v>0</v>
      </c>
      <c r="CE32">
        <v>0</v>
      </c>
      <c r="CF32">
        <v>1</v>
      </c>
      <c r="CG32">
        <v>0</v>
      </c>
      <c r="CH32">
        <v>1</v>
      </c>
      <c r="CI32">
        <v>0</v>
      </c>
      <c r="CJ32">
        <v>0</v>
      </c>
      <c r="CK32">
        <v>0</v>
      </c>
      <c r="CL32">
        <v>0</v>
      </c>
      <c r="CM32" s="17">
        <v>0</v>
      </c>
      <c r="CS32" t="s">
        <v>49</v>
      </c>
    </row>
    <row r="33" spans="1:97" x14ac:dyDescent="0.25">
      <c r="A33">
        <v>32</v>
      </c>
      <c r="B33">
        <v>2</v>
      </c>
      <c r="C33" t="s">
        <v>282</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5">
        <v>1991</v>
      </c>
      <c r="AI33" t="s">
        <v>62</v>
      </c>
      <c r="AJ33" t="s">
        <v>62</v>
      </c>
      <c r="AK33" t="s">
        <v>62</v>
      </c>
      <c r="AL33" t="s">
        <v>62</v>
      </c>
      <c r="AM33" s="29">
        <v>0.85</v>
      </c>
      <c r="AN33">
        <v>0.15</v>
      </c>
      <c r="AO33" s="29">
        <v>0.46</v>
      </c>
      <c r="AP33">
        <v>0.54</v>
      </c>
      <c r="AQ33" s="29">
        <v>0.94</v>
      </c>
      <c r="AR33" s="72">
        <v>0.06</v>
      </c>
      <c r="AU33" s="29">
        <v>0.45</v>
      </c>
      <c r="AV33" s="12">
        <v>0.55000000000000004</v>
      </c>
      <c r="AW33" s="12">
        <v>1</v>
      </c>
      <c r="AX33" s="12">
        <v>0</v>
      </c>
      <c r="AY33" s="12">
        <v>0</v>
      </c>
      <c r="AZ33" s="67" t="s">
        <v>98</v>
      </c>
      <c r="BN33" s="69">
        <v>36.56</v>
      </c>
      <c r="BO33">
        <v>0</v>
      </c>
      <c r="BP33">
        <v>0</v>
      </c>
      <c r="BQ33">
        <v>0</v>
      </c>
      <c r="BR33">
        <v>1</v>
      </c>
      <c r="BS33">
        <v>0</v>
      </c>
      <c r="BT33">
        <v>0</v>
      </c>
      <c r="BY33" s="29">
        <v>0</v>
      </c>
      <c r="BZ33">
        <v>0</v>
      </c>
      <c r="CA33">
        <v>0</v>
      </c>
      <c r="CB33" s="29">
        <v>0</v>
      </c>
      <c r="CC33">
        <v>0</v>
      </c>
      <c r="CD33">
        <v>0</v>
      </c>
      <c r="CE33">
        <v>0</v>
      </c>
      <c r="CF33">
        <v>0</v>
      </c>
      <c r="CG33">
        <v>0</v>
      </c>
      <c r="CH33">
        <v>0</v>
      </c>
      <c r="CI33">
        <v>0</v>
      </c>
      <c r="CJ33">
        <v>0</v>
      </c>
      <c r="CK33">
        <v>0</v>
      </c>
      <c r="CL33">
        <v>0</v>
      </c>
      <c r="CM33" s="17">
        <v>0</v>
      </c>
      <c r="CS33" t="s">
        <v>49</v>
      </c>
    </row>
    <row r="34" spans="1:97" x14ac:dyDescent="0.25">
      <c r="A34">
        <v>33</v>
      </c>
      <c r="B34">
        <v>2</v>
      </c>
      <c r="C34" t="s">
        <v>282</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5">
        <v>1991</v>
      </c>
      <c r="AI34" t="s">
        <v>62</v>
      </c>
      <c r="AJ34" t="s">
        <v>62</v>
      </c>
      <c r="AK34" t="s">
        <v>62</v>
      </c>
      <c r="AL34" t="s">
        <v>62</v>
      </c>
      <c r="AM34" s="29">
        <v>0.85</v>
      </c>
      <c r="AN34">
        <v>0.15</v>
      </c>
      <c r="AO34" s="29">
        <v>0.46</v>
      </c>
      <c r="AP34">
        <v>0.54</v>
      </c>
      <c r="AQ34" s="29">
        <v>0.94</v>
      </c>
      <c r="AR34" s="72">
        <v>0.06</v>
      </c>
      <c r="AU34" s="29">
        <v>0.45</v>
      </c>
      <c r="AV34" s="12">
        <v>0.55000000000000004</v>
      </c>
      <c r="AW34" s="12">
        <v>1</v>
      </c>
      <c r="AX34" s="12">
        <v>0</v>
      </c>
      <c r="AY34" s="12">
        <v>0</v>
      </c>
      <c r="AZ34" s="67" t="s">
        <v>98</v>
      </c>
      <c r="BN34" s="69">
        <v>36.56</v>
      </c>
      <c r="BO34">
        <v>1</v>
      </c>
      <c r="BP34">
        <v>0</v>
      </c>
      <c r="BQ34">
        <v>0</v>
      </c>
      <c r="BR34">
        <v>0</v>
      </c>
      <c r="BS34">
        <v>0</v>
      </c>
      <c r="BT34">
        <v>0</v>
      </c>
      <c r="BY34" s="29">
        <v>0</v>
      </c>
      <c r="BZ34">
        <v>0</v>
      </c>
      <c r="CA34">
        <v>0</v>
      </c>
      <c r="CB34" s="29">
        <v>1</v>
      </c>
      <c r="CC34">
        <v>1</v>
      </c>
      <c r="CD34">
        <v>1</v>
      </c>
      <c r="CE34">
        <v>0</v>
      </c>
      <c r="CF34">
        <v>1</v>
      </c>
      <c r="CG34">
        <v>0</v>
      </c>
      <c r="CH34">
        <v>1</v>
      </c>
      <c r="CI34">
        <v>1</v>
      </c>
      <c r="CJ34">
        <v>0</v>
      </c>
      <c r="CK34">
        <v>1</v>
      </c>
      <c r="CL34">
        <v>0</v>
      </c>
      <c r="CM34" s="17">
        <v>0</v>
      </c>
      <c r="CS34" t="s">
        <v>49</v>
      </c>
    </row>
    <row r="35" spans="1:97" x14ac:dyDescent="0.25">
      <c r="A35">
        <v>34</v>
      </c>
      <c r="B35">
        <v>2</v>
      </c>
      <c r="C35" t="s">
        <v>282</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5">
        <v>1991</v>
      </c>
      <c r="AI35" t="s">
        <v>62</v>
      </c>
      <c r="AJ35" t="s">
        <v>62</v>
      </c>
      <c r="AK35" t="s">
        <v>62</v>
      </c>
      <c r="AL35" t="s">
        <v>62</v>
      </c>
      <c r="AM35" s="29">
        <v>0.85</v>
      </c>
      <c r="AN35">
        <v>0.15</v>
      </c>
      <c r="AO35" s="29">
        <v>0.46</v>
      </c>
      <c r="AP35">
        <v>0.54</v>
      </c>
      <c r="AQ35" s="29">
        <v>0.94</v>
      </c>
      <c r="AR35" s="72">
        <v>0.06</v>
      </c>
      <c r="AU35" s="29">
        <v>0.45</v>
      </c>
      <c r="AV35" s="12">
        <v>0.55000000000000004</v>
      </c>
      <c r="AW35" s="12">
        <v>1</v>
      </c>
      <c r="AX35" s="12">
        <v>0</v>
      </c>
      <c r="AY35" s="12">
        <v>0</v>
      </c>
      <c r="AZ35" s="67" t="s">
        <v>98</v>
      </c>
      <c r="BN35" s="69">
        <v>36.56</v>
      </c>
      <c r="BO35">
        <v>1</v>
      </c>
      <c r="BP35">
        <v>0</v>
      </c>
      <c r="BQ35">
        <v>0</v>
      </c>
      <c r="BR35">
        <v>0</v>
      </c>
      <c r="BS35">
        <v>0</v>
      </c>
      <c r="BT35">
        <v>0</v>
      </c>
      <c r="BY35" s="29">
        <v>0</v>
      </c>
      <c r="BZ35">
        <v>0</v>
      </c>
      <c r="CA35">
        <v>0</v>
      </c>
      <c r="CB35" s="29">
        <v>1</v>
      </c>
      <c r="CC35">
        <v>1</v>
      </c>
      <c r="CD35">
        <v>1</v>
      </c>
      <c r="CE35">
        <v>0</v>
      </c>
      <c r="CF35">
        <v>1</v>
      </c>
      <c r="CG35">
        <v>0</v>
      </c>
      <c r="CH35">
        <v>1</v>
      </c>
      <c r="CI35">
        <v>1</v>
      </c>
      <c r="CJ35">
        <v>0</v>
      </c>
      <c r="CK35">
        <v>1</v>
      </c>
      <c r="CL35">
        <v>0</v>
      </c>
      <c r="CM35" s="17">
        <v>0</v>
      </c>
      <c r="CS35" t="s">
        <v>49</v>
      </c>
    </row>
    <row r="36" spans="1:97" x14ac:dyDescent="0.25">
      <c r="A36">
        <v>35</v>
      </c>
      <c r="B36">
        <v>2</v>
      </c>
      <c r="C36" t="s">
        <v>282</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5">
        <v>1991</v>
      </c>
      <c r="AI36" t="s">
        <v>62</v>
      </c>
      <c r="AJ36" t="s">
        <v>62</v>
      </c>
      <c r="AK36" t="s">
        <v>62</v>
      </c>
      <c r="AL36" t="s">
        <v>62</v>
      </c>
      <c r="AM36" s="29">
        <v>0.85</v>
      </c>
      <c r="AN36">
        <v>0.15</v>
      </c>
      <c r="AO36" s="29">
        <v>0.46</v>
      </c>
      <c r="AP36">
        <v>0.54</v>
      </c>
      <c r="AQ36" s="29">
        <v>0.94</v>
      </c>
      <c r="AR36" s="72">
        <v>0.06</v>
      </c>
      <c r="AU36" s="29">
        <v>0.45</v>
      </c>
      <c r="AV36" s="12">
        <v>0.55000000000000004</v>
      </c>
      <c r="AW36" s="12">
        <v>1</v>
      </c>
      <c r="AX36" s="12">
        <v>0</v>
      </c>
      <c r="AY36" s="12">
        <v>0</v>
      </c>
      <c r="AZ36" s="67" t="s">
        <v>98</v>
      </c>
      <c r="BN36" s="69">
        <v>36.56</v>
      </c>
      <c r="BO36">
        <v>0</v>
      </c>
      <c r="BP36">
        <v>0</v>
      </c>
      <c r="BQ36">
        <v>0</v>
      </c>
      <c r="BR36">
        <v>0</v>
      </c>
      <c r="BS36">
        <v>0</v>
      </c>
      <c r="BT36">
        <v>1</v>
      </c>
      <c r="BY36" s="29">
        <v>1</v>
      </c>
      <c r="BZ36">
        <v>0</v>
      </c>
      <c r="CA36">
        <v>0</v>
      </c>
      <c r="CB36" s="29">
        <v>1</v>
      </c>
      <c r="CC36">
        <v>1</v>
      </c>
      <c r="CD36">
        <v>1</v>
      </c>
      <c r="CE36">
        <v>0</v>
      </c>
      <c r="CF36">
        <v>1</v>
      </c>
      <c r="CG36">
        <v>0</v>
      </c>
      <c r="CH36">
        <v>1</v>
      </c>
      <c r="CI36">
        <v>1</v>
      </c>
      <c r="CJ36">
        <v>0</v>
      </c>
      <c r="CK36">
        <v>1</v>
      </c>
      <c r="CL36">
        <v>0</v>
      </c>
      <c r="CM36" s="17">
        <v>0</v>
      </c>
      <c r="CS36" t="s">
        <v>49</v>
      </c>
    </row>
    <row r="37" spans="1:97" x14ac:dyDescent="0.25">
      <c r="A37">
        <v>36</v>
      </c>
      <c r="B37">
        <v>2</v>
      </c>
      <c r="C37" t="s">
        <v>282</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5">
        <v>1991</v>
      </c>
      <c r="AI37" t="s">
        <v>62</v>
      </c>
      <c r="AJ37" t="s">
        <v>62</v>
      </c>
      <c r="AK37" t="s">
        <v>62</v>
      </c>
      <c r="AL37" t="s">
        <v>62</v>
      </c>
      <c r="AM37" s="29">
        <v>0.85</v>
      </c>
      <c r="AN37">
        <v>0.15</v>
      </c>
      <c r="AO37" s="29">
        <v>0.46</v>
      </c>
      <c r="AP37">
        <v>0.54</v>
      </c>
      <c r="AQ37" s="29">
        <v>0.94</v>
      </c>
      <c r="AR37" s="72">
        <v>0.06</v>
      </c>
      <c r="AU37" s="29">
        <v>0.45</v>
      </c>
      <c r="AV37" s="12">
        <v>0.55000000000000004</v>
      </c>
      <c r="AW37" s="12">
        <v>1</v>
      </c>
      <c r="AX37" s="12">
        <v>0</v>
      </c>
      <c r="AY37" s="12">
        <v>0</v>
      </c>
      <c r="AZ37" s="67" t="s">
        <v>98</v>
      </c>
      <c r="BN37" s="69">
        <v>36.56</v>
      </c>
      <c r="BO37">
        <v>0</v>
      </c>
      <c r="BP37">
        <v>0</v>
      </c>
      <c r="BQ37">
        <v>0</v>
      </c>
      <c r="BR37">
        <v>1</v>
      </c>
      <c r="BS37">
        <v>0</v>
      </c>
      <c r="BT37">
        <v>0</v>
      </c>
      <c r="BY37" s="29">
        <v>0</v>
      </c>
      <c r="BZ37">
        <v>0</v>
      </c>
      <c r="CA37">
        <v>0</v>
      </c>
      <c r="CB37" s="29">
        <v>0</v>
      </c>
      <c r="CC37">
        <v>0</v>
      </c>
      <c r="CD37">
        <v>1</v>
      </c>
      <c r="CE37">
        <v>0</v>
      </c>
      <c r="CF37">
        <v>0</v>
      </c>
      <c r="CG37">
        <v>0</v>
      </c>
      <c r="CH37">
        <v>0</v>
      </c>
      <c r="CI37">
        <v>1</v>
      </c>
      <c r="CJ37">
        <v>0</v>
      </c>
      <c r="CK37">
        <v>1</v>
      </c>
      <c r="CL37">
        <v>0</v>
      </c>
      <c r="CM37" s="17">
        <v>0</v>
      </c>
      <c r="CS37" t="s">
        <v>49</v>
      </c>
    </row>
    <row r="38" spans="1:97" x14ac:dyDescent="0.25">
      <c r="A38">
        <v>37</v>
      </c>
      <c r="B38">
        <v>2</v>
      </c>
      <c r="C38" t="s">
        <v>282</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5">
        <v>1991</v>
      </c>
      <c r="AI38" t="s">
        <v>62</v>
      </c>
      <c r="AJ38" t="s">
        <v>62</v>
      </c>
      <c r="AK38" t="s">
        <v>62</v>
      </c>
      <c r="AL38" t="s">
        <v>62</v>
      </c>
      <c r="AM38" s="29">
        <v>0.85</v>
      </c>
      <c r="AN38">
        <v>0.15</v>
      </c>
      <c r="AO38" s="29">
        <v>0.46</v>
      </c>
      <c r="AP38">
        <v>0.54</v>
      </c>
      <c r="AQ38" s="29">
        <v>0.94</v>
      </c>
      <c r="AR38" s="72">
        <v>0.06</v>
      </c>
      <c r="AU38" s="29">
        <v>0.45</v>
      </c>
      <c r="AV38" s="12">
        <v>0.55000000000000004</v>
      </c>
      <c r="AW38" s="12">
        <v>1</v>
      </c>
      <c r="AX38" s="12">
        <v>0</v>
      </c>
      <c r="AY38" s="12">
        <v>0</v>
      </c>
      <c r="AZ38" s="67" t="s">
        <v>98</v>
      </c>
      <c r="BN38" s="69">
        <v>36.56</v>
      </c>
      <c r="BO38">
        <v>0</v>
      </c>
      <c r="BP38">
        <v>0</v>
      </c>
      <c r="BQ38">
        <v>0</v>
      </c>
      <c r="BR38">
        <v>0</v>
      </c>
      <c r="BS38">
        <v>0</v>
      </c>
      <c r="BT38">
        <v>1</v>
      </c>
      <c r="BY38" s="29">
        <v>1</v>
      </c>
      <c r="BZ38">
        <v>0</v>
      </c>
      <c r="CA38">
        <v>0</v>
      </c>
      <c r="CB38" s="29">
        <v>0</v>
      </c>
      <c r="CC38">
        <v>0</v>
      </c>
      <c r="CD38">
        <v>1</v>
      </c>
      <c r="CE38">
        <v>0</v>
      </c>
      <c r="CF38">
        <v>0</v>
      </c>
      <c r="CG38">
        <v>0</v>
      </c>
      <c r="CH38">
        <v>0</v>
      </c>
      <c r="CI38">
        <v>1</v>
      </c>
      <c r="CJ38">
        <v>0</v>
      </c>
      <c r="CK38">
        <v>1</v>
      </c>
      <c r="CL38">
        <v>0</v>
      </c>
      <c r="CM38" s="17">
        <v>0</v>
      </c>
      <c r="CS38" t="s">
        <v>49</v>
      </c>
    </row>
    <row r="39" spans="1:97" x14ac:dyDescent="0.25">
      <c r="A39">
        <v>38</v>
      </c>
      <c r="B39">
        <v>3</v>
      </c>
      <c r="C39" t="s">
        <v>288</v>
      </c>
      <c r="D39" s="10">
        <v>10.5</v>
      </c>
      <c r="E39" s="6">
        <v>0.8</v>
      </c>
      <c r="F39" s="6">
        <f t="shared" si="4"/>
        <v>13.125</v>
      </c>
      <c r="L39" s="91">
        <v>1</v>
      </c>
      <c r="M39" s="8">
        <v>0</v>
      </c>
      <c r="N39" s="8">
        <v>0</v>
      </c>
      <c r="O39" s="8">
        <v>0</v>
      </c>
      <c r="P39" s="8">
        <v>0</v>
      </c>
      <c r="Q39" s="7">
        <v>906</v>
      </c>
      <c r="R39" s="8">
        <v>5</v>
      </c>
      <c r="S39" s="8">
        <f t="shared" si="7"/>
        <v>900</v>
      </c>
      <c r="U39" s="6">
        <v>14.08</v>
      </c>
      <c r="V39" s="6">
        <f t="shared" si="8"/>
        <v>16.480000000000004</v>
      </c>
      <c r="W39" s="91">
        <v>1</v>
      </c>
      <c r="X39" s="8">
        <v>0</v>
      </c>
      <c r="Y39" s="91">
        <v>1</v>
      </c>
      <c r="Z39" s="8">
        <v>0</v>
      </c>
      <c r="AA39" s="8">
        <v>0</v>
      </c>
      <c r="AB39" s="92">
        <v>0</v>
      </c>
      <c r="AC39" s="91">
        <v>0</v>
      </c>
      <c r="AD39" s="8">
        <v>1</v>
      </c>
      <c r="AE39" s="92">
        <v>0</v>
      </c>
      <c r="AF39" s="91">
        <v>1</v>
      </c>
      <c r="AG39" s="92">
        <v>0</v>
      </c>
      <c r="AH39" s="78">
        <v>1993</v>
      </c>
      <c r="AI39" t="s">
        <v>62</v>
      </c>
      <c r="AJ39" t="s">
        <v>62</v>
      </c>
      <c r="AK39" t="s">
        <v>62</v>
      </c>
      <c r="AL39" s="76" t="s">
        <v>62</v>
      </c>
      <c r="AM39" s="29" t="s">
        <v>62</v>
      </c>
      <c r="AN39" s="76" t="s">
        <v>62</v>
      </c>
      <c r="AO39" s="29">
        <v>0.46</v>
      </c>
      <c r="AP39">
        <v>0.54</v>
      </c>
      <c r="AQ39" s="29">
        <v>0.94</v>
      </c>
      <c r="AR39" s="72">
        <f>1-AQ39</f>
        <v>6.0000000000000053E-2</v>
      </c>
      <c r="AU39" s="29">
        <v>0.45</v>
      </c>
      <c r="AV39" s="83">
        <f>1-AU39</f>
        <v>0.55000000000000004</v>
      </c>
      <c r="AW39" s="83">
        <v>1</v>
      </c>
      <c r="AX39" s="83">
        <v>0</v>
      </c>
      <c r="AY39" s="83">
        <v>0</v>
      </c>
      <c r="AZ39" s="67" t="s">
        <v>98</v>
      </c>
      <c r="BN39" s="69">
        <v>36.56</v>
      </c>
      <c r="BO39">
        <v>1</v>
      </c>
      <c r="BP39">
        <v>0</v>
      </c>
      <c r="BQ39">
        <v>0</v>
      </c>
      <c r="BR39">
        <v>0</v>
      </c>
      <c r="BS39">
        <v>0</v>
      </c>
      <c r="BT39">
        <v>0</v>
      </c>
      <c r="BY39" s="29">
        <v>0</v>
      </c>
      <c r="BZ39">
        <v>0</v>
      </c>
      <c r="CA39">
        <v>0</v>
      </c>
      <c r="CB39" s="29">
        <v>1</v>
      </c>
      <c r="CC39">
        <v>1</v>
      </c>
      <c r="CD39" s="76">
        <v>0</v>
      </c>
      <c r="CE39" s="76">
        <v>0</v>
      </c>
      <c r="CF39">
        <v>1</v>
      </c>
      <c r="CG39" s="76">
        <v>0</v>
      </c>
      <c r="CH39">
        <v>1</v>
      </c>
      <c r="CI39">
        <v>0</v>
      </c>
      <c r="CJ39">
        <v>0</v>
      </c>
      <c r="CK39">
        <v>0</v>
      </c>
      <c r="CL39">
        <v>0</v>
      </c>
      <c r="CM39" s="17">
        <v>0</v>
      </c>
      <c r="CS39" t="s">
        <v>49</v>
      </c>
    </row>
    <row r="40" spans="1:97" x14ac:dyDescent="0.25">
      <c r="A40">
        <v>39</v>
      </c>
      <c r="B40">
        <v>3</v>
      </c>
      <c r="C40" t="s">
        <v>288</v>
      </c>
      <c r="D40" s="10">
        <v>10.1</v>
      </c>
      <c r="E40" s="6">
        <v>0.9</v>
      </c>
      <c r="F40" s="6">
        <f t="shared" si="4"/>
        <v>11.222222222222221</v>
      </c>
      <c r="L40" s="91">
        <v>1</v>
      </c>
      <c r="M40" s="8">
        <v>0</v>
      </c>
      <c r="N40" s="8">
        <v>0</v>
      </c>
      <c r="O40" s="8">
        <v>0</v>
      </c>
      <c r="P40" s="8">
        <v>0</v>
      </c>
      <c r="Q40" s="7">
        <v>906</v>
      </c>
      <c r="R40" s="8">
        <v>5</v>
      </c>
      <c r="S40" s="8">
        <f t="shared" si="7"/>
        <v>900</v>
      </c>
      <c r="U40" s="6">
        <v>14.08</v>
      </c>
      <c r="V40" s="6">
        <f t="shared" si="8"/>
        <v>16.480000000000004</v>
      </c>
      <c r="W40" s="91">
        <v>1</v>
      </c>
      <c r="X40" s="8">
        <v>0</v>
      </c>
      <c r="Y40" s="91">
        <v>1</v>
      </c>
      <c r="Z40" s="8">
        <v>0</v>
      </c>
      <c r="AA40" s="8">
        <v>0</v>
      </c>
      <c r="AB40" s="92">
        <v>0</v>
      </c>
      <c r="AC40" s="91">
        <v>0</v>
      </c>
      <c r="AD40" s="8">
        <v>1</v>
      </c>
      <c r="AE40" s="92">
        <v>0</v>
      </c>
      <c r="AF40" s="91">
        <v>1</v>
      </c>
      <c r="AG40" s="92">
        <v>0</v>
      </c>
      <c r="AH40" s="78">
        <v>1993</v>
      </c>
      <c r="AI40" t="s">
        <v>62</v>
      </c>
      <c r="AJ40" t="s">
        <v>62</v>
      </c>
      <c r="AK40" t="s">
        <v>62</v>
      </c>
      <c r="AL40" s="76" t="s">
        <v>62</v>
      </c>
      <c r="AM40" s="29" t="s">
        <v>62</v>
      </c>
      <c r="AN40" s="76" t="s">
        <v>62</v>
      </c>
      <c r="AO40" s="29">
        <v>0.46</v>
      </c>
      <c r="AP40">
        <v>0.54</v>
      </c>
      <c r="AQ40" s="29">
        <v>0.94</v>
      </c>
      <c r="AR40" s="72">
        <f t="shared" ref="AR40:AR80" si="9">1-AQ40</f>
        <v>6.0000000000000053E-2</v>
      </c>
      <c r="AU40" s="29">
        <v>0.45</v>
      </c>
      <c r="AV40" s="83">
        <f t="shared" ref="AV40:AV65" si="10">1-AU40</f>
        <v>0.55000000000000004</v>
      </c>
      <c r="AW40" s="83">
        <v>1</v>
      </c>
      <c r="AX40" s="83">
        <v>0</v>
      </c>
      <c r="AY40" s="83">
        <v>0</v>
      </c>
      <c r="AZ40" s="67" t="s">
        <v>98</v>
      </c>
      <c r="BN40" s="69">
        <v>36.56</v>
      </c>
      <c r="BO40">
        <v>1</v>
      </c>
      <c r="BP40">
        <v>0</v>
      </c>
      <c r="BQ40">
        <v>0</v>
      </c>
      <c r="BR40">
        <v>0</v>
      </c>
      <c r="BS40">
        <v>0</v>
      </c>
      <c r="BT40">
        <v>0</v>
      </c>
      <c r="BY40" s="29">
        <v>0</v>
      </c>
      <c r="BZ40">
        <v>0</v>
      </c>
      <c r="CA40">
        <v>0</v>
      </c>
      <c r="CB40" s="29">
        <v>1</v>
      </c>
      <c r="CC40">
        <v>1</v>
      </c>
      <c r="CD40" s="76">
        <v>0</v>
      </c>
      <c r="CE40" s="76">
        <v>0</v>
      </c>
      <c r="CF40">
        <v>1</v>
      </c>
      <c r="CG40" s="76">
        <v>0</v>
      </c>
      <c r="CH40">
        <v>1</v>
      </c>
      <c r="CI40">
        <v>0</v>
      </c>
      <c r="CJ40">
        <v>0</v>
      </c>
      <c r="CK40">
        <v>0</v>
      </c>
      <c r="CL40">
        <v>0</v>
      </c>
      <c r="CM40" s="17">
        <v>0</v>
      </c>
      <c r="CS40" t="s">
        <v>49</v>
      </c>
    </row>
    <row r="41" spans="1:97" x14ac:dyDescent="0.25">
      <c r="A41">
        <v>40</v>
      </c>
      <c r="B41">
        <v>3</v>
      </c>
      <c r="C41" t="s">
        <v>288</v>
      </c>
      <c r="D41" s="10">
        <v>7.5</v>
      </c>
      <c r="E41" s="6">
        <v>1.7</v>
      </c>
      <c r="F41" s="6">
        <f t="shared" si="4"/>
        <v>4.4117647058823533</v>
      </c>
      <c r="L41" s="91">
        <v>1</v>
      </c>
      <c r="M41" s="8">
        <v>0</v>
      </c>
      <c r="N41" s="8">
        <v>0</v>
      </c>
      <c r="O41" s="8">
        <v>0</v>
      </c>
      <c r="P41" s="8">
        <v>0</v>
      </c>
      <c r="Q41" s="7">
        <v>453</v>
      </c>
      <c r="R41" s="8">
        <v>1</v>
      </c>
      <c r="S41" s="8">
        <f t="shared" si="7"/>
        <v>451</v>
      </c>
      <c r="U41" s="6">
        <v>14.08</v>
      </c>
      <c r="V41" s="6">
        <f t="shared" si="8"/>
        <v>16.480000000000004</v>
      </c>
      <c r="W41" s="91">
        <v>1</v>
      </c>
      <c r="X41" s="8">
        <v>0</v>
      </c>
      <c r="Y41" s="91">
        <v>1</v>
      </c>
      <c r="Z41" s="8">
        <v>0</v>
      </c>
      <c r="AA41" s="8">
        <v>0</v>
      </c>
      <c r="AB41" s="92">
        <v>0</v>
      </c>
      <c r="AC41" s="91">
        <v>0</v>
      </c>
      <c r="AD41" s="8">
        <v>1</v>
      </c>
      <c r="AE41" s="92">
        <v>0</v>
      </c>
      <c r="AF41" s="91">
        <v>1</v>
      </c>
      <c r="AG41" s="92">
        <v>0</v>
      </c>
      <c r="AH41" s="78">
        <v>1993</v>
      </c>
      <c r="AI41" t="s">
        <v>62</v>
      </c>
      <c r="AJ41" t="s">
        <v>62</v>
      </c>
      <c r="AK41" t="s">
        <v>62</v>
      </c>
      <c r="AL41" s="76" t="s">
        <v>62</v>
      </c>
      <c r="AM41" s="29" t="s">
        <v>62</v>
      </c>
      <c r="AN41" s="76" t="s">
        <v>62</v>
      </c>
      <c r="AO41" s="29">
        <v>0.46</v>
      </c>
      <c r="AP41">
        <v>0.54</v>
      </c>
      <c r="AQ41" s="29">
        <v>0.94</v>
      </c>
      <c r="AR41" s="72">
        <f t="shared" si="9"/>
        <v>6.0000000000000053E-2</v>
      </c>
      <c r="AU41" s="29">
        <v>0.45</v>
      </c>
      <c r="AV41" s="83">
        <f t="shared" si="10"/>
        <v>0.55000000000000004</v>
      </c>
      <c r="AW41" s="83">
        <v>1</v>
      </c>
      <c r="AX41" s="83">
        <v>0</v>
      </c>
      <c r="AY41" s="83">
        <v>0</v>
      </c>
      <c r="AZ41" s="67" t="s">
        <v>98</v>
      </c>
      <c r="BN41" s="69">
        <v>36.56</v>
      </c>
      <c r="BO41">
        <v>0</v>
      </c>
      <c r="BP41">
        <v>0</v>
      </c>
      <c r="BQ41">
        <v>0</v>
      </c>
      <c r="BR41">
        <v>1</v>
      </c>
      <c r="BS41">
        <v>0</v>
      </c>
      <c r="BT41">
        <v>0</v>
      </c>
      <c r="BY41" s="29">
        <v>0</v>
      </c>
      <c r="BZ41">
        <v>0</v>
      </c>
      <c r="CA41">
        <v>0</v>
      </c>
      <c r="CB41" s="29">
        <v>0</v>
      </c>
      <c r="CC41">
        <v>0</v>
      </c>
      <c r="CD41" s="76">
        <v>0</v>
      </c>
      <c r="CE41" s="76">
        <v>0</v>
      </c>
      <c r="CF41">
        <v>0</v>
      </c>
      <c r="CG41" s="76">
        <v>0</v>
      </c>
      <c r="CH41">
        <v>0</v>
      </c>
      <c r="CI41">
        <v>0</v>
      </c>
      <c r="CJ41">
        <v>0</v>
      </c>
      <c r="CK41">
        <v>0</v>
      </c>
      <c r="CL41">
        <v>0</v>
      </c>
      <c r="CM41" s="17">
        <v>0</v>
      </c>
      <c r="CS41" t="s">
        <v>49</v>
      </c>
    </row>
    <row r="42" spans="1:97" x14ac:dyDescent="0.25">
      <c r="A42">
        <v>41</v>
      </c>
      <c r="B42">
        <v>3</v>
      </c>
      <c r="C42" t="s">
        <v>288</v>
      </c>
      <c r="D42" s="10">
        <v>9.5</v>
      </c>
      <c r="E42" s="6">
        <v>2.7</v>
      </c>
      <c r="F42" s="6">
        <f t="shared" si="4"/>
        <v>3.5185185185185182</v>
      </c>
      <c r="L42" s="91">
        <v>1</v>
      </c>
      <c r="M42" s="8">
        <v>0</v>
      </c>
      <c r="N42" s="8">
        <v>0</v>
      </c>
      <c r="O42" s="8">
        <v>0</v>
      </c>
      <c r="P42" s="8">
        <v>0</v>
      </c>
      <c r="Q42" s="7">
        <v>453</v>
      </c>
      <c r="R42" s="8">
        <v>1</v>
      </c>
      <c r="S42" s="8">
        <f t="shared" si="7"/>
        <v>451</v>
      </c>
      <c r="U42" s="6">
        <v>14.08</v>
      </c>
      <c r="V42" s="6">
        <f t="shared" si="8"/>
        <v>16.480000000000004</v>
      </c>
      <c r="W42" s="91">
        <v>1</v>
      </c>
      <c r="X42" s="8">
        <v>0</v>
      </c>
      <c r="Y42" s="91">
        <v>1</v>
      </c>
      <c r="Z42" s="8">
        <v>0</v>
      </c>
      <c r="AA42" s="8">
        <v>0</v>
      </c>
      <c r="AB42" s="92">
        <v>0</v>
      </c>
      <c r="AC42" s="91">
        <v>0</v>
      </c>
      <c r="AD42" s="8">
        <v>1</v>
      </c>
      <c r="AE42" s="92">
        <v>0</v>
      </c>
      <c r="AF42" s="91">
        <v>1</v>
      </c>
      <c r="AG42" s="92">
        <v>0</v>
      </c>
      <c r="AH42" s="78">
        <v>1993</v>
      </c>
      <c r="AI42" t="s">
        <v>62</v>
      </c>
      <c r="AJ42" t="s">
        <v>62</v>
      </c>
      <c r="AK42" t="s">
        <v>62</v>
      </c>
      <c r="AL42" s="76" t="s">
        <v>62</v>
      </c>
      <c r="AM42" s="29" t="s">
        <v>62</v>
      </c>
      <c r="AN42" s="76" t="s">
        <v>62</v>
      </c>
      <c r="AO42" s="29">
        <v>0.46</v>
      </c>
      <c r="AP42">
        <v>0.54</v>
      </c>
      <c r="AQ42" s="29">
        <v>0.94</v>
      </c>
      <c r="AR42" s="72">
        <f t="shared" si="9"/>
        <v>6.0000000000000053E-2</v>
      </c>
      <c r="AU42" s="29">
        <v>0.45</v>
      </c>
      <c r="AV42" s="83">
        <f t="shared" si="10"/>
        <v>0.55000000000000004</v>
      </c>
      <c r="AW42" s="83">
        <v>1</v>
      </c>
      <c r="AX42" s="83">
        <v>0</v>
      </c>
      <c r="AY42" s="83">
        <v>0</v>
      </c>
      <c r="AZ42" s="67" t="s">
        <v>98</v>
      </c>
      <c r="BN42" s="69">
        <v>36.56</v>
      </c>
      <c r="BO42">
        <v>0</v>
      </c>
      <c r="BP42">
        <v>0</v>
      </c>
      <c r="BQ42">
        <v>0</v>
      </c>
      <c r="BR42">
        <v>1</v>
      </c>
      <c r="BS42">
        <v>0</v>
      </c>
      <c r="BT42">
        <v>0</v>
      </c>
      <c r="BY42" s="29">
        <v>0</v>
      </c>
      <c r="BZ42">
        <v>0</v>
      </c>
      <c r="CA42">
        <v>0</v>
      </c>
      <c r="CB42" s="29">
        <v>0</v>
      </c>
      <c r="CC42">
        <v>0</v>
      </c>
      <c r="CD42" s="76">
        <v>0</v>
      </c>
      <c r="CE42" s="76">
        <v>0</v>
      </c>
      <c r="CF42">
        <v>0</v>
      </c>
      <c r="CG42" s="76">
        <v>0</v>
      </c>
      <c r="CH42">
        <v>0</v>
      </c>
      <c r="CI42">
        <v>0</v>
      </c>
      <c r="CJ42">
        <v>0</v>
      </c>
      <c r="CK42">
        <v>0</v>
      </c>
      <c r="CL42">
        <v>0</v>
      </c>
      <c r="CM42" s="17">
        <v>0</v>
      </c>
      <c r="CS42" t="s">
        <v>49</v>
      </c>
    </row>
    <row r="43" spans="1:97" x14ac:dyDescent="0.25">
      <c r="A43">
        <v>42</v>
      </c>
      <c r="B43">
        <v>3</v>
      </c>
      <c r="C43" t="s">
        <v>288</v>
      </c>
      <c r="D43" s="10">
        <v>11.1</v>
      </c>
      <c r="E43" s="6">
        <v>0.9</v>
      </c>
      <c r="F43" s="6">
        <f t="shared" si="4"/>
        <v>12.333333333333332</v>
      </c>
      <c r="L43" s="91">
        <v>1</v>
      </c>
      <c r="M43" s="8">
        <v>0</v>
      </c>
      <c r="N43" s="8">
        <v>0</v>
      </c>
      <c r="O43" s="8">
        <v>0</v>
      </c>
      <c r="P43" s="8">
        <v>0</v>
      </c>
      <c r="Q43" s="7">
        <v>890</v>
      </c>
      <c r="R43" s="8">
        <v>8</v>
      </c>
      <c r="S43" s="8">
        <f t="shared" si="7"/>
        <v>881</v>
      </c>
      <c r="U43" s="6">
        <v>14.08</v>
      </c>
      <c r="V43" s="6">
        <f t="shared" si="8"/>
        <v>16.480000000000004</v>
      </c>
      <c r="W43" s="91">
        <v>1</v>
      </c>
      <c r="X43" s="8">
        <v>0</v>
      </c>
      <c r="Y43" s="91">
        <v>1</v>
      </c>
      <c r="Z43" s="8">
        <v>0</v>
      </c>
      <c r="AA43" s="8">
        <v>0</v>
      </c>
      <c r="AB43" s="92">
        <v>0</v>
      </c>
      <c r="AC43" s="91">
        <v>0</v>
      </c>
      <c r="AD43" s="8">
        <v>1</v>
      </c>
      <c r="AE43" s="92">
        <v>0</v>
      </c>
      <c r="AF43" s="91">
        <v>1</v>
      </c>
      <c r="AG43" s="92">
        <v>0</v>
      </c>
      <c r="AH43" s="78">
        <v>1993</v>
      </c>
      <c r="AI43" t="s">
        <v>62</v>
      </c>
      <c r="AJ43" t="s">
        <v>62</v>
      </c>
      <c r="AK43" t="s">
        <v>62</v>
      </c>
      <c r="AL43" s="76" t="s">
        <v>62</v>
      </c>
      <c r="AM43" s="29" t="s">
        <v>62</v>
      </c>
      <c r="AN43" s="76" t="s">
        <v>62</v>
      </c>
      <c r="AO43" s="29">
        <v>0.46</v>
      </c>
      <c r="AP43">
        <v>0.54</v>
      </c>
      <c r="AQ43" s="29">
        <v>0.94</v>
      </c>
      <c r="AR43" s="72">
        <f t="shared" si="9"/>
        <v>6.0000000000000053E-2</v>
      </c>
      <c r="AU43" s="29">
        <v>0.45</v>
      </c>
      <c r="AV43" s="83">
        <f t="shared" si="10"/>
        <v>0.55000000000000004</v>
      </c>
      <c r="AW43" s="83">
        <v>1</v>
      </c>
      <c r="AX43" s="83">
        <v>0</v>
      </c>
      <c r="AY43" s="83">
        <v>0</v>
      </c>
      <c r="AZ43" s="67" t="s">
        <v>98</v>
      </c>
      <c r="BN43" s="69">
        <v>36.56</v>
      </c>
      <c r="BO43">
        <v>1</v>
      </c>
      <c r="BP43">
        <v>0</v>
      </c>
      <c r="BQ43">
        <v>0</v>
      </c>
      <c r="BR43">
        <v>0</v>
      </c>
      <c r="BS43">
        <v>0</v>
      </c>
      <c r="BT43">
        <v>0</v>
      </c>
      <c r="BY43" s="29">
        <v>0</v>
      </c>
      <c r="BZ43">
        <v>0</v>
      </c>
      <c r="CA43">
        <v>0</v>
      </c>
      <c r="CB43" s="29">
        <v>1</v>
      </c>
      <c r="CC43">
        <v>1</v>
      </c>
      <c r="CD43">
        <v>1</v>
      </c>
      <c r="CE43" s="76">
        <v>0</v>
      </c>
      <c r="CF43">
        <v>1</v>
      </c>
      <c r="CG43" s="76">
        <v>0</v>
      </c>
      <c r="CH43">
        <v>1</v>
      </c>
      <c r="CI43">
        <v>1</v>
      </c>
      <c r="CJ43">
        <v>0</v>
      </c>
      <c r="CK43">
        <v>1</v>
      </c>
      <c r="CL43">
        <v>0</v>
      </c>
      <c r="CM43" s="17">
        <v>0</v>
      </c>
      <c r="CS43" t="s">
        <v>49</v>
      </c>
    </row>
    <row r="44" spans="1:97" x14ac:dyDescent="0.25">
      <c r="A44">
        <v>43</v>
      </c>
      <c r="B44">
        <v>3</v>
      </c>
      <c r="C44" t="s">
        <v>288</v>
      </c>
      <c r="D44" s="10">
        <v>8.9</v>
      </c>
      <c r="E44" s="6">
        <v>1.6</v>
      </c>
      <c r="F44" s="6">
        <f t="shared" si="4"/>
        <v>5.5625</v>
      </c>
      <c r="L44" s="91">
        <v>1</v>
      </c>
      <c r="M44" s="8">
        <v>0</v>
      </c>
      <c r="N44" s="8">
        <v>0</v>
      </c>
      <c r="O44" s="8">
        <v>0</v>
      </c>
      <c r="P44" s="8">
        <v>0</v>
      </c>
      <c r="Q44" s="7">
        <v>445</v>
      </c>
      <c r="R44" s="8">
        <v>4</v>
      </c>
      <c r="S44" s="8">
        <f t="shared" si="7"/>
        <v>440</v>
      </c>
      <c r="U44" s="6">
        <v>14.08</v>
      </c>
      <c r="V44" s="6">
        <f t="shared" si="8"/>
        <v>16.480000000000004</v>
      </c>
      <c r="W44" s="91">
        <v>1</v>
      </c>
      <c r="X44" s="8">
        <v>0</v>
      </c>
      <c r="Y44" s="91">
        <v>1</v>
      </c>
      <c r="Z44" s="8">
        <v>0</v>
      </c>
      <c r="AA44" s="8">
        <v>0</v>
      </c>
      <c r="AB44" s="92">
        <v>0</v>
      </c>
      <c r="AC44" s="91">
        <v>0</v>
      </c>
      <c r="AD44" s="8">
        <v>1</v>
      </c>
      <c r="AE44" s="92">
        <v>0</v>
      </c>
      <c r="AF44" s="91">
        <v>1</v>
      </c>
      <c r="AG44" s="92">
        <v>0</v>
      </c>
      <c r="AH44" s="78">
        <v>1993</v>
      </c>
      <c r="AI44" t="s">
        <v>62</v>
      </c>
      <c r="AJ44" t="s">
        <v>62</v>
      </c>
      <c r="AK44" t="s">
        <v>62</v>
      </c>
      <c r="AL44" s="76" t="s">
        <v>62</v>
      </c>
      <c r="AM44" s="29" t="s">
        <v>62</v>
      </c>
      <c r="AN44" s="76" t="s">
        <v>62</v>
      </c>
      <c r="AO44" s="29">
        <v>0.46</v>
      </c>
      <c r="AP44">
        <v>0.54</v>
      </c>
      <c r="AQ44" s="29">
        <v>0.94</v>
      </c>
      <c r="AR44" s="72">
        <f t="shared" si="9"/>
        <v>6.0000000000000053E-2</v>
      </c>
      <c r="AU44" s="29">
        <v>0.45</v>
      </c>
      <c r="AV44" s="83">
        <f t="shared" si="10"/>
        <v>0.55000000000000004</v>
      </c>
      <c r="AW44" s="83">
        <v>1</v>
      </c>
      <c r="AX44" s="83">
        <v>0</v>
      </c>
      <c r="AY44" s="83">
        <v>0</v>
      </c>
      <c r="AZ44" s="67" t="s">
        <v>98</v>
      </c>
      <c r="BN44" s="69">
        <v>36.56</v>
      </c>
      <c r="BO44">
        <v>0</v>
      </c>
      <c r="BP44">
        <v>0</v>
      </c>
      <c r="BQ44">
        <v>0</v>
      </c>
      <c r="BR44">
        <v>1</v>
      </c>
      <c r="BS44">
        <v>0</v>
      </c>
      <c r="BT44">
        <v>0</v>
      </c>
      <c r="BY44" s="29">
        <v>0</v>
      </c>
      <c r="BZ44">
        <v>0</v>
      </c>
      <c r="CA44">
        <v>0</v>
      </c>
      <c r="CB44" s="29">
        <v>0</v>
      </c>
      <c r="CC44">
        <v>0</v>
      </c>
      <c r="CD44">
        <v>1</v>
      </c>
      <c r="CE44" s="76">
        <v>0</v>
      </c>
      <c r="CF44">
        <v>0</v>
      </c>
      <c r="CG44" s="76">
        <v>0</v>
      </c>
      <c r="CH44">
        <v>0</v>
      </c>
      <c r="CI44">
        <v>1</v>
      </c>
      <c r="CJ44">
        <v>0</v>
      </c>
      <c r="CK44">
        <v>1</v>
      </c>
      <c r="CL44">
        <v>0</v>
      </c>
      <c r="CM44" s="17">
        <v>0</v>
      </c>
      <c r="CS44" t="s">
        <v>49</v>
      </c>
    </row>
    <row r="45" spans="1:97" x14ac:dyDescent="0.25">
      <c r="A45">
        <v>44</v>
      </c>
      <c r="B45">
        <v>3</v>
      </c>
      <c r="C45" t="s">
        <v>288</v>
      </c>
      <c r="D45" s="10">
        <v>11</v>
      </c>
      <c r="E45" s="6">
        <v>2.7</v>
      </c>
      <c r="F45" s="6">
        <f t="shared" si="4"/>
        <v>4.0740740740740735</v>
      </c>
      <c r="L45" s="91">
        <v>1</v>
      </c>
      <c r="M45" s="8">
        <v>0</v>
      </c>
      <c r="N45" s="8">
        <v>0</v>
      </c>
      <c r="O45" s="8">
        <v>0</v>
      </c>
      <c r="P45" s="8">
        <v>0</v>
      </c>
      <c r="Q45" s="7">
        <v>445</v>
      </c>
      <c r="R45" s="8">
        <v>4</v>
      </c>
      <c r="S45" s="8">
        <f t="shared" si="7"/>
        <v>440</v>
      </c>
      <c r="U45" s="6">
        <v>14.08</v>
      </c>
      <c r="V45" s="6">
        <f t="shared" si="8"/>
        <v>16.480000000000004</v>
      </c>
      <c r="W45" s="91">
        <v>1</v>
      </c>
      <c r="X45" s="8">
        <v>0</v>
      </c>
      <c r="Y45" s="91">
        <v>1</v>
      </c>
      <c r="Z45" s="8">
        <v>0</v>
      </c>
      <c r="AA45" s="8">
        <v>0</v>
      </c>
      <c r="AB45" s="92">
        <v>0</v>
      </c>
      <c r="AC45" s="91">
        <v>0</v>
      </c>
      <c r="AD45" s="8">
        <v>1</v>
      </c>
      <c r="AE45" s="92">
        <v>0</v>
      </c>
      <c r="AF45" s="91">
        <v>1</v>
      </c>
      <c r="AG45" s="92">
        <v>0</v>
      </c>
      <c r="AH45" s="78">
        <v>1993</v>
      </c>
      <c r="AI45" t="s">
        <v>62</v>
      </c>
      <c r="AJ45" t="s">
        <v>62</v>
      </c>
      <c r="AK45" t="s">
        <v>62</v>
      </c>
      <c r="AL45" s="76" t="s">
        <v>62</v>
      </c>
      <c r="AM45" s="29" t="s">
        <v>62</v>
      </c>
      <c r="AN45" s="76" t="s">
        <v>62</v>
      </c>
      <c r="AO45" s="29">
        <v>0.46</v>
      </c>
      <c r="AP45">
        <v>0.54</v>
      </c>
      <c r="AQ45" s="29">
        <v>0.94</v>
      </c>
      <c r="AR45" s="72">
        <f t="shared" si="9"/>
        <v>6.0000000000000053E-2</v>
      </c>
      <c r="AU45" s="29">
        <v>0.45</v>
      </c>
      <c r="AV45" s="83">
        <f t="shared" si="10"/>
        <v>0.55000000000000004</v>
      </c>
      <c r="AW45" s="83">
        <v>1</v>
      </c>
      <c r="AX45" s="83">
        <v>0</v>
      </c>
      <c r="AY45" s="83">
        <v>0</v>
      </c>
      <c r="AZ45" s="67" t="s">
        <v>98</v>
      </c>
      <c r="BN45" s="69">
        <v>36.56</v>
      </c>
      <c r="BO45">
        <v>0</v>
      </c>
      <c r="BP45">
        <v>0</v>
      </c>
      <c r="BQ45">
        <v>0</v>
      </c>
      <c r="BR45">
        <v>1</v>
      </c>
      <c r="BS45">
        <v>0</v>
      </c>
      <c r="BT45">
        <v>0</v>
      </c>
      <c r="BY45" s="29">
        <v>0</v>
      </c>
      <c r="BZ45">
        <v>0</v>
      </c>
      <c r="CA45">
        <v>0</v>
      </c>
      <c r="CB45" s="29">
        <v>0</v>
      </c>
      <c r="CC45">
        <v>0</v>
      </c>
      <c r="CD45">
        <v>1</v>
      </c>
      <c r="CE45" s="76">
        <v>0</v>
      </c>
      <c r="CF45">
        <v>0</v>
      </c>
      <c r="CG45" s="76">
        <v>0</v>
      </c>
      <c r="CH45">
        <v>0</v>
      </c>
      <c r="CI45">
        <v>1</v>
      </c>
      <c r="CJ45">
        <v>0</v>
      </c>
      <c r="CK45">
        <v>1</v>
      </c>
      <c r="CL45">
        <v>0</v>
      </c>
      <c r="CM45" s="17">
        <v>0</v>
      </c>
      <c r="CS45" t="s">
        <v>49</v>
      </c>
    </row>
    <row r="46" spans="1:97" x14ac:dyDescent="0.25">
      <c r="A46">
        <v>45</v>
      </c>
      <c r="B46">
        <v>3</v>
      </c>
      <c r="C46" t="s">
        <v>288</v>
      </c>
      <c r="D46" s="10">
        <v>7.1</v>
      </c>
      <c r="E46" s="6">
        <v>1.6</v>
      </c>
      <c r="F46" s="6">
        <f t="shared" si="4"/>
        <v>4.4374999999999991</v>
      </c>
      <c r="L46" s="91">
        <v>1</v>
      </c>
      <c r="M46" s="8">
        <v>0</v>
      </c>
      <c r="N46" s="8">
        <v>0</v>
      </c>
      <c r="O46" s="8">
        <v>0</v>
      </c>
      <c r="P46" s="8">
        <v>0</v>
      </c>
      <c r="Q46" s="7">
        <v>445</v>
      </c>
      <c r="R46" s="8">
        <v>4</v>
      </c>
      <c r="S46" s="8">
        <f t="shared" si="7"/>
        <v>440</v>
      </c>
      <c r="U46" s="6">
        <v>14.08</v>
      </c>
      <c r="V46" s="6">
        <f t="shared" si="8"/>
        <v>16.480000000000004</v>
      </c>
      <c r="W46" s="91">
        <v>1</v>
      </c>
      <c r="X46" s="8">
        <v>0</v>
      </c>
      <c r="Y46" s="91">
        <v>1</v>
      </c>
      <c r="Z46" s="8">
        <v>0</v>
      </c>
      <c r="AA46" s="8">
        <v>0</v>
      </c>
      <c r="AB46" s="92">
        <v>0</v>
      </c>
      <c r="AC46" s="91">
        <v>0</v>
      </c>
      <c r="AD46" s="8">
        <v>1</v>
      </c>
      <c r="AE46" s="92">
        <v>0</v>
      </c>
      <c r="AF46" s="91">
        <v>1</v>
      </c>
      <c r="AG46" s="92">
        <v>0</v>
      </c>
      <c r="AH46" s="78">
        <v>1993</v>
      </c>
      <c r="AI46" t="s">
        <v>62</v>
      </c>
      <c r="AJ46" t="s">
        <v>62</v>
      </c>
      <c r="AK46" t="s">
        <v>62</v>
      </c>
      <c r="AL46" s="76" t="s">
        <v>62</v>
      </c>
      <c r="AM46" s="29" t="s">
        <v>62</v>
      </c>
      <c r="AN46" s="76" t="s">
        <v>62</v>
      </c>
      <c r="AO46" s="29">
        <v>0.46</v>
      </c>
      <c r="AP46">
        <v>0.54</v>
      </c>
      <c r="AQ46" s="29">
        <v>0.94</v>
      </c>
      <c r="AR46" s="72">
        <f t="shared" si="9"/>
        <v>6.0000000000000053E-2</v>
      </c>
      <c r="AU46" s="29">
        <v>0.45</v>
      </c>
      <c r="AV46" s="83">
        <f t="shared" si="10"/>
        <v>0.55000000000000004</v>
      </c>
      <c r="AW46" s="83">
        <v>1</v>
      </c>
      <c r="AX46" s="83">
        <v>0</v>
      </c>
      <c r="AY46" s="83">
        <v>0</v>
      </c>
      <c r="AZ46" s="67" t="s">
        <v>98</v>
      </c>
      <c r="BN46" s="69">
        <v>36.56</v>
      </c>
      <c r="BO46">
        <v>0</v>
      </c>
      <c r="BP46">
        <v>0</v>
      </c>
      <c r="BQ46">
        <v>0</v>
      </c>
      <c r="BR46">
        <v>1</v>
      </c>
      <c r="BS46">
        <v>0</v>
      </c>
      <c r="BT46">
        <v>0</v>
      </c>
      <c r="BY46" s="29">
        <v>0</v>
      </c>
      <c r="BZ46">
        <v>0</v>
      </c>
      <c r="CA46">
        <v>0</v>
      </c>
      <c r="CB46" s="29">
        <v>0</v>
      </c>
      <c r="CC46">
        <v>0</v>
      </c>
      <c r="CD46">
        <v>1</v>
      </c>
      <c r="CE46" s="76">
        <v>0</v>
      </c>
      <c r="CF46">
        <v>0</v>
      </c>
      <c r="CG46" s="76">
        <v>0</v>
      </c>
      <c r="CH46">
        <v>0</v>
      </c>
      <c r="CI46">
        <v>1</v>
      </c>
      <c r="CJ46">
        <v>0</v>
      </c>
      <c r="CK46">
        <v>1</v>
      </c>
      <c r="CL46">
        <v>0</v>
      </c>
      <c r="CM46" s="17">
        <v>0</v>
      </c>
      <c r="CS46" t="s">
        <v>49</v>
      </c>
    </row>
    <row r="47" spans="1:97" x14ac:dyDescent="0.25">
      <c r="A47">
        <v>46</v>
      </c>
      <c r="B47">
        <v>3</v>
      </c>
      <c r="C47" t="s">
        <v>288</v>
      </c>
      <c r="D47" s="10">
        <v>11.9</v>
      </c>
      <c r="E47" s="6">
        <v>2.1</v>
      </c>
      <c r="F47" s="6">
        <f t="shared" si="4"/>
        <v>5.666666666666667</v>
      </c>
      <c r="L47" s="91">
        <v>1</v>
      </c>
      <c r="M47" s="8">
        <v>0</v>
      </c>
      <c r="N47" s="8">
        <v>0</v>
      </c>
      <c r="O47" s="8">
        <v>0</v>
      </c>
      <c r="P47" s="8">
        <v>0</v>
      </c>
      <c r="Q47" s="7">
        <v>445</v>
      </c>
      <c r="R47" s="8">
        <v>4</v>
      </c>
      <c r="S47" s="8">
        <f t="shared" si="7"/>
        <v>440</v>
      </c>
      <c r="U47" s="6">
        <v>14.08</v>
      </c>
      <c r="V47" s="6">
        <f t="shared" si="8"/>
        <v>16.480000000000004</v>
      </c>
      <c r="W47" s="91">
        <v>1</v>
      </c>
      <c r="X47" s="8">
        <v>0</v>
      </c>
      <c r="Y47" s="91">
        <v>1</v>
      </c>
      <c r="Z47" s="8">
        <v>0</v>
      </c>
      <c r="AA47" s="8">
        <v>0</v>
      </c>
      <c r="AB47" s="92">
        <v>0</v>
      </c>
      <c r="AC47" s="91">
        <v>0</v>
      </c>
      <c r="AD47" s="8">
        <v>1</v>
      </c>
      <c r="AE47" s="92">
        <v>0</v>
      </c>
      <c r="AF47" s="91">
        <v>1</v>
      </c>
      <c r="AG47" s="92">
        <v>0</v>
      </c>
      <c r="AH47" s="78">
        <v>1993</v>
      </c>
      <c r="AI47" t="s">
        <v>62</v>
      </c>
      <c r="AJ47" t="s">
        <v>62</v>
      </c>
      <c r="AK47" t="s">
        <v>62</v>
      </c>
      <c r="AL47" s="76" t="s">
        <v>62</v>
      </c>
      <c r="AM47" s="29" t="s">
        <v>62</v>
      </c>
      <c r="AN47" s="76" t="s">
        <v>62</v>
      </c>
      <c r="AO47" s="29">
        <v>0.46</v>
      </c>
      <c r="AP47">
        <v>0.54</v>
      </c>
      <c r="AQ47" s="29">
        <v>0.94</v>
      </c>
      <c r="AR47" s="72">
        <f t="shared" si="9"/>
        <v>6.0000000000000053E-2</v>
      </c>
      <c r="AU47" s="29">
        <v>0.45</v>
      </c>
      <c r="AV47" s="83">
        <f t="shared" si="10"/>
        <v>0.55000000000000004</v>
      </c>
      <c r="AW47" s="83">
        <v>1</v>
      </c>
      <c r="AX47" s="83">
        <v>0</v>
      </c>
      <c r="AY47" s="83">
        <v>0</v>
      </c>
      <c r="AZ47" s="67" t="s">
        <v>98</v>
      </c>
      <c r="BN47" s="69">
        <v>36.56</v>
      </c>
      <c r="BO47">
        <v>0</v>
      </c>
      <c r="BP47">
        <v>0</v>
      </c>
      <c r="BQ47">
        <v>0</v>
      </c>
      <c r="BR47">
        <v>1</v>
      </c>
      <c r="BS47">
        <v>0</v>
      </c>
      <c r="BT47">
        <v>0</v>
      </c>
      <c r="BY47" s="29">
        <v>0</v>
      </c>
      <c r="BZ47">
        <v>0</v>
      </c>
      <c r="CA47">
        <v>0</v>
      </c>
      <c r="CB47" s="29">
        <v>0</v>
      </c>
      <c r="CC47">
        <v>0</v>
      </c>
      <c r="CD47">
        <v>1</v>
      </c>
      <c r="CE47" s="76">
        <v>0</v>
      </c>
      <c r="CF47">
        <v>0</v>
      </c>
      <c r="CG47" s="76">
        <v>0</v>
      </c>
      <c r="CH47">
        <v>0</v>
      </c>
      <c r="CI47">
        <v>1</v>
      </c>
      <c r="CJ47">
        <v>0</v>
      </c>
      <c r="CK47">
        <v>1</v>
      </c>
      <c r="CL47">
        <v>0</v>
      </c>
      <c r="CM47" s="17">
        <v>0</v>
      </c>
      <c r="CS47" t="s">
        <v>49</v>
      </c>
    </row>
    <row r="48" spans="1:97" x14ac:dyDescent="0.25">
      <c r="A48">
        <v>47</v>
      </c>
      <c r="B48">
        <v>3</v>
      </c>
      <c r="C48" t="s">
        <v>288</v>
      </c>
      <c r="D48" s="10">
        <v>11.5</v>
      </c>
      <c r="E48" s="6">
        <v>1</v>
      </c>
      <c r="F48" s="6">
        <f t="shared" si="4"/>
        <v>11.5</v>
      </c>
      <c r="L48" s="91">
        <v>1</v>
      </c>
      <c r="M48" s="8">
        <v>0</v>
      </c>
      <c r="N48" s="8">
        <v>0</v>
      </c>
      <c r="O48" s="8">
        <v>0</v>
      </c>
      <c r="P48" s="8">
        <v>0</v>
      </c>
      <c r="Q48" s="7">
        <v>588</v>
      </c>
      <c r="R48" s="8">
        <v>8</v>
      </c>
      <c r="S48" s="8">
        <f t="shared" si="7"/>
        <v>579</v>
      </c>
      <c r="U48" s="6">
        <v>14.08</v>
      </c>
      <c r="V48" s="6">
        <f t="shared" si="8"/>
        <v>16.480000000000004</v>
      </c>
      <c r="W48" s="91">
        <v>1</v>
      </c>
      <c r="X48" s="8">
        <v>0</v>
      </c>
      <c r="Y48" s="91">
        <v>1</v>
      </c>
      <c r="Z48" s="8">
        <v>0</v>
      </c>
      <c r="AA48" s="8">
        <v>0</v>
      </c>
      <c r="AB48" s="92">
        <v>0</v>
      </c>
      <c r="AC48" s="91">
        <v>0</v>
      </c>
      <c r="AD48" s="8">
        <v>1</v>
      </c>
      <c r="AE48" s="92">
        <v>0</v>
      </c>
      <c r="AF48" s="91">
        <v>1</v>
      </c>
      <c r="AG48" s="92">
        <v>0</v>
      </c>
      <c r="AH48" s="78">
        <v>1993</v>
      </c>
      <c r="AI48" t="s">
        <v>62</v>
      </c>
      <c r="AJ48" t="s">
        <v>62</v>
      </c>
      <c r="AK48" t="s">
        <v>62</v>
      </c>
      <c r="AL48" s="76" t="s">
        <v>62</v>
      </c>
      <c r="AM48" s="29" t="s">
        <v>62</v>
      </c>
      <c r="AN48" s="76" t="s">
        <v>62</v>
      </c>
      <c r="AO48" s="29">
        <v>0.46</v>
      </c>
      <c r="AP48">
        <v>0.54</v>
      </c>
      <c r="AQ48" s="29">
        <v>0.94</v>
      </c>
      <c r="AR48" s="72">
        <f t="shared" si="9"/>
        <v>6.0000000000000053E-2</v>
      </c>
      <c r="AU48" s="29">
        <v>0.45</v>
      </c>
      <c r="AV48" s="83">
        <f t="shared" si="10"/>
        <v>0.55000000000000004</v>
      </c>
      <c r="AW48" s="83">
        <v>1</v>
      </c>
      <c r="AX48" s="83">
        <v>0</v>
      </c>
      <c r="AY48" s="83">
        <v>0</v>
      </c>
      <c r="AZ48" s="67" t="s">
        <v>98</v>
      </c>
      <c r="BN48" s="69">
        <v>36.56</v>
      </c>
      <c r="BO48">
        <v>1</v>
      </c>
      <c r="BP48">
        <v>0</v>
      </c>
      <c r="BQ48">
        <v>0</v>
      </c>
      <c r="BR48">
        <v>0</v>
      </c>
      <c r="BS48">
        <v>0</v>
      </c>
      <c r="BT48">
        <v>0</v>
      </c>
      <c r="BY48" s="29">
        <v>0</v>
      </c>
      <c r="BZ48">
        <v>0</v>
      </c>
      <c r="CA48">
        <v>0</v>
      </c>
      <c r="CB48" s="29">
        <v>1</v>
      </c>
      <c r="CC48">
        <v>1</v>
      </c>
      <c r="CD48">
        <v>1</v>
      </c>
      <c r="CE48" s="76">
        <v>0</v>
      </c>
      <c r="CF48">
        <v>1</v>
      </c>
      <c r="CG48" s="76">
        <v>0</v>
      </c>
      <c r="CH48">
        <v>1</v>
      </c>
      <c r="CI48">
        <v>1</v>
      </c>
      <c r="CJ48">
        <v>0</v>
      </c>
      <c r="CK48">
        <v>1</v>
      </c>
      <c r="CL48">
        <v>0</v>
      </c>
      <c r="CM48" s="17">
        <v>0</v>
      </c>
      <c r="CS48" t="s">
        <v>49</v>
      </c>
    </row>
    <row r="49" spans="1:97" x14ac:dyDescent="0.25">
      <c r="A49">
        <v>48</v>
      </c>
      <c r="B49">
        <v>3</v>
      </c>
      <c r="C49" t="s">
        <v>288</v>
      </c>
      <c r="D49" s="10">
        <v>6.9</v>
      </c>
      <c r="E49" s="6">
        <v>2.2000000000000002</v>
      </c>
      <c r="F49" s="6">
        <f t="shared" si="4"/>
        <v>3.1363636363636362</v>
      </c>
      <c r="L49" s="91">
        <v>1</v>
      </c>
      <c r="M49" s="8">
        <v>0</v>
      </c>
      <c r="N49" s="8">
        <v>0</v>
      </c>
      <c r="O49" s="8">
        <v>0</v>
      </c>
      <c r="P49" s="8">
        <v>0</v>
      </c>
      <c r="Q49" s="7">
        <v>294</v>
      </c>
      <c r="R49" s="8">
        <v>4</v>
      </c>
      <c r="S49" s="8">
        <f t="shared" si="7"/>
        <v>289</v>
      </c>
      <c r="U49" s="79">
        <v>14.11</v>
      </c>
      <c r="V49" s="6">
        <f t="shared" si="8"/>
        <v>17.770000000000003</v>
      </c>
      <c r="W49" s="91">
        <v>1</v>
      </c>
      <c r="X49" s="8">
        <v>0</v>
      </c>
      <c r="Y49" s="91">
        <v>1</v>
      </c>
      <c r="Z49" s="8">
        <v>0</v>
      </c>
      <c r="AA49" s="8">
        <v>0</v>
      </c>
      <c r="AB49" s="92">
        <v>0</v>
      </c>
      <c r="AC49" s="91">
        <v>0</v>
      </c>
      <c r="AD49" s="8">
        <v>1</v>
      </c>
      <c r="AE49" s="92">
        <v>0</v>
      </c>
      <c r="AF49" s="91">
        <v>1</v>
      </c>
      <c r="AG49" s="92">
        <v>0</v>
      </c>
      <c r="AH49" s="78">
        <v>1993</v>
      </c>
      <c r="AI49" t="s">
        <v>62</v>
      </c>
      <c r="AJ49" t="s">
        <v>62</v>
      </c>
      <c r="AK49" t="s">
        <v>62</v>
      </c>
      <c r="AL49" s="76" t="s">
        <v>62</v>
      </c>
      <c r="AM49" s="29" t="s">
        <v>62</v>
      </c>
      <c r="AN49" s="76" t="s">
        <v>62</v>
      </c>
      <c r="AO49" s="29">
        <v>0.61</v>
      </c>
      <c r="AP49">
        <v>0.59</v>
      </c>
      <c r="AQ49" s="29">
        <v>0.48</v>
      </c>
      <c r="AR49" s="72">
        <f t="shared" si="9"/>
        <v>0.52</v>
      </c>
      <c r="AU49" s="29">
        <v>0.92</v>
      </c>
      <c r="AV49" s="83">
        <f t="shared" si="10"/>
        <v>7.999999999999996E-2</v>
      </c>
      <c r="AW49" s="83">
        <v>1</v>
      </c>
      <c r="AX49" s="83">
        <v>0</v>
      </c>
      <c r="AY49" s="83">
        <v>0</v>
      </c>
      <c r="AZ49" s="67" t="s">
        <v>98</v>
      </c>
      <c r="BN49" s="69">
        <v>37.880000000000003</v>
      </c>
      <c r="BO49">
        <v>0</v>
      </c>
      <c r="BP49">
        <v>0</v>
      </c>
      <c r="BQ49">
        <v>0</v>
      </c>
      <c r="BR49">
        <v>1</v>
      </c>
      <c r="BS49">
        <v>0</v>
      </c>
      <c r="BT49">
        <v>0</v>
      </c>
      <c r="BY49" s="29">
        <v>0</v>
      </c>
      <c r="BZ49">
        <v>0</v>
      </c>
      <c r="CA49">
        <v>0</v>
      </c>
      <c r="CB49" s="29">
        <v>0</v>
      </c>
      <c r="CC49">
        <v>0</v>
      </c>
      <c r="CD49">
        <v>1</v>
      </c>
      <c r="CE49" s="76">
        <v>0</v>
      </c>
      <c r="CF49">
        <v>0</v>
      </c>
      <c r="CG49" s="76">
        <v>0</v>
      </c>
      <c r="CH49">
        <v>0</v>
      </c>
      <c r="CI49">
        <v>1</v>
      </c>
      <c r="CJ49">
        <v>0</v>
      </c>
      <c r="CK49">
        <v>1</v>
      </c>
      <c r="CL49">
        <v>0</v>
      </c>
      <c r="CM49" s="17">
        <v>0</v>
      </c>
      <c r="CS49" t="s">
        <v>49</v>
      </c>
    </row>
    <row r="50" spans="1:97" x14ac:dyDescent="0.25">
      <c r="A50">
        <v>49</v>
      </c>
      <c r="B50">
        <v>3</v>
      </c>
      <c r="C50" t="s">
        <v>288</v>
      </c>
      <c r="D50" s="10">
        <v>7.6</v>
      </c>
      <c r="E50" s="6">
        <v>3.9</v>
      </c>
      <c r="F50" s="6">
        <f t="shared" si="4"/>
        <v>1.9487179487179487</v>
      </c>
      <c r="L50" s="91">
        <v>1</v>
      </c>
      <c r="M50" s="8">
        <v>0</v>
      </c>
      <c r="N50" s="8">
        <v>0</v>
      </c>
      <c r="O50" s="8">
        <v>0</v>
      </c>
      <c r="P50" s="8">
        <v>0</v>
      </c>
      <c r="Q50" s="7">
        <v>294</v>
      </c>
      <c r="R50" s="8">
        <v>4</v>
      </c>
      <c r="S50" s="8">
        <f t="shared" si="7"/>
        <v>289</v>
      </c>
      <c r="U50" s="79">
        <v>14.11</v>
      </c>
      <c r="V50" s="6">
        <f t="shared" si="8"/>
        <v>17.770000000000003</v>
      </c>
      <c r="W50" s="91">
        <v>1</v>
      </c>
      <c r="X50" s="8">
        <v>0</v>
      </c>
      <c r="Y50" s="91">
        <v>1</v>
      </c>
      <c r="Z50" s="8">
        <v>0</v>
      </c>
      <c r="AA50" s="8">
        <v>0</v>
      </c>
      <c r="AB50" s="92">
        <v>0</v>
      </c>
      <c r="AC50" s="91">
        <v>0</v>
      </c>
      <c r="AD50" s="8">
        <v>1</v>
      </c>
      <c r="AE50" s="92">
        <v>0</v>
      </c>
      <c r="AF50" s="91">
        <v>1</v>
      </c>
      <c r="AG50" s="92">
        <v>0</v>
      </c>
      <c r="AH50" s="78">
        <v>1993</v>
      </c>
      <c r="AI50" t="s">
        <v>62</v>
      </c>
      <c r="AJ50" t="s">
        <v>62</v>
      </c>
      <c r="AK50" t="s">
        <v>62</v>
      </c>
      <c r="AL50" s="76" t="s">
        <v>62</v>
      </c>
      <c r="AM50" s="29" t="s">
        <v>62</v>
      </c>
      <c r="AN50" s="76" t="s">
        <v>62</v>
      </c>
      <c r="AO50" s="29">
        <v>0.61</v>
      </c>
      <c r="AP50">
        <v>0.59</v>
      </c>
      <c r="AQ50" s="29">
        <v>0.48</v>
      </c>
      <c r="AR50" s="72">
        <f t="shared" si="9"/>
        <v>0.52</v>
      </c>
      <c r="AU50" s="29">
        <v>0.92</v>
      </c>
      <c r="AV50" s="83">
        <f t="shared" si="10"/>
        <v>7.999999999999996E-2</v>
      </c>
      <c r="AW50" s="83">
        <v>1</v>
      </c>
      <c r="AX50" s="83">
        <v>0</v>
      </c>
      <c r="AY50" s="83">
        <v>0</v>
      </c>
      <c r="AZ50" s="67" t="s">
        <v>98</v>
      </c>
      <c r="BN50" s="69">
        <v>37.880000000000003</v>
      </c>
      <c r="BO50">
        <v>0</v>
      </c>
      <c r="BP50">
        <v>0</v>
      </c>
      <c r="BQ50">
        <v>0</v>
      </c>
      <c r="BR50">
        <v>1</v>
      </c>
      <c r="BS50">
        <v>0</v>
      </c>
      <c r="BT50">
        <v>0</v>
      </c>
      <c r="BY50" s="29">
        <v>0</v>
      </c>
      <c r="BZ50">
        <v>0</v>
      </c>
      <c r="CA50">
        <v>0</v>
      </c>
      <c r="CB50" s="29">
        <v>0</v>
      </c>
      <c r="CC50">
        <v>0</v>
      </c>
      <c r="CD50">
        <v>1</v>
      </c>
      <c r="CE50" s="76">
        <v>0</v>
      </c>
      <c r="CF50">
        <v>0</v>
      </c>
      <c r="CG50" s="76">
        <v>0</v>
      </c>
      <c r="CH50">
        <v>0</v>
      </c>
      <c r="CI50">
        <v>1</v>
      </c>
      <c r="CJ50">
        <v>0</v>
      </c>
      <c r="CK50">
        <v>1</v>
      </c>
      <c r="CL50">
        <v>0</v>
      </c>
      <c r="CM50" s="17">
        <v>0</v>
      </c>
      <c r="CS50" t="s">
        <v>49</v>
      </c>
    </row>
    <row r="51" spans="1:97" x14ac:dyDescent="0.25">
      <c r="A51">
        <v>50</v>
      </c>
      <c r="B51">
        <v>3</v>
      </c>
      <c r="C51" t="s">
        <v>288</v>
      </c>
      <c r="D51" s="10">
        <v>4</v>
      </c>
      <c r="E51" s="6">
        <v>2.1</v>
      </c>
      <c r="F51" s="6">
        <f t="shared" si="4"/>
        <v>1.9047619047619047</v>
      </c>
      <c r="L51" s="91">
        <v>1</v>
      </c>
      <c r="M51" s="8">
        <v>0</v>
      </c>
      <c r="N51" s="8">
        <v>0</v>
      </c>
      <c r="O51" s="8">
        <v>0</v>
      </c>
      <c r="P51" s="8">
        <v>0</v>
      </c>
      <c r="Q51" s="7">
        <v>294</v>
      </c>
      <c r="R51" s="8">
        <v>4</v>
      </c>
      <c r="S51" s="8">
        <f t="shared" si="7"/>
        <v>289</v>
      </c>
      <c r="U51" s="79">
        <v>14.11</v>
      </c>
      <c r="V51" s="6">
        <f t="shared" si="8"/>
        <v>17.770000000000003</v>
      </c>
      <c r="W51" s="91">
        <v>1</v>
      </c>
      <c r="X51" s="8">
        <v>0</v>
      </c>
      <c r="Y51" s="91">
        <v>1</v>
      </c>
      <c r="Z51" s="8">
        <v>0</v>
      </c>
      <c r="AA51" s="8">
        <v>0</v>
      </c>
      <c r="AB51" s="92">
        <v>0</v>
      </c>
      <c r="AC51" s="91">
        <v>0</v>
      </c>
      <c r="AD51" s="8">
        <v>1</v>
      </c>
      <c r="AE51" s="92">
        <v>0</v>
      </c>
      <c r="AF51" s="91">
        <v>1</v>
      </c>
      <c r="AG51" s="92">
        <v>0</v>
      </c>
      <c r="AH51" s="78">
        <v>1993</v>
      </c>
      <c r="AI51" t="s">
        <v>62</v>
      </c>
      <c r="AJ51" t="s">
        <v>62</v>
      </c>
      <c r="AK51" t="s">
        <v>62</v>
      </c>
      <c r="AL51" s="76" t="s">
        <v>62</v>
      </c>
      <c r="AM51" s="29" t="s">
        <v>62</v>
      </c>
      <c r="AN51" s="76" t="s">
        <v>62</v>
      </c>
      <c r="AO51" s="29">
        <v>0.61</v>
      </c>
      <c r="AP51">
        <v>0.59</v>
      </c>
      <c r="AQ51" s="29">
        <v>0.48</v>
      </c>
      <c r="AR51" s="72">
        <f t="shared" si="9"/>
        <v>0.52</v>
      </c>
      <c r="AU51" s="29">
        <v>0.92</v>
      </c>
      <c r="AV51" s="83">
        <f t="shared" si="10"/>
        <v>7.999999999999996E-2</v>
      </c>
      <c r="AW51" s="83">
        <v>1</v>
      </c>
      <c r="AX51" s="83">
        <v>0</v>
      </c>
      <c r="AY51" s="83">
        <v>0</v>
      </c>
      <c r="AZ51" s="67" t="s">
        <v>98</v>
      </c>
      <c r="BN51" s="69">
        <v>37.880000000000003</v>
      </c>
      <c r="BO51">
        <v>0</v>
      </c>
      <c r="BP51">
        <v>0</v>
      </c>
      <c r="BQ51">
        <v>0</v>
      </c>
      <c r="BR51">
        <v>1</v>
      </c>
      <c r="BS51">
        <v>0</v>
      </c>
      <c r="BT51">
        <v>0</v>
      </c>
      <c r="BY51" s="29">
        <v>0</v>
      </c>
      <c r="BZ51">
        <v>0</v>
      </c>
      <c r="CA51">
        <v>0</v>
      </c>
      <c r="CB51" s="29">
        <v>0</v>
      </c>
      <c r="CC51">
        <v>0</v>
      </c>
      <c r="CD51">
        <v>1</v>
      </c>
      <c r="CE51" s="76">
        <v>0</v>
      </c>
      <c r="CF51">
        <v>0</v>
      </c>
      <c r="CG51" s="76">
        <v>0</v>
      </c>
      <c r="CH51">
        <v>0</v>
      </c>
      <c r="CI51">
        <v>1</v>
      </c>
      <c r="CJ51">
        <v>0</v>
      </c>
      <c r="CK51">
        <v>1</v>
      </c>
      <c r="CL51">
        <v>0</v>
      </c>
      <c r="CM51" s="17">
        <v>0</v>
      </c>
      <c r="CS51" t="s">
        <v>49</v>
      </c>
    </row>
    <row r="52" spans="1:97" x14ac:dyDescent="0.25">
      <c r="A52">
        <v>51</v>
      </c>
      <c r="B52">
        <v>3</v>
      </c>
      <c r="C52" t="s">
        <v>288</v>
      </c>
      <c r="D52" s="10">
        <v>10.4</v>
      </c>
      <c r="E52" s="6">
        <v>3</v>
      </c>
      <c r="F52" s="6">
        <f t="shared" si="4"/>
        <v>3.4666666666666668</v>
      </c>
      <c r="L52" s="91">
        <v>1</v>
      </c>
      <c r="M52" s="8">
        <v>0</v>
      </c>
      <c r="N52" s="8">
        <v>0</v>
      </c>
      <c r="O52" s="8">
        <v>0</v>
      </c>
      <c r="P52" s="8">
        <v>0</v>
      </c>
      <c r="Q52" s="7">
        <v>294</v>
      </c>
      <c r="R52" s="8">
        <v>4</v>
      </c>
      <c r="S52" s="8">
        <f t="shared" si="7"/>
        <v>289</v>
      </c>
      <c r="U52" s="79">
        <v>14.11</v>
      </c>
      <c r="V52" s="6">
        <f t="shared" si="8"/>
        <v>17.770000000000003</v>
      </c>
      <c r="W52" s="91">
        <v>1</v>
      </c>
      <c r="X52" s="8">
        <v>0</v>
      </c>
      <c r="Y52" s="91">
        <v>1</v>
      </c>
      <c r="Z52" s="8">
        <v>0</v>
      </c>
      <c r="AA52" s="8">
        <v>0</v>
      </c>
      <c r="AB52" s="92">
        <v>0</v>
      </c>
      <c r="AC52" s="91">
        <v>0</v>
      </c>
      <c r="AD52" s="8">
        <v>1</v>
      </c>
      <c r="AE52" s="92">
        <v>0</v>
      </c>
      <c r="AF52" s="91">
        <v>1</v>
      </c>
      <c r="AG52" s="92">
        <v>0</v>
      </c>
      <c r="AH52" s="78">
        <v>1993</v>
      </c>
      <c r="AI52" t="s">
        <v>62</v>
      </c>
      <c r="AJ52" t="s">
        <v>62</v>
      </c>
      <c r="AK52" t="s">
        <v>62</v>
      </c>
      <c r="AL52" s="76" t="s">
        <v>62</v>
      </c>
      <c r="AM52" s="29" t="s">
        <v>62</v>
      </c>
      <c r="AN52" s="76" t="s">
        <v>62</v>
      </c>
      <c r="AO52" s="29">
        <v>0.61</v>
      </c>
      <c r="AP52">
        <v>0.59</v>
      </c>
      <c r="AQ52" s="29">
        <v>0.48</v>
      </c>
      <c r="AR52" s="72">
        <f t="shared" si="9"/>
        <v>0.52</v>
      </c>
      <c r="AU52" s="29">
        <v>0.92</v>
      </c>
      <c r="AV52" s="83">
        <f t="shared" si="10"/>
        <v>7.999999999999996E-2</v>
      </c>
      <c r="AW52" s="83">
        <v>1</v>
      </c>
      <c r="AX52" s="83">
        <v>0</v>
      </c>
      <c r="AY52" s="83">
        <v>0</v>
      </c>
      <c r="AZ52" s="67" t="s">
        <v>98</v>
      </c>
      <c r="BN52" s="69">
        <v>37.880000000000003</v>
      </c>
      <c r="BO52">
        <v>0</v>
      </c>
      <c r="BP52">
        <v>0</v>
      </c>
      <c r="BQ52">
        <v>0</v>
      </c>
      <c r="BR52">
        <v>1</v>
      </c>
      <c r="BS52">
        <v>0</v>
      </c>
      <c r="BT52">
        <v>0</v>
      </c>
      <c r="BY52" s="29">
        <v>0</v>
      </c>
      <c r="BZ52">
        <v>0</v>
      </c>
      <c r="CA52">
        <v>0</v>
      </c>
      <c r="CB52" s="29">
        <v>0</v>
      </c>
      <c r="CC52">
        <v>0</v>
      </c>
      <c r="CD52">
        <v>1</v>
      </c>
      <c r="CE52" s="76">
        <v>0</v>
      </c>
      <c r="CF52">
        <v>0</v>
      </c>
      <c r="CG52" s="76">
        <v>0</v>
      </c>
      <c r="CH52">
        <v>0</v>
      </c>
      <c r="CI52">
        <v>1</v>
      </c>
      <c r="CJ52">
        <v>0</v>
      </c>
      <c r="CK52">
        <v>1</v>
      </c>
      <c r="CL52">
        <v>0</v>
      </c>
      <c r="CM52" s="17">
        <v>0</v>
      </c>
      <c r="CS52" t="s">
        <v>49</v>
      </c>
    </row>
    <row r="53" spans="1:97" x14ac:dyDescent="0.25">
      <c r="A53">
        <v>52</v>
      </c>
      <c r="B53">
        <v>4</v>
      </c>
      <c r="C53" t="s">
        <v>296</v>
      </c>
      <c r="D53" s="10">
        <v>7.8</v>
      </c>
      <c r="E53" s="6">
        <v>0.2</v>
      </c>
      <c r="F53" s="6">
        <f t="shared" si="4"/>
        <v>39</v>
      </c>
      <c r="L53" s="91">
        <v>1</v>
      </c>
      <c r="M53" s="8">
        <v>0</v>
      </c>
      <c r="N53" s="8">
        <v>0</v>
      </c>
      <c r="O53" s="8">
        <v>0</v>
      </c>
      <c r="P53" s="8">
        <v>0</v>
      </c>
      <c r="Q53" s="91">
        <v>4398</v>
      </c>
      <c r="R53" s="79">
        <v>3</v>
      </c>
      <c r="S53" s="79">
        <f t="shared" si="7"/>
        <v>4394</v>
      </c>
      <c r="U53" s="79">
        <v>12.1</v>
      </c>
      <c r="V53" s="79">
        <v>6.9</v>
      </c>
      <c r="W53" s="91">
        <v>0</v>
      </c>
      <c r="X53" s="79">
        <v>1</v>
      </c>
      <c r="Y53" s="91">
        <v>1</v>
      </c>
      <c r="Z53" s="8">
        <v>0</v>
      </c>
      <c r="AA53" s="8">
        <v>0</v>
      </c>
      <c r="AB53" s="92">
        <v>0</v>
      </c>
      <c r="AC53" s="91">
        <v>0</v>
      </c>
      <c r="AD53" s="79">
        <v>1</v>
      </c>
      <c r="AE53" s="79">
        <v>0</v>
      </c>
      <c r="AF53" s="91">
        <v>1</v>
      </c>
      <c r="AG53" s="79">
        <v>0</v>
      </c>
      <c r="AH53" s="78">
        <v>1999</v>
      </c>
      <c r="AI53" t="s">
        <v>62</v>
      </c>
      <c r="AJ53" t="s">
        <v>62</v>
      </c>
      <c r="AK53" t="s">
        <v>62</v>
      </c>
      <c r="AL53" s="76" t="s">
        <v>62</v>
      </c>
      <c r="AM53" s="29">
        <f>1-AN53</f>
        <v>0.95199999999999996</v>
      </c>
      <c r="AN53">
        <v>4.8000000000000001E-2</v>
      </c>
      <c r="AO53" s="29">
        <v>0</v>
      </c>
      <c r="AP53">
        <v>1</v>
      </c>
      <c r="AQ53" s="29">
        <v>0.59499999999999997</v>
      </c>
      <c r="AR53" s="72">
        <f t="shared" si="9"/>
        <v>0.40500000000000003</v>
      </c>
      <c r="AU53" s="29">
        <v>0.94899999999999995</v>
      </c>
      <c r="AV53" s="83">
        <f t="shared" si="10"/>
        <v>5.1000000000000045E-2</v>
      </c>
      <c r="AW53" s="83">
        <v>0</v>
      </c>
      <c r="AX53" s="83">
        <v>0</v>
      </c>
      <c r="AY53" s="83">
        <v>1</v>
      </c>
      <c r="AZ53" s="67" t="s">
        <v>399</v>
      </c>
      <c r="BN53" s="69">
        <v>38.9</v>
      </c>
      <c r="BO53">
        <v>1</v>
      </c>
      <c r="BP53">
        <v>0</v>
      </c>
      <c r="BQ53">
        <v>0</v>
      </c>
      <c r="BR53" s="76">
        <v>0</v>
      </c>
      <c r="BS53" s="76">
        <v>0</v>
      </c>
      <c r="BT53">
        <v>0</v>
      </c>
      <c r="BY53" s="29">
        <v>0</v>
      </c>
      <c r="BZ53">
        <v>0</v>
      </c>
      <c r="CA53">
        <v>0</v>
      </c>
      <c r="CB53" s="29">
        <v>1</v>
      </c>
      <c r="CC53">
        <v>1</v>
      </c>
      <c r="CD53" s="76">
        <v>0</v>
      </c>
      <c r="CE53" s="76">
        <v>0</v>
      </c>
      <c r="CF53" s="76">
        <v>0</v>
      </c>
      <c r="CG53" s="76">
        <v>0</v>
      </c>
      <c r="CH53" s="76">
        <v>0</v>
      </c>
      <c r="CI53" s="76">
        <v>0</v>
      </c>
      <c r="CJ53">
        <v>0</v>
      </c>
      <c r="CK53">
        <v>0</v>
      </c>
      <c r="CL53">
        <v>0</v>
      </c>
      <c r="CM53" s="17">
        <v>0</v>
      </c>
      <c r="CS53" t="s">
        <v>49</v>
      </c>
    </row>
    <row r="54" spans="1:97" x14ac:dyDescent="0.25">
      <c r="A54">
        <v>53</v>
      </c>
      <c r="B54">
        <v>4</v>
      </c>
      <c r="C54" t="s">
        <v>296</v>
      </c>
      <c r="D54" s="10">
        <v>7.7</v>
      </c>
      <c r="E54" s="6">
        <v>1.1000000000000001</v>
      </c>
      <c r="F54" s="6">
        <f t="shared" si="4"/>
        <v>7</v>
      </c>
      <c r="L54" s="91">
        <v>1</v>
      </c>
      <c r="M54" s="8">
        <v>0</v>
      </c>
      <c r="N54" s="8">
        <v>0</v>
      </c>
      <c r="O54" s="8">
        <v>0</v>
      </c>
      <c r="P54" s="8">
        <v>0</v>
      </c>
      <c r="Q54" s="91">
        <v>428</v>
      </c>
      <c r="R54" s="79">
        <v>3</v>
      </c>
      <c r="S54" s="79">
        <f t="shared" si="7"/>
        <v>424</v>
      </c>
      <c r="U54" s="79">
        <v>13.2</v>
      </c>
      <c r="V54" s="79">
        <v>11.9</v>
      </c>
      <c r="W54" s="91">
        <v>0</v>
      </c>
      <c r="X54" s="79">
        <v>1</v>
      </c>
      <c r="Y54" s="91">
        <v>1</v>
      </c>
      <c r="Z54" s="8">
        <v>0</v>
      </c>
      <c r="AA54" s="8">
        <v>0</v>
      </c>
      <c r="AB54" s="92">
        <v>0</v>
      </c>
      <c r="AC54" s="91">
        <v>0</v>
      </c>
      <c r="AD54" s="79">
        <v>1</v>
      </c>
      <c r="AE54" s="79">
        <v>0</v>
      </c>
      <c r="AF54" s="91">
        <v>1</v>
      </c>
      <c r="AG54" s="79">
        <v>0</v>
      </c>
      <c r="AH54" s="78">
        <v>1999</v>
      </c>
      <c r="AI54" t="s">
        <v>62</v>
      </c>
      <c r="AJ54" t="s">
        <v>62</v>
      </c>
      <c r="AK54" t="s">
        <v>62</v>
      </c>
      <c r="AL54" s="76" t="s">
        <v>62</v>
      </c>
      <c r="AM54" s="29">
        <f t="shared" ref="AM54:AM64" si="11">1-AN54</f>
        <v>0.95099999999999996</v>
      </c>
      <c r="AN54">
        <v>4.9000000000000002E-2</v>
      </c>
      <c r="AO54" s="29">
        <v>0</v>
      </c>
      <c r="AP54">
        <v>1</v>
      </c>
      <c r="AQ54" s="29">
        <v>0.61299999999999999</v>
      </c>
      <c r="AR54" s="72">
        <f t="shared" si="9"/>
        <v>0.38700000000000001</v>
      </c>
      <c r="AU54" s="29">
        <v>0.98299999999999998</v>
      </c>
      <c r="AV54" s="83">
        <f t="shared" si="10"/>
        <v>1.7000000000000015E-2</v>
      </c>
      <c r="AW54" s="83">
        <v>1</v>
      </c>
      <c r="AX54" s="83">
        <v>0</v>
      </c>
      <c r="AY54" s="83">
        <v>0</v>
      </c>
      <c r="AZ54" s="67" t="s">
        <v>399</v>
      </c>
      <c r="BN54" s="69">
        <v>42.5</v>
      </c>
      <c r="BO54">
        <v>1</v>
      </c>
      <c r="BP54">
        <v>0</v>
      </c>
      <c r="BQ54">
        <v>0</v>
      </c>
      <c r="BR54" s="76">
        <v>0</v>
      </c>
      <c r="BS54" s="76">
        <v>0</v>
      </c>
      <c r="BT54">
        <v>0</v>
      </c>
      <c r="BY54" s="29">
        <v>0</v>
      </c>
      <c r="BZ54">
        <v>0</v>
      </c>
      <c r="CA54">
        <v>0</v>
      </c>
      <c r="CB54" s="29">
        <v>1</v>
      </c>
      <c r="CC54">
        <v>1</v>
      </c>
      <c r="CD54" s="76">
        <v>0</v>
      </c>
      <c r="CE54" s="76">
        <v>0</v>
      </c>
      <c r="CF54" s="76">
        <v>0</v>
      </c>
      <c r="CG54" s="76">
        <v>0</v>
      </c>
      <c r="CH54" s="76">
        <v>0</v>
      </c>
      <c r="CI54" s="76">
        <v>0</v>
      </c>
      <c r="CJ54">
        <v>0</v>
      </c>
      <c r="CK54">
        <v>0</v>
      </c>
      <c r="CL54">
        <v>0</v>
      </c>
      <c r="CM54" s="17">
        <v>0</v>
      </c>
      <c r="CS54" t="s">
        <v>49</v>
      </c>
    </row>
    <row r="55" spans="1:97" x14ac:dyDescent="0.25">
      <c r="A55">
        <v>54</v>
      </c>
      <c r="B55">
        <v>4</v>
      </c>
      <c r="C55" t="s">
        <v>296</v>
      </c>
      <c r="D55" s="10">
        <v>8.5</v>
      </c>
      <c r="E55" s="6">
        <v>1.2</v>
      </c>
      <c r="F55" s="6">
        <f t="shared" si="4"/>
        <v>7.0833333333333339</v>
      </c>
      <c r="L55" s="91">
        <v>1</v>
      </c>
      <c r="M55" s="8">
        <v>0</v>
      </c>
      <c r="N55" s="8">
        <v>0</v>
      </c>
      <c r="O55" s="8">
        <v>0</v>
      </c>
      <c r="P55" s="8">
        <v>0</v>
      </c>
      <c r="Q55" s="91">
        <v>428</v>
      </c>
      <c r="R55" s="79">
        <v>3</v>
      </c>
      <c r="S55" s="79">
        <f t="shared" si="7"/>
        <v>424</v>
      </c>
      <c r="U55" s="79">
        <v>13.2</v>
      </c>
      <c r="V55" s="79">
        <v>11.9</v>
      </c>
      <c r="W55" s="91">
        <v>0</v>
      </c>
      <c r="X55" s="79">
        <v>1</v>
      </c>
      <c r="Y55" s="91">
        <v>1</v>
      </c>
      <c r="Z55" s="8">
        <v>0</v>
      </c>
      <c r="AA55" s="8">
        <v>0</v>
      </c>
      <c r="AB55" s="92">
        <v>0</v>
      </c>
      <c r="AC55" s="91">
        <v>0</v>
      </c>
      <c r="AD55" s="79">
        <v>1</v>
      </c>
      <c r="AE55" s="79">
        <v>0</v>
      </c>
      <c r="AF55" s="91">
        <v>1</v>
      </c>
      <c r="AG55" s="79">
        <v>0</v>
      </c>
      <c r="AH55" s="78">
        <v>1999</v>
      </c>
      <c r="AI55" t="s">
        <v>62</v>
      </c>
      <c r="AJ55" t="s">
        <v>62</v>
      </c>
      <c r="AK55" t="s">
        <v>62</v>
      </c>
      <c r="AL55" s="76" t="s">
        <v>62</v>
      </c>
      <c r="AM55" s="29">
        <f t="shared" si="11"/>
        <v>0.95099999999999996</v>
      </c>
      <c r="AN55">
        <v>4.9000000000000002E-2</v>
      </c>
      <c r="AO55" s="29">
        <v>0</v>
      </c>
      <c r="AP55">
        <v>1</v>
      </c>
      <c r="AQ55" s="29">
        <v>0.61299999999999999</v>
      </c>
      <c r="AR55" s="72">
        <f t="shared" si="9"/>
        <v>0.38700000000000001</v>
      </c>
      <c r="AU55" s="29">
        <v>0.98299999999999998</v>
      </c>
      <c r="AV55" s="83">
        <f t="shared" si="10"/>
        <v>1.7000000000000015E-2</v>
      </c>
      <c r="AW55" s="83">
        <v>1</v>
      </c>
      <c r="AX55" s="83">
        <v>0</v>
      </c>
      <c r="AY55" s="83">
        <v>0</v>
      </c>
      <c r="AZ55" s="67" t="s">
        <v>399</v>
      </c>
      <c r="BN55" s="69">
        <v>42.5</v>
      </c>
      <c r="BO55">
        <v>0</v>
      </c>
      <c r="BP55">
        <v>0</v>
      </c>
      <c r="BQ55">
        <v>0</v>
      </c>
      <c r="BR55" s="76">
        <v>0</v>
      </c>
      <c r="BS55" s="76">
        <v>0</v>
      </c>
      <c r="BT55">
        <v>1</v>
      </c>
      <c r="BY55" s="29">
        <v>1</v>
      </c>
      <c r="BZ55">
        <v>0</v>
      </c>
      <c r="CA55">
        <v>0</v>
      </c>
      <c r="CB55" s="29">
        <v>1</v>
      </c>
      <c r="CC55">
        <v>1</v>
      </c>
      <c r="CD55" s="76">
        <v>0</v>
      </c>
      <c r="CE55" s="76">
        <v>0</v>
      </c>
      <c r="CF55" s="76">
        <v>0</v>
      </c>
      <c r="CG55" s="76">
        <v>0</v>
      </c>
      <c r="CH55" s="76">
        <v>0</v>
      </c>
      <c r="CI55" s="76">
        <v>0</v>
      </c>
      <c r="CJ55">
        <v>0</v>
      </c>
      <c r="CK55">
        <v>0</v>
      </c>
      <c r="CL55">
        <v>0</v>
      </c>
      <c r="CM55" s="17">
        <v>0</v>
      </c>
      <c r="CS55" t="s">
        <v>49</v>
      </c>
    </row>
    <row r="56" spans="1:97" x14ac:dyDescent="0.25">
      <c r="A56">
        <v>55</v>
      </c>
      <c r="B56">
        <v>4</v>
      </c>
      <c r="C56" t="s">
        <v>296</v>
      </c>
      <c r="D56" s="10">
        <v>3.9</v>
      </c>
      <c r="E56" s="6">
        <v>2.2999999999999998</v>
      </c>
      <c r="F56" s="6">
        <f t="shared" si="4"/>
        <v>1.6956521739130437</v>
      </c>
      <c r="L56" s="91">
        <v>1</v>
      </c>
      <c r="M56" s="8">
        <v>0</v>
      </c>
      <c r="N56" s="8">
        <v>0</v>
      </c>
      <c r="O56" s="8">
        <v>0</v>
      </c>
      <c r="P56" s="8">
        <v>0</v>
      </c>
      <c r="Q56" s="91">
        <v>214</v>
      </c>
      <c r="R56" s="79">
        <v>1</v>
      </c>
      <c r="S56" s="79">
        <f t="shared" si="7"/>
        <v>212</v>
      </c>
      <c r="U56" s="79">
        <v>13.2</v>
      </c>
      <c r="V56" s="79">
        <v>11.9</v>
      </c>
      <c r="W56" s="91">
        <v>0</v>
      </c>
      <c r="X56" s="79">
        <v>1</v>
      </c>
      <c r="Y56" s="91">
        <v>1</v>
      </c>
      <c r="Z56" s="8">
        <v>0</v>
      </c>
      <c r="AA56" s="8">
        <v>0</v>
      </c>
      <c r="AB56" s="92">
        <v>0</v>
      </c>
      <c r="AC56" s="91">
        <v>0</v>
      </c>
      <c r="AD56" s="79">
        <v>1</v>
      </c>
      <c r="AE56" s="79">
        <v>0</v>
      </c>
      <c r="AF56" s="91">
        <v>1</v>
      </c>
      <c r="AG56" s="79">
        <v>0</v>
      </c>
      <c r="AH56" s="78">
        <v>1999</v>
      </c>
      <c r="AI56" t="s">
        <v>62</v>
      </c>
      <c r="AJ56" t="s">
        <v>62</v>
      </c>
      <c r="AK56" t="s">
        <v>62</v>
      </c>
      <c r="AL56" s="76" t="s">
        <v>62</v>
      </c>
      <c r="AM56" s="29">
        <f t="shared" si="11"/>
        <v>0.95099999999999996</v>
      </c>
      <c r="AN56">
        <v>4.9000000000000002E-2</v>
      </c>
      <c r="AO56" s="29">
        <v>0</v>
      </c>
      <c r="AP56">
        <v>1</v>
      </c>
      <c r="AQ56" s="29">
        <v>0.61299999999999999</v>
      </c>
      <c r="AR56" s="72">
        <f t="shared" si="9"/>
        <v>0.38700000000000001</v>
      </c>
      <c r="AU56" s="29">
        <v>0.98299999999999998</v>
      </c>
      <c r="AV56" s="83">
        <f t="shared" si="10"/>
        <v>1.7000000000000015E-2</v>
      </c>
      <c r="AW56" s="83">
        <v>1</v>
      </c>
      <c r="AX56" s="83">
        <v>0</v>
      </c>
      <c r="AY56" s="83">
        <v>0</v>
      </c>
      <c r="AZ56" s="67" t="s">
        <v>399</v>
      </c>
      <c r="BN56" s="69">
        <v>42.5</v>
      </c>
      <c r="BO56">
        <v>1</v>
      </c>
      <c r="BP56">
        <v>0</v>
      </c>
      <c r="BQ56">
        <v>0</v>
      </c>
      <c r="BR56" s="76">
        <v>0</v>
      </c>
      <c r="BS56" s="76">
        <v>0</v>
      </c>
      <c r="BT56">
        <v>0</v>
      </c>
      <c r="BY56" s="29">
        <v>0</v>
      </c>
      <c r="BZ56">
        <v>0</v>
      </c>
      <c r="CA56">
        <v>0</v>
      </c>
      <c r="CB56" s="29">
        <v>0</v>
      </c>
      <c r="CC56">
        <v>0</v>
      </c>
      <c r="CD56" s="76">
        <v>0</v>
      </c>
      <c r="CE56" s="76">
        <v>0</v>
      </c>
      <c r="CF56" s="76">
        <v>0</v>
      </c>
      <c r="CG56" s="76">
        <v>0</v>
      </c>
      <c r="CH56" s="76">
        <v>0</v>
      </c>
      <c r="CI56" s="76">
        <v>0</v>
      </c>
      <c r="CJ56">
        <v>0</v>
      </c>
      <c r="CK56">
        <v>0</v>
      </c>
      <c r="CL56">
        <v>0</v>
      </c>
      <c r="CM56" s="17">
        <v>0</v>
      </c>
      <c r="CS56" t="s">
        <v>49</v>
      </c>
    </row>
    <row r="57" spans="1:97" x14ac:dyDescent="0.25">
      <c r="A57">
        <v>56</v>
      </c>
      <c r="B57">
        <v>4</v>
      </c>
      <c r="C57" t="s">
        <v>296</v>
      </c>
      <c r="D57" s="10">
        <v>7.7</v>
      </c>
      <c r="E57" s="6">
        <v>3.3</v>
      </c>
      <c r="F57" s="6">
        <f t="shared" si="4"/>
        <v>2.3333333333333335</v>
      </c>
      <c r="L57" s="91">
        <v>1</v>
      </c>
      <c r="M57" s="8">
        <v>0</v>
      </c>
      <c r="N57" s="8">
        <v>0</v>
      </c>
      <c r="O57" s="8">
        <v>0</v>
      </c>
      <c r="P57" s="8">
        <v>0</v>
      </c>
      <c r="Q57" s="91">
        <v>214</v>
      </c>
      <c r="R57" s="79">
        <v>1</v>
      </c>
      <c r="S57" s="79">
        <f t="shared" si="7"/>
        <v>212</v>
      </c>
      <c r="U57" s="79">
        <v>13.2</v>
      </c>
      <c r="V57" s="79">
        <v>11.9</v>
      </c>
      <c r="W57" s="91">
        <v>0</v>
      </c>
      <c r="X57" s="79">
        <v>1</v>
      </c>
      <c r="Y57" s="91">
        <v>1</v>
      </c>
      <c r="Z57" s="8">
        <v>0</v>
      </c>
      <c r="AA57" s="8">
        <v>0</v>
      </c>
      <c r="AB57" s="92">
        <v>0</v>
      </c>
      <c r="AC57" s="91">
        <v>0</v>
      </c>
      <c r="AD57" s="79">
        <v>1</v>
      </c>
      <c r="AE57" s="79">
        <v>0</v>
      </c>
      <c r="AF57" s="91">
        <v>1</v>
      </c>
      <c r="AG57" s="79">
        <v>0</v>
      </c>
      <c r="AH57" s="78">
        <v>1999</v>
      </c>
      <c r="AI57" t="s">
        <v>62</v>
      </c>
      <c r="AJ57" t="s">
        <v>62</v>
      </c>
      <c r="AK57" t="s">
        <v>62</v>
      </c>
      <c r="AL57" s="76" t="s">
        <v>62</v>
      </c>
      <c r="AM57" s="29">
        <f t="shared" si="11"/>
        <v>0.95099999999999996</v>
      </c>
      <c r="AN57">
        <v>4.9000000000000002E-2</v>
      </c>
      <c r="AO57" s="29">
        <v>0</v>
      </c>
      <c r="AP57">
        <v>1</v>
      </c>
      <c r="AQ57" s="29">
        <v>0.61299999999999999</v>
      </c>
      <c r="AR57" s="72">
        <f t="shared" si="9"/>
        <v>0.38700000000000001</v>
      </c>
      <c r="AU57" s="29">
        <v>0.98299999999999998</v>
      </c>
      <c r="AV57" s="83">
        <f t="shared" si="10"/>
        <v>1.7000000000000015E-2</v>
      </c>
      <c r="AW57" s="83">
        <v>1</v>
      </c>
      <c r="AX57" s="83">
        <v>0</v>
      </c>
      <c r="AY57" s="83">
        <v>0</v>
      </c>
      <c r="AZ57" s="67" t="s">
        <v>399</v>
      </c>
      <c r="BN57" s="69">
        <v>42.5</v>
      </c>
      <c r="BO57">
        <v>0</v>
      </c>
      <c r="BP57">
        <v>0</v>
      </c>
      <c r="BQ57">
        <v>0</v>
      </c>
      <c r="BR57" s="76">
        <v>0</v>
      </c>
      <c r="BS57" s="76">
        <v>0</v>
      </c>
      <c r="BT57">
        <v>1</v>
      </c>
      <c r="BY57" s="29">
        <v>1</v>
      </c>
      <c r="BZ57">
        <v>0</v>
      </c>
      <c r="CA57">
        <v>0</v>
      </c>
      <c r="CB57" s="29">
        <v>0</v>
      </c>
      <c r="CC57">
        <v>0</v>
      </c>
      <c r="CD57" s="76">
        <v>0</v>
      </c>
      <c r="CE57" s="76">
        <v>0</v>
      </c>
      <c r="CF57" s="76">
        <v>0</v>
      </c>
      <c r="CG57" s="76">
        <v>0</v>
      </c>
      <c r="CH57" s="76">
        <v>0</v>
      </c>
      <c r="CI57" s="76">
        <v>0</v>
      </c>
      <c r="CJ57">
        <v>0</v>
      </c>
      <c r="CK57">
        <v>0</v>
      </c>
      <c r="CL57">
        <v>0</v>
      </c>
      <c r="CM57" s="17">
        <v>0</v>
      </c>
      <c r="CS57" t="s">
        <v>49</v>
      </c>
    </row>
    <row r="58" spans="1:97" x14ac:dyDescent="0.25">
      <c r="A58">
        <v>57</v>
      </c>
      <c r="B58">
        <v>4</v>
      </c>
      <c r="C58" t="s">
        <v>296</v>
      </c>
      <c r="D58" s="10">
        <v>7.2</v>
      </c>
      <c r="E58" s="6">
        <v>1.1000000000000001</v>
      </c>
      <c r="F58" s="6">
        <f t="shared" si="4"/>
        <v>6.545454545454545</v>
      </c>
      <c r="L58" s="91">
        <v>1</v>
      </c>
      <c r="M58" s="8">
        <v>0</v>
      </c>
      <c r="N58" s="8">
        <v>0</v>
      </c>
      <c r="O58" s="8">
        <v>0</v>
      </c>
      <c r="P58" s="8">
        <v>0</v>
      </c>
      <c r="Q58" s="91">
        <v>374</v>
      </c>
      <c r="R58" s="79">
        <v>6</v>
      </c>
      <c r="S58" s="79">
        <f t="shared" si="7"/>
        <v>367</v>
      </c>
      <c r="U58" s="79">
        <v>13.2</v>
      </c>
      <c r="V58" s="79">
        <v>11.9</v>
      </c>
      <c r="W58" s="91">
        <v>0</v>
      </c>
      <c r="X58" s="79">
        <v>1</v>
      </c>
      <c r="Y58" s="91">
        <v>1</v>
      </c>
      <c r="Z58" s="8">
        <v>0</v>
      </c>
      <c r="AA58" s="8">
        <v>0</v>
      </c>
      <c r="AB58" s="92">
        <v>0</v>
      </c>
      <c r="AC58" s="91">
        <v>0</v>
      </c>
      <c r="AD58" s="79">
        <v>1</v>
      </c>
      <c r="AE58" s="79">
        <v>0</v>
      </c>
      <c r="AF58" s="91">
        <v>1</v>
      </c>
      <c r="AG58" s="79">
        <v>0</v>
      </c>
      <c r="AH58" s="78">
        <v>1999</v>
      </c>
      <c r="AI58" t="s">
        <v>62</v>
      </c>
      <c r="AJ58" t="s">
        <v>62</v>
      </c>
      <c r="AK58" t="s">
        <v>62</v>
      </c>
      <c r="AL58" s="76" t="s">
        <v>62</v>
      </c>
      <c r="AM58" s="29">
        <f t="shared" si="11"/>
        <v>0.95099999999999996</v>
      </c>
      <c r="AN58">
        <v>4.9000000000000002E-2</v>
      </c>
      <c r="AO58" s="29">
        <v>0</v>
      </c>
      <c r="AP58">
        <v>1</v>
      </c>
      <c r="AQ58" s="29">
        <v>0.61299999999999999</v>
      </c>
      <c r="AR58" s="72">
        <f t="shared" si="9"/>
        <v>0.38700000000000001</v>
      </c>
      <c r="AU58" s="29">
        <v>0.98299999999999998</v>
      </c>
      <c r="AV58" s="83">
        <f t="shared" si="10"/>
        <v>1.7000000000000015E-2</v>
      </c>
      <c r="AW58" s="83">
        <v>1</v>
      </c>
      <c r="AX58" s="83">
        <v>0</v>
      </c>
      <c r="AY58" s="83">
        <v>0</v>
      </c>
      <c r="AZ58" s="67" t="s">
        <v>399</v>
      </c>
      <c r="BN58" s="69">
        <v>42.5</v>
      </c>
      <c r="BO58">
        <v>1</v>
      </c>
      <c r="BP58">
        <v>0</v>
      </c>
      <c r="BQ58">
        <v>0</v>
      </c>
      <c r="BR58" s="76">
        <v>0</v>
      </c>
      <c r="BS58" s="76">
        <v>0</v>
      </c>
      <c r="BT58">
        <v>0</v>
      </c>
      <c r="BY58" s="29">
        <v>0</v>
      </c>
      <c r="BZ58">
        <v>0</v>
      </c>
      <c r="CA58">
        <v>0</v>
      </c>
      <c r="CB58" s="29">
        <v>1</v>
      </c>
      <c r="CC58">
        <v>1</v>
      </c>
      <c r="CD58" s="76">
        <v>1</v>
      </c>
      <c r="CE58" s="76">
        <v>0</v>
      </c>
      <c r="CF58" s="76">
        <v>0</v>
      </c>
      <c r="CG58" s="76">
        <v>0</v>
      </c>
      <c r="CH58">
        <v>0</v>
      </c>
      <c r="CI58">
        <v>1</v>
      </c>
      <c r="CJ58">
        <v>1</v>
      </c>
      <c r="CK58">
        <v>0</v>
      </c>
      <c r="CL58">
        <v>0</v>
      </c>
      <c r="CM58" s="17">
        <v>0</v>
      </c>
      <c r="CS58" t="s">
        <v>49</v>
      </c>
    </row>
    <row r="59" spans="1:97" x14ac:dyDescent="0.25">
      <c r="A59">
        <v>58</v>
      </c>
      <c r="B59">
        <v>4</v>
      </c>
      <c r="C59" t="s">
        <v>296</v>
      </c>
      <c r="D59" s="10">
        <v>7.9</v>
      </c>
      <c r="E59" s="6">
        <v>1.2</v>
      </c>
      <c r="F59" s="6">
        <f t="shared" si="4"/>
        <v>6.5833333333333339</v>
      </c>
      <c r="L59" s="91">
        <v>1</v>
      </c>
      <c r="M59" s="8">
        <v>0</v>
      </c>
      <c r="N59" s="8">
        <v>0</v>
      </c>
      <c r="O59" s="8">
        <v>0</v>
      </c>
      <c r="P59" s="8">
        <v>0</v>
      </c>
      <c r="Q59" s="91">
        <v>374</v>
      </c>
      <c r="R59" s="79">
        <v>6</v>
      </c>
      <c r="S59" s="79">
        <f t="shared" si="7"/>
        <v>367</v>
      </c>
      <c r="U59" s="79">
        <v>13.2</v>
      </c>
      <c r="V59" s="79">
        <v>11.9</v>
      </c>
      <c r="W59" s="91">
        <v>0</v>
      </c>
      <c r="X59" s="79">
        <v>1</v>
      </c>
      <c r="Y59" s="91">
        <v>1</v>
      </c>
      <c r="Z59" s="8">
        <v>0</v>
      </c>
      <c r="AA59" s="8">
        <v>0</v>
      </c>
      <c r="AB59" s="92">
        <v>0</v>
      </c>
      <c r="AC59" s="91">
        <v>0</v>
      </c>
      <c r="AD59" s="79">
        <v>1</v>
      </c>
      <c r="AE59" s="79">
        <v>0</v>
      </c>
      <c r="AF59" s="91">
        <v>1</v>
      </c>
      <c r="AG59" s="79">
        <v>0</v>
      </c>
      <c r="AH59" s="78">
        <v>1999</v>
      </c>
      <c r="AI59" t="s">
        <v>62</v>
      </c>
      <c r="AJ59" t="s">
        <v>62</v>
      </c>
      <c r="AK59" t="s">
        <v>62</v>
      </c>
      <c r="AL59" s="76" t="s">
        <v>62</v>
      </c>
      <c r="AM59" s="29">
        <f t="shared" si="11"/>
        <v>0.95099999999999996</v>
      </c>
      <c r="AN59">
        <v>4.9000000000000002E-2</v>
      </c>
      <c r="AO59" s="29">
        <v>0</v>
      </c>
      <c r="AP59">
        <v>1</v>
      </c>
      <c r="AQ59" s="29">
        <v>0.61299999999999999</v>
      </c>
      <c r="AR59" s="72">
        <f t="shared" si="9"/>
        <v>0.38700000000000001</v>
      </c>
      <c r="AU59" s="29">
        <v>0.98299999999999998</v>
      </c>
      <c r="AV59" s="83">
        <f t="shared" si="10"/>
        <v>1.7000000000000015E-2</v>
      </c>
      <c r="AW59" s="83">
        <v>1</v>
      </c>
      <c r="AX59" s="83">
        <v>0</v>
      </c>
      <c r="AY59" s="83">
        <v>0</v>
      </c>
      <c r="AZ59" s="67" t="s">
        <v>399</v>
      </c>
      <c r="BN59" s="69">
        <v>42.5</v>
      </c>
      <c r="BO59">
        <v>0</v>
      </c>
      <c r="BP59">
        <v>0</v>
      </c>
      <c r="BQ59">
        <v>0</v>
      </c>
      <c r="BR59" s="76">
        <v>0</v>
      </c>
      <c r="BS59" s="76">
        <v>0</v>
      </c>
      <c r="BT59">
        <v>1</v>
      </c>
      <c r="BY59" s="29">
        <v>1</v>
      </c>
      <c r="BZ59">
        <v>0</v>
      </c>
      <c r="CA59">
        <v>0</v>
      </c>
      <c r="CB59" s="29">
        <v>1</v>
      </c>
      <c r="CC59">
        <v>1</v>
      </c>
      <c r="CD59" s="76">
        <v>1</v>
      </c>
      <c r="CE59" s="76">
        <v>0</v>
      </c>
      <c r="CF59" s="76">
        <v>0</v>
      </c>
      <c r="CG59" s="76">
        <v>0</v>
      </c>
      <c r="CH59">
        <v>0</v>
      </c>
      <c r="CI59">
        <v>1</v>
      </c>
      <c r="CJ59">
        <v>1</v>
      </c>
      <c r="CK59">
        <v>0</v>
      </c>
      <c r="CL59">
        <v>0</v>
      </c>
      <c r="CM59" s="17">
        <v>0</v>
      </c>
      <c r="CS59" t="s">
        <v>49</v>
      </c>
    </row>
    <row r="60" spans="1:97" x14ac:dyDescent="0.25">
      <c r="A60">
        <v>59</v>
      </c>
      <c r="B60">
        <v>4</v>
      </c>
      <c r="C60" t="s">
        <v>296</v>
      </c>
      <c r="D60" s="10">
        <v>3.8</v>
      </c>
      <c r="E60" s="6">
        <v>2.4</v>
      </c>
      <c r="F60" s="6">
        <f t="shared" si="4"/>
        <v>1.5833333333333333</v>
      </c>
      <c r="L60" s="91">
        <v>1</v>
      </c>
      <c r="M60" s="8">
        <v>0</v>
      </c>
      <c r="N60" s="8">
        <v>0</v>
      </c>
      <c r="O60" s="8">
        <v>0</v>
      </c>
      <c r="P60" s="8">
        <v>0</v>
      </c>
      <c r="Q60" s="91">
        <v>187</v>
      </c>
      <c r="R60" s="79">
        <v>4</v>
      </c>
      <c r="S60" s="79">
        <f t="shared" si="7"/>
        <v>182</v>
      </c>
      <c r="U60" s="79">
        <v>13.2</v>
      </c>
      <c r="V60" s="79">
        <v>11.9</v>
      </c>
      <c r="W60" s="91">
        <v>0</v>
      </c>
      <c r="X60" s="79">
        <v>1</v>
      </c>
      <c r="Y60" s="91">
        <v>1</v>
      </c>
      <c r="Z60" s="8">
        <v>0</v>
      </c>
      <c r="AA60" s="8">
        <v>0</v>
      </c>
      <c r="AB60" s="92">
        <v>0</v>
      </c>
      <c r="AC60" s="91">
        <v>0</v>
      </c>
      <c r="AD60" s="79">
        <v>1</v>
      </c>
      <c r="AE60" s="79">
        <v>0</v>
      </c>
      <c r="AF60" s="91">
        <v>1</v>
      </c>
      <c r="AG60" s="79">
        <v>0</v>
      </c>
      <c r="AH60" s="78">
        <v>1999</v>
      </c>
      <c r="AI60" t="s">
        <v>62</v>
      </c>
      <c r="AJ60" t="s">
        <v>62</v>
      </c>
      <c r="AK60" t="s">
        <v>62</v>
      </c>
      <c r="AL60" s="76" t="s">
        <v>62</v>
      </c>
      <c r="AM60" s="29">
        <f t="shared" si="11"/>
        <v>0.95099999999999996</v>
      </c>
      <c r="AN60">
        <v>4.9000000000000002E-2</v>
      </c>
      <c r="AO60" s="29">
        <v>0</v>
      </c>
      <c r="AP60">
        <v>1</v>
      </c>
      <c r="AQ60" s="29">
        <v>0.61299999999999999</v>
      </c>
      <c r="AR60" s="72">
        <f t="shared" si="9"/>
        <v>0.38700000000000001</v>
      </c>
      <c r="AU60" s="29">
        <v>0.98299999999999998</v>
      </c>
      <c r="AV60" s="83">
        <f t="shared" si="10"/>
        <v>1.7000000000000015E-2</v>
      </c>
      <c r="AW60" s="83">
        <v>1</v>
      </c>
      <c r="AX60" s="83">
        <v>0</v>
      </c>
      <c r="AY60" s="83">
        <v>0</v>
      </c>
      <c r="AZ60" s="67" t="s">
        <v>399</v>
      </c>
      <c r="BN60" s="69">
        <v>42.5</v>
      </c>
      <c r="BO60">
        <v>1</v>
      </c>
      <c r="BP60">
        <v>0</v>
      </c>
      <c r="BQ60">
        <v>0</v>
      </c>
      <c r="BR60" s="76">
        <v>0</v>
      </c>
      <c r="BS60" s="76">
        <v>0</v>
      </c>
      <c r="BT60">
        <v>0</v>
      </c>
      <c r="BY60" s="29">
        <v>0</v>
      </c>
      <c r="BZ60">
        <v>0</v>
      </c>
      <c r="CA60">
        <v>0</v>
      </c>
      <c r="CB60" s="29">
        <v>0</v>
      </c>
      <c r="CC60">
        <v>0</v>
      </c>
      <c r="CD60" s="76">
        <v>1</v>
      </c>
      <c r="CE60" s="76">
        <v>0</v>
      </c>
      <c r="CF60" s="76">
        <v>0</v>
      </c>
      <c r="CG60" s="76">
        <v>0</v>
      </c>
      <c r="CH60">
        <v>0</v>
      </c>
      <c r="CI60">
        <v>1</v>
      </c>
      <c r="CJ60">
        <v>1</v>
      </c>
      <c r="CK60">
        <v>0</v>
      </c>
      <c r="CL60">
        <v>0</v>
      </c>
      <c r="CM60" s="17">
        <v>0</v>
      </c>
      <c r="CS60" t="s">
        <v>49</v>
      </c>
    </row>
    <row r="61" spans="1:97" x14ac:dyDescent="0.25">
      <c r="A61">
        <v>60</v>
      </c>
      <c r="B61">
        <v>4</v>
      </c>
      <c r="C61" t="s">
        <v>296</v>
      </c>
      <c r="D61" s="10">
        <v>7.9</v>
      </c>
      <c r="E61" s="6">
        <v>3.6</v>
      </c>
      <c r="F61" s="6">
        <f t="shared" si="4"/>
        <v>2.1944444444444446</v>
      </c>
      <c r="L61" s="91">
        <v>1</v>
      </c>
      <c r="M61" s="8">
        <v>0</v>
      </c>
      <c r="N61" s="8">
        <v>0</v>
      </c>
      <c r="O61" s="8">
        <v>0</v>
      </c>
      <c r="P61" s="8">
        <v>0</v>
      </c>
      <c r="Q61" s="91">
        <v>187</v>
      </c>
      <c r="R61" s="79">
        <v>4</v>
      </c>
      <c r="S61" s="79">
        <f t="shared" si="7"/>
        <v>182</v>
      </c>
      <c r="U61" s="79">
        <v>13.2</v>
      </c>
      <c r="V61" s="79">
        <v>11.9</v>
      </c>
      <c r="W61" s="91">
        <v>0</v>
      </c>
      <c r="X61" s="79">
        <v>1</v>
      </c>
      <c r="Y61" s="91">
        <v>1</v>
      </c>
      <c r="Z61" s="8">
        <v>0</v>
      </c>
      <c r="AA61" s="8">
        <v>0</v>
      </c>
      <c r="AB61" s="92">
        <v>0</v>
      </c>
      <c r="AC61" s="91">
        <v>0</v>
      </c>
      <c r="AD61" s="79">
        <v>1</v>
      </c>
      <c r="AE61" s="79">
        <v>0</v>
      </c>
      <c r="AF61" s="91">
        <v>1</v>
      </c>
      <c r="AG61" s="79">
        <v>0</v>
      </c>
      <c r="AH61" s="78">
        <v>1999</v>
      </c>
      <c r="AI61" t="s">
        <v>62</v>
      </c>
      <c r="AJ61" t="s">
        <v>62</v>
      </c>
      <c r="AK61" t="s">
        <v>62</v>
      </c>
      <c r="AL61" s="76" t="s">
        <v>62</v>
      </c>
      <c r="AM61" s="29">
        <f t="shared" si="11"/>
        <v>0.95099999999999996</v>
      </c>
      <c r="AN61">
        <v>4.9000000000000002E-2</v>
      </c>
      <c r="AO61" s="29">
        <v>0</v>
      </c>
      <c r="AP61">
        <v>1</v>
      </c>
      <c r="AQ61" s="29">
        <v>0.61299999999999999</v>
      </c>
      <c r="AR61" s="72">
        <f t="shared" si="9"/>
        <v>0.38700000000000001</v>
      </c>
      <c r="AU61" s="29">
        <v>0.98299999999999998</v>
      </c>
      <c r="AV61" s="83">
        <f t="shared" si="10"/>
        <v>1.7000000000000015E-2</v>
      </c>
      <c r="AW61" s="83">
        <v>1</v>
      </c>
      <c r="AX61" s="83">
        <v>0</v>
      </c>
      <c r="AY61" s="83">
        <v>0</v>
      </c>
      <c r="AZ61" s="67" t="s">
        <v>399</v>
      </c>
      <c r="BN61" s="69">
        <v>42.5</v>
      </c>
      <c r="BO61">
        <v>0</v>
      </c>
      <c r="BP61">
        <v>0</v>
      </c>
      <c r="BQ61">
        <v>0</v>
      </c>
      <c r="BR61" s="76">
        <v>0</v>
      </c>
      <c r="BS61" s="76">
        <v>0</v>
      </c>
      <c r="BT61">
        <v>1</v>
      </c>
      <c r="BY61" s="29">
        <v>1</v>
      </c>
      <c r="BZ61">
        <v>0</v>
      </c>
      <c r="CA61">
        <v>0</v>
      </c>
      <c r="CB61" s="29">
        <v>0</v>
      </c>
      <c r="CC61">
        <v>0</v>
      </c>
      <c r="CD61" s="76">
        <v>1</v>
      </c>
      <c r="CE61" s="76">
        <v>0</v>
      </c>
      <c r="CF61" s="76">
        <v>0</v>
      </c>
      <c r="CG61" s="76">
        <v>0</v>
      </c>
      <c r="CH61">
        <v>0</v>
      </c>
      <c r="CI61">
        <v>1</v>
      </c>
      <c r="CJ61">
        <v>1</v>
      </c>
      <c r="CK61">
        <v>0</v>
      </c>
      <c r="CL61">
        <v>0</v>
      </c>
      <c r="CM61" s="17">
        <v>0</v>
      </c>
      <c r="CS61" t="s">
        <v>49</v>
      </c>
    </row>
    <row r="62" spans="1:97" x14ac:dyDescent="0.25">
      <c r="A62">
        <v>61</v>
      </c>
      <c r="B62">
        <v>4</v>
      </c>
      <c r="C62" t="s">
        <v>296</v>
      </c>
      <c r="D62" s="10">
        <v>7.7</v>
      </c>
      <c r="E62" s="6">
        <v>1.1000000000000001</v>
      </c>
      <c r="F62" s="6">
        <f t="shared" si="4"/>
        <v>7</v>
      </c>
      <c r="L62" s="91">
        <v>1</v>
      </c>
      <c r="M62" s="8">
        <v>0</v>
      </c>
      <c r="N62" s="8">
        <v>0</v>
      </c>
      <c r="O62" s="8">
        <v>0</v>
      </c>
      <c r="P62" s="8">
        <v>0</v>
      </c>
      <c r="Q62" s="91">
        <v>428</v>
      </c>
      <c r="R62" s="79">
        <v>3</v>
      </c>
      <c r="S62" s="79">
        <f t="shared" si="7"/>
        <v>424</v>
      </c>
      <c r="U62" s="79">
        <v>13.2</v>
      </c>
      <c r="V62" s="79">
        <v>11.9</v>
      </c>
      <c r="W62" s="91">
        <v>0</v>
      </c>
      <c r="X62" s="79">
        <v>1</v>
      </c>
      <c r="Y62" s="91">
        <v>1</v>
      </c>
      <c r="Z62" s="8">
        <v>0</v>
      </c>
      <c r="AA62" s="8">
        <v>0</v>
      </c>
      <c r="AB62" s="92">
        <v>0</v>
      </c>
      <c r="AC62" s="91">
        <v>0</v>
      </c>
      <c r="AD62" s="79">
        <v>1</v>
      </c>
      <c r="AE62" s="79">
        <v>0</v>
      </c>
      <c r="AF62" s="91">
        <v>1</v>
      </c>
      <c r="AG62" s="79">
        <v>0</v>
      </c>
      <c r="AH62" s="78">
        <v>1999</v>
      </c>
      <c r="AI62" t="s">
        <v>62</v>
      </c>
      <c r="AJ62" t="s">
        <v>62</v>
      </c>
      <c r="AK62" t="s">
        <v>62</v>
      </c>
      <c r="AL62" s="76" t="s">
        <v>62</v>
      </c>
      <c r="AM62" s="29">
        <f t="shared" si="11"/>
        <v>0.95099999999999996</v>
      </c>
      <c r="AN62">
        <v>4.9000000000000002E-2</v>
      </c>
      <c r="AO62" s="29">
        <v>0</v>
      </c>
      <c r="AP62">
        <v>1</v>
      </c>
      <c r="AQ62" s="29">
        <v>0.61299999999999999</v>
      </c>
      <c r="AR62" s="72">
        <f t="shared" si="9"/>
        <v>0.38700000000000001</v>
      </c>
      <c r="AU62" s="29">
        <v>0.98299999999999998</v>
      </c>
      <c r="AV62" s="83">
        <f t="shared" si="10"/>
        <v>1.7000000000000015E-2</v>
      </c>
      <c r="AW62" s="83">
        <v>1</v>
      </c>
      <c r="AX62" s="83">
        <v>0</v>
      </c>
      <c r="AY62" s="83">
        <v>0</v>
      </c>
      <c r="AZ62" s="67" t="s">
        <v>399</v>
      </c>
      <c r="BN62" s="69">
        <v>42.5</v>
      </c>
      <c r="BO62">
        <v>1</v>
      </c>
      <c r="BP62">
        <v>0</v>
      </c>
      <c r="BQ62">
        <v>0</v>
      </c>
      <c r="BR62" s="76">
        <v>0</v>
      </c>
      <c r="BS62" s="76">
        <v>0</v>
      </c>
      <c r="BT62">
        <v>0</v>
      </c>
      <c r="BY62" s="29">
        <v>0</v>
      </c>
      <c r="BZ62">
        <v>0</v>
      </c>
      <c r="CA62">
        <v>0</v>
      </c>
      <c r="CB62" s="29">
        <v>1</v>
      </c>
      <c r="CC62">
        <v>1</v>
      </c>
      <c r="CD62" s="76">
        <v>0</v>
      </c>
      <c r="CE62" s="76">
        <v>0</v>
      </c>
      <c r="CF62" s="76">
        <v>0</v>
      </c>
      <c r="CG62" s="76">
        <v>0</v>
      </c>
      <c r="CH62">
        <v>0</v>
      </c>
      <c r="CI62" s="76">
        <v>0</v>
      </c>
      <c r="CJ62" s="76">
        <v>0</v>
      </c>
      <c r="CK62">
        <v>0</v>
      </c>
      <c r="CL62">
        <v>0</v>
      </c>
      <c r="CM62" s="17">
        <v>0</v>
      </c>
      <c r="CS62" t="s">
        <v>49</v>
      </c>
    </row>
    <row r="63" spans="1:97" x14ac:dyDescent="0.25">
      <c r="A63">
        <v>62</v>
      </c>
      <c r="B63">
        <v>4</v>
      </c>
      <c r="C63" t="s">
        <v>296</v>
      </c>
      <c r="D63" s="10">
        <v>1.1000000000000001</v>
      </c>
      <c r="E63" s="6">
        <v>4.4000000000000004</v>
      </c>
      <c r="F63" s="6">
        <f t="shared" si="4"/>
        <v>0.25</v>
      </c>
      <c r="L63" s="91">
        <v>1</v>
      </c>
      <c r="M63" s="8">
        <v>0</v>
      </c>
      <c r="N63" s="8">
        <v>0</v>
      </c>
      <c r="O63" s="8">
        <v>0</v>
      </c>
      <c r="P63" s="8">
        <v>0</v>
      </c>
      <c r="Q63" s="91">
        <v>428</v>
      </c>
      <c r="R63" s="79">
        <v>3</v>
      </c>
      <c r="S63" s="79">
        <f t="shared" si="7"/>
        <v>424</v>
      </c>
      <c r="U63" s="79">
        <v>13.2</v>
      </c>
      <c r="V63" s="79">
        <v>11.9</v>
      </c>
      <c r="W63" s="91">
        <v>0</v>
      </c>
      <c r="X63" s="79">
        <v>1</v>
      </c>
      <c r="Y63" s="91">
        <v>1</v>
      </c>
      <c r="Z63" s="8">
        <v>0</v>
      </c>
      <c r="AA63" s="8">
        <v>0</v>
      </c>
      <c r="AB63" s="92">
        <v>0</v>
      </c>
      <c r="AC63" s="91">
        <v>0</v>
      </c>
      <c r="AD63" s="79">
        <v>1</v>
      </c>
      <c r="AE63" s="79">
        <v>0</v>
      </c>
      <c r="AF63" s="91">
        <v>1</v>
      </c>
      <c r="AG63" s="79">
        <v>0</v>
      </c>
      <c r="AH63" s="78">
        <v>1999</v>
      </c>
      <c r="AI63" t="s">
        <v>62</v>
      </c>
      <c r="AJ63" t="s">
        <v>62</v>
      </c>
      <c r="AK63" t="s">
        <v>62</v>
      </c>
      <c r="AL63" s="76" t="s">
        <v>62</v>
      </c>
      <c r="AM63" s="29">
        <f t="shared" si="11"/>
        <v>0.95099999999999996</v>
      </c>
      <c r="AN63">
        <v>4.9000000000000002E-2</v>
      </c>
      <c r="AO63" s="29">
        <v>0</v>
      </c>
      <c r="AP63">
        <v>1</v>
      </c>
      <c r="AQ63" s="29">
        <v>0.61299999999999999</v>
      </c>
      <c r="AR63" s="72">
        <f t="shared" si="9"/>
        <v>0.38700000000000001</v>
      </c>
      <c r="AU63" s="29">
        <v>0.98299999999999998</v>
      </c>
      <c r="AV63" s="83">
        <f t="shared" si="10"/>
        <v>1.7000000000000015E-2</v>
      </c>
      <c r="AW63" s="83">
        <v>1</v>
      </c>
      <c r="AX63" s="83">
        <v>0</v>
      </c>
      <c r="AY63" s="83">
        <v>0</v>
      </c>
      <c r="AZ63" s="67" t="s">
        <v>399</v>
      </c>
      <c r="BN63" s="69">
        <v>42.5</v>
      </c>
      <c r="BO63">
        <v>0</v>
      </c>
      <c r="BP63">
        <v>0</v>
      </c>
      <c r="BQ63">
        <v>0</v>
      </c>
      <c r="BR63" s="76">
        <v>0</v>
      </c>
      <c r="BS63" s="76">
        <v>0</v>
      </c>
      <c r="BT63">
        <v>1</v>
      </c>
      <c r="BY63" s="29">
        <v>0</v>
      </c>
      <c r="BZ63">
        <v>0</v>
      </c>
      <c r="CA63">
        <v>1</v>
      </c>
      <c r="CB63" s="29">
        <v>1</v>
      </c>
      <c r="CC63">
        <v>1</v>
      </c>
      <c r="CD63" s="76">
        <v>0</v>
      </c>
      <c r="CE63" s="76">
        <v>0</v>
      </c>
      <c r="CF63" s="76">
        <v>0</v>
      </c>
      <c r="CG63" s="76">
        <v>0</v>
      </c>
      <c r="CH63">
        <v>0</v>
      </c>
      <c r="CI63" s="76">
        <v>0</v>
      </c>
      <c r="CJ63" s="76">
        <v>0</v>
      </c>
      <c r="CK63">
        <v>0</v>
      </c>
      <c r="CL63">
        <v>0</v>
      </c>
      <c r="CM63" s="17">
        <v>0</v>
      </c>
      <c r="CS63" t="s">
        <v>49</v>
      </c>
    </row>
    <row r="64" spans="1:97" x14ac:dyDescent="0.25">
      <c r="A64">
        <v>63</v>
      </c>
      <c r="B64">
        <v>4</v>
      </c>
      <c r="C64" t="s">
        <v>296</v>
      </c>
      <c r="D64" s="10">
        <v>10.4</v>
      </c>
      <c r="E64" s="6">
        <v>4.5</v>
      </c>
      <c r="F64" s="6">
        <f t="shared" si="4"/>
        <v>2.3111111111111113</v>
      </c>
      <c r="L64" s="91">
        <v>1</v>
      </c>
      <c r="M64" s="8">
        <v>0</v>
      </c>
      <c r="N64" s="8">
        <v>0</v>
      </c>
      <c r="O64" s="8">
        <v>0</v>
      </c>
      <c r="P64" s="8">
        <v>0</v>
      </c>
      <c r="Q64" s="91">
        <v>428</v>
      </c>
      <c r="R64" s="79">
        <v>3</v>
      </c>
      <c r="S64" s="79">
        <f t="shared" si="7"/>
        <v>424</v>
      </c>
      <c r="U64" s="79">
        <v>13.2</v>
      </c>
      <c r="V64" s="79">
        <v>11.9</v>
      </c>
      <c r="W64" s="91">
        <v>0</v>
      </c>
      <c r="X64" s="79">
        <v>1</v>
      </c>
      <c r="Y64" s="91">
        <v>1</v>
      </c>
      <c r="Z64" s="8">
        <v>0</v>
      </c>
      <c r="AA64" s="8">
        <v>0</v>
      </c>
      <c r="AB64" s="92">
        <v>0</v>
      </c>
      <c r="AC64" s="91">
        <v>0</v>
      </c>
      <c r="AD64" s="79">
        <v>1</v>
      </c>
      <c r="AE64" s="79">
        <v>0</v>
      </c>
      <c r="AF64" s="91">
        <v>1</v>
      </c>
      <c r="AG64" s="79">
        <v>0</v>
      </c>
      <c r="AH64" s="78">
        <v>1999</v>
      </c>
      <c r="AI64" t="s">
        <v>62</v>
      </c>
      <c r="AJ64" t="s">
        <v>62</v>
      </c>
      <c r="AK64" t="s">
        <v>62</v>
      </c>
      <c r="AL64" s="76" t="s">
        <v>62</v>
      </c>
      <c r="AM64" s="29">
        <f t="shared" si="11"/>
        <v>0.95099999999999996</v>
      </c>
      <c r="AN64">
        <v>4.9000000000000002E-2</v>
      </c>
      <c r="AO64" s="29">
        <v>0</v>
      </c>
      <c r="AP64">
        <v>1</v>
      </c>
      <c r="AQ64" s="29">
        <v>0.61299999999999999</v>
      </c>
      <c r="AR64" s="72">
        <f t="shared" si="9"/>
        <v>0.38700000000000001</v>
      </c>
      <c r="AU64" s="29">
        <v>0.98299999999999998</v>
      </c>
      <c r="AV64" s="83">
        <f t="shared" si="10"/>
        <v>1.7000000000000015E-2</v>
      </c>
      <c r="AW64" s="83">
        <v>1</v>
      </c>
      <c r="AX64" s="83">
        <v>0</v>
      </c>
      <c r="AY64" s="83">
        <v>0</v>
      </c>
      <c r="AZ64" s="67" t="s">
        <v>399</v>
      </c>
      <c r="BN64" s="69">
        <v>42.5</v>
      </c>
      <c r="BO64">
        <v>0</v>
      </c>
      <c r="BP64">
        <v>0</v>
      </c>
      <c r="BQ64">
        <v>0</v>
      </c>
      <c r="BR64" s="76">
        <v>0</v>
      </c>
      <c r="BS64" s="76">
        <v>0</v>
      </c>
      <c r="BT64">
        <v>1</v>
      </c>
      <c r="BY64" s="29">
        <v>0</v>
      </c>
      <c r="BZ64">
        <v>0</v>
      </c>
      <c r="CA64">
        <v>1</v>
      </c>
      <c r="CB64" s="29">
        <v>1</v>
      </c>
      <c r="CC64">
        <v>1</v>
      </c>
      <c r="CD64" s="76">
        <v>0</v>
      </c>
      <c r="CE64" s="76">
        <v>0</v>
      </c>
      <c r="CF64" s="76">
        <v>0</v>
      </c>
      <c r="CG64" s="76">
        <v>0</v>
      </c>
      <c r="CH64">
        <v>0</v>
      </c>
      <c r="CI64" s="76">
        <v>0</v>
      </c>
      <c r="CJ64" s="76">
        <v>0</v>
      </c>
      <c r="CK64">
        <v>0</v>
      </c>
      <c r="CL64">
        <v>0</v>
      </c>
      <c r="CM64" s="17">
        <v>0</v>
      </c>
      <c r="CS64" t="s">
        <v>49</v>
      </c>
    </row>
    <row r="65" spans="1:97" x14ac:dyDescent="0.25">
      <c r="A65">
        <v>64</v>
      </c>
      <c r="B65">
        <v>5</v>
      </c>
      <c r="C65" t="s">
        <v>302</v>
      </c>
      <c r="D65" s="10">
        <v>6.6</v>
      </c>
      <c r="E65" s="6">
        <v>0.4</v>
      </c>
      <c r="F65" s="6">
        <f t="shared" si="4"/>
        <v>16.499999999999996</v>
      </c>
      <c r="L65" s="91">
        <v>0</v>
      </c>
      <c r="M65" s="79">
        <v>0</v>
      </c>
      <c r="N65" s="79">
        <v>1</v>
      </c>
      <c r="O65" s="79">
        <v>0</v>
      </c>
      <c r="P65" s="79">
        <v>0</v>
      </c>
      <c r="Q65" s="91">
        <v>2253</v>
      </c>
      <c r="R65" s="79">
        <v>4</v>
      </c>
      <c r="S65" s="79">
        <f t="shared" si="7"/>
        <v>2248</v>
      </c>
      <c r="U65" s="79">
        <v>12.16</v>
      </c>
      <c r="V65" s="79">
        <v>14.03</v>
      </c>
      <c r="W65" s="91">
        <v>1</v>
      </c>
      <c r="X65" s="79">
        <v>0</v>
      </c>
      <c r="Y65" s="91">
        <v>0</v>
      </c>
      <c r="Z65" s="79">
        <v>0</v>
      </c>
      <c r="AA65" s="79">
        <v>1</v>
      </c>
      <c r="AB65" s="79">
        <v>0</v>
      </c>
      <c r="AC65" s="91">
        <v>0</v>
      </c>
      <c r="AD65" s="79">
        <v>1</v>
      </c>
      <c r="AE65" s="79">
        <v>0</v>
      </c>
      <c r="AF65" s="91">
        <v>1</v>
      </c>
      <c r="AG65" s="79">
        <v>0</v>
      </c>
      <c r="AH65" s="78">
        <v>2002</v>
      </c>
      <c r="AI65">
        <f>(1-SUM($AK65:$AL65))/2</f>
        <v>0.14000000000000001</v>
      </c>
      <c r="AJ65">
        <f>(1-SUM($AK65:$AL65))/2</f>
        <v>0.14000000000000001</v>
      </c>
      <c r="AK65">
        <v>0.6</v>
      </c>
      <c r="AL65">
        <v>0.12</v>
      </c>
      <c r="AM65" s="29" t="s">
        <v>62</v>
      </c>
      <c r="AN65" t="s">
        <v>62</v>
      </c>
      <c r="AO65" s="29">
        <v>0.59</v>
      </c>
      <c r="AP65">
        <f>1-AO65</f>
        <v>0.41000000000000003</v>
      </c>
      <c r="AQ65" s="29">
        <v>0</v>
      </c>
      <c r="AR65" s="72">
        <f t="shared" si="9"/>
        <v>1</v>
      </c>
      <c r="AU65" s="29">
        <v>0.64</v>
      </c>
      <c r="AV65" s="83">
        <f>1-AU65</f>
        <v>0.36</v>
      </c>
      <c r="AW65" s="83">
        <f>1-AY65</f>
        <v>0.43330000000000002</v>
      </c>
      <c r="AX65" s="83">
        <v>0</v>
      </c>
      <c r="AY65" s="83">
        <v>0.56669999999999998</v>
      </c>
      <c r="AZ65" s="67" t="s">
        <v>408</v>
      </c>
      <c r="BN65" s="69">
        <v>33.770000000000003</v>
      </c>
      <c r="BO65">
        <v>1</v>
      </c>
      <c r="BP65">
        <v>0</v>
      </c>
      <c r="BQ65">
        <v>0</v>
      </c>
      <c r="BR65" s="76">
        <v>0</v>
      </c>
      <c r="BS65" s="76">
        <v>0</v>
      </c>
      <c r="BT65" s="76">
        <v>0</v>
      </c>
      <c r="BY65" s="29">
        <v>0</v>
      </c>
      <c r="BZ65">
        <v>0</v>
      </c>
      <c r="CA65">
        <v>0</v>
      </c>
      <c r="CB65" s="29">
        <v>1</v>
      </c>
      <c r="CC65">
        <v>1</v>
      </c>
      <c r="CD65" s="76">
        <v>0</v>
      </c>
      <c r="CE65" s="76">
        <v>0</v>
      </c>
      <c r="CF65" s="76">
        <v>0</v>
      </c>
      <c r="CG65" s="76">
        <v>0</v>
      </c>
      <c r="CH65">
        <v>1</v>
      </c>
      <c r="CI65">
        <v>0</v>
      </c>
      <c r="CJ65" s="76">
        <v>0</v>
      </c>
      <c r="CK65">
        <v>0</v>
      </c>
      <c r="CL65">
        <v>0</v>
      </c>
      <c r="CM65" s="17">
        <v>0</v>
      </c>
      <c r="CS65" t="s">
        <v>49</v>
      </c>
    </row>
    <row r="66" spans="1:97" x14ac:dyDescent="0.25">
      <c r="A66">
        <v>65</v>
      </c>
      <c r="B66">
        <v>5</v>
      </c>
      <c r="C66" t="s">
        <v>302</v>
      </c>
      <c r="D66" s="10">
        <v>6.6</v>
      </c>
      <c r="E66" s="6">
        <v>0.4</v>
      </c>
      <c r="F66" s="6">
        <f t="shared" si="4"/>
        <v>16.499999999999996</v>
      </c>
      <c r="L66" s="91">
        <v>0</v>
      </c>
      <c r="M66" s="79">
        <v>0</v>
      </c>
      <c r="N66" s="79">
        <v>1</v>
      </c>
      <c r="O66" s="79">
        <v>0</v>
      </c>
      <c r="P66" s="79">
        <v>0</v>
      </c>
      <c r="Q66" s="91">
        <v>2253</v>
      </c>
      <c r="R66" s="79">
        <v>6</v>
      </c>
      <c r="S66" s="79">
        <f t="shared" si="7"/>
        <v>2246</v>
      </c>
      <c r="U66" s="79">
        <v>12.16</v>
      </c>
      <c r="V66" s="79">
        <v>14.03</v>
      </c>
      <c r="W66" s="91">
        <v>1</v>
      </c>
      <c r="X66" s="79">
        <v>0</v>
      </c>
      <c r="Y66" s="91">
        <v>0</v>
      </c>
      <c r="Z66" s="79">
        <v>0</v>
      </c>
      <c r="AA66" s="79">
        <v>1</v>
      </c>
      <c r="AB66" s="79">
        <v>0</v>
      </c>
      <c r="AC66" s="91">
        <v>0</v>
      </c>
      <c r="AD66" s="79">
        <v>1</v>
      </c>
      <c r="AE66" s="79">
        <v>0</v>
      </c>
      <c r="AF66" s="91">
        <v>1</v>
      </c>
      <c r="AG66" s="79">
        <v>0</v>
      </c>
      <c r="AH66" s="78">
        <v>2002</v>
      </c>
      <c r="AI66">
        <f t="shared" ref="AI66:AJ80" si="12">(1-SUM($AK66:$AL66))/2</f>
        <v>0.14000000000000001</v>
      </c>
      <c r="AJ66">
        <f t="shared" si="12"/>
        <v>0.14000000000000001</v>
      </c>
      <c r="AK66">
        <v>0.6</v>
      </c>
      <c r="AL66">
        <v>0.12</v>
      </c>
      <c r="AM66" s="29" t="s">
        <v>62</v>
      </c>
      <c r="AN66" t="s">
        <v>62</v>
      </c>
      <c r="AO66" s="29">
        <v>0.59</v>
      </c>
      <c r="AP66">
        <f t="shared" ref="AP66:AP82" si="13">1-AO66</f>
        <v>0.41000000000000003</v>
      </c>
      <c r="AQ66" s="29">
        <v>0</v>
      </c>
      <c r="AR66" s="72">
        <f t="shared" si="9"/>
        <v>1</v>
      </c>
      <c r="AU66" s="29">
        <v>0.64</v>
      </c>
      <c r="AV66" s="83">
        <f t="shared" ref="AV66:AV95" si="14">1-AU66</f>
        <v>0.36</v>
      </c>
      <c r="AW66" s="83">
        <f>1-AY66</f>
        <v>0.43330000000000002</v>
      </c>
      <c r="AX66" s="83">
        <v>0</v>
      </c>
      <c r="AY66" s="83">
        <v>0.56669999999999998</v>
      </c>
      <c r="AZ66" s="67" t="s">
        <v>408</v>
      </c>
      <c r="BN66" s="69">
        <v>33.770000000000003</v>
      </c>
      <c r="BO66">
        <v>1</v>
      </c>
      <c r="BP66">
        <v>0</v>
      </c>
      <c r="BQ66">
        <v>0</v>
      </c>
      <c r="BR66" s="76">
        <v>0</v>
      </c>
      <c r="BS66" s="76">
        <v>0</v>
      </c>
      <c r="BT66" s="76">
        <v>0</v>
      </c>
      <c r="BY66" s="29">
        <v>0</v>
      </c>
      <c r="BZ66">
        <v>0</v>
      </c>
      <c r="CA66">
        <v>0</v>
      </c>
      <c r="CB66" s="29">
        <v>1</v>
      </c>
      <c r="CC66">
        <v>1</v>
      </c>
      <c r="CD66" s="76">
        <v>1</v>
      </c>
      <c r="CE66" s="76">
        <v>0</v>
      </c>
      <c r="CF66" s="76">
        <v>0</v>
      </c>
      <c r="CG66" s="76">
        <v>0</v>
      </c>
      <c r="CH66">
        <v>1</v>
      </c>
      <c r="CI66">
        <v>1</v>
      </c>
      <c r="CJ66" s="76">
        <v>0</v>
      </c>
      <c r="CK66">
        <v>0</v>
      </c>
      <c r="CL66">
        <v>0</v>
      </c>
      <c r="CM66" s="17">
        <v>0</v>
      </c>
      <c r="CS66" t="s">
        <v>49</v>
      </c>
    </row>
    <row r="67" spans="1:97" x14ac:dyDescent="0.25">
      <c r="A67">
        <v>66</v>
      </c>
      <c r="B67">
        <v>5</v>
      </c>
      <c r="C67" t="s">
        <v>302</v>
      </c>
      <c r="D67" s="10">
        <v>8.3000000000000007</v>
      </c>
      <c r="E67" s="6">
        <v>0.6</v>
      </c>
      <c r="F67" s="6">
        <f t="shared" si="4"/>
        <v>13.833333333333336</v>
      </c>
      <c r="L67" s="91">
        <v>0</v>
      </c>
      <c r="M67" s="79">
        <v>0</v>
      </c>
      <c r="N67" s="79">
        <v>1</v>
      </c>
      <c r="O67" s="79">
        <v>0</v>
      </c>
      <c r="P67" s="79">
        <v>0</v>
      </c>
      <c r="Q67" s="91">
        <v>976</v>
      </c>
      <c r="R67" s="79">
        <v>4</v>
      </c>
      <c r="S67" s="79">
        <f t="shared" si="7"/>
        <v>971</v>
      </c>
      <c r="U67" s="79">
        <v>12.16</v>
      </c>
      <c r="V67" s="79">
        <v>14.03</v>
      </c>
      <c r="W67" s="91">
        <v>1</v>
      </c>
      <c r="X67" s="79">
        <v>0</v>
      </c>
      <c r="Y67" s="91">
        <v>0</v>
      </c>
      <c r="Z67" s="79">
        <v>0</v>
      </c>
      <c r="AA67" s="79">
        <v>1</v>
      </c>
      <c r="AB67" s="79">
        <v>0</v>
      </c>
      <c r="AC67" s="91">
        <v>0</v>
      </c>
      <c r="AD67" s="79">
        <v>1</v>
      </c>
      <c r="AE67" s="79">
        <v>0</v>
      </c>
      <c r="AF67" s="91">
        <v>1</v>
      </c>
      <c r="AG67" s="79">
        <v>0</v>
      </c>
      <c r="AH67" s="78">
        <v>2002</v>
      </c>
      <c r="AI67">
        <f t="shared" si="12"/>
        <v>0.14000000000000001</v>
      </c>
      <c r="AJ67">
        <f t="shared" si="12"/>
        <v>0.14000000000000001</v>
      </c>
      <c r="AK67">
        <v>0.6</v>
      </c>
      <c r="AL67">
        <v>0.12</v>
      </c>
      <c r="AM67" s="29" t="s">
        <v>62</v>
      </c>
      <c r="AN67" t="s">
        <v>62</v>
      </c>
      <c r="AO67" s="29">
        <v>0.59</v>
      </c>
      <c r="AP67">
        <f t="shared" si="13"/>
        <v>0.41000000000000003</v>
      </c>
      <c r="AQ67" s="29">
        <v>0</v>
      </c>
      <c r="AR67" s="72">
        <f t="shared" si="9"/>
        <v>1</v>
      </c>
      <c r="AU67" s="29">
        <v>0.64</v>
      </c>
      <c r="AV67" s="83">
        <f t="shared" si="14"/>
        <v>0.36</v>
      </c>
      <c r="AW67" s="83">
        <v>1</v>
      </c>
      <c r="AX67" s="83">
        <v>0</v>
      </c>
      <c r="AY67" s="83">
        <v>0</v>
      </c>
      <c r="AZ67" s="67" t="s">
        <v>408</v>
      </c>
      <c r="BN67" s="69">
        <v>33.770000000000003</v>
      </c>
      <c r="BO67">
        <v>1</v>
      </c>
      <c r="BP67">
        <v>0</v>
      </c>
      <c r="BQ67">
        <v>0</v>
      </c>
      <c r="BR67" s="76">
        <v>0</v>
      </c>
      <c r="BS67" s="76">
        <v>0</v>
      </c>
      <c r="BT67" s="76">
        <v>0</v>
      </c>
      <c r="BY67" s="29">
        <v>0</v>
      </c>
      <c r="BZ67">
        <v>0</v>
      </c>
      <c r="CA67">
        <v>0</v>
      </c>
      <c r="CB67" s="29">
        <v>1</v>
      </c>
      <c r="CC67">
        <v>1</v>
      </c>
      <c r="CD67" s="76">
        <v>0</v>
      </c>
      <c r="CE67" s="76">
        <v>0</v>
      </c>
      <c r="CF67" s="76">
        <v>0</v>
      </c>
      <c r="CG67" s="76">
        <v>0</v>
      </c>
      <c r="CH67">
        <v>1</v>
      </c>
      <c r="CI67">
        <v>0</v>
      </c>
      <c r="CJ67" s="76">
        <v>0</v>
      </c>
      <c r="CK67">
        <v>0</v>
      </c>
      <c r="CL67">
        <v>0</v>
      </c>
      <c r="CM67" s="17">
        <v>0</v>
      </c>
      <c r="CS67" t="s">
        <v>49</v>
      </c>
    </row>
    <row r="68" spans="1:97" x14ac:dyDescent="0.25">
      <c r="A68">
        <v>67</v>
      </c>
      <c r="B68">
        <v>5</v>
      </c>
      <c r="C68" t="s">
        <v>302</v>
      </c>
      <c r="D68" s="10">
        <v>8.4</v>
      </c>
      <c r="E68" s="6">
        <v>0.6</v>
      </c>
      <c r="F68" s="6">
        <f t="shared" si="4"/>
        <v>14.000000000000002</v>
      </c>
      <c r="L68" s="91">
        <v>0</v>
      </c>
      <c r="M68" s="79">
        <v>0</v>
      </c>
      <c r="N68" s="79">
        <v>1</v>
      </c>
      <c r="O68" s="79">
        <v>0</v>
      </c>
      <c r="P68" s="79">
        <v>0</v>
      </c>
      <c r="Q68" s="91">
        <v>976</v>
      </c>
      <c r="R68" s="79">
        <v>6</v>
      </c>
      <c r="S68" s="79">
        <f t="shared" si="7"/>
        <v>969</v>
      </c>
      <c r="U68" s="79">
        <v>12.16</v>
      </c>
      <c r="V68" s="79">
        <v>14.03</v>
      </c>
      <c r="W68" s="91">
        <v>1</v>
      </c>
      <c r="X68" s="79">
        <v>0</v>
      </c>
      <c r="Y68" s="91">
        <v>0</v>
      </c>
      <c r="Z68" s="79">
        <v>0</v>
      </c>
      <c r="AA68" s="79">
        <v>1</v>
      </c>
      <c r="AB68" s="79">
        <v>0</v>
      </c>
      <c r="AC68" s="91">
        <v>0</v>
      </c>
      <c r="AD68" s="79">
        <v>1</v>
      </c>
      <c r="AE68" s="79">
        <v>0</v>
      </c>
      <c r="AF68" s="91">
        <v>1</v>
      </c>
      <c r="AG68" s="79">
        <v>0</v>
      </c>
      <c r="AH68" s="78">
        <v>2002</v>
      </c>
      <c r="AI68">
        <f t="shared" si="12"/>
        <v>0.14000000000000001</v>
      </c>
      <c r="AJ68">
        <f t="shared" si="12"/>
        <v>0.14000000000000001</v>
      </c>
      <c r="AK68">
        <v>0.6</v>
      </c>
      <c r="AL68">
        <v>0.12</v>
      </c>
      <c r="AM68" s="29" t="s">
        <v>62</v>
      </c>
      <c r="AN68" t="s">
        <v>62</v>
      </c>
      <c r="AO68" s="29">
        <v>0.59</v>
      </c>
      <c r="AP68">
        <f t="shared" si="13"/>
        <v>0.41000000000000003</v>
      </c>
      <c r="AQ68" s="29">
        <v>0</v>
      </c>
      <c r="AR68" s="72">
        <f t="shared" si="9"/>
        <v>1</v>
      </c>
      <c r="AU68" s="29">
        <v>0.64</v>
      </c>
      <c r="AV68" s="83">
        <f t="shared" si="14"/>
        <v>0.36</v>
      </c>
      <c r="AW68" s="83">
        <v>1</v>
      </c>
      <c r="AX68" s="83">
        <v>0</v>
      </c>
      <c r="AY68" s="83">
        <v>0</v>
      </c>
      <c r="AZ68" s="67" t="s">
        <v>408</v>
      </c>
      <c r="BN68" s="69">
        <v>33.770000000000003</v>
      </c>
      <c r="BO68">
        <v>1</v>
      </c>
      <c r="BP68">
        <v>0</v>
      </c>
      <c r="BQ68">
        <v>0</v>
      </c>
      <c r="BR68" s="76">
        <v>0</v>
      </c>
      <c r="BS68" s="76">
        <v>0</v>
      </c>
      <c r="BT68" s="76">
        <v>0</v>
      </c>
      <c r="BY68" s="29">
        <v>0</v>
      </c>
      <c r="BZ68">
        <v>0</v>
      </c>
      <c r="CA68">
        <v>0</v>
      </c>
      <c r="CB68" s="29">
        <v>1</v>
      </c>
      <c r="CC68">
        <v>1</v>
      </c>
      <c r="CD68" s="76">
        <v>1</v>
      </c>
      <c r="CE68" s="76">
        <v>0</v>
      </c>
      <c r="CF68" s="76">
        <v>0</v>
      </c>
      <c r="CG68" s="76">
        <v>0</v>
      </c>
      <c r="CH68">
        <v>1</v>
      </c>
      <c r="CI68">
        <v>1</v>
      </c>
      <c r="CJ68" s="76">
        <v>0</v>
      </c>
      <c r="CK68">
        <v>0</v>
      </c>
      <c r="CL68">
        <v>0</v>
      </c>
      <c r="CM68" s="17">
        <v>0</v>
      </c>
      <c r="CS68" t="s">
        <v>49</v>
      </c>
    </row>
    <row r="69" spans="1:97" x14ac:dyDescent="0.25">
      <c r="A69">
        <v>68</v>
      </c>
      <c r="B69">
        <v>5</v>
      </c>
      <c r="C69" t="s">
        <v>302</v>
      </c>
      <c r="D69" s="10">
        <v>2.5</v>
      </c>
      <c r="E69" s="6">
        <v>1.5</v>
      </c>
      <c r="F69" s="6">
        <f t="shared" si="4"/>
        <v>1.6666666666666667</v>
      </c>
      <c r="L69" s="91">
        <v>0</v>
      </c>
      <c r="M69" s="79">
        <v>0</v>
      </c>
      <c r="N69" s="79">
        <v>1</v>
      </c>
      <c r="O69" s="79">
        <v>0</v>
      </c>
      <c r="P69" s="79">
        <v>0</v>
      </c>
      <c r="Q69" s="91">
        <v>976</v>
      </c>
      <c r="R69" s="79">
        <v>1</v>
      </c>
      <c r="S69" s="79">
        <f t="shared" si="7"/>
        <v>974</v>
      </c>
      <c r="U69" s="79">
        <v>12.16</v>
      </c>
      <c r="V69" s="79">
        <v>14.03</v>
      </c>
      <c r="W69" s="91">
        <v>1</v>
      </c>
      <c r="X69" s="79">
        <v>0</v>
      </c>
      <c r="Y69" s="91">
        <v>0</v>
      </c>
      <c r="Z69" s="79">
        <v>0</v>
      </c>
      <c r="AA69" s="79">
        <v>1</v>
      </c>
      <c r="AB69" s="79">
        <v>0</v>
      </c>
      <c r="AC69" s="91">
        <v>0</v>
      </c>
      <c r="AD69" s="79">
        <v>1</v>
      </c>
      <c r="AE69" s="79">
        <v>0</v>
      </c>
      <c r="AF69" s="91">
        <v>1</v>
      </c>
      <c r="AG69" s="79">
        <v>0</v>
      </c>
      <c r="AH69" s="78">
        <v>2002</v>
      </c>
      <c r="AI69">
        <f t="shared" si="12"/>
        <v>0.14000000000000001</v>
      </c>
      <c r="AJ69">
        <f t="shared" si="12"/>
        <v>0.14000000000000001</v>
      </c>
      <c r="AK69">
        <v>0.6</v>
      </c>
      <c r="AL69">
        <v>0.12</v>
      </c>
      <c r="AM69" s="29" t="s">
        <v>62</v>
      </c>
      <c r="AN69" t="s">
        <v>62</v>
      </c>
      <c r="AO69" s="29">
        <v>0.59</v>
      </c>
      <c r="AP69">
        <f t="shared" si="13"/>
        <v>0.41000000000000003</v>
      </c>
      <c r="AQ69" s="29">
        <v>0</v>
      </c>
      <c r="AR69" s="72">
        <f t="shared" si="9"/>
        <v>1</v>
      </c>
      <c r="AU69" s="29">
        <v>0.64</v>
      </c>
      <c r="AV69" s="83">
        <f t="shared" si="14"/>
        <v>0.36</v>
      </c>
      <c r="AW69" s="83">
        <v>1</v>
      </c>
      <c r="AX69" s="83">
        <v>0</v>
      </c>
      <c r="AY69" s="83">
        <v>0</v>
      </c>
      <c r="AZ69" s="67" t="s">
        <v>408</v>
      </c>
      <c r="BN69" s="69">
        <v>33.770000000000003</v>
      </c>
      <c r="BO69">
        <v>0</v>
      </c>
      <c r="BP69">
        <v>1</v>
      </c>
      <c r="BQ69">
        <v>0</v>
      </c>
      <c r="BR69" s="76">
        <v>0</v>
      </c>
      <c r="BS69" s="76">
        <v>0</v>
      </c>
      <c r="BT69" s="76">
        <v>0</v>
      </c>
      <c r="BY69" s="29">
        <v>0</v>
      </c>
      <c r="BZ69">
        <v>0</v>
      </c>
      <c r="CA69">
        <v>0</v>
      </c>
      <c r="CB69" s="29">
        <v>0</v>
      </c>
      <c r="CC69">
        <v>0</v>
      </c>
      <c r="CD69" s="76">
        <v>0</v>
      </c>
      <c r="CE69" s="76">
        <v>0</v>
      </c>
      <c r="CF69" s="76">
        <v>0</v>
      </c>
      <c r="CG69" s="76">
        <v>0</v>
      </c>
      <c r="CH69">
        <v>0</v>
      </c>
      <c r="CI69">
        <v>0</v>
      </c>
      <c r="CJ69" s="76">
        <v>0</v>
      </c>
      <c r="CK69">
        <v>0</v>
      </c>
      <c r="CL69">
        <v>0</v>
      </c>
      <c r="CM69" s="17">
        <v>0</v>
      </c>
      <c r="CS69" t="s">
        <v>49</v>
      </c>
    </row>
    <row r="70" spans="1:97" x14ac:dyDescent="0.25">
      <c r="A70">
        <v>69</v>
      </c>
      <c r="B70">
        <v>5</v>
      </c>
      <c r="C70" t="s">
        <v>302</v>
      </c>
      <c r="D70" s="10">
        <v>2.7</v>
      </c>
      <c r="E70" s="6">
        <v>1.5</v>
      </c>
      <c r="F70" s="6">
        <f t="shared" si="4"/>
        <v>1.8</v>
      </c>
      <c r="L70" s="91">
        <v>0</v>
      </c>
      <c r="M70" s="79">
        <v>0</v>
      </c>
      <c r="N70" s="79">
        <v>1</v>
      </c>
      <c r="O70" s="79">
        <v>0</v>
      </c>
      <c r="P70" s="79">
        <v>0</v>
      </c>
      <c r="Q70" s="91">
        <v>976</v>
      </c>
      <c r="R70" s="79">
        <v>3</v>
      </c>
      <c r="S70" s="79">
        <f t="shared" si="7"/>
        <v>972</v>
      </c>
      <c r="U70" s="79">
        <v>12.16</v>
      </c>
      <c r="V70" s="79">
        <v>14.03</v>
      </c>
      <c r="W70" s="91">
        <v>1</v>
      </c>
      <c r="X70" s="79">
        <v>0</v>
      </c>
      <c r="Y70" s="91">
        <v>0</v>
      </c>
      <c r="Z70" s="79">
        <v>0</v>
      </c>
      <c r="AA70" s="79">
        <v>1</v>
      </c>
      <c r="AB70" s="79">
        <v>0</v>
      </c>
      <c r="AC70" s="91">
        <v>0</v>
      </c>
      <c r="AD70" s="79">
        <v>1</v>
      </c>
      <c r="AE70" s="79">
        <v>0</v>
      </c>
      <c r="AF70" s="91">
        <v>1</v>
      </c>
      <c r="AG70" s="79">
        <v>0</v>
      </c>
      <c r="AH70" s="78">
        <v>2002</v>
      </c>
      <c r="AI70">
        <f t="shared" si="12"/>
        <v>0.14000000000000001</v>
      </c>
      <c r="AJ70">
        <f t="shared" si="12"/>
        <v>0.14000000000000001</v>
      </c>
      <c r="AK70">
        <v>0.6</v>
      </c>
      <c r="AL70">
        <v>0.12</v>
      </c>
      <c r="AM70" s="29" t="s">
        <v>62</v>
      </c>
      <c r="AN70" t="s">
        <v>62</v>
      </c>
      <c r="AO70" s="29">
        <v>0.59</v>
      </c>
      <c r="AP70">
        <f t="shared" si="13"/>
        <v>0.41000000000000003</v>
      </c>
      <c r="AQ70" s="29">
        <v>0</v>
      </c>
      <c r="AR70" s="72">
        <f t="shared" si="9"/>
        <v>1</v>
      </c>
      <c r="AU70" s="29">
        <v>0.64</v>
      </c>
      <c r="AV70" s="83">
        <f t="shared" si="14"/>
        <v>0.36</v>
      </c>
      <c r="AW70" s="83">
        <v>1</v>
      </c>
      <c r="AX70" s="83">
        <v>0</v>
      </c>
      <c r="AY70" s="83">
        <v>0</v>
      </c>
      <c r="AZ70" s="67" t="s">
        <v>408</v>
      </c>
      <c r="BN70" s="69">
        <v>33.770000000000003</v>
      </c>
      <c r="BO70">
        <v>0</v>
      </c>
      <c r="BP70">
        <v>1</v>
      </c>
      <c r="BQ70">
        <v>0</v>
      </c>
      <c r="BR70" s="76">
        <v>0</v>
      </c>
      <c r="BS70" s="76">
        <v>0</v>
      </c>
      <c r="BT70" s="76">
        <v>0</v>
      </c>
      <c r="BY70" s="29">
        <v>0</v>
      </c>
      <c r="BZ70">
        <v>0</v>
      </c>
      <c r="CA70">
        <v>0</v>
      </c>
      <c r="CB70" s="29">
        <v>0</v>
      </c>
      <c r="CC70">
        <v>0</v>
      </c>
      <c r="CD70" s="76">
        <v>1</v>
      </c>
      <c r="CE70" s="76">
        <v>0</v>
      </c>
      <c r="CF70" s="76">
        <v>0</v>
      </c>
      <c r="CG70" s="76">
        <v>0</v>
      </c>
      <c r="CH70">
        <v>0</v>
      </c>
      <c r="CI70">
        <v>1</v>
      </c>
      <c r="CJ70" s="76">
        <v>0</v>
      </c>
      <c r="CK70">
        <v>0</v>
      </c>
      <c r="CL70">
        <v>0</v>
      </c>
      <c r="CM70" s="17">
        <v>0</v>
      </c>
      <c r="CS70" t="s">
        <v>49</v>
      </c>
    </row>
    <row r="71" spans="1:97" x14ac:dyDescent="0.25">
      <c r="A71">
        <v>70</v>
      </c>
      <c r="B71">
        <v>5</v>
      </c>
      <c r="C71" t="s">
        <v>302</v>
      </c>
      <c r="D71" s="10">
        <v>2.5</v>
      </c>
      <c r="E71" s="6">
        <v>1.2</v>
      </c>
      <c r="F71" s="6">
        <f t="shared" si="4"/>
        <v>2.0833333333333335</v>
      </c>
      <c r="L71" s="91">
        <v>0</v>
      </c>
      <c r="M71" s="79">
        <v>0</v>
      </c>
      <c r="N71" s="79">
        <v>1</v>
      </c>
      <c r="O71" s="79">
        <v>0</v>
      </c>
      <c r="P71" s="79">
        <v>0</v>
      </c>
      <c r="Q71" s="91">
        <v>976</v>
      </c>
      <c r="R71" s="79">
        <v>5</v>
      </c>
      <c r="S71" s="79">
        <f t="shared" si="7"/>
        <v>970</v>
      </c>
      <c r="U71" s="79">
        <v>12.16</v>
      </c>
      <c r="V71" s="79">
        <v>14.03</v>
      </c>
      <c r="W71" s="91">
        <v>1</v>
      </c>
      <c r="X71" s="79">
        <v>0</v>
      </c>
      <c r="Y71" s="91">
        <v>0</v>
      </c>
      <c r="Z71" s="79">
        <v>0</v>
      </c>
      <c r="AA71" s="79">
        <v>1</v>
      </c>
      <c r="AB71" s="79">
        <v>0</v>
      </c>
      <c r="AC71" s="91">
        <v>0</v>
      </c>
      <c r="AD71" s="79">
        <v>1</v>
      </c>
      <c r="AE71" s="79">
        <v>0</v>
      </c>
      <c r="AF71" s="91">
        <v>1</v>
      </c>
      <c r="AG71" s="79">
        <v>0</v>
      </c>
      <c r="AH71" s="78">
        <v>2002</v>
      </c>
      <c r="AI71">
        <f t="shared" si="12"/>
        <v>0.14000000000000001</v>
      </c>
      <c r="AJ71">
        <f t="shared" si="12"/>
        <v>0.14000000000000001</v>
      </c>
      <c r="AK71">
        <v>0.6</v>
      </c>
      <c r="AL71">
        <v>0.12</v>
      </c>
      <c r="AM71" s="29" t="s">
        <v>62</v>
      </c>
      <c r="AN71" t="s">
        <v>62</v>
      </c>
      <c r="AO71" s="29">
        <v>0.59</v>
      </c>
      <c r="AP71">
        <f t="shared" si="13"/>
        <v>0.41000000000000003</v>
      </c>
      <c r="AQ71" s="29">
        <v>0</v>
      </c>
      <c r="AR71" s="72">
        <f t="shared" si="9"/>
        <v>1</v>
      </c>
      <c r="AU71" s="29">
        <v>0.64</v>
      </c>
      <c r="AV71" s="83">
        <f t="shared" si="14"/>
        <v>0.36</v>
      </c>
      <c r="AW71" s="83">
        <v>1</v>
      </c>
      <c r="AX71" s="83">
        <v>0</v>
      </c>
      <c r="AY71" s="83">
        <v>0</v>
      </c>
      <c r="AZ71" s="67" t="s">
        <v>408</v>
      </c>
      <c r="BN71" s="69">
        <v>33.770000000000003</v>
      </c>
      <c r="BO71">
        <v>1</v>
      </c>
      <c r="BP71">
        <v>0</v>
      </c>
      <c r="BQ71">
        <v>0</v>
      </c>
      <c r="BR71" s="76">
        <v>0</v>
      </c>
      <c r="BS71" s="76">
        <v>0</v>
      </c>
      <c r="BT71" s="76">
        <v>0</v>
      </c>
      <c r="BY71" s="29">
        <v>0</v>
      </c>
      <c r="BZ71">
        <v>0</v>
      </c>
      <c r="CA71">
        <v>0</v>
      </c>
      <c r="CB71" s="29">
        <v>1</v>
      </c>
      <c r="CC71">
        <v>1</v>
      </c>
      <c r="CD71" s="76">
        <v>0</v>
      </c>
      <c r="CE71" s="76">
        <v>0</v>
      </c>
      <c r="CF71" s="76">
        <v>0</v>
      </c>
      <c r="CG71" s="76">
        <v>0</v>
      </c>
      <c r="CH71">
        <v>1</v>
      </c>
      <c r="CI71">
        <v>0</v>
      </c>
      <c r="CJ71" s="76">
        <v>0</v>
      </c>
      <c r="CK71">
        <v>0</v>
      </c>
      <c r="CL71">
        <v>0</v>
      </c>
      <c r="CM71" s="17">
        <v>0</v>
      </c>
      <c r="CS71" t="s">
        <v>49</v>
      </c>
    </row>
    <row r="72" spans="1:97" x14ac:dyDescent="0.25">
      <c r="A72">
        <v>71</v>
      </c>
      <c r="B72">
        <v>5</v>
      </c>
      <c r="C72" t="s">
        <v>302</v>
      </c>
      <c r="D72" s="10">
        <v>2.7</v>
      </c>
      <c r="E72" s="6">
        <v>1.2</v>
      </c>
      <c r="F72" s="6">
        <f t="shared" si="4"/>
        <v>2.2500000000000004</v>
      </c>
      <c r="L72" s="91">
        <v>0</v>
      </c>
      <c r="M72" s="79">
        <v>0</v>
      </c>
      <c r="N72" s="79">
        <v>1</v>
      </c>
      <c r="O72" s="79">
        <v>0</v>
      </c>
      <c r="P72" s="79">
        <v>0</v>
      </c>
      <c r="Q72" s="91">
        <v>976</v>
      </c>
      <c r="R72" s="79">
        <v>7</v>
      </c>
      <c r="S72" s="79">
        <f t="shared" si="7"/>
        <v>968</v>
      </c>
      <c r="U72" s="79">
        <v>12.16</v>
      </c>
      <c r="V72" s="79">
        <v>14.03</v>
      </c>
      <c r="W72" s="91">
        <v>1</v>
      </c>
      <c r="X72" s="79">
        <v>0</v>
      </c>
      <c r="Y72" s="91">
        <v>0</v>
      </c>
      <c r="Z72" s="79">
        <v>0</v>
      </c>
      <c r="AA72" s="79">
        <v>1</v>
      </c>
      <c r="AB72" s="79">
        <v>0</v>
      </c>
      <c r="AC72" s="91">
        <v>0</v>
      </c>
      <c r="AD72" s="79">
        <v>1</v>
      </c>
      <c r="AE72" s="79">
        <v>0</v>
      </c>
      <c r="AF72" s="91">
        <v>1</v>
      </c>
      <c r="AG72" s="79">
        <v>0</v>
      </c>
      <c r="AH72" s="78">
        <v>2002</v>
      </c>
      <c r="AI72">
        <f t="shared" si="12"/>
        <v>0.14000000000000001</v>
      </c>
      <c r="AJ72">
        <f t="shared" si="12"/>
        <v>0.14000000000000001</v>
      </c>
      <c r="AK72">
        <v>0.6</v>
      </c>
      <c r="AL72">
        <v>0.12</v>
      </c>
      <c r="AM72" s="29" t="s">
        <v>62</v>
      </c>
      <c r="AN72" t="s">
        <v>62</v>
      </c>
      <c r="AO72" s="29">
        <v>0.59</v>
      </c>
      <c r="AP72">
        <f t="shared" si="13"/>
        <v>0.41000000000000003</v>
      </c>
      <c r="AQ72" s="29">
        <v>0</v>
      </c>
      <c r="AR72" s="72">
        <f t="shared" si="9"/>
        <v>1</v>
      </c>
      <c r="AU72" s="29">
        <v>0.64</v>
      </c>
      <c r="AV72" s="83">
        <f t="shared" si="14"/>
        <v>0.36</v>
      </c>
      <c r="AW72" s="83">
        <v>1</v>
      </c>
      <c r="AX72" s="83">
        <v>0</v>
      </c>
      <c r="AY72" s="83">
        <v>0</v>
      </c>
      <c r="AZ72" s="67" t="s">
        <v>408</v>
      </c>
      <c r="BN72" s="69">
        <v>33.770000000000003</v>
      </c>
      <c r="BO72">
        <v>1</v>
      </c>
      <c r="BP72">
        <v>0</v>
      </c>
      <c r="BQ72">
        <v>0</v>
      </c>
      <c r="BR72" s="76">
        <v>0</v>
      </c>
      <c r="BS72" s="76">
        <v>0</v>
      </c>
      <c r="BT72" s="76">
        <v>0</v>
      </c>
      <c r="BY72" s="29">
        <v>0</v>
      </c>
      <c r="BZ72">
        <v>0</v>
      </c>
      <c r="CA72">
        <v>0</v>
      </c>
      <c r="CB72" s="29">
        <v>1</v>
      </c>
      <c r="CC72">
        <v>1</v>
      </c>
      <c r="CD72" s="76">
        <v>1</v>
      </c>
      <c r="CE72" s="76">
        <v>0</v>
      </c>
      <c r="CF72" s="76">
        <v>0</v>
      </c>
      <c r="CG72" s="76">
        <v>0</v>
      </c>
      <c r="CH72">
        <v>1</v>
      </c>
      <c r="CI72">
        <v>1</v>
      </c>
      <c r="CJ72" s="76">
        <v>0</v>
      </c>
      <c r="CK72">
        <v>0</v>
      </c>
      <c r="CL72">
        <v>0</v>
      </c>
      <c r="CM72" s="17">
        <v>0</v>
      </c>
      <c r="CS72" t="s">
        <v>49</v>
      </c>
    </row>
    <row r="73" spans="1:97" x14ac:dyDescent="0.25">
      <c r="A73">
        <v>72</v>
      </c>
      <c r="B73">
        <v>5</v>
      </c>
      <c r="C73" t="s">
        <v>302</v>
      </c>
      <c r="D73" s="10">
        <v>3.2</v>
      </c>
      <c r="E73" s="6">
        <v>1.9</v>
      </c>
      <c r="F73" s="6">
        <f t="shared" si="4"/>
        <v>1.6842105263157896</v>
      </c>
      <c r="L73" s="91">
        <v>0</v>
      </c>
      <c r="M73" s="79">
        <v>0</v>
      </c>
      <c r="N73" s="79">
        <v>1</v>
      </c>
      <c r="O73" s="79">
        <v>0</v>
      </c>
      <c r="P73" s="79">
        <v>0</v>
      </c>
      <c r="Q73" s="91">
        <v>976</v>
      </c>
      <c r="R73" s="79">
        <v>1</v>
      </c>
      <c r="S73" s="79">
        <f t="shared" si="7"/>
        <v>974</v>
      </c>
      <c r="U73" s="79">
        <v>12.16</v>
      </c>
      <c r="V73" s="79">
        <v>14.03</v>
      </c>
      <c r="W73" s="91">
        <v>1</v>
      </c>
      <c r="X73" s="79">
        <v>0</v>
      </c>
      <c r="Y73" s="91">
        <v>0</v>
      </c>
      <c r="Z73" s="79">
        <v>0</v>
      </c>
      <c r="AA73" s="79">
        <v>1</v>
      </c>
      <c r="AB73" s="79">
        <v>0</v>
      </c>
      <c r="AC73" s="91">
        <v>0</v>
      </c>
      <c r="AD73" s="79">
        <v>1</v>
      </c>
      <c r="AE73" s="79">
        <v>0</v>
      </c>
      <c r="AF73" s="91">
        <v>1</v>
      </c>
      <c r="AG73" s="79">
        <v>0</v>
      </c>
      <c r="AH73" s="78">
        <v>2002</v>
      </c>
      <c r="AI73">
        <f t="shared" si="12"/>
        <v>0.14000000000000001</v>
      </c>
      <c r="AJ73">
        <f t="shared" si="12"/>
        <v>0.14000000000000001</v>
      </c>
      <c r="AK73">
        <v>0.6</v>
      </c>
      <c r="AL73">
        <v>0.12</v>
      </c>
      <c r="AM73" s="29" t="s">
        <v>62</v>
      </c>
      <c r="AN73" t="s">
        <v>62</v>
      </c>
      <c r="AO73" s="29">
        <v>0.59</v>
      </c>
      <c r="AP73">
        <f t="shared" si="13"/>
        <v>0.41000000000000003</v>
      </c>
      <c r="AQ73" s="29">
        <v>0</v>
      </c>
      <c r="AR73" s="72">
        <f t="shared" si="9"/>
        <v>1</v>
      </c>
      <c r="AU73" s="29">
        <v>0.64</v>
      </c>
      <c r="AV73" s="83">
        <f t="shared" si="14"/>
        <v>0.36</v>
      </c>
      <c r="AW73" s="83">
        <v>1</v>
      </c>
      <c r="AX73" s="83">
        <v>0</v>
      </c>
      <c r="AY73" s="83">
        <v>0</v>
      </c>
      <c r="AZ73" s="67" t="s">
        <v>408</v>
      </c>
      <c r="BN73" s="69">
        <v>33.770000000000003</v>
      </c>
      <c r="BO73">
        <v>0</v>
      </c>
      <c r="BP73">
        <v>0</v>
      </c>
      <c r="BQ73">
        <v>0</v>
      </c>
      <c r="BR73" s="76">
        <v>0</v>
      </c>
      <c r="BS73" s="76">
        <v>0</v>
      </c>
      <c r="BT73">
        <v>1</v>
      </c>
      <c r="BY73" s="29">
        <v>1</v>
      </c>
      <c r="BZ73">
        <v>0</v>
      </c>
      <c r="CA73">
        <v>0</v>
      </c>
      <c r="CB73" s="29">
        <v>0</v>
      </c>
      <c r="CC73">
        <v>0</v>
      </c>
      <c r="CD73">
        <v>0</v>
      </c>
      <c r="CE73" s="76">
        <v>0</v>
      </c>
      <c r="CF73" s="76">
        <v>0</v>
      </c>
      <c r="CG73" s="76">
        <v>0</v>
      </c>
      <c r="CH73">
        <v>0</v>
      </c>
      <c r="CI73">
        <v>0</v>
      </c>
      <c r="CJ73" s="76">
        <v>0</v>
      </c>
      <c r="CK73">
        <v>0</v>
      </c>
      <c r="CL73">
        <v>0</v>
      </c>
      <c r="CM73" s="17">
        <v>0</v>
      </c>
      <c r="CS73" t="s">
        <v>49</v>
      </c>
    </row>
    <row r="74" spans="1:97" x14ac:dyDescent="0.25">
      <c r="A74">
        <v>73</v>
      </c>
      <c r="B74">
        <v>5</v>
      </c>
      <c r="C74" t="s">
        <v>302</v>
      </c>
      <c r="D74" s="10">
        <v>3.3</v>
      </c>
      <c r="E74" s="6">
        <v>1.9</v>
      </c>
      <c r="F74" s="6">
        <f t="shared" si="4"/>
        <v>1.736842105263158</v>
      </c>
      <c r="L74" s="91">
        <v>0</v>
      </c>
      <c r="M74" s="79">
        <v>0</v>
      </c>
      <c r="N74" s="79">
        <v>1</v>
      </c>
      <c r="O74" s="79">
        <v>0</v>
      </c>
      <c r="P74" s="79">
        <v>0</v>
      </c>
      <c r="Q74" s="91">
        <v>976</v>
      </c>
      <c r="R74" s="79">
        <v>3</v>
      </c>
      <c r="S74" s="79">
        <f t="shared" si="7"/>
        <v>972</v>
      </c>
      <c r="U74" s="79">
        <v>12.16</v>
      </c>
      <c r="V74" s="79">
        <v>14.03</v>
      </c>
      <c r="W74" s="91">
        <v>1</v>
      </c>
      <c r="X74" s="79">
        <v>0</v>
      </c>
      <c r="Y74" s="91">
        <v>0</v>
      </c>
      <c r="Z74" s="79">
        <v>0</v>
      </c>
      <c r="AA74" s="79">
        <v>1</v>
      </c>
      <c r="AB74" s="79">
        <v>0</v>
      </c>
      <c r="AC74" s="91">
        <v>0</v>
      </c>
      <c r="AD74" s="79">
        <v>1</v>
      </c>
      <c r="AE74" s="79">
        <v>0</v>
      </c>
      <c r="AF74" s="91">
        <v>1</v>
      </c>
      <c r="AG74" s="79">
        <v>0</v>
      </c>
      <c r="AH74" s="78">
        <v>2002</v>
      </c>
      <c r="AI74">
        <f t="shared" si="12"/>
        <v>0.14000000000000001</v>
      </c>
      <c r="AJ74">
        <f t="shared" si="12"/>
        <v>0.14000000000000001</v>
      </c>
      <c r="AK74">
        <v>0.6</v>
      </c>
      <c r="AL74">
        <v>0.12</v>
      </c>
      <c r="AM74" s="29" t="s">
        <v>62</v>
      </c>
      <c r="AN74" t="s">
        <v>62</v>
      </c>
      <c r="AO74" s="29">
        <v>0.59</v>
      </c>
      <c r="AP74">
        <f t="shared" si="13"/>
        <v>0.41000000000000003</v>
      </c>
      <c r="AQ74" s="29">
        <v>0</v>
      </c>
      <c r="AR74" s="72">
        <f t="shared" si="9"/>
        <v>1</v>
      </c>
      <c r="AU74" s="29">
        <v>0.64</v>
      </c>
      <c r="AV74" s="83">
        <f t="shared" si="14"/>
        <v>0.36</v>
      </c>
      <c r="AW74" s="83">
        <v>1</v>
      </c>
      <c r="AX74" s="83">
        <v>0</v>
      </c>
      <c r="AY74" s="83">
        <v>0</v>
      </c>
      <c r="AZ74" s="67" t="s">
        <v>408</v>
      </c>
      <c r="BN74" s="69">
        <v>33.770000000000003</v>
      </c>
      <c r="BO74">
        <v>0</v>
      </c>
      <c r="BP74">
        <v>0</v>
      </c>
      <c r="BQ74">
        <v>0</v>
      </c>
      <c r="BR74" s="76">
        <v>0</v>
      </c>
      <c r="BS74" s="76">
        <v>0</v>
      </c>
      <c r="BT74">
        <v>1</v>
      </c>
      <c r="BY74" s="29">
        <v>1</v>
      </c>
      <c r="BZ74">
        <v>0</v>
      </c>
      <c r="CA74">
        <v>0</v>
      </c>
      <c r="CB74" s="29">
        <v>0</v>
      </c>
      <c r="CC74">
        <v>0</v>
      </c>
      <c r="CD74">
        <v>1</v>
      </c>
      <c r="CE74" s="76">
        <v>0</v>
      </c>
      <c r="CF74" s="76">
        <v>0</v>
      </c>
      <c r="CG74" s="76">
        <v>0</v>
      </c>
      <c r="CH74">
        <v>0</v>
      </c>
      <c r="CI74">
        <v>1</v>
      </c>
      <c r="CJ74" s="76">
        <v>0</v>
      </c>
      <c r="CK74">
        <v>0</v>
      </c>
      <c r="CL74">
        <v>0</v>
      </c>
      <c r="CM74" s="17">
        <v>0</v>
      </c>
      <c r="CS74" t="s">
        <v>49</v>
      </c>
    </row>
    <row r="75" spans="1:97" x14ac:dyDescent="0.25">
      <c r="A75">
        <v>74</v>
      </c>
      <c r="B75">
        <v>5</v>
      </c>
      <c r="C75" t="s">
        <v>302</v>
      </c>
      <c r="D75" s="10">
        <v>3.6</v>
      </c>
      <c r="E75" s="6">
        <v>1.8</v>
      </c>
      <c r="F75" s="6">
        <f t="shared" si="4"/>
        <v>2</v>
      </c>
      <c r="L75" s="91">
        <v>0</v>
      </c>
      <c r="M75" s="79">
        <v>0</v>
      </c>
      <c r="N75" s="79">
        <v>1</v>
      </c>
      <c r="O75" s="79">
        <v>0</v>
      </c>
      <c r="P75" s="79">
        <v>0</v>
      </c>
      <c r="Q75" s="91">
        <v>976</v>
      </c>
      <c r="R75" s="79">
        <v>1</v>
      </c>
      <c r="S75" s="79">
        <f t="shared" si="7"/>
        <v>974</v>
      </c>
      <c r="U75" s="79">
        <v>12.16</v>
      </c>
      <c r="V75" s="79">
        <v>14.03</v>
      </c>
      <c r="W75" s="91">
        <v>1</v>
      </c>
      <c r="X75" s="79">
        <v>0</v>
      </c>
      <c r="Y75" s="91">
        <v>0</v>
      </c>
      <c r="Z75" s="79">
        <v>0</v>
      </c>
      <c r="AA75" s="79">
        <v>1</v>
      </c>
      <c r="AB75" s="79">
        <v>0</v>
      </c>
      <c r="AC75" s="91">
        <v>0</v>
      </c>
      <c r="AD75" s="79">
        <v>1</v>
      </c>
      <c r="AE75" s="79">
        <v>0</v>
      </c>
      <c r="AF75" s="91">
        <v>1</v>
      </c>
      <c r="AG75" s="79">
        <v>0</v>
      </c>
      <c r="AH75" s="78">
        <v>2002</v>
      </c>
      <c r="AI75">
        <f t="shared" si="12"/>
        <v>0.14000000000000001</v>
      </c>
      <c r="AJ75">
        <f t="shared" si="12"/>
        <v>0.14000000000000001</v>
      </c>
      <c r="AK75">
        <v>0.6</v>
      </c>
      <c r="AL75">
        <v>0.12</v>
      </c>
      <c r="AM75" s="29" t="s">
        <v>62</v>
      </c>
      <c r="AN75" t="s">
        <v>62</v>
      </c>
      <c r="AO75" s="29">
        <v>0.59</v>
      </c>
      <c r="AP75">
        <f t="shared" si="13"/>
        <v>0.41000000000000003</v>
      </c>
      <c r="AQ75" s="29">
        <v>0</v>
      </c>
      <c r="AR75" s="72">
        <f t="shared" si="9"/>
        <v>1</v>
      </c>
      <c r="AU75" s="29">
        <v>0.64</v>
      </c>
      <c r="AV75" s="83">
        <f t="shared" si="14"/>
        <v>0.36</v>
      </c>
      <c r="AW75" s="83">
        <v>1</v>
      </c>
      <c r="AX75" s="83">
        <v>0</v>
      </c>
      <c r="AY75" s="83">
        <v>0</v>
      </c>
      <c r="AZ75" s="67" t="s">
        <v>408</v>
      </c>
      <c r="BN75" s="69">
        <v>33.770000000000003</v>
      </c>
      <c r="BO75">
        <v>0</v>
      </c>
      <c r="BP75">
        <v>0</v>
      </c>
      <c r="BQ75">
        <v>0</v>
      </c>
      <c r="BR75" s="76">
        <v>0</v>
      </c>
      <c r="BS75" s="76">
        <v>0</v>
      </c>
      <c r="BT75">
        <v>1</v>
      </c>
      <c r="BY75" s="29">
        <v>1</v>
      </c>
      <c r="BZ75">
        <v>0</v>
      </c>
      <c r="CA75">
        <v>0</v>
      </c>
      <c r="CB75" s="29">
        <v>0</v>
      </c>
      <c r="CC75">
        <v>0</v>
      </c>
      <c r="CD75">
        <v>0</v>
      </c>
      <c r="CE75" s="76">
        <v>0</v>
      </c>
      <c r="CF75" s="76">
        <v>0</v>
      </c>
      <c r="CG75" s="76">
        <v>0</v>
      </c>
      <c r="CH75">
        <v>0</v>
      </c>
      <c r="CI75">
        <v>0</v>
      </c>
      <c r="CJ75" s="76">
        <v>0</v>
      </c>
      <c r="CK75">
        <v>0</v>
      </c>
      <c r="CL75">
        <v>0</v>
      </c>
      <c r="CM75" s="17">
        <v>0</v>
      </c>
      <c r="CS75" t="s">
        <v>49</v>
      </c>
    </row>
    <row r="76" spans="1:97" x14ac:dyDescent="0.25">
      <c r="A76">
        <v>75</v>
      </c>
      <c r="B76">
        <v>5</v>
      </c>
      <c r="C76" t="s">
        <v>302</v>
      </c>
      <c r="D76" s="10">
        <v>3.8</v>
      </c>
      <c r="E76" s="6">
        <v>1.8</v>
      </c>
      <c r="F76" s="6">
        <f t="shared" si="4"/>
        <v>2.1111111111111112</v>
      </c>
      <c r="L76" s="91">
        <v>0</v>
      </c>
      <c r="M76" s="79">
        <v>0</v>
      </c>
      <c r="N76" s="79">
        <v>1</v>
      </c>
      <c r="O76" s="79">
        <v>0</v>
      </c>
      <c r="P76" s="79">
        <v>0</v>
      </c>
      <c r="Q76" s="91">
        <v>976</v>
      </c>
      <c r="R76" s="79">
        <v>3</v>
      </c>
      <c r="S76" s="79">
        <f t="shared" si="7"/>
        <v>972</v>
      </c>
      <c r="U76" s="79">
        <v>12.16</v>
      </c>
      <c r="V76" s="79">
        <v>14.03</v>
      </c>
      <c r="W76" s="91">
        <v>1</v>
      </c>
      <c r="X76" s="79">
        <v>0</v>
      </c>
      <c r="Y76" s="91">
        <v>0</v>
      </c>
      <c r="Z76" s="79">
        <v>0</v>
      </c>
      <c r="AA76" s="79">
        <v>1</v>
      </c>
      <c r="AB76" s="79">
        <v>0</v>
      </c>
      <c r="AC76" s="91">
        <v>0</v>
      </c>
      <c r="AD76" s="79">
        <v>1</v>
      </c>
      <c r="AE76" s="79">
        <v>0</v>
      </c>
      <c r="AF76" s="91">
        <v>1</v>
      </c>
      <c r="AG76" s="79">
        <v>0</v>
      </c>
      <c r="AH76" s="78">
        <v>2002</v>
      </c>
      <c r="AI76">
        <f t="shared" si="12"/>
        <v>0.14000000000000001</v>
      </c>
      <c r="AJ76">
        <f t="shared" si="12"/>
        <v>0.14000000000000001</v>
      </c>
      <c r="AK76">
        <v>0.6</v>
      </c>
      <c r="AL76">
        <v>0.12</v>
      </c>
      <c r="AM76" s="29" t="s">
        <v>62</v>
      </c>
      <c r="AN76" t="s">
        <v>62</v>
      </c>
      <c r="AO76" s="29">
        <v>0.59</v>
      </c>
      <c r="AP76">
        <f t="shared" si="13"/>
        <v>0.41000000000000003</v>
      </c>
      <c r="AQ76" s="29">
        <v>0</v>
      </c>
      <c r="AR76" s="72">
        <f t="shared" si="9"/>
        <v>1</v>
      </c>
      <c r="AU76" s="29">
        <v>0.64</v>
      </c>
      <c r="AV76" s="83">
        <f t="shared" si="14"/>
        <v>0.36</v>
      </c>
      <c r="AW76" s="83">
        <v>1</v>
      </c>
      <c r="AX76" s="83">
        <v>0</v>
      </c>
      <c r="AY76" s="83">
        <v>0</v>
      </c>
      <c r="AZ76" s="67" t="s">
        <v>408</v>
      </c>
      <c r="BN76" s="69">
        <v>33.770000000000003</v>
      </c>
      <c r="BO76">
        <v>0</v>
      </c>
      <c r="BP76">
        <v>0</v>
      </c>
      <c r="BQ76">
        <v>0</v>
      </c>
      <c r="BR76" s="76">
        <v>0</v>
      </c>
      <c r="BS76" s="76">
        <v>0</v>
      </c>
      <c r="BT76">
        <v>1</v>
      </c>
      <c r="BY76" s="29">
        <v>1</v>
      </c>
      <c r="BZ76">
        <v>0</v>
      </c>
      <c r="CA76">
        <v>0</v>
      </c>
      <c r="CB76" s="29">
        <v>0</v>
      </c>
      <c r="CC76">
        <v>0</v>
      </c>
      <c r="CD76">
        <v>1</v>
      </c>
      <c r="CE76" s="76">
        <v>0</v>
      </c>
      <c r="CF76" s="76">
        <v>0</v>
      </c>
      <c r="CG76" s="76">
        <v>0</v>
      </c>
      <c r="CH76">
        <v>0</v>
      </c>
      <c r="CI76">
        <v>1</v>
      </c>
      <c r="CJ76" s="76">
        <v>0</v>
      </c>
      <c r="CK76">
        <v>0</v>
      </c>
      <c r="CL76">
        <v>0</v>
      </c>
      <c r="CM76" s="17">
        <v>0</v>
      </c>
      <c r="CS76" t="s">
        <v>49</v>
      </c>
    </row>
    <row r="77" spans="1:97" x14ac:dyDescent="0.25">
      <c r="A77">
        <v>76</v>
      </c>
      <c r="B77">
        <v>5</v>
      </c>
      <c r="C77" t="s">
        <v>302</v>
      </c>
      <c r="D77" s="10">
        <v>8.5</v>
      </c>
      <c r="E77" s="6">
        <v>0.8</v>
      </c>
      <c r="F77" s="6">
        <f t="shared" si="4"/>
        <v>10.625</v>
      </c>
      <c r="L77" s="91">
        <v>0</v>
      </c>
      <c r="M77" s="79">
        <v>0</v>
      </c>
      <c r="N77" s="79">
        <v>1</v>
      </c>
      <c r="O77" s="79">
        <v>0</v>
      </c>
      <c r="P77" s="79">
        <v>0</v>
      </c>
      <c r="Q77" s="91">
        <v>632</v>
      </c>
      <c r="R77" s="79">
        <v>6</v>
      </c>
      <c r="S77" s="79">
        <f t="shared" si="7"/>
        <v>625</v>
      </c>
      <c r="U77" s="79">
        <v>12.16</v>
      </c>
      <c r="V77" s="79">
        <v>14.03</v>
      </c>
      <c r="W77" s="91">
        <v>1</v>
      </c>
      <c r="X77" s="79">
        <v>0</v>
      </c>
      <c r="Y77" s="91">
        <v>0</v>
      </c>
      <c r="Z77" s="79">
        <v>0</v>
      </c>
      <c r="AA77" s="79">
        <v>1</v>
      </c>
      <c r="AB77" s="79">
        <v>0</v>
      </c>
      <c r="AC77" s="91">
        <v>0</v>
      </c>
      <c r="AD77" s="79">
        <v>1</v>
      </c>
      <c r="AE77" s="79">
        <v>0</v>
      </c>
      <c r="AF77" s="91">
        <v>1</v>
      </c>
      <c r="AG77" s="79">
        <v>0</v>
      </c>
      <c r="AH77" s="78">
        <v>2002</v>
      </c>
      <c r="AI77">
        <f t="shared" si="12"/>
        <v>0.14000000000000001</v>
      </c>
      <c r="AJ77">
        <f t="shared" si="12"/>
        <v>0.14000000000000001</v>
      </c>
      <c r="AK77">
        <v>0.6</v>
      </c>
      <c r="AL77">
        <v>0.12</v>
      </c>
      <c r="AM77" s="29" t="s">
        <v>62</v>
      </c>
      <c r="AN77" t="s">
        <v>62</v>
      </c>
      <c r="AO77" s="29">
        <v>0.59</v>
      </c>
      <c r="AP77">
        <f t="shared" si="13"/>
        <v>0.41000000000000003</v>
      </c>
      <c r="AQ77" s="29">
        <v>0</v>
      </c>
      <c r="AR77" s="72">
        <f t="shared" si="9"/>
        <v>1</v>
      </c>
      <c r="AU77" s="29">
        <v>0.64</v>
      </c>
      <c r="AV77" s="83">
        <f t="shared" si="14"/>
        <v>0.36</v>
      </c>
      <c r="AW77" s="83">
        <v>0</v>
      </c>
      <c r="AX77" s="83">
        <v>1</v>
      </c>
      <c r="AY77" s="83">
        <v>0</v>
      </c>
      <c r="AZ77" s="67" t="s">
        <v>408</v>
      </c>
      <c r="BN77" s="69">
        <v>33.770000000000003</v>
      </c>
      <c r="BO77">
        <v>1</v>
      </c>
      <c r="BP77">
        <v>0</v>
      </c>
      <c r="BQ77">
        <v>0</v>
      </c>
      <c r="BR77" s="76">
        <v>0</v>
      </c>
      <c r="BS77" s="76">
        <v>0</v>
      </c>
      <c r="BT77">
        <v>0</v>
      </c>
      <c r="BY77" s="29">
        <v>0</v>
      </c>
      <c r="BZ77">
        <v>0</v>
      </c>
      <c r="CA77">
        <v>0</v>
      </c>
      <c r="CB77" s="29">
        <v>1</v>
      </c>
      <c r="CC77">
        <v>1</v>
      </c>
      <c r="CD77" s="76">
        <v>1</v>
      </c>
      <c r="CE77" s="76">
        <v>0</v>
      </c>
      <c r="CF77" s="76">
        <v>0</v>
      </c>
      <c r="CG77" s="76">
        <v>0</v>
      </c>
      <c r="CH77">
        <v>1</v>
      </c>
      <c r="CI77">
        <v>1</v>
      </c>
      <c r="CJ77" s="76">
        <v>0</v>
      </c>
      <c r="CK77">
        <v>0</v>
      </c>
      <c r="CL77">
        <v>0</v>
      </c>
      <c r="CM77" s="17">
        <v>0</v>
      </c>
      <c r="CS77" t="s">
        <v>49</v>
      </c>
    </row>
    <row r="78" spans="1:97" x14ac:dyDescent="0.25">
      <c r="A78">
        <v>77</v>
      </c>
      <c r="B78">
        <v>5</v>
      </c>
      <c r="C78" t="s">
        <v>302</v>
      </c>
      <c r="D78" s="10">
        <v>4.4000000000000004</v>
      </c>
      <c r="E78" s="6">
        <v>1.2</v>
      </c>
      <c r="F78" s="6">
        <f t="shared" si="4"/>
        <v>3.666666666666667</v>
      </c>
      <c r="L78" s="91">
        <v>0</v>
      </c>
      <c r="M78" s="79">
        <v>0</v>
      </c>
      <c r="N78" s="79">
        <v>1</v>
      </c>
      <c r="O78" s="79">
        <v>0</v>
      </c>
      <c r="P78" s="79">
        <v>0</v>
      </c>
      <c r="Q78" s="91">
        <v>632</v>
      </c>
      <c r="R78" s="79">
        <v>3</v>
      </c>
      <c r="S78" s="79">
        <f t="shared" si="7"/>
        <v>628</v>
      </c>
      <c r="U78" s="79">
        <v>12.16</v>
      </c>
      <c r="V78" s="79">
        <v>14.03</v>
      </c>
      <c r="W78" s="91">
        <v>1</v>
      </c>
      <c r="X78" s="79">
        <v>0</v>
      </c>
      <c r="Y78" s="91">
        <v>0</v>
      </c>
      <c r="Z78" s="79">
        <v>0</v>
      </c>
      <c r="AA78" s="79">
        <v>1</v>
      </c>
      <c r="AB78" s="79">
        <v>0</v>
      </c>
      <c r="AC78" s="91">
        <v>0</v>
      </c>
      <c r="AD78" s="79">
        <v>1</v>
      </c>
      <c r="AE78" s="79">
        <v>0</v>
      </c>
      <c r="AF78" s="91">
        <v>1</v>
      </c>
      <c r="AG78" s="79">
        <v>0</v>
      </c>
      <c r="AH78" s="78">
        <v>2002</v>
      </c>
      <c r="AI78">
        <f t="shared" si="12"/>
        <v>0.14000000000000001</v>
      </c>
      <c r="AJ78">
        <f t="shared" si="12"/>
        <v>0.14000000000000001</v>
      </c>
      <c r="AK78">
        <v>0.6</v>
      </c>
      <c r="AL78">
        <v>0.12</v>
      </c>
      <c r="AM78" s="29" t="s">
        <v>62</v>
      </c>
      <c r="AN78" t="s">
        <v>62</v>
      </c>
      <c r="AO78" s="29">
        <v>0.59</v>
      </c>
      <c r="AP78">
        <f t="shared" si="13"/>
        <v>0.41000000000000003</v>
      </c>
      <c r="AQ78" s="29">
        <v>0</v>
      </c>
      <c r="AR78" s="72">
        <f t="shared" si="9"/>
        <v>1</v>
      </c>
      <c r="AU78" s="29">
        <v>0.64</v>
      </c>
      <c r="AV78" s="83">
        <f t="shared" si="14"/>
        <v>0.36</v>
      </c>
      <c r="AW78" s="83">
        <v>0</v>
      </c>
      <c r="AX78" s="83">
        <v>1</v>
      </c>
      <c r="AY78" s="83">
        <v>0</v>
      </c>
      <c r="AZ78" s="67" t="s">
        <v>408</v>
      </c>
      <c r="BN78" s="69">
        <v>33.770000000000003</v>
      </c>
      <c r="BO78">
        <v>0</v>
      </c>
      <c r="BP78">
        <v>1</v>
      </c>
      <c r="BQ78">
        <v>0</v>
      </c>
      <c r="BR78" s="76">
        <v>0</v>
      </c>
      <c r="BS78" s="76">
        <v>0</v>
      </c>
      <c r="BT78">
        <v>0</v>
      </c>
      <c r="BY78" s="29">
        <v>0</v>
      </c>
      <c r="BZ78">
        <v>0</v>
      </c>
      <c r="CA78">
        <v>0</v>
      </c>
      <c r="CB78" s="29">
        <v>0</v>
      </c>
      <c r="CC78">
        <v>0</v>
      </c>
      <c r="CD78" s="76">
        <v>1</v>
      </c>
      <c r="CE78" s="76">
        <v>0</v>
      </c>
      <c r="CF78" s="76">
        <v>0</v>
      </c>
      <c r="CG78" s="76">
        <v>0</v>
      </c>
      <c r="CH78">
        <v>0</v>
      </c>
      <c r="CI78">
        <v>1</v>
      </c>
      <c r="CJ78" s="76">
        <v>0</v>
      </c>
      <c r="CK78">
        <v>0</v>
      </c>
      <c r="CL78">
        <v>0</v>
      </c>
      <c r="CM78" s="17">
        <v>0</v>
      </c>
      <c r="CS78" t="s">
        <v>49</v>
      </c>
    </row>
    <row r="79" spans="1:97" x14ac:dyDescent="0.25">
      <c r="A79">
        <v>78</v>
      </c>
      <c r="B79">
        <v>5</v>
      </c>
      <c r="C79" t="s">
        <v>302</v>
      </c>
      <c r="D79" s="10">
        <v>5.4</v>
      </c>
      <c r="E79" s="6">
        <v>1.7</v>
      </c>
      <c r="F79" s="6">
        <f t="shared" si="4"/>
        <v>3.1764705882352944</v>
      </c>
      <c r="L79" s="91">
        <v>0</v>
      </c>
      <c r="M79" s="79">
        <v>0</v>
      </c>
      <c r="N79" s="79">
        <v>1</v>
      </c>
      <c r="O79" s="79">
        <v>0</v>
      </c>
      <c r="P79" s="79">
        <v>0</v>
      </c>
      <c r="Q79" s="91">
        <v>632</v>
      </c>
      <c r="R79" s="79">
        <v>3</v>
      </c>
      <c r="S79" s="79">
        <f t="shared" si="7"/>
        <v>628</v>
      </c>
      <c r="U79" s="79">
        <v>12.16</v>
      </c>
      <c r="V79" s="79">
        <v>14.03</v>
      </c>
      <c r="W79" s="91">
        <v>1</v>
      </c>
      <c r="X79" s="79">
        <v>0</v>
      </c>
      <c r="Y79" s="91">
        <v>0</v>
      </c>
      <c r="Z79" s="79">
        <v>0</v>
      </c>
      <c r="AA79" s="79">
        <v>1</v>
      </c>
      <c r="AB79" s="79">
        <v>0</v>
      </c>
      <c r="AC79" s="91">
        <v>0</v>
      </c>
      <c r="AD79" s="79">
        <v>1</v>
      </c>
      <c r="AE79" s="79">
        <v>0</v>
      </c>
      <c r="AF79" s="91">
        <v>1</v>
      </c>
      <c r="AG79" s="79">
        <v>0</v>
      </c>
      <c r="AH79" s="78">
        <v>2002</v>
      </c>
      <c r="AI79">
        <f t="shared" si="12"/>
        <v>0.14000000000000001</v>
      </c>
      <c r="AJ79">
        <f t="shared" si="12"/>
        <v>0.14000000000000001</v>
      </c>
      <c r="AK79">
        <v>0.6</v>
      </c>
      <c r="AL79">
        <v>0.12</v>
      </c>
      <c r="AM79" s="29" t="s">
        <v>62</v>
      </c>
      <c r="AN79" t="s">
        <v>62</v>
      </c>
      <c r="AO79" s="29">
        <v>0.59</v>
      </c>
      <c r="AP79">
        <f t="shared" si="13"/>
        <v>0.41000000000000003</v>
      </c>
      <c r="AQ79" s="29">
        <v>0</v>
      </c>
      <c r="AR79" s="72">
        <f t="shared" si="9"/>
        <v>1</v>
      </c>
      <c r="AU79" s="29">
        <v>0.64</v>
      </c>
      <c r="AV79" s="83">
        <f t="shared" si="14"/>
        <v>0.36</v>
      </c>
      <c r="AW79" s="83">
        <v>0</v>
      </c>
      <c r="AX79" s="83">
        <v>1</v>
      </c>
      <c r="AY79" s="83">
        <v>0</v>
      </c>
      <c r="AZ79" s="67" t="s">
        <v>408</v>
      </c>
      <c r="BN79" s="69">
        <v>33.770000000000003</v>
      </c>
      <c r="BO79">
        <v>0</v>
      </c>
      <c r="BP79">
        <v>0</v>
      </c>
      <c r="BQ79">
        <v>0</v>
      </c>
      <c r="BR79" s="76">
        <v>0</v>
      </c>
      <c r="BS79" s="76">
        <v>0</v>
      </c>
      <c r="BT79">
        <v>1</v>
      </c>
      <c r="BY79" s="29">
        <v>1</v>
      </c>
      <c r="BZ79">
        <v>0</v>
      </c>
      <c r="CA79">
        <v>0</v>
      </c>
      <c r="CB79" s="29">
        <v>0</v>
      </c>
      <c r="CC79">
        <v>0</v>
      </c>
      <c r="CD79">
        <v>1</v>
      </c>
      <c r="CE79" s="76">
        <v>0</v>
      </c>
      <c r="CF79" s="76">
        <v>0</v>
      </c>
      <c r="CG79" s="76">
        <v>0</v>
      </c>
      <c r="CH79">
        <v>0</v>
      </c>
      <c r="CI79">
        <v>1</v>
      </c>
      <c r="CJ79" s="76">
        <v>0</v>
      </c>
      <c r="CK79">
        <v>0</v>
      </c>
      <c r="CL79">
        <v>0</v>
      </c>
      <c r="CM79" s="17">
        <v>0</v>
      </c>
      <c r="CS79" t="s">
        <v>49</v>
      </c>
    </row>
    <row r="80" spans="1:97" x14ac:dyDescent="0.25">
      <c r="A80">
        <v>79</v>
      </c>
      <c r="B80">
        <v>5</v>
      </c>
      <c r="C80" t="s">
        <v>302</v>
      </c>
      <c r="D80" s="10">
        <v>5.6</v>
      </c>
      <c r="E80" s="6">
        <v>1.8</v>
      </c>
      <c r="F80" s="6">
        <f t="shared" si="4"/>
        <v>3.1111111111111107</v>
      </c>
      <c r="L80" s="91">
        <v>0</v>
      </c>
      <c r="M80" s="79">
        <v>0</v>
      </c>
      <c r="N80" s="79">
        <v>1</v>
      </c>
      <c r="O80" s="79">
        <v>0</v>
      </c>
      <c r="P80" s="79">
        <v>0</v>
      </c>
      <c r="Q80" s="91">
        <v>632</v>
      </c>
      <c r="R80" s="79">
        <v>3</v>
      </c>
      <c r="S80" s="79">
        <f t="shared" si="7"/>
        <v>628</v>
      </c>
      <c r="U80" s="79">
        <v>12.16</v>
      </c>
      <c r="V80" s="79">
        <v>14.03</v>
      </c>
      <c r="W80" s="91">
        <v>1</v>
      </c>
      <c r="X80" s="79">
        <v>0</v>
      </c>
      <c r="Y80" s="91">
        <v>0</v>
      </c>
      <c r="Z80" s="79">
        <v>0</v>
      </c>
      <c r="AA80" s="79">
        <v>1</v>
      </c>
      <c r="AB80" s="79">
        <v>0</v>
      </c>
      <c r="AC80" s="91">
        <v>0</v>
      </c>
      <c r="AD80" s="79">
        <v>1</v>
      </c>
      <c r="AE80" s="79">
        <v>0</v>
      </c>
      <c r="AF80" s="91">
        <v>1</v>
      </c>
      <c r="AG80" s="79">
        <v>0</v>
      </c>
      <c r="AH80" s="78">
        <v>2002</v>
      </c>
      <c r="AI80">
        <f t="shared" si="12"/>
        <v>0.14000000000000001</v>
      </c>
      <c r="AJ80">
        <f t="shared" si="12"/>
        <v>0.14000000000000001</v>
      </c>
      <c r="AK80">
        <v>0.6</v>
      </c>
      <c r="AL80">
        <v>0.12</v>
      </c>
      <c r="AM80" s="29" t="s">
        <v>62</v>
      </c>
      <c r="AN80" t="s">
        <v>62</v>
      </c>
      <c r="AO80" s="29">
        <v>0.59</v>
      </c>
      <c r="AP80">
        <f t="shared" si="13"/>
        <v>0.41000000000000003</v>
      </c>
      <c r="AQ80" s="29">
        <v>0</v>
      </c>
      <c r="AR80" s="72">
        <f t="shared" si="9"/>
        <v>1</v>
      </c>
      <c r="AU80" s="29">
        <v>0.64</v>
      </c>
      <c r="AV80" s="83">
        <f t="shared" si="14"/>
        <v>0.36</v>
      </c>
      <c r="AW80" s="83">
        <v>0</v>
      </c>
      <c r="AX80" s="83">
        <v>1</v>
      </c>
      <c r="AY80" s="83">
        <v>0</v>
      </c>
      <c r="AZ80" s="67" t="s">
        <v>408</v>
      </c>
      <c r="BN80" s="69">
        <v>33.770000000000003</v>
      </c>
      <c r="BO80">
        <v>0</v>
      </c>
      <c r="BP80">
        <v>0</v>
      </c>
      <c r="BQ80">
        <v>0</v>
      </c>
      <c r="BR80" s="76">
        <v>0</v>
      </c>
      <c r="BS80" s="76">
        <v>0</v>
      </c>
      <c r="BT80">
        <v>1</v>
      </c>
      <c r="BY80" s="29">
        <v>1</v>
      </c>
      <c r="BZ80">
        <v>0</v>
      </c>
      <c r="CA80">
        <v>0</v>
      </c>
      <c r="CB80" s="29">
        <v>0</v>
      </c>
      <c r="CC80">
        <v>0</v>
      </c>
      <c r="CD80">
        <v>1</v>
      </c>
      <c r="CE80" s="76">
        <v>0</v>
      </c>
      <c r="CF80" s="76">
        <v>0</v>
      </c>
      <c r="CG80" s="76">
        <v>0</v>
      </c>
      <c r="CH80">
        <v>0</v>
      </c>
      <c r="CI80">
        <v>1</v>
      </c>
      <c r="CJ80" s="76">
        <v>0</v>
      </c>
      <c r="CK80">
        <v>0</v>
      </c>
      <c r="CL80">
        <v>0</v>
      </c>
      <c r="CM80" s="17">
        <v>0</v>
      </c>
      <c r="CS80" t="s">
        <v>49</v>
      </c>
    </row>
    <row r="81" spans="1:97" x14ac:dyDescent="0.25">
      <c r="A81">
        <v>80</v>
      </c>
      <c r="B81">
        <v>6</v>
      </c>
      <c r="C81" t="s">
        <v>308</v>
      </c>
      <c r="D81" s="10">
        <v>4.8</v>
      </c>
      <c r="E81" s="6">
        <f>D81/F81</f>
        <v>0.28828828828828829</v>
      </c>
      <c r="F81" s="6">
        <v>16.649999999999999</v>
      </c>
      <c r="L81" s="91">
        <v>0</v>
      </c>
      <c r="M81" s="79">
        <v>0</v>
      </c>
      <c r="N81" s="79">
        <v>0</v>
      </c>
      <c r="O81" s="79">
        <v>1</v>
      </c>
      <c r="P81" s="79">
        <v>0</v>
      </c>
      <c r="Q81" s="91">
        <v>1204</v>
      </c>
      <c r="R81" s="79">
        <v>5</v>
      </c>
      <c r="S81" s="79">
        <f t="shared" si="7"/>
        <v>1198</v>
      </c>
      <c r="U81" s="79">
        <v>12.513999999999999</v>
      </c>
      <c r="V81" s="79">
        <f>BN81-U81-6</f>
        <v>18.317000000000004</v>
      </c>
      <c r="W81" s="91">
        <v>1</v>
      </c>
      <c r="X81" s="79">
        <v>0</v>
      </c>
      <c r="Y81" s="91">
        <v>0</v>
      </c>
      <c r="Z81" s="79">
        <v>0</v>
      </c>
      <c r="AA81" s="79">
        <v>0</v>
      </c>
      <c r="AB81" s="79">
        <v>1</v>
      </c>
      <c r="AC81" s="91">
        <v>0</v>
      </c>
      <c r="AD81" s="79">
        <v>1</v>
      </c>
      <c r="AE81" s="79">
        <v>0</v>
      </c>
      <c r="AF81" s="91">
        <v>0</v>
      </c>
      <c r="AG81" s="79">
        <v>1</v>
      </c>
      <c r="AH81" s="78">
        <v>1981</v>
      </c>
      <c r="AI81" t="s">
        <v>62</v>
      </c>
      <c r="AJ81" t="s">
        <v>62</v>
      </c>
      <c r="AK81" t="s">
        <v>62</v>
      </c>
      <c r="AL81" s="76" t="s">
        <v>62</v>
      </c>
      <c r="AM81" s="29" t="s">
        <v>62</v>
      </c>
      <c r="AN81" t="s">
        <v>62</v>
      </c>
      <c r="AO81" s="29">
        <v>0.46800000000000003</v>
      </c>
      <c r="AP81">
        <f t="shared" si="13"/>
        <v>0.53200000000000003</v>
      </c>
      <c r="AQ81" s="29" t="s">
        <v>62</v>
      </c>
      <c r="AR81" s="76" t="s">
        <v>62</v>
      </c>
      <c r="AU81" s="29">
        <v>0.75900000000000001</v>
      </c>
      <c r="AV81" s="83">
        <f t="shared" si="14"/>
        <v>0.24099999999999999</v>
      </c>
      <c r="AW81">
        <v>1</v>
      </c>
      <c r="AX81">
        <v>0</v>
      </c>
      <c r="AY81">
        <v>0</v>
      </c>
      <c r="AZ81" s="67" t="s">
        <v>415</v>
      </c>
      <c r="BN81" s="69">
        <v>36.831000000000003</v>
      </c>
      <c r="BO81">
        <v>0</v>
      </c>
      <c r="BP81">
        <v>1</v>
      </c>
      <c r="BQ81" s="76">
        <v>0</v>
      </c>
      <c r="BR81" s="76">
        <v>0</v>
      </c>
      <c r="BS81" s="76">
        <v>0</v>
      </c>
      <c r="BT81" s="76">
        <v>0</v>
      </c>
      <c r="BY81" s="29">
        <v>0</v>
      </c>
      <c r="BZ81">
        <v>0</v>
      </c>
      <c r="CA81">
        <v>0</v>
      </c>
      <c r="CB81" s="29">
        <v>1</v>
      </c>
      <c r="CC81">
        <v>0</v>
      </c>
      <c r="CD81" s="76">
        <v>0</v>
      </c>
      <c r="CE81" s="76">
        <v>0</v>
      </c>
      <c r="CF81" s="76">
        <v>0</v>
      </c>
      <c r="CG81" s="76">
        <v>0</v>
      </c>
      <c r="CH81">
        <v>1</v>
      </c>
      <c r="CI81">
        <v>1</v>
      </c>
      <c r="CJ81" s="76">
        <v>0</v>
      </c>
      <c r="CK81" s="76">
        <v>0</v>
      </c>
      <c r="CL81" s="76">
        <v>0</v>
      </c>
      <c r="CM81" s="17">
        <v>0</v>
      </c>
      <c r="CS81" t="s">
        <v>49</v>
      </c>
    </row>
    <row r="82" spans="1:97" x14ac:dyDescent="0.25">
      <c r="A82">
        <v>81</v>
      </c>
      <c r="B82">
        <v>6</v>
      </c>
      <c r="C82" t="s">
        <v>308</v>
      </c>
      <c r="D82" s="10">
        <v>2.5</v>
      </c>
      <c r="E82" s="6">
        <f>D82/F82</f>
        <v>0.50813008130081305</v>
      </c>
      <c r="F82" s="6">
        <v>4.92</v>
      </c>
      <c r="L82" s="91">
        <v>0</v>
      </c>
      <c r="M82" s="79">
        <v>0</v>
      </c>
      <c r="N82" s="79">
        <v>0</v>
      </c>
      <c r="O82" s="79">
        <v>1</v>
      </c>
      <c r="P82" s="79">
        <v>0</v>
      </c>
      <c r="Q82" s="91">
        <v>602</v>
      </c>
      <c r="R82" s="79">
        <v>2</v>
      </c>
      <c r="S82" s="79">
        <f t="shared" si="7"/>
        <v>599</v>
      </c>
      <c r="U82" s="79">
        <v>12.513999999999999</v>
      </c>
      <c r="V82" s="79">
        <f t="shared" ref="V82:V95" si="15">BN82-U82-6</f>
        <v>18.317000000000004</v>
      </c>
      <c r="W82" s="91">
        <v>1</v>
      </c>
      <c r="X82" s="79">
        <v>0</v>
      </c>
      <c r="Y82" s="91">
        <v>0</v>
      </c>
      <c r="Z82" s="79">
        <v>0</v>
      </c>
      <c r="AA82" s="79">
        <v>0</v>
      </c>
      <c r="AB82" s="79">
        <v>1</v>
      </c>
      <c r="AC82" s="91">
        <v>0</v>
      </c>
      <c r="AD82" s="79">
        <v>1</v>
      </c>
      <c r="AE82" s="79">
        <v>0</v>
      </c>
      <c r="AF82" s="91">
        <v>0</v>
      </c>
      <c r="AG82" s="79">
        <v>1</v>
      </c>
      <c r="AH82" s="78">
        <v>1981</v>
      </c>
      <c r="AI82" t="s">
        <v>62</v>
      </c>
      <c r="AJ82" t="s">
        <v>62</v>
      </c>
      <c r="AK82" t="s">
        <v>62</v>
      </c>
      <c r="AL82" s="76" t="s">
        <v>62</v>
      </c>
      <c r="AM82" s="29" t="s">
        <v>62</v>
      </c>
      <c r="AN82" t="s">
        <v>62</v>
      </c>
      <c r="AO82" s="29">
        <v>0.46800000000000003</v>
      </c>
      <c r="AP82">
        <f t="shared" si="13"/>
        <v>0.53200000000000003</v>
      </c>
      <c r="AQ82" s="29" t="s">
        <v>62</v>
      </c>
      <c r="AR82" s="76" t="s">
        <v>62</v>
      </c>
      <c r="AU82" s="29">
        <v>0.75900000000000001</v>
      </c>
      <c r="AV82" s="83">
        <f t="shared" si="14"/>
        <v>0.24099999999999999</v>
      </c>
      <c r="AW82">
        <v>1</v>
      </c>
      <c r="AX82">
        <v>0</v>
      </c>
      <c r="AY82">
        <v>0</v>
      </c>
      <c r="AZ82" s="67" t="s">
        <v>415</v>
      </c>
      <c r="BN82" s="69">
        <v>36.831000000000003</v>
      </c>
      <c r="BO82">
        <v>0</v>
      </c>
      <c r="BP82">
        <v>1</v>
      </c>
      <c r="BQ82" s="76">
        <v>0</v>
      </c>
      <c r="BR82" s="76">
        <v>0</v>
      </c>
      <c r="BS82" s="76">
        <v>0</v>
      </c>
      <c r="BT82" s="76">
        <v>0</v>
      </c>
      <c r="BY82" s="29">
        <v>0</v>
      </c>
      <c r="BZ82">
        <v>0</v>
      </c>
      <c r="CA82">
        <v>0</v>
      </c>
      <c r="CB82" s="29">
        <v>0</v>
      </c>
      <c r="CC82">
        <v>0</v>
      </c>
      <c r="CD82" s="76">
        <v>0</v>
      </c>
      <c r="CE82" s="76">
        <v>0</v>
      </c>
      <c r="CF82" s="76">
        <v>0</v>
      </c>
      <c r="CG82" s="76">
        <v>0</v>
      </c>
      <c r="CH82">
        <v>0</v>
      </c>
      <c r="CI82">
        <v>1</v>
      </c>
      <c r="CJ82" s="76">
        <v>0</v>
      </c>
      <c r="CK82" s="76">
        <v>0</v>
      </c>
      <c r="CL82" s="76">
        <v>0</v>
      </c>
      <c r="CM82" s="17">
        <v>0</v>
      </c>
      <c r="CS82" t="s">
        <v>49</v>
      </c>
    </row>
    <row r="83" spans="1:97" x14ac:dyDescent="0.25">
      <c r="A83">
        <v>82</v>
      </c>
      <c r="B83">
        <v>6</v>
      </c>
      <c r="C83" t="s">
        <v>308</v>
      </c>
      <c r="D83" s="10">
        <v>6</v>
      </c>
      <c r="E83" s="6">
        <f>D83/F83</f>
        <v>0.27985074626865669</v>
      </c>
      <c r="F83" s="6">
        <v>21.44</v>
      </c>
      <c r="L83" s="91">
        <v>0</v>
      </c>
      <c r="M83" s="79">
        <v>0</v>
      </c>
      <c r="N83" s="79">
        <v>0</v>
      </c>
      <c r="O83" s="79">
        <v>1</v>
      </c>
      <c r="P83" s="79">
        <v>0</v>
      </c>
      <c r="Q83" s="91">
        <v>1176</v>
      </c>
      <c r="R83" s="79">
        <v>5</v>
      </c>
      <c r="S83" s="79">
        <f t="shared" si="7"/>
        <v>1170</v>
      </c>
      <c r="U83" s="79">
        <v>12.695</v>
      </c>
      <c r="V83" s="79">
        <f t="shared" si="15"/>
        <v>16.643000000000001</v>
      </c>
      <c r="W83" s="91">
        <v>1</v>
      </c>
      <c r="X83" s="79">
        <v>0</v>
      </c>
      <c r="Y83" s="91">
        <v>0</v>
      </c>
      <c r="Z83" s="79">
        <v>0</v>
      </c>
      <c r="AA83" s="79">
        <v>0</v>
      </c>
      <c r="AB83" s="79">
        <v>1</v>
      </c>
      <c r="AC83" s="91">
        <v>0</v>
      </c>
      <c r="AD83" s="79">
        <v>1</v>
      </c>
      <c r="AE83" s="79">
        <v>0</v>
      </c>
      <c r="AF83" s="91">
        <v>0</v>
      </c>
      <c r="AG83" s="79">
        <v>1</v>
      </c>
      <c r="AH83" s="78">
        <v>1981</v>
      </c>
      <c r="AI83" t="s">
        <v>62</v>
      </c>
      <c r="AJ83" t="s">
        <v>62</v>
      </c>
      <c r="AK83" t="s">
        <v>62</v>
      </c>
      <c r="AL83" s="76" t="s">
        <v>62</v>
      </c>
      <c r="AM83" s="29" t="s">
        <v>62</v>
      </c>
      <c r="AN83" t="s">
        <v>62</v>
      </c>
      <c r="AO83" s="29">
        <v>0.505</v>
      </c>
      <c r="AP83">
        <f>1-AO83</f>
        <v>0.495</v>
      </c>
      <c r="AQ83" s="29" t="s">
        <v>62</v>
      </c>
      <c r="AR83" s="76" t="s">
        <v>62</v>
      </c>
      <c r="AU83" s="29">
        <v>0.72199999999999998</v>
      </c>
      <c r="AV83" s="83">
        <f t="shared" si="14"/>
        <v>0.27800000000000002</v>
      </c>
      <c r="AW83">
        <v>0</v>
      </c>
      <c r="AX83">
        <v>1</v>
      </c>
      <c r="AY83">
        <v>0</v>
      </c>
      <c r="AZ83" s="67" t="s">
        <v>415</v>
      </c>
      <c r="BN83" s="69">
        <v>35.338000000000001</v>
      </c>
      <c r="BO83">
        <v>0</v>
      </c>
      <c r="BP83">
        <v>1</v>
      </c>
      <c r="BQ83" s="76">
        <v>0</v>
      </c>
      <c r="BR83" s="76">
        <v>0</v>
      </c>
      <c r="BS83" s="76">
        <v>0</v>
      </c>
      <c r="BT83" s="76">
        <v>0</v>
      </c>
      <c r="BY83" s="29">
        <v>0</v>
      </c>
      <c r="BZ83">
        <v>0</v>
      </c>
      <c r="CA83">
        <v>0</v>
      </c>
      <c r="CB83" s="29">
        <v>1</v>
      </c>
      <c r="CC83">
        <v>0</v>
      </c>
      <c r="CD83" s="76">
        <v>0</v>
      </c>
      <c r="CE83" s="76">
        <v>0</v>
      </c>
      <c r="CF83" s="76">
        <v>0</v>
      </c>
      <c r="CG83" s="76">
        <v>0</v>
      </c>
      <c r="CH83">
        <v>1</v>
      </c>
      <c r="CI83">
        <v>1</v>
      </c>
      <c r="CJ83" s="76">
        <v>0</v>
      </c>
      <c r="CK83" s="76">
        <v>0</v>
      </c>
      <c r="CL83" s="76">
        <v>0</v>
      </c>
      <c r="CM83" s="17">
        <v>0</v>
      </c>
      <c r="CS83" t="s">
        <v>49</v>
      </c>
    </row>
    <row r="84" spans="1:97" x14ac:dyDescent="0.25">
      <c r="A84">
        <v>83</v>
      </c>
      <c r="B84">
        <v>6</v>
      </c>
      <c r="C84" t="s">
        <v>308</v>
      </c>
      <c r="D84" s="10">
        <v>4.5</v>
      </c>
      <c r="E84" s="6">
        <f>D84/F84</f>
        <v>0.48335123523093443</v>
      </c>
      <c r="F84" s="6">
        <v>9.31</v>
      </c>
      <c r="L84" s="91">
        <v>0</v>
      </c>
      <c r="M84" s="79">
        <v>0</v>
      </c>
      <c r="N84" s="79">
        <v>0</v>
      </c>
      <c r="O84" s="79">
        <v>1</v>
      </c>
      <c r="P84" s="79">
        <v>0</v>
      </c>
      <c r="Q84" s="91">
        <v>568</v>
      </c>
      <c r="R84" s="79">
        <v>3</v>
      </c>
      <c r="S84" s="79">
        <f t="shared" si="7"/>
        <v>564</v>
      </c>
      <c r="U84" s="79">
        <v>12.695</v>
      </c>
      <c r="V84" s="79">
        <f t="shared" si="15"/>
        <v>16.643000000000001</v>
      </c>
      <c r="W84" s="91">
        <v>1</v>
      </c>
      <c r="X84" s="79">
        <v>0</v>
      </c>
      <c r="Y84" s="91">
        <v>0</v>
      </c>
      <c r="Z84" s="79">
        <v>0</v>
      </c>
      <c r="AA84" s="79">
        <v>0</v>
      </c>
      <c r="AB84" s="79">
        <v>1</v>
      </c>
      <c r="AC84" s="91">
        <v>0</v>
      </c>
      <c r="AD84" s="79">
        <v>1</v>
      </c>
      <c r="AE84" s="79">
        <v>0</v>
      </c>
      <c r="AF84" s="91">
        <v>0</v>
      </c>
      <c r="AG84" s="79">
        <v>1</v>
      </c>
      <c r="AH84" s="78">
        <v>1981</v>
      </c>
      <c r="AI84" t="s">
        <v>62</v>
      </c>
      <c r="AJ84" t="s">
        <v>62</v>
      </c>
      <c r="AK84" t="s">
        <v>62</v>
      </c>
      <c r="AL84" s="76" t="s">
        <v>62</v>
      </c>
      <c r="AM84" s="29" t="s">
        <v>62</v>
      </c>
      <c r="AN84" t="s">
        <v>62</v>
      </c>
      <c r="AO84" s="29">
        <v>0.505</v>
      </c>
      <c r="AP84">
        <f>1-AO84</f>
        <v>0.495</v>
      </c>
      <c r="AQ84" s="29" t="s">
        <v>62</v>
      </c>
      <c r="AR84" s="76" t="s">
        <v>62</v>
      </c>
      <c r="AU84" s="29">
        <v>0.72199999999999998</v>
      </c>
      <c r="AV84" s="83">
        <f t="shared" si="14"/>
        <v>0.27800000000000002</v>
      </c>
      <c r="AW84" s="76">
        <v>0</v>
      </c>
      <c r="AX84">
        <v>1</v>
      </c>
      <c r="AY84">
        <v>0</v>
      </c>
      <c r="AZ84" s="67" t="s">
        <v>415</v>
      </c>
      <c r="BN84" s="69">
        <v>35.338000000000001</v>
      </c>
      <c r="BO84">
        <v>0</v>
      </c>
      <c r="BP84">
        <v>1</v>
      </c>
      <c r="BQ84" s="76">
        <v>0</v>
      </c>
      <c r="BR84" s="76">
        <v>0</v>
      </c>
      <c r="BS84" s="76">
        <v>0</v>
      </c>
      <c r="BT84" s="76">
        <v>0</v>
      </c>
      <c r="BY84" s="29">
        <v>0</v>
      </c>
      <c r="BZ84">
        <v>0</v>
      </c>
      <c r="CA84">
        <v>0</v>
      </c>
      <c r="CB84" s="29">
        <v>0</v>
      </c>
      <c r="CC84">
        <v>0</v>
      </c>
      <c r="CD84" s="76">
        <v>0</v>
      </c>
      <c r="CE84" s="76">
        <v>0</v>
      </c>
      <c r="CF84" s="76">
        <v>0</v>
      </c>
      <c r="CG84" s="76">
        <v>0</v>
      </c>
      <c r="CH84">
        <v>0</v>
      </c>
      <c r="CI84">
        <v>1</v>
      </c>
      <c r="CJ84" s="76">
        <v>0</v>
      </c>
      <c r="CK84" s="76">
        <v>0</v>
      </c>
      <c r="CL84" s="76">
        <v>0</v>
      </c>
      <c r="CM84" s="17">
        <v>0</v>
      </c>
      <c r="CS84" t="s">
        <v>49</v>
      </c>
    </row>
    <row r="85" spans="1:97" x14ac:dyDescent="0.25">
      <c r="A85">
        <v>84</v>
      </c>
      <c r="B85">
        <v>6</v>
      </c>
      <c r="C85" t="s">
        <v>308</v>
      </c>
      <c r="D85" s="93">
        <v>6.4</v>
      </c>
      <c r="E85" s="6">
        <f>D85/F85</f>
        <v>0.24024024024024024</v>
      </c>
      <c r="F85" s="6">
        <v>26.64</v>
      </c>
      <c r="L85" s="91">
        <v>0</v>
      </c>
      <c r="M85" s="79">
        <v>0</v>
      </c>
      <c r="N85" s="79">
        <v>0</v>
      </c>
      <c r="O85" s="79">
        <v>1</v>
      </c>
      <c r="P85" s="79">
        <v>0</v>
      </c>
      <c r="Q85" s="91">
        <v>1204</v>
      </c>
      <c r="R85" s="79">
        <v>4</v>
      </c>
      <c r="S85" s="79">
        <f t="shared" si="7"/>
        <v>1199</v>
      </c>
      <c r="U85" s="79">
        <v>12.513999999999999</v>
      </c>
      <c r="V85" s="79">
        <f t="shared" si="15"/>
        <v>18.317000000000004</v>
      </c>
      <c r="W85" s="91">
        <v>1</v>
      </c>
      <c r="X85" s="79">
        <v>0</v>
      </c>
      <c r="Y85" s="91">
        <v>0</v>
      </c>
      <c r="Z85" s="79">
        <v>0</v>
      </c>
      <c r="AA85" s="79">
        <v>0</v>
      </c>
      <c r="AB85" s="79">
        <v>1</v>
      </c>
      <c r="AC85" s="91">
        <v>0</v>
      </c>
      <c r="AD85" s="79">
        <v>1</v>
      </c>
      <c r="AE85" s="79">
        <v>0</v>
      </c>
      <c r="AF85" s="91">
        <v>0</v>
      </c>
      <c r="AG85" s="79">
        <v>1</v>
      </c>
      <c r="AH85" s="78">
        <v>1981</v>
      </c>
      <c r="AI85" t="s">
        <v>62</v>
      </c>
      <c r="AJ85" t="s">
        <v>62</v>
      </c>
      <c r="AK85" t="s">
        <v>62</v>
      </c>
      <c r="AL85" s="76" t="s">
        <v>62</v>
      </c>
      <c r="AM85" s="29" t="s">
        <v>62</v>
      </c>
      <c r="AN85" t="s">
        <v>62</v>
      </c>
      <c r="AO85" s="29">
        <v>0.46800000000000003</v>
      </c>
      <c r="AP85">
        <f t="shared" ref="AP85:AP91" si="16">1-AO85</f>
        <v>0.53200000000000003</v>
      </c>
      <c r="AQ85" s="29" t="s">
        <v>62</v>
      </c>
      <c r="AR85" s="76" t="s">
        <v>62</v>
      </c>
      <c r="AU85" s="29">
        <v>0.75900000000000001</v>
      </c>
      <c r="AV85" s="83">
        <f t="shared" si="14"/>
        <v>0.24099999999999999</v>
      </c>
      <c r="AW85" s="76">
        <v>1</v>
      </c>
      <c r="AX85">
        <v>0</v>
      </c>
      <c r="AY85">
        <v>0</v>
      </c>
      <c r="AZ85" s="67" t="s">
        <v>415</v>
      </c>
      <c r="BN85" s="69">
        <v>36.831000000000003</v>
      </c>
      <c r="BO85">
        <v>1</v>
      </c>
      <c r="BP85">
        <v>0</v>
      </c>
      <c r="BQ85" s="76">
        <v>0</v>
      </c>
      <c r="BR85" s="76">
        <v>0</v>
      </c>
      <c r="BS85" s="76">
        <v>0</v>
      </c>
      <c r="BT85" s="76">
        <v>0</v>
      </c>
      <c r="BY85" s="29">
        <v>0</v>
      </c>
      <c r="BZ85">
        <v>0</v>
      </c>
      <c r="CA85">
        <v>0</v>
      </c>
      <c r="CB85" s="29">
        <v>1</v>
      </c>
      <c r="CC85">
        <v>0</v>
      </c>
      <c r="CD85" s="76">
        <v>0</v>
      </c>
      <c r="CE85" s="76">
        <v>0</v>
      </c>
      <c r="CF85" s="76">
        <v>0</v>
      </c>
      <c r="CG85" s="76">
        <v>0</v>
      </c>
      <c r="CH85">
        <v>1</v>
      </c>
      <c r="CI85">
        <v>1</v>
      </c>
      <c r="CJ85" s="76">
        <v>0</v>
      </c>
      <c r="CK85" s="76">
        <v>0</v>
      </c>
      <c r="CL85" s="76">
        <v>0</v>
      </c>
      <c r="CM85" s="17">
        <v>0</v>
      </c>
      <c r="CS85" t="s">
        <v>49</v>
      </c>
    </row>
    <row r="86" spans="1:97" x14ac:dyDescent="0.25">
      <c r="A86">
        <v>85</v>
      </c>
      <c r="B86">
        <v>6</v>
      </c>
      <c r="C86" t="s">
        <v>308</v>
      </c>
      <c r="D86" s="93">
        <v>2.5</v>
      </c>
      <c r="E86" s="6">
        <f>D86/F86</f>
        <v>0.50813008130081305</v>
      </c>
      <c r="F86" s="6">
        <v>4.92</v>
      </c>
      <c r="L86" s="91">
        <v>0</v>
      </c>
      <c r="M86" s="79">
        <v>0</v>
      </c>
      <c r="N86" s="79">
        <v>0</v>
      </c>
      <c r="O86" s="79">
        <v>1</v>
      </c>
      <c r="P86" s="79">
        <v>0</v>
      </c>
      <c r="Q86" s="91">
        <v>602</v>
      </c>
      <c r="R86" s="79">
        <v>2</v>
      </c>
      <c r="S86" s="79">
        <f t="shared" si="7"/>
        <v>599</v>
      </c>
      <c r="U86" s="79">
        <v>12.513999999999999</v>
      </c>
      <c r="V86" s="79">
        <f t="shared" si="15"/>
        <v>18.317000000000004</v>
      </c>
      <c r="W86" s="91">
        <v>1</v>
      </c>
      <c r="X86" s="79">
        <v>0</v>
      </c>
      <c r="Y86" s="91">
        <v>0</v>
      </c>
      <c r="Z86" s="79">
        <v>0</v>
      </c>
      <c r="AA86" s="79">
        <v>0</v>
      </c>
      <c r="AB86" s="79">
        <v>1</v>
      </c>
      <c r="AC86" s="91">
        <v>0</v>
      </c>
      <c r="AD86" s="79">
        <v>1</v>
      </c>
      <c r="AE86" s="79">
        <v>0</v>
      </c>
      <c r="AF86" s="91">
        <v>0</v>
      </c>
      <c r="AG86" s="79">
        <v>1</v>
      </c>
      <c r="AH86" s="78">
        <v>1981</v>
      </c>
      <c r="AI86" t="s">
        <v>62</v>
      </c>
      <c r="AJ86" t="s">
        <v>62</v>
      </c>
      <c r="AK86" t="s">
        <v>62</v>
      </c>
      <c r="AL86" s="76" t="s">
        <v>62</v>
      </c>
      <c r="AM86" s="29" t="s">
        <v>62</v>
      </c>
      <c r="AN86" t="s">
        <v>62</v>
      </c>
      <c r="AO86" s="29">
        <v>0.46800000000000003</v>
      </c>
      <c r="AP86">
        <f t="shared" si="16"/>
        <v>0.53200000000000003</v>
      </c>
      <c r="AQ86" s="29" t="s">
        <v>62</v>
      </c>
      <c r="AR86" s="76" t="s">
        <v>62</v>
      </c>
      <c r="AU86" s="29">
        <v>0.75900000000000001</v>
      </c>
      <c r="AV86" s="83">
        <f t="shared" si="14"/>
        <v>0.24099999999999999</v>
      </c>
      <c r="AW86" s="76">
        <v>1</v>
      </c>
      <c r="AX86">
        <v>0</v>
      </c>
      <c r="AY86">
        <v>0</v>
      </c>
      <c r="AZ86" s="67" t="s">
        <v>415</v>
      </c>
      <c r="BN86" s="69">
        <v>36.831000000000003</v>
      </c>
      <c r="BO86">
        <v>0</v>
      </c>
      <c r="BP86">
        <v>1</v>
      </c>
      <c r="BQ86" s="76">
        <v>0</v>
      </c>
      <c r="BR86" s="76">
        <v>0</v>
      </c>
      <c r="BS86" s="76">
        <v>0</v>
      </c>
      <c r="BT86" s="76">
        <v>0</v>
      </c>
      <c r="BY86" s="29">
        <v>0</v>
      </c>
      <c r="BZ86">
        <v>0</v>
      </c>
      <c r="CA86">
        <v>0</v>
      </c>
      <c r="CB86" s="29">
        <v>0</v>
      </c>
      <c r="CC86">
        <v>0</v>
      </c>
      <c r="CD86" s="76">
        <v>0</v>
      </c>
      <c r="CE86" s="76">
        <v>0</v>
      </c>
      <c r="CF86" s="76">
        <v>0</v>
      </c>
      <c r="CG86" s="76">
        <v>0</v>
      </c>
      <c r="CH86">
        <v>0</v>
      </c>
      <c r="CI86">
        <v>1</v>
      </c>
      <c r="CJ86" s="76">
        <v>0</v>
      </c>
      <c r="CK86" s="76">
        <v>0</v>
      </c>
      <c r="CL86" s="76">
        <v>0</v>
      </c>
      <c r="CM86" s="17">
        <v>0</v>
      </c>
      <c r="CS86" t="s">
        <v>49</v>
      </c>
    </row>
    <row r="87" spans="1:97" x14ac:dyDescent="0.25">
      <c r="A87">
        <v>86</v>
      </c>
      <c r="B87">
        <v>6</v>
      </c>
      <c r="C87" t="s">
        <v>308</v>
      </c>
      <c r="D87" s="93">
        <v>4.8</v>
      </c>
      <c r="E87" s="6">
        <f>D87/F87</f>
        <v>0.28828828828828829</v>
      </c>
      <c r="F87" s="6">
        <v>16.649999999999999</v>
      </c>
      <c r="L87" s="91">
        <v>0</v>
      </c>
      <c r="M87" s="79">
        <v>0</v>
      </c>
      <c r="N87" s="79">
        <v>0</v>
      </c>
      <c r="O87" s="79">
        <v>1</v>
      </c>
      <c r="P87" s="79">
        <v>0</v>
      </c>
      <c r="Q87" s="91">
        <v>1204</v>
      </c>
      <c r="R87" s="79">
        <v>5</v>
      </c>
      <c r="S87" s="79">
        <f t="shared" si="7"/>
        <v>1198</v>
      </c>
      <c r="U87" s="79">
        <v>12.513999999999999</v>
      </c>
      <c r="V87" s="79">
        <f t="shared" si="15"/>
        <v>18.317000000000004</v>
      </c>
      <c r="W87" s="91">
        <v>1</v>
      </c>
      <c r="X87" s="79">
        <v>0</v>
      </c>
      <c r="Y87" s="91">
        <v>0</v>
      </c>
      <c r="Z87" s="79">
        <v>0</v>
      </c>
      <c r="AA87" s="79">
        <v>0</v>
      </c>
      <c r="AB87" s="79">
        <v>1</v>
      </c>
      <c r="AC87" s="91">
        <v>0</v>
      </c>
      <c r="AD87" s="79">
        <v>1</v>
      </c>
      <c r="AE87" s="79">
        <v>0</v>
      </c>
      <c r="AF87" s="91">
        <v>0</v>
      </c>
      <c r="AG87" s="79">
        <v>1</v>
      </c>
      <c r="AH87" s="78">
        <v>1981</v>
      </c>
      <c r="AI87" t="s">
        <v>62</v>
      </c>
      <c r="AJ87" t="s">
        <v>62</v>
      </c>
      <c r="AK87" t="s">
        <v>62</v>
      </c>
      <c r="AL87" s="76" t="s">
        <v>62</v>
      </c>
      <c r="AM87" s="29" t="s">
        <v>62</v>
      </c>
      <c r="AN87" t="s">
        <v>62</v>
      </c>
      <c r="AO87" s="29">
        <v>0.46800000000000003</v>
      </c>
      <c r="AP87">
        <f t="shared" si="16"/>
        <v>0.53200000000000003</v>
      </c>
      <c r="AQ87" s="29" t="s">
        <v>62</v>
      </c>
      <c r="AR87" s="76" t="s">
        <v>62</v>
      </c>
      <c r="AU87" s="29">
        <v>0.75900000000000001</v>
      </c>
      <c r="AV87" s="83">
        <f t="shared" si="14"/>
        <v>0.24099999999999999</v>
      </c>
      <c r="AW87" s="76">
        <v>1</v>
      </c>
      <c r="AX87">
        <v>0</v>
      </c>
      <c r="AY87">
        <v>0</v>
      </c>
      <c r="AZ87" s="67" t="s">
        <v>415</v>
      </c>
      <c r="BN87" s="69">
        <v>36.831000000000003</v>
      </c>
      <c r="BO87">
        <v>0</v>
      </c>
      <c r="BP87">
        <v>1</v>
      </c>
      <c r="BQ87" s="76">
        <v>0</v>
      </c>
      <c r="BR87" s="76">
        <v>0</v>
      </c>
      <c r="BS87" s="76">
        <v>0</v>
      </c>
      <c r="BT87" s="76">
        <v>0</v>
      </c>
      <c r="BY87" s="29">
        <v>0</v>
      </c>
      <c r="BZ87">
        <v>0</v>
      </c>
      <c r="CA87">
        <v>0</v>
      </c>
      <c r="CB87" s="29">
        <v>1</v>
      </c>
      <c r="CC87">
        <v>0</v>
      </c>
      <c r="CD87" s="76">
        <v>0</v>
      </c>
      <c r="CE87" s="76">
        <v>0</v>
      </c>
      <c r="CF87" s="76">
        <v>0</v>
      </c>
      <c r="CG87" s="76">
        <v>0</v>
      </c>
      <c r="CH87">
        <v>1</v>
      </c>
      <c r="CI87">
        <v>1</v>
      </c>
      <c r="CJ87" s="76">
        <v>0</v>
      </c>
      <c r="CK87" s="76">
        <v>0</v>
      </c>
      <c r="CL87" s="76">
        <v>0</v>
      </c>
      <c r="CM87" s="17">
        <v>0</v>
      </c>
      <c r="CS87" t="s">
        <v>49</v>
      </c>
    </row>
    <row r="88" spans="1:97" x14ac:dyDescent="0.25">
      <c r="A88">
        <v>87</v>
      </c>
      <c r="B88">
        <v>6</v>
      </c>
      <c r="C88" t="s">
        <v>308</v>
      </c>
      <c r="D88" s="93">
        <v>7.3</v>
      </c>
      <c r="E88" s="6">
        <f>D88/F88</f>
        <v>0.28250773993808048</v>
      </c>
      <c r="F88" s="6">
        <v>25.84</v>
      </c>
      <c r="L88" s="91">
        <v>0</v>
      </c>
      <c r="M88" s="79">
        <v>0</v>
      </c>
      <c r="N88" s="79">
        <v>0</v>
      </c>
      <c r="O88" s="79">
        <v>1</v>
      </c>
      <c r="P88" s="79">
        <v>0</v>
      </c>
      <c r="Q88" s="91">
        <v>1204</v>
      </c>
      <c r="R88" s="79">
        <v>5</v>
      </c>
      <c r="S88" s="79">
        <f t="shared" si="7"/>
        <v>1198</v>
      </c>
      <c r="U88" s="79">
        <v>12.513999999999999</v>
      </c>
      <c r="V88" s="79">
        <f t="shared" si="15"/>
        <v>18.317000000000004</v>
      </c>
      <c r="W88" s="91">
        <v>1</v>
      </c>
      <c r="X88" s="79">
        <v>0</v>
      </c>
      <c r="Y88" s="91">
        <v>0</v>
      </c>
      <c r="Z88" s="79">
        <v>0</v>
      </c>
      <c r="AA88" s="79">
        <v>0</v>
      </c>
      <c r="AB88" s="79">
        <v>1</v>
      </c>
      <c r="AC88" s="91">
        <v>0</v>
      </c>
      <c r="AD88" s="79">
        <v>1</v>
      </c>
      <c r="AE88" s="79">
        <v>0</v>
      </c>
      <c r="AF88" s="91">
        <v>0</v>
      </c>
      <c r="AG88" s="79">
        <v>1</v>
      </c>
      <c r="AH88" s="78">
        <v>1981</v>
      </c>
      <c r="AI88" t="s">
        <v>62</v>
      </c>
      <c r="AJ88" t="s">
        <v>62</v>
      </c>
      <c r="AK88" t="s">
        <v>62</v>
      </c>
      <c r="AL88" s="76" t="s">
        <v>62</v>
      </c>
      <c r="AM88" s="29" t="s">
        <v>62</v>
      </c>
      <c r="AN88" t="s">
        <v>62</v>
      </c>
      <c r="AO88" s="29">
        <v>0.46800000000000003</v>
      </c>
      <c r="AP88">
        <f t="shared" si="16"/>
        <v>0.53200000000000003</v>
      </c>
      <c r="AQ88" s="29" t="s">
        <v>62</v>
      </c>
      <c r="AR88" s="76" t="s">
        <v>62</v>
      </c>
      <c r="AU88" s="29">
        <v>0.75900000000000001</v>
      </c>
      <c r="AV88" s="83">
        <f t="shared" si="14"/>
        <v>0.24099999999999999</v>
      </c>
      <c r="AW88" s="76">
        <v>1</v>
      </c>
      <c r="AX88">
        <v>0</v>
      </c>
      <c r="AY88">
        <v>0</v>
      </c>
      <c r="AZ88" s="67" t="s">
        <v>415</v>
      </c>
      <c r="BN88" s="69">
        <v>36.831000000000003</v>
      </c>
      <c r="BO88">
        <v>0</v>
      </c>
      <c r="BP88">
        <v>1</v>
      </c>
      <c r="BQ88" s="76">
        <v>0</v>
      </c>
      <c r="BR88" s="76">
        <v>0</v>
      </c>
      <c r="BS88" s="76">
        <v>0</v>
      </c>
      <c r="BT88" s="76">
        <v>0</v>
      </c>
      <c r="BY88" s="29">
        <v>0</v>
      </c>
      <c r="BZ88">
        <v>0</v>
      </c>
      <c r="CA88">
        <v>0</v>
      </c>
      <c r="CB88" s="29">
        <v>1</v>
      </c>
      <c r="CC88">
        <v>0</v>
      </c>
      <c r="CD88" s="76">
        <v>0</v>
      </c>
      <c r="CE88" s="76">
        <v>0</v>
      </c>
      <c r="CF88" s="76">
        <v>0</v>
      </c>
      <c r="CG88" s="76">
        <v>0</v>
      </c>
      <c r="CH88">
        <v>1</v>
      </c>
      <c r="CI88">
        <v>1</v>
      </c>
      <c r="CJ88" s="76">
        <v>0</v>
      </c>
      <c r="CK88" s="76">
        <v>0</v>
      </c>
      <c r="CL88" s="76">
        <v>0</v>
      </c>
      <c r="CM88" s="17">
        <v>0</v>
      </c>
      <c r="CS88" t="s">
        <v>49</v>
      </c>
    </row>
    <row r="89" spans="1:97" x14ac:dyDescent="0.25">
      <c r="A89">
        <v>88</v>
      </c>
      <c r="B89">
        <v>6</v>
      </c>
      <c r="C89" t="s">
        <v>308</v>
      </c>
      <c r="D89" s="93">
        <v>7.8</v>
      </c>
      <c r="E89" s="6">
        <f>D89/F89</f>
        <v>0.92746730083234241</v>
      </c>
      <c r="F89" s="6">
        <v>8.41</v>
      </c>
      <c r="L89" s="91">
        <v>0</v>
      </c>
      <c r="M89" s="79">
        <v>0</v>
      </c>
      <c r="N89" s="79">
        <v>0</v>
      </c>
      <c r="O89" s="79">
        <v>1</v>
      </c>
      <c r="P89" s="79">
        <v>0</v>
      </c>
      <c r="Q89" s="91">
        <v>1204</v>
      </c>
      <c r="R89" s="79">
        <v>6</v>
      </c>
      <c r="S89" s="79">
        <f t="shared" si="7"/>
        <v>1197</v>
      </c>
      <c r="U89" s="79">
        <v>12.513999999999999</v>
      </c>
      <c r="V89" s="79">
        <f t="shared" si="15"/>
        <v>18.317000000000004</v>
      </c>
      <c r="W89" s="91">
        <v>1</v>
      </c>
      <c r="X89" s="79">
        <v>0</v>
      </c>
      <c r="Y89" s="91">
        <v>0</v>
      </c>
      <c r="Z89" s="79">
        <v>0</v>
      </c>
      <c r="AA89" s="79">
        <v>0</v>
      </c>
      <c r="AB89" s="79">
        <v>1</v>
      </c>
      <c r="AC89" s="91">
        <v>0</v>
      </c>
      <c r="AD89" s="79">
        <v>1</v>
      </c>
      <c r="AE89" s="79">
        <v>0</v>
      </c>
      <c r="AF89" s="91">
        <v>0</v>
      </c>
      <c r="AG89" s="79">
        <v>1</v>
      </c>
      <c r="AH89" s="78">
        <v>1981</v>
      </c>
      <c r="AI89" t="s">
        <v>62</v>
      </c>
      <c r="AJ89" t="s">
        <v>62</v>
      </c>
      <c r="AK89" t="s">
        <v>62</v>
      </c>
      <c r="AL89" s="76" t="s">
        <v>62</v>
      </c>
      <c r="AM89" s="29" t="s">
        <v>62</v>
      </c>
      <c r="AN89" t="s">
        <v>62</v>
      </c>
      <c r="AO89" s="29">
        <v>0.46800000000000003</v>
      </c>
      <c r="AP89">
        <f t="shared" si="16"/>
        <v>0.53200000000000003</v>
      </c>
      <c r="AQ89" s="29" t="s">
        <v>62</v>
      </c>
      <c r="AR89" s="76" t="s">
        <v>62</v>
      </c>
      <c r="AU89" s="29">
        <v>0.75900000000000001</v>
      </c>
      <c r="AV89" s="83">
        <f t="shared" si="14"/>
        <v>0.24099999999999999</v>
      </c>
      <c r="AW89" s="76">
        <v>1</v>
      </c>
      <c r="AX89">
        <v>0</v>
      </c>
      <c r="AY89">
        <v>0</v>
      </c>
      <c r="AZ89" s="67" t="s">
        <v>415</v>
      </c>
      <c r="BN89" s="69">
        <v>36.831000000000003</v>
      </c>
      <c r="BO89">
        <v>0</v>
      </c>
      <c r="BP89">
        <v>1</v>
      </c>
      <c r="BQ89" s="76">
        <v>0</v>
      </c>
      <c r="BR89" s="76">
        <v>0</v>
      </c>
      <c r="BS89" s="76">
        <v>0</v>
      </c>
      <c r="BT89" s="76">
        <v>0</v>
      </c>
      <c r="BY89" s="29">
        <v>0</v>
      </c>
      <c r="BZ89">
        <v>0</v>
      </c>
      <c r="CA89">
        <v>0</v>
      </c>
      <c r="CB89" s="29">
        <v>1</v>
      </c>
      <c r="CC89">
        <v>0</v>
      </c>
      <c r="CD89" s="76">
        <v>0</v>
      </c>
      <c r="CE89" s="76">
        <v>0</v>
      </c>
      <c r="CF89" s="76">
        <v>0</v>
      </c>
      <c r="CG89" s="76">
        <v>0</v>
      </c>
      <c r="CH89">
        <v>1</v>
      </c>
      <c r="CI89">
        <v>1</v>
      </c>
      <c r="CJ89" s="76">
        <v>0</v>
      </c>
      <c r="CK89" s="76">
        <v>0</v>
      </c>
      <c r="CL89" s="76">
        <v>0</v>
      </c>
      <c r="CM89" s="17">
        <v>0</v>
      </c>
      <c r="CS89" t="s">
        <v>49</v>
      </c>
    </row>
    <row r="90" spans="1:97" x14ac:dyDescent="0.25">
      <c r="A90">
        <v>89</v>
      </c>
      <c r="B90">
        <v>6</v>
      </c>
      <c r="C90" t="s">
        <v>308</v>
      </c>
      <c r="D90" s="93">
        <v>8.3000000000000007</v>
      </c>
      <c r="E90" s="6">
        <f>D90/F90</f>
        <v>1.9856459330143543</v>
      </c>
      <c r="F90" s="6">
        <v>4.18</v>
      </c>
      <c r="L90" s="91">
        <v>0</v>
      </c>
      <c r="M90" s="79">
        <v>0</v>
      </c>
      <c r="N90" s="79">
        <v>0</v>
      </c>
      <c r="O90" s="79">
        <v>1</v>
      </c>
      <c r="P90" s="79">
        <v>0</v>
      </c>
      <c r="Q90" s="91">
        <v>602</v>
      </c>
      <c r="R90" s="79">
        <v>3</v>
      </c>
      <c r="S90" s="79">
        <f t="shared" si="7"/>
        <v>598</v>
      </c>
      <c r="U90" s="79">
        <v>12.513999999999999</v>
      </c>
      <c r="V90" s="79">
        <f t="shared" si="15"/>
        <v>18.317000000000004</v>
      </c>
      <c r="W90" s="91">
        <v>1</v>
      </c>
      <c r="X90" s="79">
        <v>0</v>
      </c>
      <c r="Y90" s="91">
        <v>0</v>
      </c>
      <c r="Z90" s="79">
        <v>0</v>
      </c>
      <c r="AA90" s="79">
        <v>0</v>
      </c>
      <c r="AB90" s="79">
        <v>1</v>
      </c>
      <c r="AC90" s="91">
        <v>0</v>
      </c>
      <c r="AD90" s="79">
        <v>1</v>
      </c>
      <c r="AE90" s="79">
        <v>0</v>
      </c>
      <c r="AF90" s="91">
        <v>0</v>
      </c>
      <c r="AG90" s="79">
        <v>1</v>
      </c>
      <c r="AH90" s="78">
        <v>1981</v>
      </c>
      <c r="AI90" t="s">
        <v>62</v>
      </c>
      <c r="AJ90" t="s">
        <v>62</v>
      </c>
      <c r="AK90" t="s">
        <v>62</v>
      </c>
      <c r="AL90" s="76" t="s">
        <v>62</v>
      </c>
      <c r="AM90" s="29" t="s">
        <v>62</v>
      </c>
      <c r="AN90" t="s">
        <v>62</v>
      </c>
      <c r="AO90" s="29">
        <v>0.46800000000000003</v>
      </c>
      <c r="AP90">
        <f t="shared" si="16"/>
        <v>0.53200000000000003</v>
      </c>
      <c r="AQ90" s="29" t="s">
        <v>62</v>
      </c>
      <c r="AR90" s="76" t="s">
        <v>62</v>
      </c>
      <c r="AU90" s="29">
        <v>0.75900000000000001</v>
      </c>
      <c r="AV90" s="83">
        <f t="shared" si="14"/>
        <v>0.24099999999999999</v>
      </c>
      <c r="AW90" s="76">
        <v>1</v>
      </c>
      <c r="AX90">
        <v>0</v>
      </c>
      <c r="AY90">
        <v>0</v>
      </c>
      <c r="AZ90" s="67" t="s">
        <v>415</v>
      </c>
      <c r="BN90" s="69">
        <v>36.831000000000003</v>
      </c>
      <c r="BO90">
        <v>0</v>
      </c>
      <c r="BP90">
        <v>1</v>
      </c>
      <c r="BQ90" s="76">
        <v>0</v>
      </c>
      <c r="BR90" s="76">
        <v>0</v>
      </c>
      <c r="BS90" s="76">
        <v>0</v>
      </c>
      <c r="BT90" s="76">
        <v>0</v>
      </c>
      <c r="BY90" s="29">
        <v>0</v>
      </c>
      <c r="BZ90">
        <v>0</v>
      </c>
      <c r="CA90">
        <v>0</v>
      </c>
      <c r="CB90" s="29">
        <v>0</v>
      </c>
      <c r="CC90">
        <v>0</v>
      </c>
      <c r="CD90" s="76">
        <v>0</v>
      </c>
      <c r="CE90" s="76">
        <v>0</v>
      </c>
      <c r="CF90" s="76">
        <v>0</v>
      </c>
      <c r="CG90" s="76">
        <v>0</v>
      </c>
      <c r="CH90">
        <v>0</v>
      </c>
      <c r="CI90">
        <v>1</v>
      </c>
      <c r="CJ90" s="76">
        <v>0</v>
      </c>
      <c r="CK90" s="76">
        <v>0</v>
      </c>
      <c r="CL90" s="76">
        <v>0</v>
      </c>
      <c r="CM90" s="17">
        <v>0</v>
      </c>
      <c r="CS90" t="s">
        <v>49</v>
      </c>
    </row>
    <row r="91" spans="1:97" x14ac:dyDescent="0.25">
      <c r="A91">
        <v>90</v>
      </c>
      <c r="B91">
        <v>6</v>
      </c>
      <c r="C91" t="s">
        <v>308</v>
      </c>
      <c r="D91" s="93">
        <v>4.5</v>
      </c>
      <c r="E91" s="6">
        <f>D91/F91</f>
        <v>0.92402464065708412</v>
      </c>
      <c r="F91" s="6">
        <v>4.87</v>
      </c>
      <c r="L91" s="91">
        <v>0</v>
      </c>
      <c r="M91" s="79">
        <v>0</v>
      </c>
      <c r="N91" s="79">
        <v>0</v>
      </c>
      <c r="O91" s="79">
        <v>1</v>
      </c>
      <c r="P91" s="79">
        <v>0</v>
      </c>
      <c r="Q91" s="91">
        <v>602</v>
      </c>
      <c r="R91" s="79">
        <v>3</v>
      </c>
      <c r="S91" s="79">
        <f t="shared" si="7"/>
        <v>598</v>
      </c>
      <c r="U91" s="79">
        <v>12.513999999999999</v>
      </c>
      <c r="V91" s="79">
        <f t="shared" si="15"/>
        <v>18.317000000000004</v>
      </c>
      <c r="W91" s="91">
        <v>1</v>
      </c>
      <c r="X91" s="79">
        <v>0</v>
      </c>
      <c r="Y91" s="91">
        <v>0</v>
      </c>
      <c r="Z91" s="79">
        <v>0</v>
      </c>
      <c r="AA91" s="79">
        <v>0</v>
      </c>
      <c r="AB91" s="79">
        <v>1</v>
      </c>
      <c r="AC91" s="91">
        <v>0</v>
      </c>
      <c r="AD91" s="79">
        <v>1</v>
      </c>
      <c r="AE91" s="79">
        <v>0</v>
      </c>
      <c r="AF91" s="91">
        <v>0</v>
      </c>
      <c r="AG91" s="79">
        <v>1</v>
      </c>
      <c r="AH91" s="78">
        <v>1981</v>
      </c>
      <c r="AI91" t="s">
        <v>62</v>
      </c>
      <c r="AJ91" t="s">
        <v>62</v>
      </c>
      <c r="AK91" t="s">
        <v>62</v>
      </c>
      <c r="AL91" s="76" t="s">
        <v>62</v>
      </c>
      <c r="AM91" s="29" t="s">
        <v>62</v>
      </c>
      <c r="AN91" t="s">
        <v>62</v>
      </c>
      <c r="AO91" s="29">
        <v>0.46800000000000003</v>
      </c>
      <c r="AP91">
        <f t="shared" si="16"/>
        <v>0.53200000000000003</v>
      </c>
      <c r="AQ91" s="29" t="s">
        <v>62</v>
      </c>
      <c r="AR91" s="76" t="s">
        <v>62</v>
      </c>
      <c r="AU91" s="29">
        <v>0.75900000000000001</v>
      </c>
      <c r="AV91" s="83">
        <f t="shared" si="14"/>
        <v>0.24099999999999999</v>
      </c>
      <c r="AW91" s="76">
        <v>1</v>
      </c>
      <c r="AX91">
        <v>0</v>
      </c>
      <c r="AY91">
        <v>0</v>
      </c>
      <c r="AZ91" s="67" t="s">
        <v>415</v>
      </c>
      <c r="BN91" s="69">
        <v>36.831000000000003</v>
      </c>
      <c r="BO91">
        <v>0</v>
      </c>
      <c r="BP91">
        <v>1</v>
      </c>
      <c r="BQ91" s="76">
        <v>0</v>
      </c>
      <c r="BR91" s="76">
        <v>0</v>
      </c>
      <c r="BS91" s="76">
        <v>0</v>
      </c>
      <c r="BT91" s="76">
        <v>0</v>
      </c>
      <c r="BY91" s="29">
        <v>0</v>
      </c>
      <c r="BZ91">
        <v>0</v>
      </c>
      <c r="CA91">
        <v>0</v>
      </c>
      <c r="CB91" s="29">
        <v>0</v>
      </c>
      <c r="CC91">
        <v>0</v>
      </c>
      <c r="CD91" s="76">
        <v>0</v>
      </c>
      <c r="CE91" s="76">
        <v>0</v>
      </c>
      <c r="CF91" s="76">
        <v>0</v>
      </c>
      <c r="CG91" s="76">
        <v>0</v>
      </c>
      <c r="CH91">
        <v>0</v>
      </c>
      <c r="CI91">
        <v>1</v>
      </c>
      <c r="CJ91" s="76">
        <v>0</v>
      </c>
      <c r="CK91" s="76">
        <v>0</v>
      </c>
      <c r="CL91" s="76">
        <v>0</v>
      </c>
      <c r="CM91" s="17">
        <v>0</v>
      </c>
      <c r="CS91" t="s">
        <v>49</v>
      </c>
    </row>
    <row r="92" spans="1:97" x14ac:dyDescent="0.25">
      <c r="A92">
        <v>91</v>
      </c>
      <c r="B92">
        <v>6</v>
      </c>
      <c r="C92" t="s">
        <v>308</v>
      </c>
      <c r="D92" s="93">
        <v>7.9</v>
      </c>
      <c r="E92" s="6">
        <f>D92/F92</f>
        <v>0.32510288065843623</v>
      </c>
      <c r="F92" s="6">
        <v>24.3</v>
      </c>
      <c r="L92" s="91">
        <v>0</v>
      </c>
      <c r="M92" s="79">
        <v>0</v>
      </c>
      <c r="N92" s="79">
        <v>0</v>
      </c>
      <c r="O92" s="79">
        <v>1</v>
      </c>
      <c r="P92" s="79">
        <v>0</v>
      </c>
      <c r="Q92" s="91">
        <v>1136</v>
      </c>
      <c r="R92" s="79">
        <v>5</v>
      </c>
      <c r="S92" s="79">
        <f t="shared" si="7"/>
        <v>1130</v>
      </c>
      <c r="U92" s="79">
        <v>12.695</v>
      </c>
      <c r="V92" s="79">
        <f t="shared" si="15"/>
        <v>16.643000000000001</v>
      </c>
      <c r="W92" s="91">
        <v>1</v>
      </c>
      <c r="X92" s="79">
        <v>0</v>
      </c>
      <c r="Y92" s="91">
        <v>0</v>
      </c>
      <c r="Z92" s="79">
        <v>0</v>
      </c>
      <c r="AA92" s="79">
        <v>0</v>
      </c>
      <c r="AB92" s="79">
        <v>1</v>
      </c>
      <c r="AC92" s="91">
        <v>0</v>
      </c>
      <c r="AD92" s="79">
        <v>1</v>
      </c>
      <c r="AE92" s="79">
        <v>0</v>
      </c>
      <c r="AF92" s="91">
        <v>0</v>
      </c>
      <c r="AG92" s="79">
        <v>1</v>
      </c>
      <c r="AH92" s="78">
        <v>1981</v>
      </c>
      <c r="AI92" t="s">
        <v>62</v>
      </c>
      <c r="AJ92" t="s">
        <v>62</v>
      </c>
      <c r="AK92" t="s">
        <v>62</v>
      </c>
      <c r="AL92" s="76" t="s">
        <v>62</v>
      </c>
      <c r="AM92" s="29" t="s">
        <v>62</v>
      </c>
      <c r="AN92" t="s">
        <v>62</v>
      </c>
      <c r="AO92" s="29">
        <v>0.505</v>
      </c>
      <c r="AP92">
        <f>1-AO92</f>
        <v>0.495</v>
      </c>
      <c r="AQ92" s="29" t="s">
        <v>62</v>
      </c>
      <c r="AR92" s="76" t="s">
        <v>62</v>
      </c>
      <c r="AU92" s="29">
        <v>0.72199999999999998</v>
      </c>
      <c r="AV92" s="83">
        <f t="shared" si="14"/>
        <v>0.27800000000000002</v>
      </c>
      <c r="AW92" s="76">
        <v>0</v>
      </c>
      <c r="AX92">
        <v>1</v>
      </c>
      <c r="AY92">
        <v>0</v>
      </c>
      <c r="AZ92" s="67" t="s">
        <v>415</v>
      </c>
      <c r="BN92" s="69">
        <v>35.338000000000001</v>
      </c>
      <c r="BO92">
        <v>0</v>
      </c>
      <c r="BP92">
        <v>1</v>
      </c>
      <c r="BQ92" s="76">
        <v>0</v>
      </c>
      <c r="BR92" s="76">
        <v>0</v>
      </c>
      <c r="BS92" s="76">
        <v>0</v>
      </c>
      <c r="BT92" s="76">
        <v>0</v>
      </c>
      <c r="BY92" s="29">
        <v>0</v>
      </c>
      <c r="BZ92">
        <v>0</v>
      </c>
      <c r="CA92">
        <v>0</v>
      </c>
      <c r="CB92" s="29">
        <v>1</v>
      </c>
      <c r="CC92">
        <v>0</v>
      </c>
      <c r="CD92" s="76">
        <v>0</v>
      </c>
      <c r="CE92" s="76">
        <v>0</v>
      </c>
      <c r="CF92" s="76">
        <v>0</v>
      </c>
      <c r="CG92" s="76">
        <v>0</v>
      </c>
      <c r="CH92">
        <v>1</v>
      </c>
      <c r="CI92">
        <v>1</v>
      </c>
      <c r="CJ92" s="76">
        <v>0</v>
      </c>
      <c r="CK92" s="76">
        <v>0</v>
      </c>
      <c r="CL92" s="76">
        <v>0</v>
      </c>
      <c r="CM92" s="17">
        <v>0</v>
      </c>
      <c r="CS92" t="s">
        <v>49</v>
      </c>
    </row>
    <row r="93" spans="1:97" x14ac:dyDescent="0.25">
      <c r="A93">
        <v>92</v>
      </c>
      <c r="B93">
        <v>6</v>
      </c>
      <c r="C93" t="s">
        <v>308</v>
      </c>
      <c r="D93" s="93">
        <v>7.9</v>
      </c>
      <c r="E93" s="6">
        <f>D93/F93</f>
        <v>0.4376731301939058</v>
      </c>
      <c r="F93" s="6">
        <v>18.05</v>
      </c>
      <c r="L93" s="91">
        <v>0</v>
      </c>
      <c r="M93" s="79">
        <v>0</v>
      </c>
      <c r="N93" s="79">
        <v>0</v>
      </c>
      <c r="O93" s="79">
        <v>1</v>
      </c>
      <c r="P93" s="79">
        <v>0</v>
      </c>
      <c r="Q93" s="91">
        <v>1136</v>
      </c>
      <c r="R93" s="79">
        <v>6</v>
      </c>
      <c r="S93" s="79">
        <f t="shared" si="7"/>
        <v>1129</v>
      </c>
      <c r="U93" s="79">
        <v>12.695</v>
      </c>
      <c r="V93" s="79">
        <f t="shared" si="15"/>
        <v>16.643000000000001</v>
      </c>
      <c r="W93" s="91">
        <v>1</v>
      </c>
      <c r="X93" s="79">
        <v>0</v>
      </c>
      <c r="Y93" s="91">
        <v>0</v>
      </c>
      <c r="Z93" s="79">
        <v>0</v>
      </c>
      <c r="AA93" s="79">
        <v>0</v>
      </c>
      <c r="AB93" s="79">
        <v>1</v>
      </c>
      <c r="AC93" s="91">
        <v>0</v>
      </c>
      <c r="AD93" s="79">
        <v>1</v>
      </c>
      <c r="AE93" s="79">
        <v>0</v>
      </c>
      <c r="AF93" s="91">
        <v>0</v>
      </c>
      <c r="AG93" s="79">
        <v>1</v>
      </c>
      <c r="AH93" s="78">
        <v>1981</v>
      </c>
      <c r="AI93" t="s">
        <v>62</v>
      </c>
      <c r="AJ93" t="s">
        <v>62</v>
      </c>
      <c r="AK93" t="s">
        <v>62</v>
      </c>
      <c r="AL93" s="76" t="s">
        <v>62</v>
      </c>
      <c r="AM93" s="29" t="s">
        <v>62</v>
      </c>
      <c r="AN93" t="s">
        <v>62</v>
      </c>
      <c r="AO93" s="29">
        <v>0.505</v>
      </c>
      <c r="AP93">
        <f t="shared" ref="AP93:AP95" si="17">1-AO93</f>
        <v>0.495</v>
      </c>
      <c r="AQ93" s="29" t="s">
        <v>62</v>
      </c>
      <c r="AR93" s="76" t="s">
        <v>62</v>
      </c>
      <c r="AU93" s="29">
        <v>0.72199999999999998</v>
      </c>
      <c r="AV93" s="83">
        <f t="shared" si="14"/>
        <v>0.27800000000000002</v>
      </c>
      <c r="AW93" s="76">
        <v>0</v>
      </c>
      <c r="AX93">
        <v>1</v>
      </c>
      <c r="AY93">
        <v>0</v>
      </c>
      <c r="AZ93" s="67" t="s">
        <v>415</v>
      </c>
      <c r="BN93" s="69">
        <v>35.338000000000001</v>
      </c>
      <c r="BO93">
        <v>0</v>
      </c>
      <c r="BP93">
        <v>1</v>
      </c>
      <c r="BQ93" s="76">
        <v>0</v>
      </c>
      <c r="BR93" s="76">
        <v>0</v>
      </c>
      <c r="BS93" s="76">
        <v>0</v>
      </c>
      <c r="BT93" s="76">
        <v>0</v>
      </c>
      <c r="BY93" s="29">
        <v>0</v>
      </c>
      <c r="BZ93">
        <v>0</v>
      </c>
      <c r="CA93">
        <v>0</v>
      </c>
      <c r="CB93" s="29">
        <v>1</v>
      </c>
      <c r="CC93">
        <v>0</v>
      </c>
      <c r="CD93" s="76">
        <v>0</v>
      </c>
      <c r="CE93" s="76">
        <v>0</v>
      </c>
      <c r="CF93" s="76">
        <v>0</v>
      </c>
      <c r="CG93" s="76">
        <v>0</v>
      </c>
      <c r="CH93">
        <v>1</v>
      </c>
      <c r="CI93">
        <v>1</v>
      </c>
      <c r="CJ93" s="76">
        <v>0</v>
      </c>
      <c r="CK93" s="76">
        <v>0</v>
      </c>
      <c r="CL93" s="76">
        <v>0</v>
      </c>
      <c r="CM93" s="17">
        <v>0</v>
      </c>
      <c r="CS93" t="s">
        <v>49</v>
      </c>
    </row>
    <row r="94" spans="1:97" x14ac:dyDescent="0.25">
      <c r="A94">
        <v>93</v>
      </c>
      <c r="B94">
        <v>6</v>
      </c>
      <c r="C94" t="s">
        <v>308</v>
      </c>
      <c r="D94" s="93">
        <v>7.8</v>
      </c>
      <c r="E94" s="6">
        <f>D94/F94</f>
        <v>0.87346024636058228</v>
      </c>
      <c r="F94" s="6">
        <v>8.93</v>
      </c>
      <c r="L94" s="91">
        <v>0</v>
      </c>
      <c r="M94" s="79">
        <v>0</v>
      </c>
      <c r="N94" s="79">
        <v>0</v>
      </c>
      <c r="O94" s="79">
        <v>1</v>
      </c>
      <c r="P94" s="79">
        <v>0</v>
      </c>
      <c r="Q94" s="91">
        <v>568</v>
      </c>
      <c r="R94" s="79">
        <v>3</v>
      </c>
      <c r="S94" s="79">
        <f t="shared" si="7"/>
        <v>564</v>
      </c>
      <c r="U94" s="79">
        <v>12.695</v>
      </c>
      <c r="V94" s="79">
        <f t="shared" si="15"/>
        <v>16.643000000000001</v>
      </c>
      <c r="W94" s="91">
        <v>1</v>
      </c>
      <c r="X94" s="79">
        <v>0</v>
      </c>
      <c r="Y94" s="91">
        <v>0</v>
      </c>
      <c r="Z94" s="79">
        <v>0</v>
      </c>
      <c r="AA94" s="79">
        <v>0</v>
      </c>
      <c r="AB94" s="79">
        <v>1</v>
      </c>
      <c r="AC94" s="91">
        <v>0</v>
      </c>
      <c r="AD94" s="79">
        <v>1</v>
      </c>
      <c r="AE94" s="79">
        <v>0</v>
      </c>
      <c r="AF94" s="91">
        <v>0</v>
      </c>
      <c r="AG94" s="79">
        <v>1</v>
      </c>
      <c r="AH94" s="78">
        <v>1981</v>
      </c>
      <c r="AI94" t="s">
        <v>62</v>
      </c>
      <c r="AJ94" t="s">
        <v>62</v>
      </c>
      <c r="AK94" t="s">
        <v>62</v>
      </c>
      <c r="AL94" s="76" t="s">
        <v>62</v>
      </c>
      <c r="AM94" s="29" t="s">
        <v>62</v>
      </c>
      <c r="AN94" t="s">
        <v>62</v>
      </c>
      <c r="AO94" s="29">
        <v>0.505</v>
      </c>
      <c r="AP94">
        <f t="shared" si="17"/>
        <v>0.495</v>
      </c>
      <c r="AQ94" s="29" t="s">
        <v>62</v>
      </c>
      <c r="AR94" s="76" t="s">
        <v>62</v>
      </c>
      <c r="AU94" s="29">
        <v>0.72199999999999998</v>
      </c>
      <c r="AV94" s="83">
        <f t="shared" si="14"/>
        <v>0.27800000000000002</v>
      </c>
      <c r="AW94" s="76">
        <v>0</v>
      </c>
      <c r="AX94">
        <v>1</v>
      </c>
      <c r="AY94">
        <v>0</v>
      </c>
      <c r="AZ94" s="67" t="s">
        <v>415</v>
      </c>
      <c r="BN94" s="69">
        <v>35.338000000000001</v>
      </c>
      <c r="BO94">
        <v>0</v>
      </c>
      <c r="BP94">
        <v>1</v>
      </c>
      <c r="BQ94" s="76">
        <v>0</v>
      </c>
      <c r="BR94" s="76">
        <v>0</v>
      </c>
      <c r="BS94" s="76">
        <v>0</v>
      </c>
      <c r="BT94" s="76">
        <v>0</v>
      </c>
      <c r="BY94" s="29">
        <v>0</v>
      </c>
      <c r="BZ94">
        <v>0</v>
      </c>
      <c r="CA94">
        <v>0</v>
      </c>
      <c r="CB94" s="29">
        <v>0</v>
      </c>
      <c r="CC94">
        <v>0</v>
      </c>
      <c r="CD94" s="76">
        <v>0</v>
      </c>
      <c r="CE94" s="76">
        <v>0</v>
      </c>
      <c r="CF94" s="76">
        <v>0</v>
      </c>
      <c r="CG94" s="76">
        <v>0</v>
      </c>
      <c r="CH94">
        <v>0</v>
      </c>
      <c r="CI94">
        <v>1</v>
      </c>
      <c r="CJ94" s="76">
        <v>0</v>
      </c>
      <c r="CK94" s="76">
        <v>0</v>
      </c>
      <c r="CL94" s="76">
        <v>0</v>
      </c>
      <c r="CM94" s="17">
        <v>0</v>
      </c>
      <c r="CS94" t="s">
        <v>49</v>
      </c>
    </row>
    <row r="95" spans="1:97" x14ac:dyDescent="0.25">
      <c r="A95">
        <v>94</v>
      </c>
      <c r="B95">
        <v>6</v>
      </c>
      <c r="C95" t="s">
        <v>308</v>
      </c>
      <c r="D95" s="93">
        <v>7.4</v>
      </c>
      <c r="E95" s="6">
        <f>D95/F95</f>
        <v>0.79059829059829068</v>
      </c>
      <c r="F95" s="6">
        <v>9.36</v>
      </c>
      <c r="L95" s="91">
        <v>0</v>
      </c>
      <c r="M95" s="79">
        <v>0</v>
      </c>
      <c r="N95" s="79">
        <v>0</v>
      </c>
      <c r="O95" s="79">
        <v>1</v>
      </c>
      <c r="P95" s="79">
        <v>0</v>
      </c>
      <c r="Q95" s="91">
        <v>568</v>
      </c>
      <c r="R95" s="79">
        <v>3</v>
      </c>
      <c r="S95" s="79">
        <f t="shared" si="7"/>
        <v>564</v>
      </c>
      <c r="U95" s="79">
        <v>12.695</v>
      </c>
      <c r="V95" s="79">
        <f t="shared" si="15"/>
        <v>16.643000000000001</v>
      </c>
      <c r="W95" s="91">
        <v>1</v>
      </c>
      <c r="X95" s="79">
        <v>0</v>
      </c>
      <c r="Y95" s="91">
        <v>0</v>
      </c>
      <c r="Z95" s="79">
        <v>0</v>
      </c>
      <c r="AA95" s="79">
        <v>0</v>
      </c>
      <c r="AB95" s="79">
        <v>1</v>
      </c>
      <c r="AC95" s="91">
        <v>0</v>
      </c>
      <c r="AD95" s="79">
        <v>1</v>
      </c>
      <c r="AE95" s="79">
        <v>0</v>
      </c>
      <c r="AF95" s="91">
        <v>0</v>
      </c>
      <c r="AG95" s="79">
        <v>1</v>
      </c>
      <c r="AH95" s="78">
        <v>1981</v>
      </c>
      <c r="AI95" t="s">
        <v>62</v>
      </c>
      <c r="AJ95" t="s">
        <v>62</v>
      </c>
      <c r="AK95" t="s">
        <v>62</v>
      </c>
      <c r="AL95" s="76" t="s">
        <v>62</v>
      </c>
      <c r="AM95" s="29" t="s">
        <v>62</v>
      </c>
      <c r="AN95" t="s">
        <v>62</v>
      </c>
      <c r="AO95" s="29">
        <v>0.505</v>
      </c>
      <c r="AP95">
        <f t="shared" si="17"/>
        <v>0.495</v>
      </c>
      <c r="AQ95" s="29" t="s">
        <v>62</v>
      </c>
      <c r="AR95" s="76" t="s">
        <v>62</v>
      </c>
      <c r="AU95" s="29">
        <v>0.72199999999999998</v>
      </c>
      <c r="AV95" s="83">
        <f t="shared" si="14"/>
        <v>0.27800000000000002</v>
      </c>
      <c r="AW95" s="76">
        <v>0</v>
      </c>
      <c r="AX95">
        <v>1</v>
      </c>
      <c r="AY95">
        <v>0</v>
      </c>
      <c r="AZ95" s="67" t="s">
        <v>415</v>
      </c>
      <c r="BN95" s="69">
        <v>35.338000000000001</v>
      </c>
      <c r="BO95">
        <v>0</v>
      </c>
      <c r="BP95">
        <v>1</v>
      </c>
      <c r="BQ95" s="76">
        <v>0</v>
      </c>
      <c r="BR95" s="76">
        <v>0</v>
      </c>
      <c r="BS95" s="76">
        <v>0</v>
      </c>
      <c r="BT95" s="76">
        <v>0</v>
      </c>
      <c r="BY95" s="29">
        <v>0</v>
      </c>
      <c r="BZ95">
        <v>0</v>
      </c>
      <c r="CA95">
        <v>0</v>
      </c>
      <c r="CB95" s="29">
        <v>0</v>
      </c>
      <c r="CC95">
        <v>0</v>
      </c>
      <c r="CD95" s="76">
        <v>0</v>
      </c>
      <c r="CE95" s="76">
        <v>0</v>
      </c>
      <c r="CF95" s="76">
        <v>0</v>
      </c>
      <c r="CG95" s="76">
        <v>0</v>
      </c>
      <c r="CH95">
        <v>0</v>
      </c>
      <c r="CI95">
        <v>1</v>
      </c>
      <c r="CJ95" s="76">
        <v>0</v>
      </c>
      <c r="CK95" s="76">
        <v>0</v>
      </c>
      <c r="CL95" s="76">
        <v>0</v>
      </c>
      <c r="CM95" s="17">
        <v>0</v>
      </c>
      <c r="CS95" t="s">
        <v>49</v>
      </c>
    </row>
    <row r="96" spans="1:97" x14ac:dyDescent="0.25">
      <c r="A96">
        <v>95</v>
      </c>
      <c r="AZ96" s="67"/>
      <c r="CS96" t="s">
        <v>49</v>
      </c>
    </row>
    <row r="97" spans="1:97" x14ac:dyDescent="0.25">
      <c r="A97">
        <v>96</v>
      </c>
      <c r="AZ97" s="67"/>
      <c r="CS97" t="s">
        <v>49</v>
      </c>
    </row>
    <row r="98" spans="1:97" x14ac:dyDescent="0.25">
      <c r="A98">
        <v>97</v>
      </c>
      <c r="AZ98" s="67"/>
      <c r="CS98" t="s">
        <v>49</v>
      </c>
    </row>
    <row r="99" spans="1:97" x14ac:dyDescent="0.25">
      <c r="A99">
        <v>98</v>
      </c>
      <c r="AZ99" s="67"/>
      <c r="CS99" t="s">
        <v>49</v>
      </c>
    </row>
    <row r="100" spans="1:97" x14ac:dyDescent="0.25">
      <c r="A100">
        <v>99</v>
      </c>
      <c r="AZ100" s="67"/>
      <c r="CS100" t="s">
        <v>49</v>
      </c>
    </row>
    <row r="101" spans="1:97" x14ac:dyDescent="0.25">
      <c r="A101">
        <v>100</v>
      </c>
      <c r="AZ101" s="67"/>
      <c r="CS101" t="s">
        <v>49</v>
      </c>
    </row>
    <row r="102" spans="1:97" x14ac:dyDescent="0.25">
      <c r="A102">
        <v>101</v>
      </c>
      <c r="AZ102" s="67"/>
      <c r="CS102" t="s">
        <v>49</v>
      </c>
    </row>
    <row r="103" spans="1:97" x14ac:dyDescent="0.25">
      <c r="A103">
        <v>102</v>
      </c>
      <c r="AZ103" s="67"/>
      <c r="CS103" t="s">
        <v>49</v>
      </c>
    </row>
    <row r="104" spans="1:97" x14ac:dyDescent="0.25">
      <c r="A104">
        <v>103</v>
      </c>
      <c r="AZ104" s="67"/>
      <c r="CS104" t="s">
        <v>49</v>
      </c>
    </row>
    <row r="105" spans="1:97" x14ac:dyDescent="0.25">
      <c r="A105">
        <v>104</v>
      </c>
      <c r="AZ105" s="67"/>
      <c r="CS105" t="s">
        <v>49</v>
      </c>
    </row>
    <row r="106" spans="1:97" x14ac:dyDescent="0.25">
      <c r="A106">
        <v>105</v>
      </c>
      <c r="AZ106" s="67"/>
      <c r="CS106" t="s">
        <v>49</v>
      </c>
    </row>
    <row r="107" spans="1:97" x14ac:dyDescent="0.25">
      <c r="A107">
        <v>106</v>
      </c>
      <c r="AZ107" s="67"/>
      <c r="CS107" t="s">
        <v>49</v>
      </c>
    </row>
    <row r="108" spans="1:97" x14ac:dyDescent="0.25">
      <c r="A108">
        <v>107</v>
      </c>
      <c r="AZ108" s="67"/>
      <c r="CS108" t="s">
        <v>49</v>
      </c>
    </row>
    <row r="109" spans="1:97" x14ac:dyDescent="0.25">
      <c r="A109">
        <v>108</v>
      </c>
      <c r="AZ109" s="67"/>
      <c r="CS109" t="s">
        <v>49</v>
      </c>
    </row>
    <row r="110" spans="1:97" x14ac:dyDescent="0.25">
      <c r="A110">
        <v>109</v>
      </c>
      <c r="AZ110" s="67"/>
      <c r="CS110" t="s">
        <v>49</v>
      </c>
    </row>
    <row r="111" spans="1:97" x14ac:dyDescent="0.25">
      <c r="A111">
        <v>110</v>
      </c>
      <c r="AZ111" s="67"/>
      <c r="CS111" t="s">
        <v>49</v>
      </c>
    </row>
    <row r="112" spans="1:97" x14ac:dyDescent="0.25">
      <c r="A112">
        <v>111</v>
      </c>
      <c r="AZ112" s="67"/>
      <c r="CS112" t="s">
        <v>49</v>
      </c>
    </row>
    <row r="113" spans="1:97" x14ac:dyDescent="0.25">
      <c r="A113">
        <v>112</v>
      </c>
      <c r="AZ113" s="67"/>
      <c r="CS113" t="s">
        <v>49</v>
      </c>
    </row>
    <row r="114" spans="1:97" x14ac:dyDescent="0.25">
      <c r="A114">
        <v>113</v>
      </c>
      <c r="AZ114" s="67"/>
      <c r="CS114" t="s">
        <v>49</v>
      </c>
    </row>
    <row r="115" spans="1:97" x14ac:dyDescent="0.25">
      <c r="A115">
        <v>114</v>
      </c>
      <c r="AZ115" s="67"/>
      <c r="CS115" t="s">
        <v>49</v>
      </c>
    </row>
    <row r="116" spans="1:97" x14ac:dyDescent="0.25">
      <c r="A116">
        <v>115</v>
      </c>
      <c r="AZ116" s="67"/>
      <c r="CS116" t="s">
        <v>49</v>
      </c>
    </row>
    <row r="117" spans="1:97" x14ac:dyDescent="0.25">
      <c r="A117">
        <v>116</v>
      </c>
      <c r="AZ117" s="67"/>
      <c r="CS117" t="s">
        <v>49</v>
      </c>
    </row>
    <row r="118" spans="1:97" x14ac:dyDescent="0.25">
      <c r="A118">
        <v>117</v>
      </c>
      <c r="AZ118" s="67"/>
      <c r="CS118" t="s">
        <v>49</v>
      </c>
    </row>
    <row r="119" spans="1:97" x14ac:dyDescent="0.25">
      <c r="A119">
        <v>118</v>
      </c>
      <c r="AZ119" s="67"/>
      <c r="CS119" t="s">
        <v>49</v>
      </c>
    </row>
    <row r="120" spans="1:97" x14ac:dyDescent="0.25">
      <c r="A120">
        <v>119</v>
      </c>
      <c r="AZ120" s="67"/>
      <c r="CS120" t="s">
        <v>49</v>
      </c>
    </row>
    <row r="121" spans="1:97" x14ac:dyDescent="0.25">
      <c r="A121">
        <v>120</v>
      </c>
      <c r="AZ121" s="67"/>
      <c r="CS121" t="s">
        <v>49</v>
      </c>
    </row>
    <row r="122" spans="1:97" x14ac:dyDescent="0.25">
      <c r="A122">
        <v>121</v>
      </c>
      <c r="AZ122" s="67"/>
      <c r="CS122" t="s">
        <v>49</v>
      </c>
    </row>
    <row r="123" spans="1:97" x14ac:dyDescent="0.25">
      <c r="A123">
        <v>122</v>
      </c>
      <c r="AZ123" s="67"/>
      <c r="CS123" t="s">
        <v>49</v>
      </c>
    </row>
    <row r="124" spans="1:97" x14ac:dyDescent="0.25">
      <c r="A124">
        <v>123</v>
      </c>
      <c r="AZ124" s="67"/>
      <c r="CS124" t="s">
        <v>49</v>
      </c>
    </row>
    <row r="125" spans="1:97" x14ac:dyDescent="0.25">
      <c r="A125">
        <v>124</v>
      </c>
      <c r="AZ125" s="67"/>
      <c r="CS125" t="s">
        <v>49</v>
      </c>
    </row>
    <row r="126" spans="1:97" x14ac:dyDescent="0.25">
      <c r="A126">
        <v>125</v>
      </c>
      <c r="AZ126" s="67"/>
      <c r="CS126" t="s">
        <v>49</v>
      </c>
    </row>
    <row r="127" spans="1:97" x14ac:dyDescent="0.25">
      <c r="A127">
        <v>126</v>
      </c>
      <c r="AZ127" s="67"/>
      <c r="CS127" t="s">
        <v>49</v>
      </c>
    </row>
    <row r="128" spans="1:97" x14ac:dyDescent="0.25">
      <c r="A128">
        <v>127</v>
      </c>
      <c r="AZ128" s="67"/>
      <c r="CS128" t="s">
        <v>49</v>
      </c>
    </row>
    <row r="129" spans="1:97" x14ac:dyDescent="0.25">
      <c r="A129">
        <v>128</v>
      </c>
      <c r="AZ129" s="67"/>
      <c r="CS129" t="s">
        <v>49</v>
      </c>
    </row>
    <row r="130" spans="1:97" x14ac:dyDescent="0.25">
      <c r="A130">
        <v>129</v>
      </c>
      <c r="AZ130" s="67"/>
      <c r="CS130" t="s">
        <v>49</v>
      </c>
    </row>
    <row r="131" spans="1:97" x14ac:dyDescent="0.25">
      <c r="A131">
        <v>130</v>
      </c>
      <c r="AZ131" s="67"/>
      <c r="CS131" t="s">
        <v>49</v>
      </c>
    </row>
    <row r="132" spans="1:97" x14ac:dyDescent="0.25">
      <c r="A132">
        <v>131</v>
      </c>
      <c r="AZ132" s="67"/>
      <c r="CS132" t="s">
        <v>49</v>
      </c>
    </row>
    <row r="133" spans="1:97" x14ac:dyDescent="0.25">
      <c r="A133">
        <v>132</v>
      </c>
      <c r="AZ133" s="67"/>
      <c r="CS133" t="s">
        <v>49</v>
      </c>
    </row>
    <row r="134" spans="1:97" x14ac:dyDescent="0.25">
      <c r="A134">
        <v>133</v>
      </c>
      <c r="AZ134" s="67"/>
      <c r="CS134" t="s">
        <v>49</v>
      </c>
    </row>
    <row r="135" spans="1:97" x14ac:dyDescent="0.25">
      <c r="A135">
        <v>134</v>
      </c>
      <c r="AZ135" s="67"/>
      <c r="CS135" t="s">
        <v>49</v>
      </c>
    </row>
    <row r="136" spans="1:97" x14ac:dyDescent="0.25">
      <c r="A136">
        <v>135</v>
      </c>
      <c r="AZ136" s="67"/>
      <c r="CS136" t="s">
        <v>49</v>
      </c>
    </row>
    <row r="137" spans="1:97" x14ac:dyDescent="0.25">
      <c r="A137">
        <v>136</v>
      </c>
      <c r="AZ137" s="67"/>
      <c r="CS137" t="s">
        <v>49</v>
      </c>
    </row>
    <row r="138" spans="1:97" x14ac:dyDescent="0.25">
      <c r="A138">
        <v>137</v>
      </c>
      <c r="AZ138" s="67"/>
      <c r="CS138" t="s">
        <v>49</v>
      </c>
    </row>
    <row r="139" spans="1:97" x14ac:dyDescent="0.25">
      <c r="A139">
        <v>138</v>
      </c>
      <c r="AZ139" s="67"/>
      <c r="CS139" t="s">
        <v>49</v>
      </c>
    </row>
    <row r="140" spans="1:97" x14ac:dyDescent="0.25">
      <c r="A140">
        <v>139</v>
      </c>
      <c r="AZ140" s="67"/>
      <c r="CS140" t="s">
        <v>49</v>
      </c>
    </row>
    <row r="141" spans="1:97" x14ac:dyDescent="0.25">
      <c r="A141">
        <v>140</v>
      </c>
      <c r="AZ141" s="67"/>
      <c r="CS141" t="s">
        <v>49</v>
      </c>
    </row>
    <row r="142" spans="1:97" x14ac:dyDescent="0.25">
      <c r="A142">
        <v>141</v>
      </c>
      <c r="AZ142" s="67"/>
      <c r="CS142" t="s">
        <v>49</v>
      </c>
    </row>
    <row r="143" spans="1:97" x14ac:dyDescent="0.25">
      <c r="A143">
        <v>142</v>
      </c>
      <c r="AZ143" s="67"/>
      <c r="CS143" t="s">
        <v>49</v>
      </c>
    </row>
    <row r="144" spans="1:97" x14ac:dyDescent="0.25">
      <c r="A144">
        <v>143</v>
      </c>
      <c r="AZ144" s="67"/>
      <c r="CS144" t="s">
        <v>49</v>
      </c>
    </row>
    <row r="145" spans="1:97" x14ac:dyDescent="0.25">
      <c r="A145">
        <v>144</v>
      </c>
      <c r="AZ145" s="67"/>
      <c r="CS145" t="s">
        <v>49</v>
      </c>
    </row>
    <row r="146" spans="1:97" x14ac:dyDescent="0.25">
      <c r="A146">
        <v>145</v>
      </c>
      <c r="AZ146" s="67"/>
      <c r="CS146" t="s">
        <v>49</v>
      </c>
    </row>
    <row r="147" spans="1:97" x14ac:dyDescent="0.25">
      <c r="A147">
        <v>146</v>
      </c>
      <c r="AZ147" s="67"/>
      <c r="CS147" t="s">
        <v>49</v>
      </c>
    </row>
    <row r="148" spans="1:97" x14ac:dyDescent="0.25">
      <c r="A148">
        <v>147</v>
      </c>
      <c r="AZ148" s="67"/>
      <c r="CS148" t="s">
        <v>49</v>
      </c>
    </row>
    <row r="149" spans="1:97" x14ac:dyDescent="0.25">
      <c r="A149">
        <v>148</v>
      </c>
      <c r="AZ149" s="67"/>
      <c r="CS149" t="s">
        <v>49</v>
      </c>
    </row>
    <row r="150" spans="1:97" x14ac:dyDescent="0.25">
      <c r="A150">
        <v>149</v>
      </c>
      <c r="AZ150" s="67"/>
      <c r="CS150" t="s">
        <v>49</v>
      </c>
    </row>
    <row r="151" spans="1:97" x14ac:dyDescent="0.25">
      <c r="A151">
        <v>150</v>
      </c>
      <c r="AZ151" s="67"/>
      <c r="CS151" t="s">
        <v>49</v>
      </c>
    </row>
    <row r="152" spans="1:97" x14ac:dyDescent="0.25">
      <c r="A152">
        <v>151</v>
      </c>
      <c r="AZ152" s="67"/>
      <c r="CS152" t="s">
        <v>49</v>
      </c>
    </row>
    <row r="153" spans="1:97" x14ac:dyDescent="0.25">
      <c r="A153">
        <v>152</v>
      </c>
      <c r="AZ153" s="67"/>
      <c r="CS153" t="s">
        <v>49</v>
      </c>
    </row>
    <row r="154" spans="1:97" x14ac:dyDescent="0.25">
      <c r="A154">
        <v>153</v>
      </c>
      <c r="AZ154" s="67"/>
      <c r="CS154" t="s">
        <v>49</v>
      </c>
    </row>
    <row r="155" spans="1:97" x14ac:dyDescent="0.25">
      <c r="A155">
        <v>154</v>
      </c>
      <c r="AZ155" s="67"/>
      <c r="CS155" t="s">
        <v>49</v>
      </c>
    </row>
    <row r="156" spans="1:97" x14ac:dyDescent="0.25">
      <c r="A156">
        <v>155</v>
      </c>
      <c r="AZ156" s="67"/>
      <c r="CS156" t="s">
        <v>49</v>
      </c>
    </row>
    <row r="157" spans="1:97" x14ac:dyDescent="0.25">
      <c r="A157">
        <v>156</v>
      </c>
      <c r="AZ157" s="67"/>
      <c r="CS157" t="s">
        <v>49</v>
      </c>
    </row>
    <row r="158" spans="1:97" x14ac:dyDescent="0.25">
      <c r="A158">
        <v>157</v>
      </c>
      <c r="AZ158" s="67"/>
      <c r="CS158" t="s">
        <v>49</v>
      </c>
    </row>
    <row r="159" spans="1:97" x14ac:dyDescent="0.25">
      <c r="A159">
        <v>158</v>
      </c>
      <c r="AZ159" s="67"/>
      <c r="CS159" t="s">
        <v>49</v>
      </c>
    </row>
    <row r="160" spans="1:97" x14ac:dyDescent="0.25">
      <c r="A160">
        <v>159</v>
      </c>
      <c r="AZ160" s="67"/>
      <c r="CS160" t="s">
        <v>49</v>
      </c>
    </row>
    <row r="161" spans="1:97" x14ac:dyDescent="0.25">
      <c r="A161">
        <v>160</v>
      </c>
      <c r="AZ161" s="67"/>
      <c r="CS161" t="s">
        <v>49</v>
      </c>
    </row>
    <row r="162" spans="1:97" x14ac:dyDescent="0.25">
      <c r="A162">
        <v>161</v>
      </c>
      <c r="AZ162" s="67"/>
      <c r="CS162" t="s">
        <v>49</v>
      </c>
    </row>
    <row r="163" spans="1:97" x14ac:dyDescent="0.25">
      <c r="A163">
        <v>162</v>
      </c>
      <c r="AZ163" s="67"/>
      <c r="CS163" t="s">
        <v>49</v>
      </c>
    </row>
    <row r="164" spans="1:97" x14ac:dyDescent="0.25">
      <c r="A164">
        <v>163</v>
      </c>
      <c r="AZ164" s="67"/>
      <c r="CS164" t="s">
        <v>49</v>
      </c>
    </row>
    <row r="165" spans="1:97" x14ac:dyDescent="0.25">
      <c r="A165">
        <v>164</v>
      </c>
      <c r="AZ165" s="67"/>
      <c r="CS165" t="s">
        <v>49</v>
      </c>
    </row>
    <row r="166" spans="1:97" x14ac:dyDescent="0.25">
      <c r="A166">
        <v>165</v>
      </c>
      <c r="AZ166" s="67"/>
      <c r="CS166" t="s">
        <v>49</v>
      </c>
    </row>
    <row r="167" spans="1:97" x14ac:dyDescent="0.25">
      <c r="A167">
        <v>166</v>
      </c>
      <c r="AZ167" s="67"/>
      <c r="CS167" t="s">
        <v>49</v>
      </c>
    </row>
    <row r="168" spans="1:97" x14ac:dyDescent="0.25">
      <c r="A168">
        <v>167</v>
      </c>
      <c r="AZ168" s="67"/>
      <c r="CS168" t="s">
        <v>49</v>
      </c>
    </row>
    <row r="169" spans="1:97" x14ac:dyDescent="0.25">
      <c r="A169">
        <v>168</v>
      </c>
      <c r="AZ169" s="67"/>
      <c r="CS169" t="s">
        <v>49</v>
      </c>
    </row>
    <row r="170" spans="1:97" x14ac:dyDescent="0.25">
      <c r="A170">
        <v>169</v>
      </c>
      <c r="AZ170" s="67"/>
      <c r="CS170" t="s">
        <v>49</v>
      </c>
    </row>
    <row r="171" spans="1:97" x14ac:dyDescent="0.25">
      <c r="A171">
        <v>170</v>
      </c>
      <c r="AZ171" s="67"/>
      <c r="CS171" t="s">
        <v>49</v>
      </c>
    </row>
    <row r="172" spans="1:97" x14ac:dyDescent="0.25">
      <c r="A172">
        <v>171</v>
      </c>
      <c r="AZ172" s="67"/>
      <c r="CS172" t="s">
        <v>49</v>
      </c>
    </row>
    <row r="173" spans="1:97" x14ac:dyDescent="0.25">
      <c r="A173">
        <v>172</v>
      </c>
      <c r="AZ173" s="67"/>
      <c r="CS173" t="s">
        <v>49</v>
      </c>
    </row>
    <row r="174" spans="1:97" x14ac:dyDescent="0.25">
      <c r="A174">
        <v>173</v>
      </c>
      <c r="AZ174" s="67"/>
      <c r="CS174" t="s">
        <v>49</v>
      </c>
    </row>
    <row r="175" spans="1:97" x14ac:dyDescent="0.25">
      <c r="A175">
        <v>174</v>
      </c>
      <c r="AZ175" s="67"/>
      <c r="CS175" t="s">
        <v>49</v>
      </c>
    </row>
    <row r="176" spans="1:97" x14ac:dyDescent="0.25">
      <c r="A176">
        <v>175</v>
      </c>
      <c r="AZ176" s="67"/>
      <c r="CS176" t="s">
        <v>49</v>
      </c>
    </row>
    <row r="177" spans="1:97" x14ac:dyDescent="0.25">
      <c r="A177">
        <v>176</v>
      </c>
      <c r="AZ177" s="67"/>
      <c r="CS177" t="s">
        <v>49</v>
      </c>
    </row>
    <row r="178" spans="1:97" x14ac:dyDescent="0.25">
      <c r="A178">
        <v>177</v>
      </c>
      <c r="AZ178" s="67"/>
      <c r="CS178" t="s">
        <v>49</v>
      </c>
    </row>
    <row r="179" spans="1:97" x14ac:dyDescent="0.25">
      <c r="A179">
        <v>178</v>
      </c>
      <c r="AZ179" s="67"/>
      <c r="CS179" t="s">
        <v>49</v>
      </c>
    </row>
    <row r="180" spans="1:97" x14ac:dyDescent="0.25">
      <c r="A180">
        <v>179</v>
      </c>
      <c r="AZ180" s="67"/>
      <c r="CS180" t="s">
        <v>49</v>
      </c>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57" activePane="bottomRight" state="frozen"/>
      <selection pane="topRight" activeCell="B1" sqref="B1"/>
      <selection pane="bottomLeft" activeCell="A2" sqref="A2"/>
      <selection pane="bottomRight" activeCell="A70" sqref="A7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102</v>
      </c>
      <c r="B1" s="39" t="s">
        <v>117</v>
      </c>
      <c r="C1" s="40" t="s">
        <v>259</v>
      </c>
      <c r="D1" s="39" t="s">
        <v>106</v>
      </c>
      <c r="E1" s="39" t="s">
        <v>110</v>
      </c>
      <c r="F1" s="39" t="s">
        <v>155</v>
      </c>
      <c r="G1" s="47" t="s">
        <v>113</v>
      </c>
      <c r="H1" s="58" t="s">
        <v>154</v>
      </c>
      <c r="I1" s="59" t="s">
        <v>114</v>
      </c>
      <c r="J1" s="60" t="s">
        <v>115</v>
      </c>
      <c r="K1" s="38" t="s">
        <v>103</v>
      </c>
      <c r="L1" s="38" t="s">
        <v>262</v>
      </c>
      <c r="M1" s="38" t="s">
        <v>147</v>
      </c>
      <c r="N1" s="61" t="s">
        <v>104</v>
      </c>
    </row>
    <row r="2" spans="1:14" x14ac:dyDescent="0.25">
      <c r="A2" s="20" t="s">
        <v>0</v>
      </c>
      <c r="B2" s="21" t="s">
        <v>120</v>
      </c>
      <c r="C2" s="49" t="s">
        <v>228</v>
      </c>
      <c r="D2" t="s">
        <v>108</v>
      </c>
      <c r="E2">
        <v>1</v>
      </c>
      <c r="F2" t="s">
        <v>156</v>
      </c>
      <c r="G2" s="29" t="b">
        <v>0</v>
      </c>
      <c r="H2" s="29" t="b">
        <v>0</v>
      </c>
      <c r="K2" t="b">
        <v>0</v>
      </c>
      <c r="L2" t="b">
        <v>0</v>
      </c>
      <c r="M2" t="b">
        <v>0</v>
      </c>
      <c r="N2" s="29" t="s">
        <v>156</v>
      </c>
    </row>
    <row r="3" spans="1:14" x14ac:dyDescent="0.25">
      <c r="A3" s="20" t="s">
        <v>1</v>
      </c>
      <c r="B3" s="21" t="s">
        <v>118</v>
      </c>
      <c r="C3" s="49" t="s">
        <v>227</v>
      </c>
      <c r="D3" t="s">
        <v>108</v>
      </c>
      <c r="E3">
        <v>2</v>
      </c>
      <c r="F3" t="s">
        <v>156</v>
      </c>
      <c r="G3" s="29" t="b">
        <v>0</v>
      </c>
      <c r="H3" s="29" t="b">
        <v>0</v>
      </c>
      <c r="K3" t="b">
        <v>0</v>
      </c>
      <c r="L3" t="b">
        <v>0</v>
      </c>
      <c r="M3" t="b">
        <v>0</v>
      </c>
      <c r="N3" s="29" t="s">
        <v>156</v>
      </c>
    </row>
    <row r="4" spans="1:14" x14ac:dyDescent="0.25">
      <c r="A4" s="20" t="s">
        <v>105</v>
      </c>
      <c r="B4" s="21" t="s">
        <v>119</v>
      </c>
      <c r="C4" s="49" t="s">
        <v>226</v>
      </c>
      <c r="D4" t="s">
        <v>116</v>
      </c>
      <c r="E4">
        <v>3</v>
      </c>
      <c r="F4" t="s">
        <v>156</v>
      </c>
      <c r="G4" s="29" t="b">
        <v>0</v>
      </c>
      <c r="H4" s="29" t="b">
        <v>0</v>
      </c>
      <c r="K4" t="b">
        <v>0</v>
      </c>
      <c r="L4" t="b">
        <v>0</v>
      </c>
      <c r="M4" t="b">
        <v>0</v>
      </c>
      <c r="N4" s="29" t="s">
        <v>156</v>
      </c>
    </row>
    <row r="5" spans="1:14" x14ac:dyDescent="0.25">
      <c r="A5" s="48" t="s">
        <v>153</v>
      </c>
      <c r="B5" s="48" t="s">
        <v>162</v>
      </c>
      <c r="C5" s="42" t="s">
        <v>229</v>
      </c>
      <c r="D5" t="s">
        <v>109</v>
      </c>
      <c r="E5">
        <v>4</v>
      </c>
      <c r="F5" t="s">
        <v>156</v>
      </c>
      <c r="G5" s="29" t="b">
        <v>1</v>
      </c>
      <c r="H5" s="29" t="b">
        <v>0</v>
      </c>
      <c r="K5" t="b">
        <v>1</v>
      </c>
      <c r="L5" t="b">
        <v>0</v>
      </c>
      <c r="M5" t="b">
        <v>0</v>
      </c>
      <c r="N5" s="29" t="s">
        <v>156</v>
      </c>
    </row>
    <row r="6" spans="1:14" x14ac:dyDescent="0.25">
      <c r="A6" s="20" t="s">
        <v>93</v>
      </c>
      <c r="B6" s="21" t="s">
        <v>275</v>
      </c>
      <c r="C6" s="49" t="s">
        <v>256</v>
      </c>
      <c r="D6" t="s">
        <v>109</v>
      </c>
      <c r="E6">
        <v>5</v>
      </c>
      <c r="F6" t="s">
        <v>156</v>
      </c>
      <c r="G6" s="29" t="b">
        <v>1</v>
      </c>
      <c r="H6" s="29" t="b">
        <v>0</v>
      </c>
      <c r="K6" t="b">
        <v>1</v>
      </c>
      <c r="L6" t="b">
        <v>0</v>
      </c>
      <c r="M6" t="b">
        <v>0</v>
      </c>
      <c r="N6" s="29">
        <v>0</v>
      </c>
    </row>
    <row r="7" spans="1:14" x14ac:dyDescent="0.25">
      <c r="A7" s="20" t="s">
        <v>50</v>
      </c>
      <c r="B7" s="21" t="s">
        <v>129</v>
      </c>
      <c r="C7" s="49" t="s">
        <v>258</v>
      </c>
      <c r="D7" t="s">
        <v>109</v>
      </c>
      <c r="E7">
        <v>6</v>
      </c>
      <c r="F7" t="s">
        <v>156</v>
      </c>
      <c r="G7" s="29" t="b">
        <v>1</v>
      </c>
      <c r="H7" s="29" t="b">
        <v>1</v>
      </c>
      <c r="J7" s="12" t="s">
        <v>158</v>
      </c>
      <c r="K7" t="b">
        <v>0</v>
      </c>
      <c r="L7" t="b">
        <v>0</v>
      </c>
      <c r="M7" t="b">
        <v>0</v>
      </c>
      <c r="N7" s="29" t="s">
        <v>156</v>
      </c>
    </row>
    <row r="8" spans="1:14" x14ac:dyDescent="0.25">
      <c r="A8" s="20" t="s">
        <v>51</v>
      </c>
      <c r="B8" s="21" t="s">
        <v>163</v>
      </c>
      <c r="C8" s="49" t="s">
        <v>230</v>
      </c>
      <c r="D8" t="s">
        <v>109</v>
      </c>
      <c r="E8">
        <v>7</v>
      </c>
      <c r="F8" t="s">
        <v>156</v>
      </c>
      <c r="G8" s="29" t="b">
        <v>0</v>
      </c>
      <c r="H8" s="29" t="b">
        <v>0</v>
      </c>
      <c r="K8" t="b">
        <v>0</v>
      </c>
      <c r="L8" t="b">
        <v>0</v>
      </c>
      <c r="M8" t="b">
        <v>0</v>
      </c>
      <c r="N8" s="29" t="s">
        <v>156</v>
      </c>
    </row>
    <row r="9" spans="1:14" x14ac:dyDescent="0.25">
      <c r="A9" s="20" t="s">
        <v>52</v>
      </c>
      <c r="B9" s="21" t="s">
        <v>164</v>
      </c>
      <c r="C9" s="49" t="s">
        <v>231</v>
      </c>
      <c r="D9" t="s">
        <v>109</v>
      </c>
      <c r="E9">
        <v>7</v>
      </c>
      <c r="F9" t="s">
        <v>156</v>
      </c>
      <c r="G9" s="29" t="b">
        <v>0</v>
      </c>
      <c r="H9" s="29" t="b">
        <v>0</v>
      </c>
      <c r="K9" t="b">
        <v>0</v>
      </c>
      <c r="L9" t="b">
        <v>0</v>
      </c>
      <c r="M9" t="b">
        <v>0</v>
      </c>
      <c r="N9" s="29" t="s">
        <v>156</v>
      </c>
    </row>
    <row r="10" spans="1:14" x14ac:dyDescent="0.25">
      <c r="A10" s="48" t="s">
        <v>159</v>
      </c>
      <c r="B10" s="48" t="s">
        <v>165</v>
      </c>
      <c r="C10" s="42" t="s">
        <v>232</v>
      </c>
      <c r="D10" t="s">
        <v>109</v>
      </c>
      <c r="E10">
        <v>8</v>
      </c>
      <c r="F10" t="s">
        <v>156</v>
      </c>
      <c r="G10" s="29" t="b">
        <v>1</v>
      </c>
      <c r="H10" s="29" t="b">
        <v>0</v>
      </c>
      <c r="K10" t="b">
        <v>0</v>
      </c>
      <c r="L10" t="b">
        <v>0</v>
      </c>
      <c r="M10" t="b">
        <v>0</v>
      </c>
      <c r="N10" s="29" t="s">
        <v>156</v>
      </c>
    </row>
    <row r="11" spans="1:14" x14ac:dyDescent="0.25">
      <c r="A11" s="20" t="s">
        <v>160</v>
      </c>
      <c r="B11" s="21" t="s">
        <v>166</v>
      </c>
      <c r="C11" s="49" t="s">
        <v>257</v>
      </c>
      <c r="D11" t="s">
        <v>109</v>
      </c>
      <c r="E11">
        <v>9</v>
      </c>
      <c r="F11" t="s">
        <v>156</v>
      </c>
      <c r="G11" s="29" t="b">
        <v>0</v>
      </c>
      <c r="H11" s="29" t="b">
        <v>0</v>
      </c>
      <c r="K11" t="b">
        <v>0</v>
      </c>
      <c r="L11" t="b">
        <v>0</v>
      </c>
      <c r="M11" t="b">
        <v>0</v>
      </c>
      <c r="N11" s="29" t="s">
        <v>156</v>
      </c>
    </row>
    <row r="12" spans="1:14" x14ac:dyDescent="0.25">
      <c r="A12" s="20" t="s">
        <v>161</v>
      </c>
      <c r="B12" s="21" t="s">
        <v>176</v>
      </c>
      <c r="C12" s="49" t="s">
        <v>233</v>
      </c>
      <c r="D12" t="s">
        <v>109</v>
      </c>
      <c r="E12">
        <v>9</v>
      </c>
      <c r="F12" t="s">
        <v>156</v>
      </c>
      <c r="G12" s="29" t="b">
        <v>1</v>
      </c>
      <c r="H12" s="29" t="b">
        <v>0</v>
      </c>
      <c r="K12" t="b">
        <v>0</v>
      </c>
      <c r="L12" t="b">
        <v>0</v>
      </c>
      <c r="M12" t="b">
        <v>0</v>
      </c>
      <c r="N12" s="29" t="s">
        <v>156</v>
      </c>
    </row>
    <row r="13" spans="1:14" x14ac:dyDescent="0.25">
      <c r="A13" s="5" t="s">
        <v>7</v>
      </c>
      <c r="B13" s="5" t="s">
        <v>183</v>
      </c>
      <c r="C13" s="43" t="str">
        <f>"=1 if the estimates within the study can be aggregated on a city level."</f>
        <v>=1 if the estimates within the study can be aggregated on a city level.</v>
      </c>
      <c r="D13" t="s">
        <v>107</v>
      </c>
      <c r="E13">
        <v>10</v>
      </c>
      <c r="F13" t="s">
        <v>156</v>
      </c>
      <c r="G13" s="29" t="b">
        <v>1</v>
      </c>
      <c r="H13" s="29" t="b">
        <v>1</v>
      </c>
      <c r="I13">
        <v>1</v>
      </c>
      <c r="K13" t="b">
        <v>1</v>
      </c>
      <c r="L13" t="b">
        <v>0</v>
      </c>
      <c r="M13" t="b">
        <v>0</v>
      </c>
      <c r="N13" s="29" t="s">
        <v>157</v>
      </c>
    </row>
    <row r="14" spans="1:14" x14ac:dyDescent="0.25">
      <c r="A14" s="5" t="s">
        <v>9</v>
      </c>
      <c r="B14" s="5" t="s">
        <v>184</v>
      </c>
      <c r="C14" s="43" t="str">
        <f>"=1 if the estimates within the study can be aggregated on a subregional level."</f>
        <v>=1 if the estimates within the study can be aggregated on a subregional level.</v>
      </c>
      <c r="D14" t="s">
        <v>107</v>
      </c>
      <c r="E14">
        <v>10</v>
      </c>
      <c r="F14" t="s">
        <v>156</v>
      </c>
      <c r="G14" s="29" t="b">
        <v>1</v>
      </c>
      <c r="H14" s="29" t="b">
        <v>1</v>
      </c>
      <c r="I14">
        <v>1</v>
      </c>
      <c r="K14" t="b">
        <v>1</v>
      </c>
      <c r="L14" t="b">
        <v>0</v>
      </c>
      <c r="M14" t="b">
        <v>0</v>
      </c>
      <c r="N14" s="29" t="s">
        <v>157</v>
      </c>
    </row>
    <row r="15" spans="1:14" x14ac:dyDescent="0.25">
      <c r="A15" s="5" t="s">
        <v>6</v>
      </c>
      <c r="B15" s="5" t="s">
        <v>185</v>
      </c>
      <c r="C15" s="43" t="str">
        <f>"=1 if the estimates within the study can be aggregated on a regional level."</f>
        <v>=1 if the estimates within the study can be aggregated on a regional level.</v>
      </c>
      <c r="D15" t="s">
        <v>107</v>
      </c>
      <c r="E15">
        <v>10</v>
      </c>
      <c r="F15" t="s">
        <v>156</v>
      </c>
      <c r="G15" s="29" t="b">
        <v>1</v>
      </c>
      <c r="H15" s="29" t="b">
        <v>1</v>
      </c>
      <c r="I15">
        <v>1</v>
      </c>
      <c r="K15" t="b">
        <v>1</v>
      </c>
      <c r="L15" t="b">
        <v>0</v>
      </c>
      <c r="M15" t="b">
        <v>0</v>
      </c>
      <c r="N15" s="29" t="s">
        <v>157</v>
      </c>
    </row>
    <row r="16" spans="1:14" x14ac:dyDescent="0.25">
      <c r="A16" s="5" t="s">
        <v>8</v>
      </c>
      <c r="B16" s="5" t="s">
        <v>186</v>
      </c>
      <c r="C16" s="43" t="str">
        <f>"=1 if the estimates within the study can be aggregated on a country level."</f>
        <v>=1 if the estimates within the study can be aggregated on a country level.</v>
      </c>
      <c r="D16" t="s">
        <v>107</v>
      </c>
      <c r="E16">
        <v>10</v>
      </c>
      <c r="F16" t="s">
        <v>156</v>
      </c>
      <c r="G16" s="29" t="b">
        <v>1</v>
      </c>
      <c r="H16" s="29" t="b">
        <v>1</v>
      </c>
      <c r="I16">
        <v>1</v>
      </c>
      <c r="K16" t="b">
        <v>1</v>
      </c>
      <c r="L16" t="b">
        <v>0</v>
      </c>
      <c r="M16" t="b">
        <v>0</v>
      </c>
      <c r="N16" s="29" t="s">
        <v>157</v>
      </c>
    </row>
    <row r="17" spans="1:14" x14ac:dyDescent="0.25">
      <c r="A17" s="5" t="s">
        <v>99</v>
      </c>
      <c r="B17" s="5" t="s">
        <v>187</v>
      </c>
      <c r="C17" s="43" t="str">
        <f>"=1 if the estimates within the study can not be aggregated on a country level or smaller (reference category)."</f>
        <v>=1 if the estimates within the study can not be aggregated on a country level or smaller (reference category).</v>
      </c>
      <c r="D17" t="s">
        <v>107</v>
      </c>
      <c r="E17">
        <v>10</v>
      </c>
      <c r="F17" t="s">
        <v>156</v>
      </c>
      <c r="G17" s="29" t="b">
        <v>1</v>
      </c>
      <c r="H17" s="29" t="b">
        <v>1</v>
      </c>
      <c r="I17">
        <v>1</v>
      </c>
      <c r="K17" t="b">
        <v>0</v>
      </c>
      <c r="L17" t="b">
        <v>1</v>
      </c>
      <c r="M17" t="b">
        <v>0</v>
      </c>
      <c r="N17" s="29" t="s">
        <v>156</v>
      </c>
    </row>
    <row r="18" spans="1:14" x14ac:dyDescent="0.25">
      <c r="A18" s="5" t="s">
        <v>54</v>
      </c>
      <c r="B18" s="5" t="s">
        <v>177</v>
      </c>
      <c r="C18" s="43" t="s">
        <v>234</v>
      </c>
      <c r="D18" t="s">
        <v>108</v>
      </c>
      <c r="E18">
        <v>11</v>
      </c>
      <c r="F18" t="s">
        <v>156</v>
      </c>
      <c r="G18" s="29" t="b">
        <v>1</v>
      </c>
      <c r="H18" s="29" t="b">
        <v>1</v>
      </c>
      <c r="J18" s="12" t="s">
        <v>158</v>
      </c>
      <c r="K18" t="b">
        <v>0</v>
      </c>
      <c r="L18" t="b">
        <v>0</v>
      </c>
      <c r="M18" t="b">
        <v>0</v>
      </c>
      <c r="N18" s="29" t="s">
        <v>156</v>
      </c>
    </row>
    <row r="19" spans="1:14" x14ac:dyDescent="0.25">
      <c r="A19" s="5" t="s">
        <v>55</v>
      </c>
      <c r="B19" s="5" t="s">
        <v>121</v>
      </c>
      <c r="C19" s="43" t="s">
        <v>235</v>
      </c>
      <c r="D19" t="s">
        <v>108</v>
      </c>
      <c r="E19">
        <v>11</v>
      </c>
      <c r="F19" t="s">
        <v>156</v>
      </c>
      <c r="G19" s="29" t="b">
        <v>0</v>
      </c>
      <c r="H19" s="29" t="b">
        <v>0</v>
      </c>
      <c r="K19" t="b">
        <v>0</v>
      </c>
      <c r="L19" t="b">
        <v>0</v>
      </c>
      <c r="M19" t="b">
        <v>0</v>
      </c>
      <c r="N19" s="29" t="s">
        <v>156</v>
      </c>
    </row>
    <row r="20" spans="1:14" x14ac:dyDescent="0.25">
      <c r="A20" s="5" t="s">
        <v>53</v>
      </c>
      <c r="B20" s="5" t="s">
        <v>122</v>
      </c>
      <c r="C20" s="43" t="s">
        <v>236</v>
      </c>
      <c r="D20" t="s">
        <v>108</v>
      </c>
      <c r="E20">
        <v>11</v>
      </c>
      <c r="F20" t="s">
        <v>156</v>
      </c>
      <c r="G20" s="29" t="b">
        <v>0</v>
      </c>
      <c r="H20" s="29" t="b">
        <v>0</v>
      </c>
      <c r="K20" t="b">
        <v>0</v>
      </c>
      <c r="L20" t="b">
        <v>0</v>
      </c>
      <c r="M20" t="b">
        <v>0</v>
      </c>
      <c r="N20" s="29" t="s">
        <v>156</v>
      </c>
    </row>
    <row r="21" spans="1:14" x14ac:dyDescent="0.25">
      <c r="A21" s="2" t="s">
        <v>92</v>
      </c>
      <c r="B21" s="2" t="s">
        <v>123</v>
      </c>
      <c r="C21" s="44" t="s">
        <v>238</v>
      </c>
      <c r="D21" t="s">
        <v>108</v>
      </c>
      <c r="E21">
        <v>12</v>
      </c>
      <c r="F21" t="s">
        <v>156</v>
      </c>
      <c r="G21" s="29" t="b">
        <v>1</v>
      </c>
      <c r="H21" s="29" t="b">
        <v>1</v>
      </c>
      <c r="J21" s="12" t="s">
        <v>158</v>
      </c>
      <c r="K21" t="b">
        <v>1</v>
      </c>
      <c r="L21" t="b">
        <v>0</v>
      </c>
      <c r="M21" t="b">
        <v>1</v>
      </c>
      <c r="N21" s="29" t="s">
        <v>157</v>
      </c>
    </row>
    <row r="22" spans="1:14" x14ac:dyDescent="0.25">
      <c r="A22" s="2" t="s">
        <v>2</v>
      </c>
      <c r="B22" s="2" t="s">
        <v>178</v>
      </c>
      <c r="C22" s="44" t="s">
        <v>393</v>
      </c>
      <c r="D22" t="s">
        <v>109</v>
      </c>
      <c r="E22">
        <v>13</v>
      </c>
      <c r="F22" t="s">
        <v>158</v>
      </c>
      <c r="G22" s="29" t="b">
        <v>1</v>
      </c>
      <c r="H22" s="29" t="b">
        <v>1</v>
      </c>
      <c r="J22" s="12" t="s">
        <v>158</v>
      </c>
      <c r="K22" t="b">
        <v>1</v>
      </c>
      <c r="L22" t="b">
        <v>0</v>
      </c>
      <c r="M22" t="b">
        <v>0</v>
      </c>
      <c r="N22" s="29" t="s">
        <v>157</v>
      </c>
    </row>
    <row r="23" spans="1:14" x14ac:dyDescent="0.25">
      <c r="A23" s="2" t="s">
        <v>10</v>
      </c>
      <c r="B23" s="2" t="s">
        <v>179</v>
      </c>
      <c r="C23" s="44" t="s">
        <v>394</v>
      </c>
      <c r="D23" t="s">
        <v>109</v>
      </c>
      <c r="E23">
        <v>14</v>
      </c>
      <c r="F23" t="s">
        <v>158</v>
      </c>
      <c r="G23" s="29" t="b">
        <v>1</v>
      </c>
      <c r="H23" s="29" t="b">
        <v>1</v>
      </c>
      <c r="J23" s="12" t="s">
        <v>158</v>
      </c>
      <c r="K23" t="b">
        <v>1</v>
      </c>
      <c r="L23" t="b">
        <v>0</v>
      </c>
      <c r="M23" t="b">
        <v>0</v>
      </c>
      <c r="N23" s="29" t="s">
        <v>157</v>
      </c>
    </row>
    <row r="24" spans="1:14" x14ac:dyDescent="0.25">
      <c r="A24" s="2" t="s">
        <v>96</v>
      </c>
      <c r="B24" s="2" t="s">
        <v>260</v>
      </c>
      <c r="C24" s="44" t="str">
        <f>"=1 if authors report schooling in years."</f>
        <v>=1 if authors report schooling in years.</v>
      </c>
      <c r="D24" t="s">
        <v>107</v>
      </c>
      <c r="E24">
        <v>15</v>
      </c>
      <c r="F24" t="s">
        <v>156</v>
      </c>
      <c r="G24" s="29" t="b">
        <v>1</v>
      </c>
      <c r="H24" s="29" t="b">
        <v>1</v>
      </c>
      <c r="I24">
        <v>1</v>
      </c>
      <c r="K24" t="b">
        <v>1</v>
      </c>
      <c r="L24" t="b">
        <v>0</v>
      </c>
      <c r="M24" t="b">
        <v>0</v>
      </c>
      <c r="N24" s="29" t="s">
        <v>157</v>
      </c>
    </row>
    <row r="25" spans="1:14" x14ac:dyDescent="0.25">
      <c r="A25" s="2" t="s">
        <v>97</v>
      </c>
      <c r="B25" s="2" t="s">
        <v>261</v>
      </c>
      <c r="C25" s="44" t="str">
        <f>"=1 if the authors report schooling in levels (e.g., attained college degree) (reference category)."</f>
        <v>=1 if the authors report schooling in levels (e.g., attained college degree) (reference category).</v>
      </c>
      <c r="D25" t="s">
        <v>107</v>
      </c>
      <c r="E25">
        <v>15</v>
      </c>
      <c r="F25" t="s">
        <v>156</v>
      </c>
      <c r="G25" s="29" t="b">
        <v>1</v>
      </c>
      <c r="H25" s="29" t="b">
        <v>1</v>
      </c>
      <c r="I25">
        <v>1</v>
      </c>
      <c r="K25" t="b">
        <v>0</v>
      </c>
      <c r="L25" t="b">
        <v>1</v>
      </c>
      <c r="M25" t="b">
        <v>0</v>
      </c>
      <c r="N25" s="29" t="s">
        <v>156</v>
      </c>
    </row>
    <row r="26" spans="1:14" x14ac:dyDescent="0.25">
      <c r="A26" s="2" t="s">
        <v>83</v>
      </c>
      <c r="B26" s="2" t="s">
        <v>188</v>
      </c>
      <c r="C26" s="44" t="str">
        <f>"=1 if the dependent variable in the regression is log hourly wage."</f>
        <v>=1 if the dependent variable in the regression is log hourly wage.</v>
      </c>
      <c r="D26" t="s">
        <v>107</v>
      </c>
      <c r="E26">
        <v>16</v>
      </c>
      <c r="F26" t="s">
        <v>156</v>
      </c>
      <c r="G26" s="29" t="b">
        <v>1</v>
      </c>
      <c r="H26" s="29" t="b">
        <v>1</v>
      </c>
      <c r="I26">
        <v>1</v>
      </c>
      <c r="K26" t="b">
        <v>1</v>
      </c>
      <c r="L26" t="b">
        <v>0</v>
      </c>
      <c r="M26" t="b">
        <v>0</v>
      </c>
      <c r="N26" s="29" t="s">
        <v>157</v>
      </c>
    </row>
    <row r="27" spans="1:14" x14ac:dyDescent="0.25">
      <c r="A27" s="2" t="s">
        <v>90</v>
      </c>
      <c r="B27" s="2" t="s">
        <v>189</v>
      </c>
      <c r="C27" s="44" t="str">
        <f>"=1 if the dependent variable in the regression is log daily or weekly wage."</f>
        <v>=1 if the dependent variable in the regression is log daily or weekly wage.</v>
      </c>
      <c r="D27" t="s">
        <v>107</v>
      </c>
      <c r="E27">
        <v>16</v>
      </c>
      <c r="F27" t="s">
        <v>156</v>
      </c>
      <c r="G27" s="29" t="b">
        <v>1</v>
      </c>
      <c r="H27" s="29" t="b">
        <v>1</v>
      </c>
      <c r="I27">
        <v>1</v>
      </c>
      <c r="K27" t="b">
        <v>1</v>
      </c>
      <c r="L27" t="b">
        <v>0</v>
      </c>
      <c r="M27" t="b">
        <v>0</v>
      </c>
      <c r="N27" s="29" t="s">
        <v>157</v>
      </c>
    </row>
    <row r="28" spans="1:14" x14ac:dyDescent="0.25">
      <c r="A28" s="2" t="s">
        <v>87</v>
      </c>
      <c r="B28" s="2" t="s">
        <v>190</v>
      </c>
      <c r="C28" s="44" t="str">
        <f>"=1 if the dependent variable in the regression is log monthly wage."</f>
        <v>=1 if the dependent variable in the regression is log monthly wage.</v>
      </c>
      <c r="D28" t="s">
        <v>107</v>
      </c>
      <c r="E28">
        <v>16</v>
      </c>
      <c r="F28" t="s">
        <v>156</v>
      </c>
      <c r="G28" s="29" t="b">
        <v>1</v>
      </c>
      <c r="H28" s="29" t="b">
        <v>1</v>
      </c>
      <c r="I28">
        <v>1</v>
      </c>
      <c r="K28" t="b">
        <v>1</v>
      </c>
      <c r="L28" t="b">
        <v>0</v>
      </c>
      <c r="M28" t="b">
        <v>0</v>
      </c>
      <c r="N28" s="29" t="s">
        <v>157</v>
      </c>
    </row>
    <row r="29" spans="1:14" x14ac:dyDescent="0.25">
      <c r="A29" s="2" t="s">
        <v>84</v>
      </c>
      <c r="B29" s="2" t="s">
        <v>271</v>
      </c>
      <c r="C29" s="44" t="str">
        <f>"=1 if the dependent variable in the regression is log of mean annual earnings (reference category)."</f>
        <v>=1 if the dependent variable in the regression is log of mean annual earnings (reference category).</v>
      </c>
      <c r="D29" t="s">
        <v>107</v>
      </c>
      <c r="E29">
        <v>16</v>
      </c>
      <c r="F29" t="s">
        <v>156</v>
      </c>
      <c r="G29" s="29" t="b">
        <v>1</v>
      </c>
      <c r="H29" s="29" t="b">
        <v>1</v>
      </c>
      <c r="I29">
        <v>1</v>
      </c>
      <c r="K29" t="b">
        <v>0</v>
      </c>
      <c r="L29" t="b">
        <v>1</v>
      </c>
      <c r="M29" t="b">
        <v>0</v>
      </c>
      <c r="N29" s="29" t="s">
        <v>156</v>
      </c>
    </row>
    <row r="30" spans="1:14" x14ac:dyDescent="0.25">
      <c r="A30" s="2" t="s">
        <v>11</v>
      </c>
      <c r="B30" s="2" t="s">
        <v>224</v>
      </c>
      <c r="C30" s="44" t="str">
        <f>"=1 if the study uses micro data."</f>
        <v>=1 if the study uses micro data.</v>
      </c>
      <c r="D30" t="s">
        <v>107</v>
      </c>
      <c r="E30">
        <v>17</v>
      </c>
      <c r="F30" t="s">
        <v>156</v>
      </c>
      <c r="G30" s="29" t="b">
        <v>1</v>
      </c>
      <c r="H30" s="29" t="b">
        <v>1</v>
      </c>
      <c r="I30">
        <v>1</v>
      </c>
      <c r="K30" t="b">
        <v>1</v>
      </c>
      <c r="L30" t="b">
        <v>0</v>
      </c>
      <c r="M30" t="b">
        <v>0</v>
      </c>
      <c r="N30" s="29" t="s">
        <v>157</v>
      </c>
    </row>
    <row r="31" spans="1:14" x14ac:dyDescent="0.25">
      <c r="A31" s="2" t="s">
        <v>12</v>
      </c>
      <c r="B31" s="2" t="s">
        <v>223</v>
      </c>
      <c r="C31" s="44" t="str">
        <f>"=1 if the study uses data from a survey."</f>
        <v>=1 if the study uses data from a survey.</v>
      </c>
      <c r="D31" t="s">
        <v>107</v>
      </c>
      <c r="E31">
        <v>17</v>
      </c>
      <c r="F31" t="s">
        <v>156</v>
      </c>
      <c r="G31" s="29" t="b">
        <v>1</v>
      </c>
      <c r="H31" s="29" t="b">
        <v>1</v>
      </c>
      <c r="I31">
        <v>1</v>
      </c>
      <c r="K31" t="b">
        <v>1</v>
      </c>
      <c r="L31" t="b">
        <v>0</v>
      </c>
      <c r="M31" t="b">
        <v>0</v>
      </c>
      <c r="N31" s="29" t="s">
        <v>157</v>
      </c>
    </row>
    <row r="32" spans="1:14" x14ac:dyDescent="0.25">
      <c r="A32" s="2" t="s">
        <v>13</v>
      </c>
      <c r="B32" s="2" t="s">
        <v>222</v>
      </c>
      <c r="C32" s="44" t="str">
        <f>"=1 if the study uses data from a national register (reference category)."</f>
        <v>=1 if the study uses data from a national register (reference category).</v>
      </c>
      <c r="D32" t="s">
        <v>107</v>
      </c>
      <c r="E32">
        <v>17</v>
      </c>
      <c r="F32" t="s">
        <v>156</v>
      </c>
      <c r="G32" s="29" t="b">
        <v>1</v>
      </c>
      <c r="H32" s="29" t="b">
        <v>1</v>
      </c>
      <c r="I32">
        <v>1</v>
      </c>
      <c r="K32" t="b">
        <v>0</v>
      </c>
      <c r="L32" t="b">
        <v>1</v>
      </c>
      <c r="M32" t="b">
        <v>0</v>
      </c>
      <c r="N32" s="29" t="s">
        <v>156</v>
      </c>
    </row>
    <row r="33" spans="1:14" x14ac:dyDescent="0.25">
      <c r="A33" s="2" t="s">
        <v>14</v>
      </c>
      <c r="B33" s="2" t="s">
        <v>180</v>
      </c>
      <c r="C33" s="44" t="str">
        <f>"=1 if the study uses cross-sectional data."</f>
        <v>=1 if the study uses cross-sectional data.</v>
      </c>
      <c r="D33" t="s">
        <v>107</v>
      </c>
      <c r="E33">
        <v>18</v>
      </c>
      <c r="F33" t="s">
        <v>156</v>
      </c>
      <c r="G33" s="29" t="b">
        <v>1</v>
      </c>
      <c r="H33" s="29" t="b">
        <v>1</v>
      </c>
      <c r="I33">
        <v>1</v>
      </c>
      <c r="K33" t="b">
        <v>1</v>
      </c>
      <c r="L33" t="b">
        <v>0</v>
      </c>
      <c r="M33" t="b">
        <v>0</v>
      </c>
      <c r="N33" s="29" t="s">
        <v>157</v>
      </c>
    </row>
    <row r="34" spans="1:14" x14ac:dyDescent="0.25">
      <c r="A34" s="2" t="s">
        <v>15</v>
      </c>
      <c r="B34" s="2" t="s">
        <v>181</v>
      </c>
      <c r="C34" s="44" t="str">
        <f>"=1 if the study uses panel data (reference category)."</f>
        <v>=1 if the study uses panel data (reference category).</v>
      </c>
      <c r="D34" t="s">
        <v>107</v>
      </c>
      <c r="E34">
        <v>18</v>
      </c>
      <c r="F34" t="s">
        <v>156</v>
      </c>
      <c r="G34" s="29" t="b">
        <v>1</v>
      </c>
      <c r="H34" s="29" t="b">
        <v>1</v>
      </c>
      <c r="I34">
        <v>1</v>
      </c>
      <c r="K34" t="b">
        <v>0</v>
      </c>
      <c r="L34" t="b">
        <v>1</v>
      </c>
      <c r="M34" t="b">
        <v>0</v>
      </c>
      <c r="N34" s="29" t="s">
        <v>156</v>
      </c>
    </row>
    <row r="35" spans="1:14" x14ac:dyDescent="0.25">
      <c r="A35" s="2" t="s">
        <v>28</v>
      </c>
      <c r="B35" s="2" t="s">
        <v>225</v>
      </c>
      <c r="C35" s="44" t="s">
        <v>237</v>
      </c>
      <c r="D35" t="s">
        <v>109</v>
      </c>
      <c r="E35">
        <v>19</v>
      </c>
      <c r="F35" t="s">
        <v>158</v>
      </c>
      <c r="G35" s="29" t="b">
        <v>1</v>
      </c>
      <c r="H35" s="29" t="b">
        <v>1</v>
      </c>
      <c r="J35" s="12" t="s">
        <v>158</v>
      </c>
      <c r="K35" t="b">
        <v>1</v>
      </c>
      <c r="L35" t="b">
        <v>0</v>
      </c>
      <c r="M35" t="b">
        <v>1</v>
      </c>
      <c r="N35" s="29" t="s">
        <v>157</v>
      </c>
    </row>
    <row r="36" spans="1:14" x14ac:dyDescent="0.25">
      <c r="A36" s="27" t="s">
        <v>67</v>
      </c>
      <c r="B36" s="3" t="s">
        <v>219</v>
      </c>
      <c r="C36" s="50" t="s">
        <v>241</v>
      </c>
      <c r="D36" t="s">
        <v>111</v>
      </c>
      <c r="E36">
        <v>20</v>
      </c>
      <c r="F36" t="s">
        <v>157</v>
      </c>
      <c r="G36" s="29" t="b">
        <v>1</v>
      </c>
      <c r="H36" s="29" t="b">
        <v>0</v>
      </c>
      <c r="K36" t="b">
        <v>0</v>
      </c>
      <c r="L36" t="b">
        <v>1</v>
      </c>
      <c r="M36" t="b">
        <v>0</v>
      </c>
      <c r="N36" s="29" t="s">
        <v>156</v>
      </c>
    </row>
    <row r="37" spans="1:14" x14ac:dyDescent="0.25">
      <c r="A37" s="27" t="s">
        <v>63</v>
      </c>
      <c r="B37" s="3" t="s">
        <v>218</v>
      </c>
      <c r="C37" s="50" t="s">
        <v>239</v>
      </c>
      <c r="D37" t="s">
        <v>111</v>
      </c>
      <c r="E37">
        <v>20</v>
      </c>
      <c r="F37" t="s">
        <v>157</v>
      </c>
      <c r="G37" s="29" t="b">
        <v>1</v>
      </c>
      <c r="H37" s="29" t="b">
        <v>0</v>
      </c>
      <c r="K37" t="b">
        <v>1</v>
      </c>
      <c r="L37" t="b">
        <v>0</v>
      </c>
      <c r="M37" t="b">
        <v>0</v>
      </c>
      <c r="N37" s="29" t="s">
        <v>157</v>
      </c>
    </row>
    <row r="38" spans="1:14" x14ac:dyDescent="0.25">
      <c r="A38" s="27" t="s">
        <v>64</v>
      </c>
      <c r="B38" s="3" t="s">
        <v>182</v>
      </c>
      <c r="C38" s="50" t="s">
        <v>240</v>
      </c>
      <c r="D38" t="s">
        <v>111</v>
      </c>
      <c r="E38">
        <v>20</v>
      </c>
      <c r="F38" t="s">
        <v>157</v>
      </c>
      <c r="G38" s="29" t="b">
        <v>1</v>
      </c>
      <c r="H38" s="29" t="b">
        <v>0</v>
      </c>
      <c r="K38" t="b">
        <v>1</v>
      </c>
      <c r="L38" t="b">
        <v>0</v>
      </c>
      <c r="M38" t="b">
        <v>0</v>
      </c>
      <c r="N38" s="29" t="s">
        <v>157</v>
      </c>
    </row>
    <row r="39" spans="1:14" x14ac:dyDescent="0.25">
      <c r="A39" s="27" t="s">
        <v>65</v>
      </c>
      <c r="B39" s="3" t="s">
        <v>149</v>
      </c>
      <c r="C39" s="50" t="s">
        <v>242</v>
      </c>
      <c r="D39" t="s">
        <v>111</v>
      </c>
      <c r="E39">
        <v>20</v>
      </c>
      <c r="F39" t="s">
        <v>157</v>
      </c>
      <c r="G39" s="29" t="b">
        <v>1</v>
      </c>
      <c r="H39" s="29" t="b">
        <v>1</v>
      </c>
      <c r="J39" s="12">
        <v>0.5</v>
      </c>
      <c r="K39" t="b">
        <v>1</v>
      </c>
      <c r="L39" t="b">
        <v>0</v>
      </c>
      <c r="M39" t="b">
        <v>0</v>
      </c>
      <c r="N39" s="29" t="s">
        <v>157</v>
      </c>
    </row>
    <row r="40" spans="1:14" x14ac:dyDescent="0.25">
      <c r="A40" s="27" t="s">
        <v>57</v>
      </c>
      <c r="B40" s="3" t="s">
        <v>273</v>
      </c>
      <c r="C40" s="50" t="s">
        <v>246</v>
      </c>
      <c r="D40" t="s">
        <v>111</v>
      </c>
      <c r="E40">
        <v>22</v>
      </c>
      <c r="F40" t="s">
        <v>157</v>
      </c>
      <c r="G40" s="29" t="b">
        <v>1</v>
      </c>
      <c r="H40" s="29" t="b">
        <v>1</v>
      </c>
      <c r="J40" s="12">
        <v>0.5</v>
      </c>
      <c r="K40" t="b">
        <v>1</v>
      </c>
      <c r="L40" t="b">
        <v>0</v>
      </c>
      <c r="M40" t="b">
        <v>0</v>
      </c>
      <c r="N40" s="29" t="s">
        <v>157</v>
      </c>
    </row>
    <row r="41" spans="1:14" x14ac:dyDescent="0.25">
      <c r="A41" s="27" t="s">
        <v>56</v>
      </c>
      <c r="B41" s="3" t="s">
        <v>274</v>
      </c>
      <c r="C41" s="50" t="s">
        <v>245</v>
      </c>
      <c r="D41" t="s">
        <v>111</v>
      </c>
      <c r="E41">
        <v>22</v>
      </c>
      <c r="F41" t="s">
        <v>157</v>
      </c>
      <c r="G41" s="29" t="b">
        <v>0</v>
      </c>
      <c r="H41" s="29" t="b">
        <v>0</v>
      </c>
      <c r="K41" t="b">
        <v>0</v>
      </c>
      <c r="L41" t="b">
        <v>1</v>
      </c>
      <c r="M41" t="b">
        <v>0</v>
      </c>
      <c r="N41" s="29" t="s">
        <v>156</v>
      </c>
    </row>
    <row r="42" spans="1:14" x14ac:dyDescent="0.25">
      <c r="A42" s="27" t="s">
        <v>3</v>
      </c>
      <c r="B42" s="3" t="s">
        <v>191</v>
      </c>
      <c r="C42" s="50" t="s">
        <v>244</v>
      </c>
      <c r="D42" t="s">
        <v>111</v>
      </c>
      <c r="E42">
        <v>23</v>
      </c>
      <c r="F42" t="s">
        <v>157</v>
      </c>
      <c r="G42" s="29" t="b">
        <v>1</v>
      </c>
      <c r="H42" s="29" t="b">
        <v>1</v>
      </c>
      <c r="J42" s="12">
        <v>0.5</v>
      </c>
      <c r="K42" t="b">
        <v>1</v>
      </c>
      <c r="L42" t="b">
        <v>0</v>
      </c>
      <c r="M42" t="b">
        <v>0</v>
      </c>
      <c r="N42" s="29" t="s">
        <v>157</v>
      </c>
    </row>
    <row r="43" spans="1:14" x14ac:dyDescent="0.25">
      <c r="A43" s="27" t="s">
        <v>4</v>
      </c>
      <c r="B43" s="3" t="s">
        <v>192</v>
      </c>
      <c r="C43" s="50" t="s">
        <v>243</v>
      </c>
      <c r="D43" t="s">
        <v>111</v>
      </c>
      <c r="E43">
        <v>23</v>
      </c>
      <c r="F43" t="s">
        <v>157</v>
      </c>
      <c r="G43" s="29" t="b">
        <v>0</v>
      </c>
      <c r="H43" s="29" t="b">
        <v>0</v>
      </c>
      <c r="K43" t="b">
        <v>0</v>
      </c>
      <c r="L43" t="b">
        <v>1</v>
      </c>
      <c r="M43" t="b">
        <v>0</v>
      </c>
      <c r="N43" s="29" t="s">
        <v>156</v>
      </c>
    </row>
    <row r="44" spans="1:14" x14ac:dyDescent="0.25">
      <c r="A44" s="27" t="s">
        <v>404</v>
      </c>
      <c r="B44" s="3" t="s">
        <v>406</v>
      </c>
      <c r="C44" s="50" t="s">
        <v>411</v>
      </c>
      <c r="D44" t="s">
        <v>111</v>
      </c>
      <c r="E44">
        <v>24</v>
      </c>
      <c r="F44" t="s">
        <v>157</v>
      </c>
      <c r="G44" s="29" t="b">
        <v>1</v>
      </c>
      <c r="H44" s="29" t="b">
        <v>1</v>
      </c>
      <c r="J44" s="12">
        <v>0.5</v>
      </c>
      <c r="K44" t="b">
        <v>1</v>
      </c>
      <c r="L44" t="b">
        <v>0</v>
      </c>
      <c r="M44" t="b">
        <v>0</v>
      </c>
      <c r="N44" s="29" t="s">
        <v>157</v>
      </c>
    </row>
    <row r="45" spans="1:14" x14ac:dyDescent="0.25">
      <c r="A45" s="27" t="s">
        <v>405</v>
      </c>
      <c r="B45" s="3" t="s">
        <v>407</v>
      </c>
      <c r="C45" s="50" t="s">
        <v>412</v>
      </c>
      <c r="D45" t="s">
        <v>111</v>
      </c>
      <c r="E45">
        <v>24</v>
      </c>
      <c r="F45" t="s">
        <v>157</v>
      </c>
      <c r="G45" s="29" t="b">
        <v>0</v>
      </c>
      <c r="H45" s="29" t="b">
        <v>0</v>
      </c>
      <c r="K45" t="b">
        <v>0</v>
      </c>
      <c r="L45" t="b">
        <v>1</v>
      </c>
      <c r="M45" t="b">
        <v>0</v>
      </c>
      <c r="N45" s="29" t="s">
        <v>156</v>
      </c>
    </row>
    <row r="46" spans="1:14" x14ac:dyDescent="0.25">
      <c r="A46" s="27" t="s">
        <v>16</v>
      </c>
      <c r="B46" s="3" t="s">
        <v>193</v>
      </c>
      <c r="C46" s="50" t="s">
        <v>247</v>
      </c>
      <c r="D46" t="s">
        <v>111</v>
      </c>
      <c r="E46">
        <v>25</v>
      </c>
      <c r="F46" t="s">
        <v>157</v>
      </c>
      <c r="G46" s="29" t="b">
        <v>1</v>
      </c>
      <c r="H46" s="29" t="b">
        <v>1</v>
      </c>
      <c r="J46" s="12">
        <v>0.5</v>
      </c>
      <c r="K46" t="b">
        <v>1</v>
      </c>
      <c r="L46" t="b">
        <v>0</v>
      </c>
      <c r="M46" t="b">
        <v>0</v>
      </c>
      <c r="N46" s="29" t="s">
        <v>157</v>
      </c>
    </row>
    <row r="47" spans="1:14" x14ac:dyDescent="0.25">
      <c r="A47" s="27" t="s">
        <v>17</v>
      </c>
      <c r="B47" s="3" t="s">
        <v>194</v>
      </c>
      <c r="C47" s="50" t="s">
        <v>248</v>
      </c>
      <c r="D47" t="s">
        <v>111</v>
      </c>
      <c r="E47">
        <v>25</v>
      </c>
      <c r="F47" t="s">
        <v>157</v>
      </c>
      <c r="G47" s="29" t="b">
        <v>0</v>
      </c>
      <c r="H47" s="29" t="b">
        <v>0</v>
      </c>
      <c r="K47" t="b">
        <v>0</v>
      </c>
      <c r="L47" t="b">
        <v>1</v>
      </c>
      <c r="M47" t="b">
        <v>0</v>
      </c>
      <c r="N47" s="29" t="s">
        <v>156</v>
      </c>
    </row>
    <row r="48" spans="1:14" x14ac:dyDescent="0.25">
      <c r="A48" s="27" t="s">
        <v>400</v>
      </c>
      <c r="B48" s="3" t="s">
        <v>402</v>
      </c>
      <c r="C48" s="50" t="s">
        <v>413</v>
      </c>
      <c r="D48" t="s">
        <v>111</v>
      </c>
      <c r="E48">
        <v>26</v>
      </c>
      <c r="F48" t="s">
        <v>157</v>
      </c>
      <c r="G48" s="29" t="b">
        <v>1</v>
      </c>
      <c r="H48" s="29" t="b">
        <v>1</v>
      </c>
      <c r="J48" s="12">
        <v>0.5</v>
      </c>
      <c r="K48" t="b">
        <v>1</v>
      </c>
      <c r="L48" t="b">
        <v>0</v>
      </c>
      <c r="M48" t="b">
        <v>0</v>
      </c>
      <c r="N48" s="29" t="s">
        <v>157</v>
      </c>
    </row>
    <row r="49" spans="1:14" x14ac:dyDescent="0.25">
      <c r="A49" s="27" t="s">
        <v>401</v>
      </c>
      <c r="B49" s="3" t="s">
        <v>403</v>
      </c>
      <c r="C49" s="50" t="s">
        <v>414</v>
      </c>
      <c r="D49" t="s">
        <v>111</v>
      </c>
      <c r="E49">
        <v>26</v>
      </c>
      <c r="F49" t="s">
        <v>157</v>
      </c>
      <c r="G49" s="29" t="b">
        <v>1</v>
      </c>
      <c r="H49" s="29" t="b">
        <v>0</v>
      </c>
      <c r="K49" t="b">
        <v>0</v>
      </c>
      <c r="L49" t="b">
        <v>1</v>
      </c>
      <c r="M49" t="b">
        <v>0</v>
      </c>
      <c r="N49" s="29" t="s">
        <v>156</v>
      </c>
    </row>
    <row r="50" spans="1:14" x14ac:dyDescent="0.25">
      <c r="A50" s="27" t="s">
        <v>416</v>
      </c>
      <c r="B50" s="3" t="s">
        <v>409</v>
      </c>
      <c r="C50" s="50" t="s">
        <v>420</v>
      </c>
      <c r="D50" t="s">
        <v>111</v>
      </c>
      <c r="E50">
        <v>27</v>
      </c>
      <c r="F50" t="s">
        <v>157</v>
      </c>
      <c r="G50" s="29" t="b">
        <v>1</v>
      </c>
      <c r="H50" s="29" t="b">
        <v>1</v>
      </c>
      <c r="J50" s="12" t="s">
        <v>158</v>
      </c>
      <c r="K50" t="b">
        <v>1</v>
      </c>
      <c r="L50" t="b">
        <v>0</v>
      </c>
      <c r="M50" t="b">
        <v>0</v>
      </c>
      <c r="N50" s="29" t="s">
        <v>157</v>
      </c>
    </row>
    <row r="51" spans="1:14" x14ac:dyDescent="0.25">
      <c r="A51" s="27" t="s">
        <v>417</v>
      </c>
      <c r="B51" s="3" t="s">
        <v>410</v>
      </c>
      <c r="C51" s="50" t="s">
        <v>421</v>
      </c>
      <c r="D51" t="s">
        <v>111</v>
      </c>
      <c r="E51">
        <v>27</v>
      </c>
      <c r="F51" t="s">
        <v>157</v>
      </c>
      <c r="G51" s="29" t="b">
        <v>1</v>
      </c>
      <c r="H51" s="29" t="b">
        <v>1</v>
      </c>
      <c r="J51" s="12" t="s">
        <v>158</v>
      </c>
      <c r="K51" t="b">
        <v>1</v>
      </c>
      <c r="L51" t="b">
        <v>0</v>
      </c>
      <c r="M51" t="b">
        <v>0</v>
      </c>
      <c r="N51" s="29" t="s">
        <v>157</v>
      </c>
    </row>
    <row r="52" spans="1:14" x14ac:dyDescent="0.25">
      <c r="A52" s="27" t="s">
        <v>418</v>
      </c>
      <c r="B52" s="3" t="s">
        <v>419</v>
      </c>
      <c r="C52" s="50" t="s">
        <v>422</v>
      </c>
      <c r="D52" t="s">
        <v>111</v>
      </c>
      <c r="E52">
        <v>27</v>
      </c>
      <c r="F52" t="s">
        <v>157</v>
      </c>
      <c r="G52" s="29" t="b">
        <v>1</v>
      </c>
      <c r="H52" s="29" t="b">
        <v>1</v>
      </c>
      <c r="J52" s="12" t="s">
        <v>158</v>
      </c>
      <c r="K52" t="b">
        <v>0</v>
      </c>
      <c r="L52" t="b">
        <v>1</v>
      </c>
      <c r="M52" t="b">
        <v>0</v>
      </c>
      <c r="N52" s="29" t="s">
        <v>156</v>
      </c>
    </row>
    <row r="53" spans="1:14" x14ac:dyDescent="0.25">
      <c r="A53" s="27" t="s">
        <v>5</v>
      </c>
      <c r="B53" s="3" t="s">
        <v>100</v>
      </c>
      <c r="C53" s="50" t="s">
        <v>249</v>
      </c>
      <c r="D53" t="s">
        <v>116</v>
      </c>
      <c r="E53">
        <v>28</v>
      </c>
      <c r="F53" t="s">
        <v>156</v>
      </c>
      <c r="G53" s="29" t="b">
        <v>0</v>
      </c>
      <c r="H53" s="29" t="b">
        <v>0</v>
      </c>
      <c r="K53" t="b">
        <v>0</v>
      </c>
      <c r="L53" t="b">
        <v>0</v>
      </c>
      <c r="M53" t="b">
        <v>0</v>
      </c>
      <c r="N53" s="29" t="s">
        <v>156</v>
      </c>
    </row>
    <row r="54" spans="1:14" x14ac:dyDescent="0.25">
      <c r="A54" s="27" t="s">
        <v>21</v>
      </c>
      <c r="B54" s="3" t="s">
        <v>263</v>
      </c>
      <c r="C54" s="50" t="str">
        <f>"=1 if the study was conducted in a country with advanced economy. (reference group)"</f>
        <v>=1 if the study was conducted in a country with advanced economy. (reference group)</v>
      </c>
      <c r="D54" t="s">
        <v>107</v>
      </c>
      <c r="E54">
        <v>29</v>
      </c>
      <c r="F54" t="s">
        <v>156</v>
      </c>
      <c r="G54" s="29" t="b">
        <v>1</v>
      </c>
      <c r="H54" s="29" t="b">
        <v>1</v>
      </c>
      <c r="I54">
        <v>1</v>
      </c>
      <c r="K54" t="b">
        <v>0</v>
      </c>
      <c r="L54" t="b">
        <v>1</v>
      </c>
      <c r="M54" t="b">
        <v>0</v>
      </c>
      <c r="N54" s="29" t="s">
        <v>156</v>
      </c>
    </row>
    <row r="55" spans="1:14" x14ac:dyDescent="0.25">
      <c r="A55" s="27" t="s">
        <v>22</v>
      </c>
      <c r="B55" s="3" t="s">
        <v>264</v>
      </c>
      <c r="C55" s="50" t="str">
        <f>"=1 if the study was conducted in the East Asia and Pacific region."</f>
        <v>=1 if the study was conducted in the East Asia and Pacific region.</v>
      </c>
      <c r="D55" t="s">
        <v>107</v>
      </c>
      <c r="E55">
        <v>29</v>
      </c>
      <c r="F55" t="s">
        <v>156</v>
      </c>
      <c r="G55" s="29" t="b">
        <v>1</v>
      </c>
      <c r="H55" s="29" t="b">
        <v>1</v>
      </c>
      <c r="I55">
        <v>1</v>
      </c>
      <c r="K55" t="b">
        <v>0</v>
      </c>
      <c r="L55" t="b">
        <v>0</v>
      </c>
      <c r="M55" t="b">
        <v>0</v>
      </c>
      <c r="N55" s="29" t="s">
        <v>156</v>
      </c>
    </row>
    <row r="56" spans="1:14" x14ac:dyDescent="0.25">
      <c r="A56" s="27" t="s">
        <v>23</v>
      </c>
      <c r="B56" s="3" t="s">
        <v>265</v>
      </c>
      <c r="C56" s="50" t="str">
        <f>"=1 if the study was conducted in the Europe and Central Asia region."</f>
        <v>=1 if the study was conducted in the Europe and Central Asia region.</v>
      </c>
      <c r="D56" t="s">
        <v>107</v>
      </c>
      <c r="E56">
        <v>29</v>
      </c>
      <c r="F56" t="s">
        <v>156</v>
      </c>
      <c r="G56" s="29" t="b">
        <v>1</v>
      </c>
      <c r="H56" s="29" t="b">
        <v>1</v>
      </c>
      <c r="I56">
        <v>1</v>
      </c>
      <c r="K56" t="b">
        <v>0</v>
      </c>
      <c r="L56" t="b">
        <v>0</v>
      </c>
      <c r="M56" t="b">
        <v>0</v>
      </c>
      <c r="N56" s="29" t="s">
        <v>156</v>
      </c>
    </row>
    <row r="57" spans="1:14" x14ac:dyDescent="0.25">
      <c r="A57" s="27" t="s">
        <v>24</v>
      </c>
      <c r="B57" s="3" t="s">
        <v>266</v>
      </c>
      <c r="C57" s="50" t="str">
        <f>"=1 if the study was conducted in the Latin America and Caribbean region."</f>
        <v>=1 if the study was conducted in the Latin America and Caribbean region.</v>
      </c>
      <c r="D57" t="s">
        <v>107</v>
      </c>
      <c r="E57">
        <v>29</v>
      </c>
      <c r="F57" t="s">
        <v>156</v>
      </c>
      <c r="G57" s="29" t="b">
        <v>1</v>
      </c>
      <c r="H57" s="29" t="b">
        <v>1</v>
      </c>
      <c r="I57">
        <v>1</v>
      </c>
      <c r="K57" t="b">
        <v>0</v>
      </c>
      <c r="L57" t="b">
        <v>0</v>
      </c>
      <c r="M57" t="b">
        <v>0</v>
      </c>
      <c r="N57" s="29" t="s">
        <v>156</v>
      </c>
    </row>
    <row r="58" spans="1:14" x14ac:dyDescent="0.25">
      <c r="A58" s="27" t="s">
        <v>25</v>
      </c>
      <c r="B58" s="3" t="s">
        <v>267</v>
      </c>
      <c r="C58" s="50" t="str">
        <f>"=1 if the study was conducted in the Middle East and North Africa region."</f>
        <v>=1 if the study was conducted in the Middle East and North Africa region.</v>
      </c>
      <c r="D58" t="s">
        <v>107</v>
      </c>
      <c r="E58">
        <v>29</v>
      </c>
      <c r="F58" t="s">
        <v>156</v>
      </c>
      <c r="G58" s="29" t="b">
        <v>1</v>
      </c>
      <c r="H58" s="29" t="b">
        <v>1</v>
      </c>
      <c r="I58">
        <v>1</v>
      </c>
      <c r="K58" t="b">
        <v>0</v>
      </c>
      <c r="L58" t="b">
        <v>0</v>
      </c>
      <c r="M58" t="b">
        <v>0</v>
      </c>
      <c r="N58" s="29" t="s">
        <v>156</v>
      </c>
    </row>
    <row r="59" spans="1:14" x14ac:dyDescent="0.25">
      <c r="A59" s="27" t="s">
        <v>26</v>
      </c>
      <c r="B59" s="3" t="s">
        <v>268</v>
      </c>
      <c r="C59" s="50" t="str">
        <f>"=1 if the study was conducted in the South African region."</f>
        <v>=1 if the study was conducted in the South African region.</v>
      </c>
      <c r="D59" t="s">
        <v>107</v>
      </c>
      <c r="E59">
        <v>29</v>
      </c>
      <c r="F59" t="s">
        <v>156</v>
      </c>
      <c r="G59" s="29" t="b">
        <v>1</v>
      </c>
      <c r="H59" s="29" t="b">
        <v>1</v>
      </c>
      <c r="I59">
        <v>1</v>
      </c>
      <c r="K59" t="b">
        <v>0</v>
      </c>
      <c r="L59" t="b">
        <v>0</v>
      </c>
      <c r="M59" t="b">
        <v>0</v>
      </c>
      <c r="N59" s="29" t="s">
        <v>156</v>
      </c>
    </row>
    <row r="60" spans="1:14" x14ac:dyDescent="0.25">
      <c r="A60" s="27" t="s">
        <v>27</v>
      </c>
      <c r="B60" s="3" t="s">
        <v>269</v>
      </c>
      <c r="C60" s="50" t="str">
        <f>"=1 if the study was conducted in the region of Sub Saharan Africa."</f>
        <v>=1 if the study was conducted in the region of Sub Saharan Africa.</v>
      </c>
      <c r="D60" t="s">
        <v>107</v>
      </c>
      <c r="E60">
        <v>29</v>
      </c>
      <c r="F60" t="s">
        <v>156</v>
      </c>
      <c r="G60" s="29" t="b">
        <v>1</v>
      </c>
      <c r="H60" s="29" t="b">
        <v>1</v>
      </c>
      <c r="I60">
        <v>1</v>
      </c>
      <c r="K60" t="b">
        <v>0</v>
      </c>
      <c r="L60" t="b">
        <v>0</v>
      </c>
      <c r="M60" t="b">
        <v>0</v>
      </c>
      <c r="N60" s="29" t="s">
        <v>156</v>
      </c>
    </row>
    <row r="61" spans="1:14" x14ac:dyDescent="0.25">
      <c r="A61" s="27" t="s">
        <v>20</v>
      </c>
      <c r="B61" s="3" t="s">
        <v>195</v>
      </c>
      <c r="C61" s="50" t="str">
        <f>"=1 if the study was conducted in a high income country (reference category)"</f>
        <v>=1 if the study was conducted in a high income country (reference category)</v>
      </c>
      <c r="D61" t="s">
        <v>107</v>
      </c>
      <c r="E61">
        <v>30</v>
      </c>
      <c r="F61" t="s">
        <v>156</v>
      </c>
      <c r="G61" s="29" t="b">
        <v>1</v>
      </c>
      <c r="H61" s="29" t="b">
        <v>1</v>
      </c>
      <c r="I61">
        <v>1</v>
      </c>
      <c r="K61" t="b">
        <v>0</v>
      </c>
      <c r="L61" t="b">
        <v>1</v>
      </c>
      <c r="M61" t="b">
        <v>0</v>
      </c>
      <c r="N61" s="29" t="s">
        <v>156</v>
      </c>
    </row>
    <row r="62" spans="1:14" x14ac:dyDescent="0.25">
      <c r="A62" s="27" t="s">
        <v>19</v>
      </c>
      <c r="B62" s="3" t="s">
        <v>196</v>
      </c>
      <c r="C62" s="50" t="str">
        <f>"=1 if the study was conducted in a middle income country"</f>
        <v>=1 if the study was conducted in a middle income country</v>
      </c>
      <c r="D62" t="s">
        <v>107</v>
      </c>
      <c r="E62">
        <v>30</v>
      </c>
      <c r="F62" t="s">
        <v>156</v>
      </c>
      <c r="G62" s="29" t="b">
        <v>1</v>
      </c>
      <c r="H62" s="29" t="b">
        <v>1</v>
      </c>
      <c r="I62">
        <v>1</v>
      </c>
      <c r="K62" t="b">
        <v>0</v>
      </c>
      <c r="L62" t="b">
        <v>0</v>
      </c>
      <c r="M62" t="b">
        <v>0</v>
      </c>
      <c r="N62" s="29" t="s">
        <v>156</v>
      </c>
    </row>
    <row r="63" spans="1:14" x14ac:dyDescent="0.25">
      <c r="A63" s="27" t="s">
        <v>18</v>
      </c>
      <c r="B63" s="3" t="s">
        <v>197</v>
      </c>
      <c r="C63" s="50" t="str">
        <f>"=1 if the study was conducted in a low income country"</f>
        <v>=1 if the study was conducted in a low income country</v>
      </c>
      <c r="D63" t="s">
        <v>107</v>
      </c>
      <c r="E63">
        <v>30</v>
      </c>
      <c r="F63" t="s">
        <v>156</v>
      </c>
      <c r="G63" s="29" t="b">
        <v>1</v>
      </c>
      <c r="H63" s="29" t="b">
        <v>1</v>
      </c>
      <c r="I63">
        <v>1</v>
      </c>
      <c r="K63" t="b">
        <v>0</v>
      </c>
      <c r="L63" t="b">
        <v>0</v>
      </c>
      <c r="M63" t="b">
        <v>0</v>
      </c>
      <c r="N63" s="29" t="s">
        <v>156</v>
      </c>
    </row>
    <row r="64" spans="1:14" x14ac:dyDescent="0.25">
      <c r="A64" s="27" t="s">
        <v>29</v>
      </c>
      <c r="B64" s="3" t="s">
        <v>124</v>
      </c>
      <c r="C64" s="50" t="s">
        <v>250</v>
      </c>
      <c r="D64" t="s">
        <v>109</v>
      </c>
      <c r="E64">
        <v>31</v>
      </c>
      <c r="F64" t="s">
        <v>158</v>
      </c>
      <c r="G64" s="29" t="b">
        <v>1</v>
      </c>
      <c r="H64" s="29" t="b">
        <v>1</v>
      </c>
      <c r="J64" s="12" t="s">
        <v>158</v>
      </c>
      <c r="K64" t="b">
        <v>1</v>
      </c>
      <c r="L64" t="b">
        <v>0</v>
      </c>
      <c r="M64" t="b">
        <v>1</v>
      </c>
      <c r="N64" s="29" t="s">
        <v>157</v>
      </c>
    </row>
    <row r="65" spans="1:14" x14ac:dyDescent="0.25">
      <c r="A65" s="27" t="s">
        <v>30</v>
      </c>
      <c r="B65" s="3" t="s">
        <v>125</v>
      </c>
      <c r="C65" s="50" t="s">
        <v>251</v>
      </c>
      <c r="D65" t="s">
        <v>109</v>
      </c>
      <c r="E65">
        <v>32</v>
      </c>
      <c r="F65" t="s">
        <v>158</v>
      </c>
      <c r="G65" s="29" t="b">
        <v>1</v>
      </c>
      <c r="H65" s="29" t="b">
        <v>1</v>
      </c>
      <c r="J65" s="12" t="s">
        <v>158</v>
      </c>
      <c r="K65" t="b">
        <v>1</v>
      </c>
      <c r="L65" t="b">
        <v>0</v>
      </c>
      <c r="M65" t="b">
        <v>1</v>
      </c>
      <c r="N65" s="29" t="s">
        <v>157</v>
      </c>
    </row>
    <row r="66" spans="1:14" x14ac:dyDescent="0.25">
      <c r="A66" s="27" t="s">
        <v>172</v>
      </c>
      <c r="B66" s="3" t="s">
        <v>173</v>
      </c>
      <c r="C66" s="50" t="s">
        <v>252</v>
      </c>
      <c r="D66" t="s">
        <v>109</v>
      </c>
      <c r="E66">
        <v>33</v>
      </c>
      <c r="F66" t="s">
        <v>158</v>
      </c>
      <c r="G66" s="29" t="b">
        <v>1</v>
      </c>
      <c r="H66" s="29" t="b">
        <v>1</v>
      </c>
      <c r="J66" s="12" t="s">
        <v>158</v>
      </c>
      <c r="K66" t="b">
        <v>1</v>
      </c>
      <c r="L66" t="b">
        <v>0</v>
      </c>
      <c r="M66" t="b">
        <v>0</v>
      </c>
      <c r="N66" s="29" t="s">
        <v>157</v>
      </c>
    </row>
    <row r="67" spans="1:14" x14ac:dyDescent="0.25">
      <c r="A67" s="27" t="s">
        <v>31</v>
      </c>
      <c r="B67" s="3" t="s">
        <v>175</v>
      </c>
      <c r="C67" s="50" t="s">
        <v>253</v>
      </c>
      <c r="D67" t="s">
        <v>109</v>
      </c>
      <c r="E67">
        <v>34</v>
      </c>
      <c r="F67" t="s">
        <v>158</v>
      </c>
      <c r="G67" s="29" t="b">
        <v>1</v>
      </c>
      <c r="H67" s="29" t="b">
        <v>1</v>
      </c>
      <c r="J67" s="12" t="s">
        <v>158</v>
      </c>
      <c r="K67" t="b">
        <v>1</v>
      </c>
      <c r="L67" t="b">
        <v>0</v>
      </c>
      <c r="M67" t="b">
        <v>1</v>
      </c>
      <c r="N67" s="29" t="s">
        <v>157</v>
      </c>
    </row>
    <row r="68" spans="1:14" x14ac:dyDescent="0.25">
      <c r="A68" s="4" t="s">
        <v>32</v>
      </c>
      <c r="B68" s="4" t="s">
        <v>198</v>
      </c>
      <c r="C68" s="45" t="str">
        <f>"=1 if the authors use Ordinary least squares."</f>
        <v>=1 if the authors use Ordinary least squares.</v>
      </c>
      <c r="D68" t="s">
        <v>107</v>
      </c>
      <c r="E68">
        <v>35</v>
      </c>
      <c r="F68" t="s">
        <v>156</v>
      </c>
      <c r="G68" s="29" t="b">
        <v>1</v>
      </c>
      <c r="H68" s="29" t="b">
        <v>1</v>
      </c>
      <c r="I68">
        <v>1</v>
      </c>
      <c r="K68" t="b">
        <v>0</v>
      </c>
      <c r="L68" t="b">
        <v>1</v>
      </c>
      <c r="M68" t="b">
        <v>0</v>
      </c>
      <c r="N68" s="29" t="s">
        <v>156</v>
      </c>
    </row>
    <row r="69" spans="1:14" x14ac:dyDescent="0.25">
      <c r="A69" s="4" t="s">
        <v>423</v>
      </c>
      <c r="B69" s="4" t="s">
        <v>424</v>
      </c>
      <c r="C69" s="45" t="str">
        <f>"=1 if the authors use  Selection-effects or Fixed-effects estimation."</f>
        <v>=1 if the authors use  Selection-effects or Fixed-effects estimation.</v>
      </c>
      <c r="D69" t="s">
        <v>107</v>
      </c>
      <c r="E69">
        <v>35</v>
      </c>
      <c r="F69" t="s">
        <v>156</v>
      </c>
      <c r="G69" s="29" t="b">
        <v>1</v>
      </c>
      <c r="H69" s="29" t="b">
        <v>1</v>
      </c>
      <c r="I69">
        <v>1</v>
      </c>
      <c r="K69" t="b">
        <v>1</v>
      </c>
      <c r="L69" t="b">
        <v>0</v>
      </c>
      <c r="M69" t="b">
        <v>0</v>
      </c>
      <c r="N69" s="29" t="s">
        <v>157</v>
      </c>
    </row>
    <row r="70" spans="1:14" x14ac:dyDescent="0.25">
      <c r="A70" s="4" t="s">
        <v>85</v>
      </c>
      <c r="B70" s="4" t="s">
        <v>199</v>
      </c>
      <c r="C70" s="45" t="str">
        <f>"=1 if the authors use Two-Stage least squares estimation."</f>
        <v>=1 if the authors use Two-Stage least squares estimation.</v>
      </c>
      <c r="D70" t="s">
        <v>107</v>
      </c>
      <c r="E70">
        <v>35</v>
      </c>
      <c r="F70" t="s">
        <v>156</v>
      </c>
      <c r="G70" s="29" t="b">
        <v>1</v>
      </c>
      <c r="H70" s="29" t="b">
        <v>1</v>
      </c>
      <c r="I70">
        <v>1</v>
      </c>
      <c r="K70" t="b">
        <v>1</v>
      </c>
      <c r="L70" t="b">
        <v>0</v>
      </c>
      <c r="M70" t="b">
        <v>0</v>
      </c>
      <c r="N70" s="29" t="s">
        <v>157</v>
      </c>
    </row>
    <row r="71" spans="1:14" x14ac:dyDescent="0.25">
      <c r="A71" s="4" t="s">
        <v>397</v>
      </c>
      <c r="B71" s="4" t="s">
        <v>398</v>
      </c>
      <c r="C71" s="45" t="str">
        <f>"=1 if the authors use First Differences."</f>
        <v>=1 if the authors use First Differences.</v>
      </c>
      <c r="D71" t="s">
        <v>107</v>
      </c>
      <c r="E71">
        <v>35</v>
      </c>
      <c r="F71" t="s">
        <v>156</v>
      </c>
      <c r="G71" s="29" t="b">
        <v>1</v>
      </c>
      <c r="H71" s="29" t="b">
        <v>1</v>
      </c>
      <c r="I71">
        <v>1</v>
      </c>
      <c r="K71" t="b">
        <v>1</v>
      </c>
      <c r="L71" t="b">
        <v>0</v>
      </c>
      <c r="M71" t="b">
        <v>0</v>
      </c>
      <c r="N71" s="29" t="s">
        <v>157</v>
      </c>
    </row>
    <row r="72" spans="1:14" x14ac:dyDescent="0.25">
      <c r="A72" s="4" t="s">
        <v>88</v>
      </c>
      <c r="B72" s="4" t="s">
        <v>200</v>
      </c>
      <c r="C72" s="45" t="str">
        <f>"=1 if the authors use Probit estimation."</f>
        <v>=1 if the authors use Probit estimation.</v>
      </c>
      <c r="D72" t="s">
        <v>107</v>
      </c>
      <c r="E72">
        <v>35</v>
      </c>
      <c r="F72" t="s">
        <v>156</v>
      </c>
      <c r="G72" s="29" t="b">
        <v>1</v>
      </c>
      <c r="H72" s="29" t="b">
        <v>1</v>
      </c>
      <c r="I72">
        <v>1</v>
      </c>
      <c r="K72" t="b">
        <v>1</v>
      </c>
      <c r="L72" t="b">
        <v>0</v>
      </c>
      <c r="M72" t="b">
        <v>0</v>
      </c>
      <c r="N72" s="29" t="s">
        <v>157</v>
      </c>
    </row>
    <row r="73" spans="1:14" x14ac:dyDescent="0.25">
      <c r="A73" s="4" t="s">
        <v>33</v>
      </c>
      <c r="B73" s="4" t="s">
        <v>201</v>
      </c>
      <c r="C73" s="45" t="str">
        <f>"=1 if the authors use Instrumental variables estimation (reference category)."</f>
        <v>=1 if the authors use Instrumental variables estimation (reference category).</v>
      </c>
      <c r="D73" t="s">
        <v>107</v>
      </c>
      <c r="E73">
        <v>35</v>
      </c>
      <c r="F73" t="s">
        <v>156</v>
      </c>
      <c r="G73" s="29" t="b">
        <v>1</v>
      </c>
      <c r="H73" s="29" t="b">
        <v>1</v>
      </c>
      <c r="I73">
        <v>1</v>
      </c>
      <c r="K73" t="b">
        <v>1</v>
      </c>
      <c r="L73" t="b">
        <v>0</v>
      </c>
      <c r="M73" t="b">
        <v>0</v>
      </c>
      <c r="N73" s="29" t="s">
        <v>157</v>
      </c>
    </row>
    <row r="74" spans="1:14" x14ac:dyDescent="0.25">
      <c r="A74" s="4" t="s">
        <v>34</v>
      </c>
      <c r="B74" s="4" t="s">
        <v>202</v>
      </c>
      <c r="C74" s="45" t="str">
        <f>"=1 if the authors include a direct measure of ability in their study."</f>
        <v>=1 if the authors include a direct measure of ability in their study.</v>
      </c>
      <c r="D74" t="s">
        <v>107</v>
      </c>
      <c r="E74">
        <v>36</v>
      </c>
      <c r="F74" t="s">
        <v>156</v>
      </c>
      <c r="G74" s="29" t="b">
        <v>1</v>
      </c>
      <c r="H74" s="29" t="b">
        <v>1</v>
      </c>
      <c r="I74">
        <v>1</v>
      </c>
      <c r="K74" t="b">
        <v>1</v>
      </c>
      <c r="L74" t="b">
        <v>0</v>
      </c>
      <c r="M74" t="b">
        <v>0</v>
      </c>
      <c r="N74" s="29" t="s">
        <v>157</v>
      </c>
    </row>
    <row r="75" spans="1:14" x14ac:dyDescent="0.25">
      <c r="A75" s="4" t="s">
        <v>35</v>
      </c>
      <c r="B75" s="4" t="s">
        <v>203</v>
      </c>
      <c r="C75" s="45" t="str">
        <f>"=1 if the authors use a proxy for ability in their study."</f>
        <v>=1 if the authors use a proxy for ability in their study.</v>
      </c>
      <c r="D75" t="s">
        <v>107</v>
      </c>
      <c r="E75">
        <v>36</v>
      </c>
      <c r="F75" t="s">
        <v>156</v>
      </c>
      <c r="G75" s="29" t="b">
        <v>1</v>
      </c>
      <c r="H75" s="29" t="b">
        <v>1</v>
      </c>
      <c r="I75">
        <v>1</v>
      </c>
      <c r="K75" t="b">
        <v>1</v>
      </c>
      <c r="L75" t="b">
        <v>0</v>
      </c>
      <c r="M75" t="b">
        <v>0</v>
      </c>
      <c r="N75" s="29" t="s">
        <v>157</v>
      </c>
    </row>
    <row r="76" spans="1:14" x14ac:dyDescent="0.25">
      <c r="A76" s="4" t="s">
        <v>81</v>
      </c>
      <c r="B76" s="4" t="s">
        <v>204</v>
      </c>
      <c r="C76" s="45" t="str">
        <f>"=1 if the authors acknowledge, but do not control for ability in any way in their study."</f>
        <v>=1 if the authors acknowledge, but do not control for ability in any way in their study.</v>
      </c>
      <c r="D76" t="s">
        <v>107</v>
      </c>
      <c r="E76">
        <v>36</v>
      </c>
      <c r="F76" t="s">
        <v>156</v>
      </c>
      <c r="G76" s="29" t="b">
        <v>1</v>
      </c>
      <c r="H76" s="29" t="b">
        <v>1</v>
      </c>
      <c r="I76">
        <v>1</v>
      </c>
      <c r="K76" t="b">
        <v>1</v>
      </c>
      <c r="L76" t="b">
        <v>0</v>
      </c>
      <c r="M76" t="b">
        <v>0</v>
      </c>
      <c r="N76" s="29" t="s">
        <v>157</v>
      </c>
    </row>
    <row r="77" spans="1:14" x14ac:dyDescent="0.25">
      <c r="A77" s="4" t="s">
        <v>82</v>
      </c>
      <c r="B77" s="4" t="s">
        <v>205</v>
      </c>
      <c r="C77" s="45" t="str">
        <f>"=1 if the authors do not mention ability anywhere in their study (reference category)."</f>
        <v>=1 if the authors do not mention ability anywhere in their study (reference category).</v>
      </c>
      <c r="D77" t="s">
        <v>107</v>
      </c>
      <c r="E77">
        <v>36</v>
      </c>
      <c r="F77" t="s">
        <v>156</v>
      </c>
      <c r="G77" s="29" t="b">
        <v>1</v>
      </c>
      <c r="H77" s="29" t="b">
        <v>1</v>
      </c>
      <c r="I77">
        <v>1</v>
      </c>
      <c r="K77" t="b">
        <v>0</v>
      </c>
      <c r="L77" t="b">
        <v>1</v>
      </c>
      <c r="M77" t="b">
        <v>0</v>
      </c>
      <c r="N77" s="29" t="s">
        <v>156</v>
      </c>
    </row>
    <row r="78" spans="1:14" x14ac:dyDescent="0.25">
      <c r="A78" s="4" t="s">
        <v>395</v>
      </c>
      <c r="B78" s="4" t="s">
        <v>396</v>
      </c>
      <c r="C78" s="45" t="str">
        <f>"=1 if the authors use sibling's education as an instrument in the regression."</f>
        <v>=1 if the authors use sibling's education as an instrument in the regression.</v>
      </c>
      <c r="D78" t="s">
        <v>108</v>
      </c>
      <c r="E78">
        <v>37</v>
      </c>
      <c r="F78" t="s">
        <v>156</v>
      </c>
      <c r="G78" s="29" t="b">
        <v>1</v>
      </c>
      <c r="H78" s="29" t="b">
        <v>1</v>
      </c>
      <c r="I78">
        <v>1</v>
      </c>
      <c r="K78" t="b">
        <v>0</v>
      </c>
      <c r="L78" t="b">
        <v>0</v>
      </c>
      <c r="M78" t="b">
        <v>0</v>
      </c>
      <c r="N78" s="29" t="s">
        <v>156</v>
      </c>
    </row>
    <row r="79" spans="1:14" x14ac:dyDescent="0.25">
      <c r="A79" s="4" t="s">
        <v>91</v>
      </c>
      <c r="B79" s="4" t="s">
        <v>206</v>
      </c>
      <c r="C79" s="45" t="str">
        <f>"=1 if the authors use distance to school as an instrument in the regression."</f>
        <v>=1 if the authors use distance to school as an instrument in the regression.</v>
      </c>
      <c r="D79" t="s">
        <v>108</v>
      </c>
      <c r="E79">
        <v>37</v>
      </c>
      <c r="F79" t="s">
        <v>156</v>
      </c>
      <c r="G79" s="29" t="b">
        <v>1</v>
      </c>
      <c r="H79" s="29" t="b">
        <v>1</v>
      </c>
      <c r="I79">
        <v>1</v>
      </c>
      <c r="K79" t="b">
        <v>0</v>
      </c>
      <c r="L79" t="b">
        <v>0</v>
      </c>
      <c r="M79" t="b">
        <v>0</v>
      </c>
      <c r="N79" s="29" t="s">
        <v>156</v>
      </c>
    </row>
    <row r="80" spans="1:14" x14ac:dyDescent="0.25">
      <c r="A80" s="4" t="s">
        <v>86</v>
      </c>
      <c r="B80" s="4" t="s">
        <v>207</v>
      </c>
      <c r="C80" s="45" t="str">
        <f>"=1 if the authors use another instrument in the regression."</f>
        <v>=1 if the authors use another instrument in the regression.</v>
      </c>
      <c r="D80" t="s">
        <v>108</v>
      </c>
      <c r="E80">
        <v>37</v>
      </c>
      <c r="F80" t="s">
        <v>156</v>
      </c>
      <c r="G80" s="29" t="b">
        <v>1</v>
      </c>
      <c r="H80" s="29" t="b">
        <v>1</v>
      </c>
      <c r="I80">
        <v>1</v>
      </c>
      <c r="K80" t="b">
        <v>0</v>
      </c>
      <c r="L80" t="b">
        <v>0</v>
      </c>
      <c r="M80" t="b">
        <v>0</v>
      </c>
      <c r="N80" s="29" t="s">
        <v>156</v>
      </c>
    </row>
    <row r="81" spans="1:14" x14ac:dyDescent="0.25">
      <c r="A81" s="4" t="s">
        <v>36</v>
      </c>
      <c r="B81" s="4" t="s">
        <v>208</v>
      </c>
      <c r="C81" s="45" t="str">
        <f>"=1 if the authors control for age in the regression."</f>
        <v>=1 if the authors control for age in the regression.</v>
      </c>
      <c r="D81" t="s">
        <v>108</v>
      </c>
      <c r="E81">
        <v>38</v>
      </c>
      <c r="F81" t="s">
        <v>156</v>
      </c>
      <c r="G81" s="29" t="b">
        <v>1</v>
      </c>
      <c r="H81" s="29" t="b">
        <v>1</v>
      </c>
      <c r="I81">
        <v>1</v>
      </c>
      <c r="K81" t="b">
        <v>1</v>
      </c>
      <c r="L81" t="b">
        <v>0</v>
      </c>
      <c r="M81" t="b">
        <v>0</v>
      </c>
      <c r="N81" s="29" t="s">
        <v>157</v>
      </c>
    </row>
    <row r="82" spans="1:14" x14ac:dyDescent="0.25">
      <c r="A82" s="4" t="s">
        <v>37</v>
      </c>
      <c r="B82" s="4" t="s">
        <v>221</v>
      </c>
      <c r="C82" s="45" t="str">
        <f>"=1 if the authors control for age in quadratic form in the regression."</f>
        <v>=1 if the authors control for age in quadratic form in the regression.</v>
      </c>
      <c r="D82" t="s">
        <v>108</v>
      </c>
      <c r="E82">
        <v>38</v>
      </c>
      <c r="F82" t="s">
        <v>156</v>
      </c>
      <c r="G82" s="29" t="b">
        <v>1</v>
      </c>
      <c r="H82" s="29" t="b">
        <v>1</v>
      </c>
      <c r="I82">
        <v>1</v>
      </c>
      <c r="K82" t="b">
        <v>1</v>
      </c>
      <c r="L82" t="b">
        <v>0</v>
      </c>
      <c r="M82" t="b">
        <v>0</v>
      </c>
      <c r="N82" s="29" t="s">
        <v>157</v>
      </c>
    </row>
    <row r="83" spans="1:14" x14ac:dyDescent="0.25">
      <c r="A83" s="4" t="s">
        <v>38</v>
      </c>
      <c r="B83" s="4" t="s">
        <v>209</v>
      </c>
      <c r="C83" s="45" t="str">
        <f>"=1 if the authors control for experience in the regression."</f>
        <v>=1 if the authors control for experience in the regression.</v>
      </c>
      <c r="D83" t="s">
        <v>108</v>
      </c>
      <c r="E83">
        <v>38</v>
      </c>
      <c r="F83" t="s">
        <v>156</v>
      </c>
      <c r="G83" s="29" t="b">
        <v>1</v>
      </c>
      <c r="H83" s="29" t="b">
        <v>1</v>
      </c>
      <c r="I83">
        <v>1</v>
      </c>
      <c r="K83" t="b">
        <v>1</v>
      </c>
      <c r="L83" t="b">
        <v>0</v>
      </c>
      <c r="M83" t="b">
        <v>0</v>
      </c>
      <c r="N83" s="29" t="s">
        <v>157</v>
      </c>
    </row>
    <row r="84" spans="1:14" x14ac:dyDescent="0.25">
      <c r="A84" s="4" t="s">
        <v>66</v>
      </c>
      <c r="B84" s="4" t="s">
        <v>220</v>
      </c>
      <c r="C84" s="45" t="str">
        <f>"=1 if the authors control for experience in quadratic form in the regression."</f>
        <v>=1 if the authors control for experience in quadratic form in the regression.</v>
      </c>
      <c r="D84" t="s">
        <v>108</v>
      </c>
      <c r="E84">
        <v>38</v>
      </c>
      <c r="F84" t="s">
        <v>156</v>
      </c>
      <c r="G84" s="29" t="b">
        <v>1</v>
      </c>
      <c r="H84" s="29" t="b">
        <v>1</v>
      </c>
      <c r="I84">
        <v>1</v>
      </c>
      <c r="K84" t="b">
        <v>1</v>
      </c>
      <c r="L84" t="b">
        <v>0</v>
      </c>
      <c r="M84" t="b">
        <v>0</v>
      </c>
      <c r="N84" s="29" t="s">
        <v>157</v>
      </c>
    </row>
    <row r="85" spans="1:14" x14ac:dyDescent="0.25">
      <c r="A85" s="4" t="s">
        <v>39</v>
      </c>
      <c r="B85" s="4" t="s">
        <v>210</v>
      </c>
      <c r="C85" s="45" t="str">
        <f>"=1 if the authors control for ethnicity in the regression."</f>
        <v>=1 if the authors control for ethnicity in the regression.</v>
      </c>
      <c r="D85" t="s">
        <v>108</v>
      </c>
      <c r="E85">
        <v>38</v>
      </c>
      <c r="F85" t="s">
        <v>156</v>
      </c>
      <c r="G85" s="29" t="b">
        <v>1</v>
      </c>
      <c r="H85" s="29" t="b">
        <v>1</v>
      </c>
      <c r="I85">
        <v>1</v>
      </c>
      <c r="K85" t="b">
        <v>1</v>
      </c>
      <c r="L85" t="b">
        <v>0</v>
      </c>
      <c r="M85" t="b">
        <v>0</v>
      </c>
      <c r="N85" s="29" t="s">
        <v>157</v>
      </c>
    </row>
    <row r="86" spans="1:14" x14ac:dyDescent="0.25">
      <c r="A86" s="4" t="s">
        <v>40</v>
      </c>
      <c r="B86" s="4" t="s">
        <v>211</v>
      </c>
      <c r="C86" s="45" t="str">
        <f>"=1 if the authors control for health in the regression."</f>
        <v>=1 if the authors control for health in the regression.</v>
      </c>
      <c r="D86" t="s">
        <v>108</v>
      </c>
      <c r="E86">
        <v>38</v>
      </c>
      <c r="F86" t="s">
        <v>156</v>
      </c>
      <c r="G86" s="29" t="b">
        <v>1</v>
      </c>
      <c r="H86" s="29" t="b">
        <v>1</v>
      </c>
      <c r="I86">
        <v>1</v>
      </c>
      <c r="K86" t="b">
        <v>1</v>
      </c>
      <c r="L86" t="b">
        <v>0</v>
      </c>
      <c r="M86" t="b">
        <v>0</v>
      </c>
      <c r="N86" s="29" t="s">
        <v>157</v>
      </c>
    </row>
    <row r="87" spans="1:14" x14ac:dyDescent="0.25">
      <c r="A87" s="4" t="s">
        <v>41</v>
      </c>
      <c r="B87" s="4" t="s">
        <v>212</v>
      </c>
      <c r="C87" s="45" t="str">
        <f>"=1 if the authors control for gender in the regression."</f>
        <v>=1 if the authors control for gender in the regression.</v>
      </c>
      <c r="D87" t="s">
        <v>108</v>
      </c>
      <c r="E87">
        <v>38</v>
      </c>
      <c r="F87" t="s">
        <v>156</v>
      </c>
      <c r="G87" s="29" t="b">
        <v>1</v>
      </c>
      <c r="H87" s="29" t="b">
        <v>1</v>
      </c>
      <c r="I87">
        <v>1</v>
      </c>
      <c r="K87" t="b">
        <v>1</v>
      </c>
      <c r="L87" t="b">
        <v>0</v>
      </c>
      <c r="M87" t="b">
        <v>0</v>
      </c>
      <c r="N87" s="29" t="s">
        <v>157</v>
      </c>
    </row>
    <row r="88" spans="1:14" x14ac:dyDescent="0.25">
      <c r="A88" s="4" t="s">
        <v>170</v>
      </c>
      <c r="B88" s="4" t="s">
        <v>213</v>
      </c>
      <c r="C88" s="45" t="str">
        <f>"=1 if the authors control for marriage in the regression."</f>
        <v>=1 if the authors control for marriage in the regression.</v>
      </c>
      <c r="D88" t="s">
        <v>108</v>
      </c>
      <c r="E88">
        <v>38</v>
      </c>
      <c r="F88" t="s">
        <v>156</v>
      </c>
      <c r="G88" s="29" t="b">
        <v>1</v>
      </c>
      <c r="H88" s="29" t="b">
        <v>1</v>
      </c>
      <c r="I88">
        <v>1</v>
      </c>
      <c r="K88" t="b">
        <v>1</v>
      </c>
      <c r="L88" t="b">
        <v>0</v>
      </c>
      <c r="M88" t="b">
        <v>0</v>
      </c>
      <c r="N88" s="29" t="s">
        <v>157</v>
      </c>
    </row>
    <row r="89" spans="1:14" x14ac:dyDescent="0.25">
      <c r="A89" s="4" t="s">
        <v>42</v>
      </c>
      <c r="B89" s="4" t="s">
        <v>214</v>
      </c>
      <c r="C89" s="45" t="str">
        <f>"=1 if the authors control for occupation of the subjects in the regression."</f>
        <v>=1 if the authors control for occupation of the subjects in the regression.</v>
      </c>
      <c r="D89" t="s">
        <v>108</v>
      </c>
      <c r="E89">
        <v>38</v>
      </c>
      <c r="F89" t="s">
        <v>156</v>
      </c>
      <c r="G89" s="29" t="b">
        <v>1</v>
      </c>
      <c r="H89" s="29" t="b">
        <v>1</v>
      </c>
      <c r="I89">
        <v>1</v>
      </c>
      <c r="K89" t="b">
        <v>1</v>
      </c>
      <c r="L89" t="b">
        <v>0</v>
      </c>
      <c r="M89" t="b">
        <v>0</v>
      </c>
      <c r="N89" s="29" t="s">
        <v>157</v>
      </c>
    </row>
    <row r="90" spans="1:14" x14ac:dyDescent="0.25">
      <c r="A90" s="4" t="s">
        <v>44</v>
      </c>
      <c r="B90" s="4" t="s">
        <v>270</v>
      </c>
      <c r="C90" s="45" t="str">
        <f>"=1 if the authors control for firm characteristics in the regression."</f>
        <v>=1 if the authors control for firm characteristics in the regression.</v>
      </c>
      <c r="D90" t="s">
        <v>108</v>
      </c>
      <c r="E90">
        <v>38</v>
      </c>
      <c r="F90" t="s">
        <v>156</v>
      </c>
      <c r="G90" s="29" t="b">
        <v>1</v>
      </c>
      <c r="H90" s="29" t="b">
        <v>1</v>
      </c>
      <c r="I90">
        <v>1</v>
      </c>
      <c r="K90" t="b">
        <v>1</v>
      </c>
      <c r="L90" t="b">
        <v>0</v>
      </c>
      <c r="M90" t="b">
        <v>0</v>
      </c>
      <c r="N90" s="29" t="s">
        <v>157</v>
      </c>
    </row>
    <row r="91" spans="1:14" x14ac:dyDescent="0.25">
      <c r="A91" s="4" t="s">
        <v>89</v>
      </c>
      <c r="B91" s="4" t="s">
        <v>215</v>
      </c>
      <c r="C91" s="45" t="str">
        <f>"=1 if the authors control for area type in the regression (e.g., urban, rural)."</f>
        <v>=1 if the authors control for area type in the regression (e.g., urban, rural).</v>
      </c>
      <c r="D91" t="s">
        <v>108</v>
      </c>
      <c r="E91">
        <v>38</v>
      </c>
      <c r="F91" t="s">
        <v>156</v>
      </c>
      <c r="G91" s="29" t="b">
        <v>1</v>
      </c>
      <c r="H91" s="29" t="b">
        <v>1</v>
      </c>
      <c r="I91">
        <v>1</v>
      </c>
      <c r="K91" t="b">
        <v>1</v>
      </c>
      <c r="L91" t="b">
        <v>0</v>
      </c>
      <c r="M91" t="b">
        <v>0</v>
      </c>
      <c r="N91" s="29" t="s">
        <v>157</v>
      </c>
    </row>
    <row r="92" spans="1:14" x14ac:dyDescent="0.25">
      <c r="A92" s="4" t="s">
        <v>43</v>
      </c>
      <c r="B92" s="4" t="s">
        <v>272</v>
      </c>
      <c r="C92" s="45" t="str">
        <f>"=1 if the authors control for macroeconomic variables in the regression."</f>
        <v>=1 if the authors control for macroeconomic variables in the regression.</v>
      </c>
      <c r="D92" t="s">
        <v>108</v>
      </c>
      <c r="E92">
        <v>38</v>
      </c>
      <c r="F92" t="s">
        <v>156</v>
      </c>
      <c r="G92" s="29" t="b">
        <v>1</v>
      </c>
      <c r="H92" s="29" t="b">
        <v>1</v>
      </c>
      <c r="I92">
        <v>1</v>
      </c>
      <c r="K92" t="b">
        <v>1</v>
      </c>
      <c r="L92" t="b">
        <v>0</v>
      </c>
      <c r="M92" t="b">
        <v>0</v>
      </c>
      <c r="N92" s="29" t="s">
        <v>157</v>
      </c>
    </row>
    <row r="93" spans="1:14" x14ac:dyDescent="0.25">
      <c r="A93" s="30" t="s">
        <v>45</v>
      </c>
      <c r="B93" s="30" t="s">
        <v>126</v>
      </c>
      <c r="C93" s="46" t="s">
        <v>254</v>
      </c>
      <c r="D93" t="s">
        <v>109</v>
      </c>
      <c r="E93">
        <v>39</v>
      </c>
      <c r="F93" t="s">
        <v>156</v>
      </c>
      <c r="G93" s="29" t="b">
        <v>1</v>
      </c>
      <c r="H93" s="29" t="b">
        <v>1</v>
      </c>
      <c r="J93" s="12" t="s">
        <v>158</v>
      </c>
      <c r="K93" t="b">
        <v>1</v>
      </c>
      <c r="L93" t="b">
        <v>0</v>
      </c>
      <c r="M93" t="b">
        <v>1</v>
      </c>
      <c r="N93" s="29" t="s">
        <v>174</v>
      </c>
    </row>
    <row r="94" spans="1:14" x14ac:dyDescent="0.25">
      <c r="A94" s="30" t="s">
        <v>46</v>
      </c>
      <c r="B94" s="30" t="s">
        <v>127</v>
      </c>
      <c r="C94" s="46" t="s">
        <v>255</v>
      </c>
      <c r="D94" t="s">
        <v>108</v>
      </c>
      <c r="E94">
        <v>40</v>
      </c>
      <c r="F94" t="s">
        <v>156</v>
      </c>
      <c r="G94" s="29" t="b">
        <v>1</v>
      </c>
      <c r="H94" s="29" t="b">
        <v>1</v>
      </c>
      <c r="J94" s="12" t="s">
        <v>158</v>
      </c>
      <c r="K94" t="b">
        <v>1</v>
      </c>
      <c r="L94" t="b">
        <v>0</v>
      </c>
      <c r="M94" t="b">
        <v>1</v>
      </c>
      <c r="N94" s="29" t="s">
        <v>174</v>
      </c>
    </row>
    <row r="95" spans="1:14" x14ac:dyDescent="0.25">
      <c r="A95" s="30" t="s">
        <v>47</v>
      </c>
      <c r="B95" s="30" t="s">
        <v>216</v>
      </c>
      <c r="C95" s="46" t="str">
        <f>"=1 if the study was published in a journal."</f>
        <v>=1 if the study was published in a journal.</v>
      </c>
      <c r="D95" t="s">
        <v>107</v>
      </c>
      <c r="E95">
        <v>41</v>
      </c>
      <c r="F95" t="s">
        <v>156</v>
      </c>
      <c r="G95" s="29" t="b">
        <v>1</v>
      </c>
      <c r="H95" s="29" t="b">
        <v>1</v>
      </c>
      <c r="I95">
        <v>1</v>
      </c>
      <c r="K95" t="b">
        <v>1</v>
      </c>
      <c r="L95" t="b">
        <v>0</v>
      </c>
      <c r="M95" t="b">
        <v>0</v>
      </c>
      <c r="N95" s="29" t="s">
        <v>157</v>
      </c>
    </row>
    <row r="96" spans="1:14" x14ac:dyDescent="0.25">
      <c r="A96" s="30" t="s">
        <v>112</v>
      </c>
      <c r="B96" s="30" t="s">
        <v>217</v>
      </c>
      <c r="C96" s="46" t="str">
        <f>"=1 if the study was not published in a journal (reference category)."</f>
        <v>=1 if the study was not published in a journal (reference category).</v>
      </c>
      <c r="D96" t="s">
        <v>107</v>
      </c>
      <c r="E96">
        <v>41</v>
      </c>
      <c r="F96" t="s">
        <v>156</v>
      </c>
      <c r="G96" s="29" t="b">
        <v>1</v>
      </c>
      <c r="H96" s="29" t="b">
        <v>1</v>
      </c>
      <c r="I96">
        <v>1</v>
      </c>
      <c r="K96" t="b">
        <v>0</v>
      </c>
      <c r="L96" t="b">
        <v>1</v>
      </c>
      <c r="M96" t="b">
        <v>0</v>
      </c>
      <c r="N96" s="29" t="s">
        <v>156</v>
      </c>
    </row>
    <row r="97" spans="1:14" x14ac:dyDescent="0.25">
      <c r="A97" s="30" t="s">
        <v>48</v>
      </c>
      <c r="B97" s="30" t="s">
        <v>128</v>
      </c>
      <c r="C97" s="46" t="s">
        <v>392</v>
      </c>
      <c r="D97" t="s">
        <v>108</v>
      </c>
      <c r="E97">
        <v>42</v>
      </c>
      <c r="F97" t="s">
        <v>156</v>
      </c>
      <c r="G97" s="29" t="b">
        <v>1</v>
      </c>
      <c r="H97" s="29" t="b">
        <v>1</v>
      </c>
      <c r="J97" s="12" t="s">
        <v>158</v>
      </c>
      <c r="K97" t="b">
        <v>1</v>
      </c>
      <c r="L97" t="b">
        <v>0</v>
      </c>
      <c r="M97" t="b">
        <v>1</v>
      </c>
      <c r="N97" s="29" t="s">
        <v>157</v>
      </c>
    </row>
  </sheetData>
  <conditionalFormatting sqref="A2:C97">
    <cfRule type="containsBlanks" dxfId="183" priority="7">
      <formula>LEN(TRIM(A2))=0</formula>
    </cfRule>
  </conditionalFormatting>
  <conditionalFormatting sqref="N2:N1992">
    <cfRule type="notContainsText" dxfId="182" priority="2" operator="notContains" text="stop">
      <formula>ISERROR(SEARCH("stop",N2))</formula>
    </cfRule>
    <cfRule type="containsText" dxfId="181" priority="3" operator="containsText" text="stop">
      <formula>NOT(ISERROR(SEARCH("stop",N2)))</formula>
    </cfRule>
  </conditionalFormatting>
  <conditionalFormatting sqref="G2:H1992 K2:M1992">
    <cfRule type="containsText" dxfId="180" priority="4" operator="containsText" text="FALSE">
      <formula>NOT(ISERROR(SEARCH("FALSE",G2)))</formula>
    </cfRule>
    <cfRule type="containsText" dxfId="179"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8"/>
  <sheetViews>
    <sheetView workbookViewId="0">
      <pane ySplit="1" topLeftCell="A2" activePane="bottomLeft" state="frozen"/>
      <selection activeCell="D1" sqref="D1"/>
      <selection pane="bottomLeft" activeCell="H14" sqref="H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52" t="s">
        <v>130</v>
      </c>
      <c r="B1" s="53" t="s">
        <v>131</v>
      </c>
      <c r="C1" s="54" t="s">
        <v>132</v>
      </c>
      <c r="D1" s="53" t="s">
        <v>101</v>
      </c>
      <c r="E1" s="53" t="s">
        <v>133</v>
      </c>
      <c r="F1" s="53" t="s">
        <v>134</v>
      </c>
      <c r="G1" s="53" t="s">
        <v>135</v>
      </c>
      <c r="H1" s="53" t="s">
        <v>148</v>
      </c>
      <c r="I1" s="53" t="s">
        <v>145</v>
      </c>
      <c r="J1" s="53" t="s">
        <v>146</v>
      </c>
      <c r="K1" s="53" t="s">
        <v>144</v>
      </c>
      <c r="L1" s="53" t="s">
        <v>136</v>
      </c>
      <c r="M1" s="53" t="s">
        <v>137</v>
      </c>
      <c r="N1" s="53" t="s">
        <v>138</v>
      </c>
      <c r="O1" s="53" t="s">
        <v>139</v>
      </c>
      <c r="P1" s="55"/>
      <c r="Q1" s="55" t="s">
        <v>140</v>
      </c>
      <c r="R1" s="55" t="s">
        <v>141</v>
      </c>
      <c r="S1" s="55" t="s">
        <v>142</v>
      </c>
      <c r="T1" s="56" t="s">
        <v>143</v>
      </c>
      <c r="U1" s="62" t="s">
        <v>385</v>
      </c>
    </row>
    <row r="2" spans="1:21" x14ac:dyDescent="0.25">
      <c r="A2">
        <v>1</v>
      </c>
      <c r="B2" t="s">
        <v>276</v>
      </c>
      <c r="C2" t="s">
        <v>277</v>
      </c>
      <c r="D2">
        <v>1998</v>
      </c>
      <c r="E2" t="s">
        <v>278</v>
      </c>
      <c r="F2" t="s">
        <v>279</v>
      </c>
      <c r="G2" t="s">
        <v>49</v>
      </c>
      <c r="H2" t="s">
        <v>167</v>
      </c>
      <c r="I2" t="b">
        <v>1</v>
      </c>
      <c r="J2">
        <f t="shared" ref="J2:J18" si="0">D2-MIN($D$2:$D$18)</f>
        <v>22</v>
      </c>
      <c r="K2">
        <v>3.0920000000000001</v>
      </c>
      <c r="L2">
        <v>908</v>
      </c>
      <c r="M2" t="s">
        <v>280</v>
      </c>
      <c r="N2" t="s">
        <v>281</v>
      </c>
      <c r="O2" s="57" t="s">
        <v>281</v>
      </c>
      <c r="P2" s="57" t="s">
        <v>276</v>
      </c>
      <c r="Q2" t="s">
        <v>95</v>
      </c>
      <c r="R2" t="s">
        <v>95</v>
      </c>
      <c r="S2" t="s">
        <v>94</v>
      </c>
      <c r="T2" s="17">
        <v>1</v>
      </c>
    </row>
    <row r="3" spans="1:21" x14ac:dyDescent="0.25">
      <c r="A3">
        <v>2</v>
      </c>
      <c r="B3" t="s">
        <v>282</v>
      </c>
      <c r="C3" t="s">
        <v>283</v>
      </c>
      <c r="D3">
        <v>1994</v>
      </c>
      <c r="E3" t="s">
        <v>284</v>
      </c>
      <c r="F3" t="s">
        <v>285</v>
      </c>
      <c r="G3" t="s">
        <v>49</v>
      </c>
      <c r="H3" t="s">
        <v>389</v>
      </c>
      <c r="I3" t="b">
        <v>1</v>
      </c>
      <c r="J3">
        <f t="shared" si="0"/>
        <v>18</v>
      </c>
      <c r="K3">
        <v>3.0070000000000001</v>
      </c>
      <c r="L3">
        <v>1812</v>
      </c>
      <c r="M3" t="s">
        <v>286</v>
      </c>
      <c r="N3" t="s">
        <v>287</v>
      </c>
      <c r="O3" t="s">
        <v>287</v>
      </c>
      <c r="P3" t="s">
        <v>282</v>
      </c>
      <c r="Q3" t="s">
        <v>95</v>
      </c>
      <c r="R3" t="s">
        <v>95</v>
      </c>
      <c r="S3" t="s">
        <v>94</v>
      </c>
      <c r="T3" s="17">
        <v>1</v>
      </c>
    </row>
    <row r="4" spans="1:21" x14ac:dyDescent="0.25">
      <c r="A4">
        <v>3</v>
      </c>
      <c r="B4" t="s">
        <v>288</v>
      </c>
      <c r="C4" t="s">
        <v>289</v>
      </c>
      <c r="D4">
        <v>1999</v>
      </c>
      <c r="E4" t="s">
        <v>290</v>
      </c>
      <c r="F4" t="s">
        <v>291</v>
      </c>
      <c r="G4" t="s">
        <v>49</v>
      </c>
      <c r="H4" t="s">
        <v>150</v>
      </c>
      <c r="I4" t="b">
        <v>1</v>
      </c>
      <c r="J4">
        <f t="shared" si="0"/>
        <v>23</v>
      </c>
      <c r="K4">
        <v>0.29799999999999999</v>
      </c>
      <c r="L4">
        <v>188</v>
      </c>
      <c r="M4" t="s">
        <v>292</v>
      </c>
      <c r="N4" t="s">
        <v>293</v>
      </c>
      <c r="O4" t="s">
        <v>294</v>
      </c>
      <c r="P4" t="s">
        <v>288</v>
      </c>
      <c r="Q4" t="s">
        <v>95</v>
      </c>
      <c r="R4" t="s">
        <v>95</v>
      </c>
      <c r="S4" t="s">
        <v>94</v>
      </c>
      <c r="T4" s="17">
        <v>1</v>
      </c>
      <c r="U4" t="s">
        <v>295</v>
      </c>
    </row>
    <row r="5" spans="1:21" x14ac:dyDescent="0.25">
      <c r="A5">
        <v>4</v>
      </c>
      <c r="B5" t="s">
        <v>296</v>
      </c>
      <c r="C5" t="s">
        <v>297</v>
      </c>
      <c r="D5">
        <v>2003</v>
      </c>
      <c r="E5" t="s">
        <v>298</v>
      </c>
      <c r="F5" t="s">
        <v>299</v>
      </c>
      <c r="G5" t="s">
        <v>49</v>
      </c>
      <c r="H5" t="s">
        <v>151</v>
      </c>
      <c r="I5" t="b">
        <v>1</v>
      </c>
      <c r="J5">
        <f t="shared" si="0"/>
        <v>27</v>
      </c>
      <c r="K5">
        <v>3.0070000000000001</v>
      </c>
      <c r="L5">
        <v>158</v>
      </c>
      <c r="M5" t="s">
        <v>300</v>
      </c>
      <c r="N5" t="s">
        <v>301</v>
      </c>
      <c r="O5" t="s">
        <v>301</v>
      </c>
      <c r="P5" t="s">
        <v>296</v>
      </c>
      <c r="Q5" t="s">
        <v>95</v>
      </c>
      <c r="R5" t="s">
        <v>95</v>
      </c>
      <c r="S5" t="s">
        <v>94</v>
      </c>
      <c r="T5" s="17">
        <v>1</v>
      </c>
    </row>
    <row r="6" spans="1:21" x14ac:dyDescent="0.25">
      <c r="A6">
        <v>5</v>
      </c>
      <c r="B6" t="s">
        <v>302</v>
      </c>
      <c r="C6" t="s">
        <v>303</v>
      </c>
      <c r="D6">
        <v>2012</v>
      </c>
      <c r="E6" t="s">
        <v>304</v>
      </c>
      <c r="F6" t="s">
        <v>305</v>
      </c>
      <c r="G6" t="s">
        <v>49</v>
      </c>
      <c r="H6" t="s">
        <v>169</v>
      </c>
      <c r="I6" t="b">
        <v>1</v>
      </c>
      <c r="J6">
        <f t="shared" si="0"/>
        <v>36</v>
      </c>
      <c r="K6">
        <v>0.76700000000000002</v>
      </c>
      <c r="L6">
        <v>176</v>
      </c>
      <c r="M6" t="s">
        <v>306</v>
      </c>
      <c r="N6" t="s">
        <v>307</v>
      </c>
      <c r="O6" t="s">
        <v>307</v>
      </c>
      <c r="P6" t="s">
        <v>302</v>
      </c>
      <c r="Q6" t="s">
        <v>95</v>
      </c>
      <c r="R6" t="s">
        <v>95</v>
      </c>
      <c r="S6" t="s">
        <v>94</v>
      </c>
      <c r="T6" s="17">
        <v>1</v>
      </c>
    </row>
    <row r="7" spans="1:21" x14ac:dyDescent="0.25">
      <c r="A7">
        <v>6</v>
      </c>
      <c r="B7" t="s">
        <v>308</v>
      </c>
      <c r="C7" t="s">
        <v>309</v>
      </c>
      <c r="D7">
        <v>1995</v>
      </c>
      <c r="E7" t="s">
        <v>310</v>
      </c>
      <c r="F7" t="s">
        <v>311</v>
      </c>
      <c r="G7" t="s">
        <v>49</v>
      </c>
      <c r="H7" t="s">
        <v>151</v>
      </c>
      <c r="I7" t="b">
        <v>1</v>
      </c>
      <c r="J7">
        <f t="shared" si="0"/>
        <v>19</v>
      </c>
      <c r="K7">
        <v>3.0070000000000001</v>
      </c>
      <c r="L7">
        <v>372</v>
      </c>
      <c r="M7" t="s">
        <v>312</v>
      </c>
      <c r="N7" t="s">
        <v>313</v>
      </c>
      <c r="O7" t="s">
        <v>313</v>
      </c>
      <c r="P7" t="s">
        <v>308</v>
      </c>
      <c r="Q7" t="s">
        <v>95</v>
      </c>
      <c r="R7" t="s">
        <v>95</v>
      </c>
      <c r="S7" t="s">
        <v>94</v>
      </c>
      <c r="T7" s="17">
        <v>1</v>
      </c>
    </row>
    <row r="8" spans="1:21" x14ac:dyDescent="0.25">
      <c r="A8">
        <v>7</v>
      </c>
      <c r="B8" t="s">
        <v>314</v>
      </c>
      <c r="C8" t="s">
        <v>315</v>
      </c>
      <c r="D8">
        <v>1976</v>
      </c>
      <c r="E8" t="s">
        <v>316</v>
      </c>
      <c r="F8" t="s">
        <v>317</v>
      </c>
      <c r="G8" t="s">
        <v>49</v>
      </c>
      <c r="H8" t="s">
        <v>151</v>
      </c>
      <c r="I8" t="b">
        <v>1</v>
      </c>
      <c r="J8">
        <f t="shared" si="0"/>
        <v>0</v>
      </c>
      <c r="K8">
        <v>3.0070000000000001</v>
      </c>
      <c r="L8">
        <v>382</v>
      </c>
      <c r="M8" t="s">
        <v>318</v>
      </c>
      <c r="N8" t="s">
        <v>319</v>
      </c>
      <c r="O8" t="s">
        <v>319</v>
      </c>
      <c r="P8" t="s">
        <v>314</v>
      </c>
      <c r="Q8" t="s">
        <v>95</v>
      </c>
      <c r="R8" t="s">
        <v>95</v>
      </c>
      <c r="S8" t="s">
        <v>94</v>
      </c>
      <c r="T8" s="17">
        <v>1</v>
      </c>
    </row>
    <row r="9" spans="1:21" x14ac:dyDescent="0.25">
      <c r="A9">
        <v>8</v>
      </c>
      <c r="B9" t="s">
        <v>320</v>
      </c>
      <c r="C9" t="s">
        <v>321</v>
      </c>
      <c r="D9">
        <v>1994</v>
      </c>
      <c r="E9" t="s">
        <v>322</v>
      </c>
      <c r="F9" t="s">
        <v>323</v>
      </c>
      <c r="G9" t="s">
        <v>49</v>
      </c>
      <c r="H9" t="s">
        <v>386</v>
      </c>
      <c r="I9" t="b">
        <v>1</v>
      </c>
      <c r="J9">
        <f t="shared" si="0"/>
        <v>18</v>
      </c>
      <c r="K9">
        <v>1.8520000000000001</v>
      </c>
      <c r="L9">
        <v>616</v>
      </c>
      <c r="M9" t="s">
        <v>324</v>
      </c>
      <c r="N9" t="s">
        <v>325</v>
      </c>
      <c r="P9" t="s">
        <v>320</v>
      </c>
      <c r="Q9" t="s">
        <v>95</v>
      </c>
      <c r="R9" t="s">
        <v>95</v>
      </c>
      <c r="S9" t="s">
        <v>94</v>
      </c>
      <c r="T9" s="17">
        <v>1</v>
      </c>
    </row>
    <row r="10" spans="1:21" x14ac:dyDescent="0.25">
      <c r="A10">
        <v>9</v>
      </c>
      <c r="B10" t="s">
        <v>326</v>
      </c>
      <c r="C10" t="s">
        <v>327</v>
      </c>
      <c r="D10">
        <v>1999</v>
      </c>
      <c r="E10" t="s">
        <v>328</v>
      </c>
      <c r="F10" t="s">
        <v>329</v>
      </c>
      <c r="G10" t="s">
        <v>49</v>
      </c>
      <c r="H10" t="s">
        <v>387</v>
      </c>
      <c r="I10" t="b">
        <v>1</v>
      </c>
      <c r="J10">
        <f t="shared" si="0"/>
        <v>23</v>
      </c>
      <c r="K10">
        <v>0.29799999999999999</v>
      </c>
      <c r="L10">
        <v>196</v>
      </c>
      <c r="M10" t="s">
        <v>330</v>
      </c>
      <c r="N10" t="s">
        <v>331</v>
      </c>
      <c r="O10" t="s">
        <v>331</v>
      </c>
      <c r="P10" t="s">
        <v>326</v>
      </c>
      <c r="Q10" t="s">
        <v>95</v>
      </c>
      <c r="R10" t="s">
        <v>95</v>
      </c>
      <c r="S10" t="s">
        <v>94</v>
      </c>
      <c r="T10" s="17">
        <v>1</v>
      </c>
    </row>
    <row r="11" spans="1:21" x14ac:dyDescent="0.25">
      <c r="A11">
        <v>10</v>
      </c>
      <c r="B11" t="s">
        <v>332</v>
      </c>
      <c r="C11" t="s">
        <v>333</v>
      </c>
      <c r="D11">
        <v>1996</v>
      </c>
      <c r="E11" t="s">
        <v>334</v>
      </c>
      <c r="F11" t="s">
        <v>335</v>
      </c>
      <c r="G11" t="s">
        <v>49</v>
      </c>
      <c r="H11" t="s">
        <v>171</v>
      </c>
      <c r="I11" t="b">
        <v>1</v>
      </c>
      <c r="J11">
        <f t="shared" si="0"/>
        <v>20</v>
      </c>
      <c r="K11">
        <v>1.383</v>
      </c>
      <c r="L11">
        <v>218</v>
      </c>
      <c r="M11" t="s">
        <v>336</v>
      </c>
      <c r="N11" t="s">
        <v>337</v>
      </c>
      <c r="P11" t="s">
        <v>332</v>
      </c>
      <c r="Q11" t="s">
        <v>95</v>
      </c>
      <c r="R11" t="s">
        <v>95</v>
      </c>
      <c r="S11" t="s">
        <v>94</v>
      </c>
      <c r="T11" s="17">
        <v>1</v>
      </c>
    </row>
    <row r="12" spans="1:21" x14ac:dyDescent="0.25">
      <c r="A12">
        <v>11</v>
      </c>
      <c r="B12" t="s">
        <v>338</v>
      </c>
      <c r="C12" t="s">
        <v>339</v>
      </c>
      <c r="D12">
        <v>2018</v>
      </c>
      <c r="E12" t="s">
        <v>340</v>
      </c>
      <c r="F12" t="s">
        <v>341</v>
      </c>
      <c r="G12" t="s">
        <v>49</v>
      </c>
      <c r="H12" t="s">
        <v>168</v>
      </c>
      <c r="I12" t="b">
        <v>1</v>
      </c>
      <c r="J12">
        <f t="shared" si="0"/>
        <v>42</v>
      </c>
      <c r="K12">
        <v>0.52800000000000002</v>
      </c>
      <c r="L12">
        <v>181</v>
      </c>
      <c r="M12" t="s">
        <v>342</v>
      </c>
      <c r="N12" t="s">
        <v>343</v>
      </c>
      <c r="O12" t="s">
        <v>343</v>
      </c>
      <c r="P12" t="s">
        <v>338</v>
      </c>
      <c r="Q12" t="s">
        <v>95</v>
      </c>
      <c r="R12" t="s">
        <v>95</v>
      </c>
      <c r="S12" t="s">
        <v>94</v>
      </c>
      <c r="T12" s="17" t="s">
        <v>344</v>
      </c>
    </row>
    <row r="13" spans="1:21" x14ac:dyDescent="0.25">
      <c r="A13">
        <v>12</v>
      </c>
      <c r="B13" t="s">
        <v>345</v>
      </c>
      <c r="C13" t="s">
        <v>346</v>
      </c>
      <c r="D13">
        <v>2012</v>
      </c>
      <c r="E13" t="s">
        <v>347</v>
      </c>
      <c r="F13" t="s">
        <v>348</v>
      </c>
      <c r="G13" t="s">
        <v>49</v>
      </c>
      <c r="H13" t="s">
        <v>152</v>
      </c>
      <c r="I13" t="b">
        <v>0</v>
      </c>
      <c r="J13">
        <f t="shared" si="0"/>
        <v>36</v>
      </c>
      <c r="K13">
        <v>0</v>
      </c>
      <c r="L13">
        <v>18</v>
      </c>
      <c r="M13" t="s">
        <v>349</v>
      </c>
      <c r="N13" t="s">
        <v>350</v>
      </c>
      <c r="O13" t="s">
        <v>350</v>
      </c>
      <c r="P13" t="s">
        <v>345</v>
      </c>
      <c r="Q13" t="s">
        <v>95</v>
      </c>
      <c r="R13" t="s">
        <v>95</v>
      </c>
      <c r="S13" t="s">
        <v>94</v>
      </c>
      <c r="T13" s="17">
        <v>1</v>
      </c>
    </row>
    <row r="14" spans="1:21" x14ac:dyDescent="0.25">
      <c r="A14">
        <v>13</v>
      </c>
      <c r="B14" t="s">
        <v>351</v>
      </c>
      <c r="C14" t="s">
        <v>352</v>
      </c>
      <c r="D14">
        <v>2020</v>
      </c>
      <c r="E14" t="s">
        <v>353</v>
      </c>
      <c r="F14" t="s">
        <v>354</v>
      </c>
      <c r="G14" t="s">
        <v>49</v>
      </c>
      <c r="H14" t="s">
        <v>388</v>
      </c>
      <c r="I14" t="b">
        <v>1</v>
      </c>
      <c r="J14">
        <f t="shared" si="0"/>
        <v>44</v>
      </c>
      <c r="K14">
        <v>8.1000000000000003E-2</v>
      </c>
      <c r="L14">
        <v>11</v>
      </c>
      <c r="M14" t="s">
        <v>355</v>
      </c>
      <c r="N14" t="s">
        <v>356</v>
      </c>
      <c r="O14" t="s">
        <v>356</v>
      </c>
      <c r="P14" t="s">
        <v>351</v>
      </c>
      <c r="Q14" t="s">
        <v>95</v>
      </c>
      <c r="R14" t="s">
        <v>95</v>
      </c>
      <c r="S14" t="s">
        <v>94</v>
      </c>
      <c r="T14" s="17">
        <v>1</v>
      </c>
    </row>
    <row r="15" spans="1:21" x14ac:dyDescent="0.25">
      <c r="A15">
        <v>14</v>
      </c>
      <c r="B15" t="s">
        <v>357</v>
      </c>
      <c r="C15" t="s">
        <v>358</v>
      </c>
      <c r="D15">
        <v>2005</v>
      </c>
      <c r="E15" t="s">
        <v>359</v>
      </c>
      <c r="F15" t="s">
        <v>360</v>
      </c>
      <c r="G15" t="s">
        <v>361</v>
      </c>
      <c r="H15" t="s">
        <v>152</v>
      </c>
      <c r="I15" t="b">
        <v>0</v>
      </c>
      <c r="J15">
        <f t="shared" si="0"/>
        <v>29</v>
      </c>
      <c r="K15">
        <v>0</v>
      </c>
      <c r="L15">
        <v>1</v>
      </c>
      <c r="M15" t="s">
        <v>362</v>
      </c>
      <c r="N15" t="s">
        <v>363</v>
      </c>
      <c r="O15" t="s">
        <v>363</v>
      </c>
      <c r="P15" t="s">
        <v>357</v>
      </c>
      <c r="Q15" t="s">
        <v>95</v>
      </c>
      <c r="R15" t="s">
        <v>95</v>
      </c>
      <c r="S15" t="s">
        <v>94</v>
      </c>
      <c r="T15" s="17">
        <v>1</v>
      </c>
      <c r="U15" t="s">
        <v>364</v>
      </c>
    </row>
    <row r="16" spans="1:21" x14ac:dyDescent="0.25">
      <c r="A16">
        <v>15</v>
      </c>
      <c r="B16" t="s">
        <v>365</v>
      </c>
      <c r="C16" t="s">
        <v>366</v>
      </c>
      <c r="D16">
        <v>2003</v>
      </c>
      <c r="E16" t="s">
        <v>367</v>
      </c>
      <c r="F16" t="s">
        <v>368</v>
      </c>
      <c r="G16" t="s">
        <v>369</v>
      </c>
      <c r="H16" t="s">
        <v>168</v>
      </c>
      <c r="I16" t="b">
        <v>1</v>
      </c>
      <c r="J16">
        <f t="shared" si="0"/>
        <v>27</v>
      </c>
      <c r="K16">
        <v>0.52800000000000002</v>
      </c>
      <c r="L16">
        <v>265</v>
      </c>
      <c r="M16" t="s">
        <v>370</v>
      </c>
      <c r="N16" t="s">
        <v>371</v>
      </c>
      <c r="O16" t="s">
        <v>372</v>
      </c>
      <c r="P16" t="s">
        <v>365</v>
      </c>
      <c r="Q16" t="s">
        <v>95</v>
      </c>
      <c r="R16" t="s">
        <v>95</v>
      </c>
      <c r="S16" t="s">
        <v>94</v>
      </c>
      <c r="T16" s="17">
        <v>1</v>
      </c>
      <c r="U16" t="s">
        <v>364</v>
      </c>
    </row>
    <row r="17" spans="1:21" x14ac:dyDescent="0.25">
      <c r="A17">
        <v>16</v>
      </c>
      <c r="B17" t="s">
        <v>373</v>
      </c>
      <c r="C17" t="s">
        <v>309</v>
      </c>
      <c r="D17">
        <v>2004</v>
      </c>
      <c r="E17" t="s">
        <v>374</v>
      </c>
      <c r="F17" t="s">
        <v>375</v>
      </c>
      <c r="G17" t="s">
        <v>376</v>
      </c>
      <c r="H17" t="s">
        <v>150</v>
      </c>
      <c r="I17" t="b">
        <v>1</v>
      </c>
      <c r="J17">
        <f t="shared" si="0"/>
        <v>28</v>
      </c>
      <c r="K17">
        <v>0.29799999999999999</v>
      </c>
      <c r="L17">
        <v>19</v>
      </c>
      <c r="M17" t="s">
        <v>377</v>
      </c>
      <c r="N17" t="s">
        <v>378</v>
      </c>
      <c r="O17" t="s">
        <v>379</v>
      </c>
      <c r="P17" t="s">
        <v>373</v>
      </c>
      <c r="Q17" t="s">
        <v>95</v>
      </c>
      <c r="R17" t="s">
        <v>95</v>
      </c>
      <c r="S17" t="s">
        <v>94</v>
      </c>
      <c r="T17" s="17">
        <v>1</v>
      </c>
      <c r="U17" t="s">
        <v>364</v>
      </c>
    </row>
    <row r="18" spans="1:21" x14ac:dyDescent="0.25">
      <c r="A18">
        <v>17</v>
      </c>
      <c r="B18" t="s">
        <v>380</v>
      </c>
      <c r="C18" t="s">
        <v>381</v>
      </c>
      <c r="D18">
        <v>1999</v>
      </c>
      <c r="E18" t="s">
        <v>382</v>
      </c>
      <c r="F18" t="s">
        <v>383</v>
      </c>
      <c r="G18" t="s">
        <v>49</v>
      </c>
      <c r="H18" t="s">
        <v>168</v>
      </c>
      <c r="I18" t="b">
        <v>1</v>
      </c>
      <c r="J18">
        <f t="shared" si="0"/>
        <v>23</v>
      </c>
      <c r="K18">
        <v>0.52800000000000002</v>
      </c>
      <c r="L18">
        <v>177</v>
      </c>
      <c r="M18" t="s">
        <v>49</v>
      </c>
      <c r="N18" t="s">
        <v>390</v>
      </c>
      <c r="O18" t="s">
        <v>391</v>
      </c>
      <c r="P18" t="s">
        <v>380</v>
      </c>
      <c r="Q18" t="s">
        <v>95</v>
      </c>
      <c r="R18" t="s">
        <v>95</v>
      </c>
      <c r="S18" t="s">
        <v>94</v>
      </c>
      <c r="T18" s="17" t="s">
        <v>49</v>
      </c>
      <c r="U18" t="s">
        <v>384</v>
      </c>
    </row>
  </sheetData>
  <conditionalFormatting sqref="F1">
    <cfRule type="containsBlanks" dxfId="178" priority="802">
      <formula>LEN(TRIM(F1))=0</formula>
    </cfRule>
  </conditionalFormatting>
  <conditionalFormatting sqref="Q2:S2">
    <cfRule type="containsText" dxfId="177" priority="189" operator="containsText" text="PRIMARY STUDY">
      <formula>NOT(ISERROR(SEARCH("PRIMARY STUDY",Q2)))</formula>
    </cfRule>
    <cfRule type="notContainsText" dxfId="176" priority="190" operator="notContains" text="YES">
      <formula>ISERROR(SEARCH("YES",Q2))</formula>
    </cfRule>
    <cfRule type="containsText" dxfId="175" priority="191" operator="containsText" text="YES">
      <formula>NOT(ISERROR(SEARCH("YES",Q2)))</formula>
    </cfRule>
  </conditionalFormatting>
  <conditionalFormatting sqref="T2">
    <cfRule type="containsBlanks" dxfId="174" priority="192">
      <formula>LEN(TRIM(T2))=0</formula>
    </cfRule>
  </conditionalFormatting>
  <conditionalFormatting sqref="T2">
    <cfRule type="cellIs" dxfId="173" priority="187" operator="between">
      <formula>1</formula>
      <formula>4</formula>
    </cfRule>
    <cfRule type="containsText" dxfId="172" priority="188" operator="containsText" text="X">
      <formula>NOT(ISERROR(SEARCH("X",T2)))</formula>
    </cfRule>
  </conditionalFormatting>
  <conditionalFormatting sqref="Q3:S3">
    <cfRule type="containsText" dxfId="171" priority="183" operator="containsText" text="PRIMARY STUDY">
      <formula>NOT(ISERROR(SEARCH("PRIMARY STUDY",Q3)))</formula>
    </cfRule>
    <cfRule type="notContainsText" dxfId="170" priority="184" operator="notContains" text="YES">
      <formula>ISERROR(SEARCH("YES",Q3))</formula>
    </cfRule>
    <cfRule type="containsText" dxfId="169" priority="185" operator="containsText" text="YES">
      <formula>NOT(ISERROR(SEARCH("YES",Q3)))</formula>
    </cfRule>
  </conditionalFormatting>
  <conditionalFormatting sqref="T3">
    <cfRule type="containsBlanks" dxfId="168" priority="186">
      <formula>LEN(TRIM(T3))=0</formula>
    </cfRule>
  </conditionalFormatting>
  <conditionalFormatting sqref="T3">
    <cfRule type="cellIs" dxfId="167" priority="181" operator="between">
      <formula>1</formula>
      <formula>4</formula>
    </cfRule>
    <cfRule type="containsText" dxfId="166" priority="182" operator="containsText" text="X">
      <formula>NOT(ISERROR(SEARCH("X",T3)))</formula>
    </cfRule>
  </conditionalFormatting>
  <conditionalFormatting sqref="Q4:S4">
    <cfRule type="containsText" dxfId="165" priority="177" operator="containsText" text="PRIMARY STUDY">
      <formula>NOT(ISERROR(SEARCH("PRIMARY STUDY",Q4)))</formula>
    </cfRule>
    <cfRule type="notContainsText" dxfId="164" priority="178" operator="notContains" text="YES">
      <formula>ISERROR(SEARCH("YES",Q4))</formula>
    </cfRule>
    <cfRule type="containsText" dxfId="163" priority="179" operator="containsText" text="YES">
      <formula>NOT(ISERROR(SEARCH("YES",Q4)))</formula>
    </cfRule>
  </conditionalFormatting>
  <conditionalFormatting sqref="T4">
    <cfRule type="containsBlanks" dxfId="162" priority="180">
      <formula>LEN(TRIM(T4))=0</formula>
    </cfRule>
  </conditionalFormatting>
  <conditionalFormatting sqref="T4">
    <cfRule type="cellIs" dxfId="161" priority="175" operator="between">
      <formula>1</formula>
      <formula>4</formula>
    </cfRule>
    <cfRule type="containsText" dxfId="160" priority="176" operator="containsText" text="X">
      <formula>NOT(ISERROR(SEARCH("X",T4)))</formula>
    </cfRule>
  </conditionalFormatting>
  <conditionalFormatting sqref="Q6:S6">
    <cfRule type="containsText" dxfId="159" priority="171" operator="containsText" text="PRIMARY STUDY">
      <formula>NOT(ISERROR(SEARCH("PRIMARY STUDY",Q6)))</formula>
    </cfRule>
    <cfRule type="notContainsText" dxfId="158" priority="172" operator="notContains" text="YES">
      <formula>ISERROR(SEARCH("YES",Q6))</formula>
    </cfRule>
    <cfRule type="containsText" dxfId="157" priority="173" operator="containsText" text="YES">
      <formula>NOT(ISERROR(SEARCH("YES",Q6)))</formula>
    </cfRule>
  </conditionalFormatting>
  <conditionalFormatting sqref="T6">
    <cfRule type="containsBlanks" dxfId="156" priority="174">
      <formula>LEN(TRIM(T6))=0</formula>
    </cfRule>
  </conditionalFormatting>
  <conditionalFormatting sqref="T6">
    <cfRule type="cellIs" dxfId="155" priority="169" operator="between">
      <formula>1</formula>
      <formula>4</formula>
    </cfRule>
    <cfRule type="containsText" dxfId="154" priority="170" operator="containsText" text="X">
      <formula>NOT(ISERROR(SEARCH("X",T6)))</formula>
    </cfRule>
  </conditionalFormatting>
  <conditionalFormatting sqref="Q7:S7">
    <cfRule type="containsText" dxfId="153" priority="165" operator="containsText" text="PRIMARY STUDY">
      <formula>NOT(ISERROR(SEARCH("PRIMARY STUDY",Q7)))</formula>
    </cfRule>
    <cfRule type="notContainsText" dxfId="152" priority="166" operator="notContains" text="YES">
      <formula>ISERROR(SEARCH("YES",Q7))</formula>
    </cfRule>
    <cfRule type="containsText" dxfId="151" priority="167" operator="containsText" text="YES">
      <formula>NOT(ISERROR(SEARCH("YES",Q7)))</formula>
    </cfRule>
  </conditionalFormatting>
  <conditionalFormatting sqref="T7">
    <cfRule type="containsBlanks" dxfId="150" priority="168">
      <formula>LEN(TRIM(T7))=0</formula>
    </cfRule>
  </conditionalFormatting>
  <conditionalFormatting sqref="T7">
    <cfRule type="cellIs" dxfId="149" priority="163" operator="between">
      <formula>1</formula>
      <formula>4</formula>
    </cfRule>
    <cfRule type="containsText" dxfId="148" priority="164" operator="containsText" text="X">
      <formula>NOT(ISERROR(SEARCH("X",T7)))</formula>
    </cfRule>
  </conditionalFormatting>
  <conditionalFormatting sqref="Q8:S8">
    <cfRule type="containsText" dxfId="147" priority="159" operator="containsText" text="PRIMARY STUDY">
      <formula>NOT(ISERROR(SEARCH("PRIMARY STUDY",Q8)))</formula>
    </cfRule>
    <cfRule type="notContainsText" dxfId="146" priority="160" operator="notContains" text="YES">
      <formula>ISERROR(SEARCH("YES",Q8))</formula>
    </cfRule>
    <cfRule type="containsText" dxfId="145" priority="161" operator="containsText" text="YES">
      <formula>NOT(ISERROR(SEARCH("YES",Q8)))</formula>
    </cfRule>
  </conditionalFormatting>
  <conditionalFormatting sqref="T8">
    <cfRule type="containsBlanks" dxfId="144" priority="162">
      <formula>LEN(TRIM(T8))=0</formula>
    </cfRule>
  </conditionalFormatting>
  <conditionalFormatting sqref="T8">
    <cfRule type="cellIs" dxfId="143" priority="157" operator="between">
      <formula>1</formula>
      <formula>4</formula>
    </cfRule>
    <cfRule type="containsText" dxfId="142" priority="158" operator="containsText" text="X">
      <formula>NOT(ISERROR(SEARCH("X",T8)))</formula>
    </cfRule>
  </conditionalFormatting>
  <conditionalFormatting sqref="Q9:S9">
    <cfRule type="containsText" dxfId="141" priority="153" operator="containsText" text="PRIMARY STUDY">
      <formula>NOT(ISERROR(SEARCH("PRIMARY STUDY",Q9)))</formula>
    </cfRule>
    <cfRule type="notContainsText" dxfId="140" priority="154" operator="notContains" text="YES">
      <formula>ISERROR(SEARCH("YES",Q9))</formula>
    </cfRule>
    <cfRule type="containsText" dxfId="139" priority="155" operator="containsText" text="YES">
      <formula>NOT(ISERROR(SEARCH("YES",Q9)))</formula>
    </cfRule>
  </conditionalFormatting>
  <conditionalFormatting sqref="T9">
    <cfRule type="containsBlanks" dxfId="138" priority="156">
      <formula>LEN(TRIM(T9))=0</formula>
    </cfRule>
  </conditionalFormatting>
  <conditionalFormatting sqref="T9">
    <cfRule type="cellIs" dxfId="137" priority="151" operator="between">
      <formula>1</formula>
      <formula>4</formula>
    </cfRule>
    <cfRule type="containsText" dxfId="136" priority="152" operator="containsText" text="X">
      <formula>NOT(ISERROR(SEARCH("X",T9)))</formula>
    </cfRule>
  </conditionalFormatting>
  <conditionalFormatting sqref="Q10:S10">
    <cfRule type="containsText" dxfId="135" priority="147" operator="containsText" text="PRIMARY STUDY">
      <formula>NOT(ISERROR(SEARCH("PRIMARY STUDY",Q10)))</formula>
    </cfRule>
    <cfRule type="notContainsText" dxfId="134" priority="148" operator="notContains" text="YES">
      <formula>ISERROR(SEARCH("YES",Q10))</formula>
    </cfRule>
    <cfRule type="containsText" dxfId="133" priority="149" operator="containsText" text="YES">
      <formula>NOT(ISERROR(SEARCH("YES",Q10)))</formula>
    </cfRule>
  </conditionalFormatting>
  <conditionalFormatting sqref="T10">
    <cfRule type="containsBlanks" dxfId="132" priority="150">
      <formula>LEN(TRIM(T10))=0</formula>
    </cfRule>
  </conditionalFormatting>
  <conditionalFormatting sqref="T10">
    <cfRule type="cellIs" dxfId="131" priority="145" operator="between">
      <formula>1</formula>
      <formula>4</formula>
    </cfRule>
    <cfRule type="containsText" dxfId="130" priority="146" operator="containsText" text="X">
      <formula>NOT(ISERROR(SEARCH("X",T10)))</formula>
    </cfRule>
  </conditionalFormatting>
  <conditionalFormatting sqref="Q11:S11">
    <cfRule type="containsText" dxfId="129" priority="141" operator="containsText" text="PRIMARY STUDY">
      <formula>NOT(ISERROR(SEARCH("PRIMARY STUDY",Q11)))</formula>
    </cfRule>
    <cfRule type="notContainsText" dxfId="128" priority="142" operator="notContains" text="YES">
      <formula>ISERROR(SEARCH("YES",Q11))</formula>
    </cfRule>
    <cfRule type="containsText" dxfId="127" priority="143" operator="containsText" text="YES">
      <formula>NOT(ISERROR(SEARCH("YES",Q11)))</formula>
    </cfRule>
  </conditionalFormatting>
  <conditionalFormatting sqref="T11">
    <cfRule type="containsBlanks" dxfId="126" priority="144">
      <formula>LEN(TRIM(T11))=0</formula>
    </cfRule>
  </conditionalFormatting>
  <conditionalFormatting sqref="T11">
    <cfRule type="cellIs" dxfId="125" priority="139" operator="between">
      <formula>1</formula>
      <formula>4</formula>
    </cfRule>
    <cfRule type="containsText" dxfId="124" priority="140" operator="containsText" text="X">
      <formula>NOT(ISERROR(SEARCH("X",T11)))</formula>
    </cfRule>
  </conditionalFormatting>
  <conditionalFormatting sqref="Q12:S12">
    <cfRule type="containsText" dxfId="123" priority="129" operator="containsText" text="PRIMARY STUDY">
      <formula>NOT(ISERROR(SEARCH("PRIMARY STUDY",Q12)))</formula>
    </cfRule>
    <cfRule type="notContainsText" dxfId="122" priority="130" operator="notContains" text="YES">
      <formula>ISERROR(SEARCH("YES",Q12))</formula>
    </cfRule>
    <cfRule type="containsText" dxfId="121" priority="131" operator="containsText" text="YES">
      <formula>NOT(ISERROR(SEARCH("YES",Q12)))</formula>
    </cfRule>
  </conditionalFormatting>
  <conditionalFormatting sqref="T12">
    <cfRule type="containsBlanks" dxfId="120" priority="132">
      <formula>LEN(TRIM(T12))=0</formula>
    </cfRule>
  </conditionalFormatting>
  <conditionalFormatting sqref="T12">
    <cfRule type="cellIs" dxfId="119" priority="127" operator="between">
      <formula>1</formula>
      <formula>4</formula>
    </cfRule>
    <cfRule type="containsText" dxfId="118" priority="128" operator="containsText" text="X">
      <formula>NOT(ISERROR(SEARCH("X",T12)))</formula>
    </cfRule>
  </conditionalFormatting>
  <conditionalFormatting sqref="Q13:S13">
    <cfRule type="containsText" dxfId="117" priority="123" operator="containsText" text="PRIMARY STUDY">
      <formula>NOT(ISERROR(SEARCH("PRIMARY STUDY",Q13)))</formula>
    </cfRule>
    <cfRule type="notContainsText" dxfId="116" priority="124" operator="notContains" text="YES">
      <formula>ISERROR(SEARCH("YES",Q13))</formula>
    </cfRule>
    <cfRule type="containsText" dxfId="115" priority="125" operator="containsText" text="YES">
      <formula>NOT(ISERROR(SEARCH("YES",Q13)))</formula>
    </cfRule>
  </conditionalFormatting>
  <conditionalFormatting sqref="T13">
    <cfRule type="containsBlanks" dxfId="114" priority="126">
      <formula>LEN(TRIM(T13))=0</formula>
    </cfRule>
  </conditionalFormatting>
  <conditionalFormatting sqref="T13">
    <cfRule type="cellIs" dxfId="113" priority="121" operator="between">
      <formula>1</formula>
      <formula>4</formula>
    </cfRule>
    <cfRule type="containsText" dxfId="112" priority="122" operator="containsText" text="X">
      <formula>NOT(ISERROR(SEARCH("X",T13)))</formula>
    </cfRule>
  </conditionalFormatting>
  <conditionalFormatting sqref="Q6:S6">
    <cfRule type="containsText" dxfId="111" priority="117" operator="containsText" text="PRIMARY STUDY">
      <formula>NOT(ISERROR(SEARCH("PRIMARY STUDY",Q6)))</formula>
    </cfRule>
    <cfRule type="notContainsText" dxfId="110" priority="118" operator="notContains" text="YES">
      <formula>ISERROR(SEARCH("YES",Q6))</formula>
    </cfRule>
    <cfRule type="containsText" dxfId="109" priority="119" operator="containsText" text="YES">
      <formula>NOT(ISERROR(SEARCH("YES",Q6)))</formula>
    </cfRule>
  </conditionalFormatting>
  <conditionalFormatting sqref="T6">
    <cfRule type="containsBlanks" dxfId="108" priority="120">
      <formula>LEN(TRIM(T6))=0</formula>
    </cfRule>
  </conditionalFormatting>
  <conditionalFormatting sqref="T6">
    <cfRule type="cellIs" dxfId="107" priority="115" operator="between">
      <formula>1</formula>
      <formula>4</formula>
    </cfRule>
    <cfRule type="containsText" dxfId="106" priority="116" operator="containsText" text="X">
      <formula>NOT(ISERROR(SEARCH("X",T6)))</formula>
    </cfRule>
  </conditionalFormatting>
  <conditionalFormatting sqref="Q7:S7">
    <cfRule type="containsText" dxfId="105" priority="111" operator="containsText" text="PRIMARY STUDY">
      <formula>NOT(ISERROR(SEARCH("PRIMARY STUDY",Q7)))</formula>
    </cfRule>
    <cfRule type="notContainsText" dxfId="104" priority="112" operator="notContains" text="YES">
      <formula>ISERROR(SEARCH("YES",Q7))</formula>
    </cfRule>
    <cfRule type="containsText" dxfId="103" priority="113" operator="containsText" text="YES">
      <formula>NOT(ISERROR(SEARCH("YES",Q7)))</formula>
    </cfRule>
  </conditionalFormatting>
  <conditionalFormatting sqref="T7">
    <cfRule type="containsBlanks" dxfId="102" priority="114">
      <formula>LEN(TRIM(T7))=0</formula>
    </cfRule>
  </conditionalFormatting>
  <conditionalFormatting sqref="T7">
    <cfRule type="cellIs" dxfId="101" priority="109" operator="between">
      <formula>1</formula>
      <formula>4</formula>
    </cfRule>
    <cfRule type="containsText" dxfId="100" priority="110" operator="containsText" text="X">
      <formula>NOT(ISERROR(SEARCH("X",T7)))</formula>
    </cfRule>
  </conditionalFormatting>
  <conditionalFormatting sqref="Q8:S8">
    <cfRule type="containsText" dxfId="99" priority="105" operator="containsText" text="PRIMARY STUDY">
      <formula>NOT(ISERROR(SEARCH("PRIMARY STUDY",Q8)))</formula>
    </cfRule>
    <cfRule type="notContainsText" dxfId="98" priority="106" operator="notContains" text="YES">
      <formula>ISERROR(SEARCH("YES",Q8))</formula>
    </cfRule>
    <cfRule type="containsText" dxfId="97" priority="107" operator="containsText" text="YES">
      <formula>NOT(ISERROR(SEARCH("YES",Q8)))</formula>
    </cfRule>
  </conditionalFormatting>
  <conditionalFormatting sqref="T8">
    <cfRule type="containsBlanks" dxfId="96" priority="108">
      <formula>LEN(TRIM(T8))=0</formula>
    </cfRule>
  </conditionalFormatting>
  <conditionalFormatting sqref="T8">
    <cfRule type="cellIs" dxfId="95" priority="103" operator="between">
      <formula>1</formula>
      <formula>4</formula>
    </cfRule>
    <cfRule type="containsText" dxfId="94" priority="104" operator="containsText" text="X">
      <formula>NOT(ISERROR(SEARCH("X",T8)))</formula>
    </cfRule>
  </conditionalFormatting>
  <conditionalFormatting sqref="Q9:S9">
    <cfRule type="containsText" dxfId="93" priority="99" operator="containsText" text="PRIMARY STUDY">
      <formula>NOT(ISERROR(SEARCH("PRIMARY STUDY",Q9)))</formula>
    </cfRule>
    <cfRule type="notContainsText" dxfId="92" priority="100" operator="notContains" text="YES">
      <formula>ISERROR(SEARCH("YES",Q9))</formula>
    </cfRule>
    <cfRule type="containsText" dxfId="91" priority="101" operator="containsText" text="YES">
      <formula>NOT(ISERROR(SEARCH("YES",Q9)))</formula>
    </cfRule>
  </conditionalFormatting>
  <conditionalFormatting sqref="T9">
    <cfRule type="containsBlanks" dxfId="90" priority="102">
      <formula>LEN(TRIM(T9))=0</formula>
    </cfRule>
  </conditionalFormatting>
  <conditionalFormatting sqref="T9">
    <cfRule type="cellIs" dxfId="89" priority="97" operator="between">
      <formula>1</formula>
      <formula>4</formula>
    </cfRule>
    <cfRule type="containsText" dxfId="88" priority="98" operator="containsText" text="X">
      <formula>NOT(ISERROR(SEARCH("X",T9)))</formula>
    </cfRule>
  </conditionalFormatting>
  <conditionalFormatting sqref="Q10:S10">
    <cfRule type="containsText" dxfId="87" priority="93" operator="containsText" text="PRIMARY STUDY">
      <formula>NOT(ISERROR(SEARCH("PRIMARY STUDY",Q10)))</formula>
    </cfRule>
    <cfRule type="notContainsText" dxfId="86" priority="94" operator="notContains" text="YES">
      <formula>ISERROR(SEARCH("YES",Q10))</formula>
    </cfRule>
    <cfRule type="containsText" dxfId="85" priority="95" operator="containsText" text="YES">
      <formula>NOT(ISERROR(SEARCH("YES",Q10)))</formula>
    </cfRule>
  </conditionalFormatting>
  <conditionalFormatting sqref="T10">
    <cfRule type="containsBlanks" dxfId="84" priority="96">
      <formula>LEN(TRIM(T10))=0</formula>
    </cfRule>
  </conditionalFormatting>
  <conditionalFormatting sqref="T10">
    <cfRule type="cellIs" dxfId="83" priority="91" operator="between">
      <formula>1</formula>
      <formula>4</formula>
    </cfRule>
    <cfRule type="containsText" dxfId="82" priority="92" operator="containsText" text="X">
      <formula>NOT(ISERROR(SEARCH("X",T10)))</formula>
    </cfRule>
  </conditionalFormatting>
  <conditionalFormatting sqref="Q11:S11">
    <cfRule type="containsText" dxfId="81" priority="87" operator="containsText" text="PRIMARY STUDY">
      <formula>NOT(ISERROR(SEARCH("PRIMARY STUDY",Q11)))</formula>
    </cfRule>
    <cfRule type="notContainsText" dxfId="80" priority="88" operator="notContains" text="YES">
      <formula>ISERROR(SEARCH("YES",Q11))</formula>
    </cfRule>
    <cfRule type="containsText" dxfId="79" priority="89" operator="containsText" text="YES">
      <formula>NOT(ISERROR(SEARCH("YES",Q11)))</formula>
    </cfRule>
  </conditionalFormatting>
  <conditionalFormatting sqref="T11">
    <cfRule type="containsBlanks" dxfId="78" priority="90">
      <formula>LEN(TRIM(T11))=0</formula>
    </cfRule>
  </conditionalFormatting>
  <conditionalFormatting sqref="T11">
    <cfRule type="cellIs" dxfId="77" priority="85" operator="between">
      <formula>1</formula>
      <formula>4</formula>
    </cfRule>
    <cfRule type="containsText" dxfId="76" priority="86" operator="containsText" text="X">
      <formula>NOT(ISERROR(SEARCH("X",T11)))</formula>
    </cfRule>
  </conditionalFormatting>
  <conditionalFormatting sqref="Q12:S12">
    <cfRule type="containsText" dxfId="75" priority="75" operator="containsText" text="PRIMARY STUDY">
      <formula>NOT(ISERROR(SEARCH("PRIMARY STUDY",Q12)))</formula>
    </cfRule>
    <cfRule type="notContainsText" dxfId="74" priority="76" operator="notContains" text="YES">
      <formula>ISERROR(SEARCH("YES",Q12))</formula>
    </cfRule>
    <cfRule type="containsText" dxfId="73" priority="77" operator="containsText" text="YES">
      <formula>NOT(ISERROR(SEARCH("YES",Q12)))</formula>
    </cfRule>
  </conditionalFormatting>
  <conditionalFormatting sqref="T12">
    <cfRule type="containsBlanks" dxfId="72" priority="78">
      <formula>LEN(TRIM(T12))=0</formula>
    </cfRule>
  </conditionalFormatting>
  <conditionalFormatting sqref="T12">
    <cfRule type="cellIs" dxfId="71" priority="73" operator="between">
      <formula>1</formula>
      <formula>4</formula>
    </cfRule>
    <cfRule type="containsText" dxfId="70" priority="74" operator="containsText" text="X">
      <formula>NOT(ISERROR(SEARCH("X",T12)))</formula>
    </cfRule>
  </conditionalFormatting>
  <conditionalFormatting sqref="Q13:S13">
    <cfRule type="containsText" dxfId="69" priority="69" operator="containsText" text="PRIMARY STUDY">
      <formula>NOT(ISERROR(SEARCH("PRIMARY STUDY",Q13)))</formula>
    </cfRule>
    <cfRule type="notContainsText" dxfId="68" priority="70" operator="notContains" text="YES">
      <formula>ISERROR(SEARCH("YES",Q13))</formula>
    </cfRule>
    <cfRule type="containsText" dxfId="67" priority="71" operator="containsText" text="YES">
      <formula>NOT(ISERROR(SEARCH("YES",Q13)))</formula>
    </cfRule>
  </conditionalFormatting>
  <conditionalFormatting sqref="T13">
    <cfRule type="containsBlanks" dxfId="66" priority="72">
      <formula>LEN(TRIM(T13))=0</formula>
    </cfRule>
  </conditionalFormatting>
  <conditionalFormatting sqref="T13">
    <cfRule type="cellIs" dxfId="65" priority="67" operator="between">
      <formula>1</formula>
      <formula>4</formula>
    </cfRule>
    <cfRule type="containsText" dxfId="64" priority="68" operator="containsText" text="X">
      <formula>NOT(ISERROR(SEARCH("X",T13)))</formula>
    </cfRule>
  </conditionalFormatting>
  <conditionalFormatting sqref="Q14:S14">
    <cfRule type="containsText" dxfId="63" priority="63" operator="containsText" text="PRIMARY STUDY">
      <formula>NOT(ISERROR(SEARCH("PRIMARY STUDY",Q14)))</formula>
    </cfRule>
    <cfRule type="notContainsText" dxfId="62" priority="64" operator="notContains" text="YES">
      <formula>ISERROR(SEARCH("YES",Q14))</formula>
    </cfRule>
    <cfRule type="containsText" dxfId="61" priority="65" operator="containsText" text="YES">
      <formula>NOT(ISERROR(SEARCH("YES",Q14)))</formula>
    </cfRule>
  </conditionalFormatting>
  <conditionalFormatting sqref="T14">
    <cfRule type="containsBlanks" dxfId="60" priority="66">
      <formula>LEN(TRIM(T14))=0</formula>
    </cfRule>
  </conditionalFormatting>
  <conditionalFormatting sqref="T14">
    <cfRule type="cellIs" dxfId="59" priority="61" operator="between">
      <formula>1</formula>
      <formula>4</formula>
    </cfRule>
    <cfRule type="containsText" dxfId="58" priority="62" operator="containsText" text="X">
      <formula>NOT(ISERROR(SEARCH("X",T14)))</formula>
    </cfRule>
  </conditionalFormatting>
  <conditionalFormatting sqref="Q5:S5">
    <cfRule type="containsText" dxfId="57" priority="57" operator="containsText" text="PRIMARY STUDY">
      <formula>NOT(ISERROR(SEARCH("PRIMARY STUDY",Q5)))</formula>
    </cfRule>
    <cfRule type="notContainsText" dxfId="56" priority="58" operator="notContains" text="YES">
      <formula>ISERROR(SEARCH("YES",Q5))</formula>
    </cfRule>
    <cfRule type="containsText" dxfId="55" priority="59" operator="containsText" text="YES">
      <formula>NOT(ISERROR(SEARCH("YES",Q5)))</formula>
    </cfRule>
  </conditionalFormatting>
  <conditionalFormatting sqref="T5">
    <cfRule type="containsBlanks" dxfId="54" priority="60">
      <formula>LEN(TRIM(T5))=0</formula>
    </cfRule>
  </conditionalFormatting>
  <conditionalFormatting sqref="T5">
    <cfRule type="cellIs" dxfId="53" priority="55" operator="between">
      <formula>1</formula>
      <formula>4</formula>
    </cfRule>
    <cfRule type="containsText" dxfId="52" priority="56" operator="containsText" text="X">
      <formula>NOT(ISERROR(SEARCH("X",T5)))</formula>
    </cfRule>
  </conditionalFormatting>
  <conditionalFormatting sqref="Q15:S15">
    <cfRule type="containsText" dxfId="51" priority="51" operator="containsText" text="PRIMARY STUDY">
      <formula>NOT(ISERROR(SEARCH("PRIMARY STUDY",Q15)))</formula>
    </cfRule>
    <cfRule type="notContainsText" dxfId="50" priority="52" operator="notContains" text="YES">
      <formula>ISERROR(SEARCH("YES",Q15))</formula>
    </cfRule>
    <cfRule type="containsText" dxfId="49" priority="53" operator="containsText" text="YES">
      <formula>NOT(ISERROR(SEARCH("YES",Q15)))</formula>
    </cfRule>
  </conditionalFormatting>
  <conditionalFormatting sqref="T15">
    <cfRule type="cellIs" dxfId="48" priority="49" operator="between">
      <formula>1</formula>
      <formula>4</formula>
    </cfRule>
    <cfRule type="containsText" dxfId="47" priority="50" operator="containsText" text="X">
      <formula>NOT(ISERROR(SEARCH("X",T15)))</formula>
    </cfRule>
    <cfRule type="containsBlanks" dxfId="46" priority="54">
      <formula>LEN(TRIM(T15))=0</formula>
    </cfRule>
  </conditionalFormatting>
  <conditionalFormatting sqref="Q15:S15">
    <cfRule type="containsText" dxfId="45" priority="45" operator="containsText" text="PRIMARY STUDY">
      <formula>NOT(ISERROR(SEARCH("PRIMARY STUDY",Q15)))</formula>
    </cfRule>
    <cfRule type="notContainsText" dxfId="44" priority="46" operator="notContains" text="YES">
      <formula>ISERROR(SEARCH("YES",Q15))</formula>
    </cfRule>
    <cfRule type="containsText" dxfId="43" priority="47" operator="containsText" text="YES">
      <formula>NOT(ISERROR(SEARCH("YES",Q15)))</formula>
    </cfRule>
  </conditionalFormatting>
  <conditionalFormatting sqref="T15">
    <cfRule type="containsBlanks" dxfId="42" priority="48">
      <formula>LEN(TRIM(T15))=0</formula>
    </cfRule>
  </conditionalFormatting>
  <conditionalFormatting sqref="T15">
    <cfRule type="cellIs" dxfId="41" priority="43" operator="between">
      <formula>1</formula>
      <formula>4</formula>
    </cfRule>
    <cfRule type="containsText" dxfId="40" priority="44" operator="containsText" text="X">
      <formula>NOT(ISERROR(SEARCH("X",T15)))</formula>
    </cfRule>
  </conditionalFormatting>
  <conditionalFormatting sqref="Q16:S16">
    <cfRule type="containsText" dxfId="39" priority="39" operator="containsText" text="PRIMARY STUDY">
      <formula>NOT(ISERROR(SEARCH("PRIMARY STUDY",Q16)))</formula>
    </cfRule>
    <cfRule type="notContainsText" dxfId="38" priority="40" operator="notContains" text="YES">
      <formula>ISERROR(SEARCH("YES",Q16))</formula>
    </cfRule>
    <cfRule type="containsText" dxfId="37" priority="41" operator="containsText" text="YES">
      <formula>NOT(ISERROR(SEARCH("YES",Q16)))</formula>
    </cfRule>
  </conditionalFormatting>
  <conditionalFormatting sqref="T16">
    <cfRule type="containsBlanks" dxfId="36" priority="42">
      <formula>LEN(TRIM(T16))=0</formula>
    </cfRule>
  </conditionalFormatting>
  <conditionalFormatting sqref="T16">
    <cfRule type="cellIs" dxfId="35" priority="37" operator="between">
      <formula>1</formula>
      <formula>4</formula>
    </cfRule>
    <cfRule type="containsText" dxfId="34" priority="38" operator="containsText" text="X">
      <formula>NOT(ISERROR(SEARCH("X",T16)))</formula>
    </cfRule>
  </conditionalFormatting>
  <conditionalFormatting sqref="Q17:S17">
    <cfRule type="containsText" dxfId="33" priority="33" operator="containsText" text="PRIMARY STUDY">
      <formula>NOT(ISERROR(SEARCH("PRIMARY STUDY",Q17)))</formula>
    </cfRule>
    <cfRule type="notContainsText" dxfId="32" priority="34" operator="notContains" text="YES">
      <formula>ISERROR(SEARCH("YES",Q17))</formula>
    </cfRule>
    <cfRule type="containsText" dxfId="31" priority="35" operator="containsText" text="YES">
      <formula>NOT(ISERROR(SEARCH("YES",Q17)))</formula>
    </cfRule>
  </conditionalFormatting>
  <conditionalFormatting sqref="T17">
    <cfRule type="containsBlanks" dxfId="30" priority="36">
      <formula>LEN(TRIM(T17))=0</formula>
    </cfRule>
  </conditionalFormatting>
  <conditionalFormatting sqref="T17">
    <cfRule type="cellIs" dxfId="29" priority="31" operator="between">
      <formula>1</formula>
      <formula>4</formula>
    </cfRule>
    <cfRule type="containsText" dxfId="28" priority="32" operator="containsText" text="X">
      <formula>NOT(ISERROR(SEARCH("X",T17)))</formula>
    </cfRule>
  </conditionalFormatting>
  <conditionalFormatting sqref="Q15:S15">
    <cfRule type="containsText" dxfId="27" priority="27" operator="containsText" text="PRIMARY STUDY">
      <formula>NOT(ISERROR(SEARCH("PRIMARY STUDY",Q15)))</formula>
    </cfRule>
    <cfRule type="notContainsText" dxfId="26" priority="28" operator="notContains" text="YES">
      <formula>ISERROR(SEARCH("YES",Q15))</formula>
    </cfRule>
    <cfRule type="containsText" dxfId="25" priority="29" operator="containsText" text="YES">
      <formula>NOT(ISERROR(SEARCH("YES",Q15)))</formula>
    </cfRule>
  </conditionalFormatting>
  <conditionalFormatting sqref="T15">
    <cfRule type="containsBlanks" dxfId="24" priority="30">
      <formula>LEN(TRIM(T15))=0</formula>
    </cfRule>
  </conditionalFormatting>
  <conditionalFormatting sqref="T15">
    <cfRule type="cellIs" dxfId="23" priority="25" operator="between">
      <formula>1</formula>
      <formula>4</formula>
    </cfRule>
    <cfRule type="containsText" dxfId="22" priority="26" operator="containsText" text="X">
      <formula>NOT(ISERROR(SEARCH("X",T15)))</formula>
    </cfRule>
  </conditionalFormatting>
  <conditionalFormatting sqref="Q16:S16">
    <cfRule type="containsText" dxfId="21" priority="21" operator="containsText" text="PRIMARY STUDY">
      <formula>NOT(ISERROR(SEARCH("PRIMARY STUDY",Q16)))</formula>
    </cfRule>
    <cfRule type="notContainsText" dxfId="20" priority="22" operator="notContains" text="YES">
      <formula>ISERROR(SEARCH("YES",Q16))</formula>
    </cfRule>
    <cfRule type="containsText" dxfId="19" priority="23" operator="containsText" text="YES">
      <formula>NOT(ISERROR(SEARCH("YES",Q16)))</formula>
    </cfRule>
  </conditionalFormatting>
  <conditionalFormatting sqref="T16">
    <cfRule type="containsBlanks" dxfId="18" priority="24">
      <formula>LEN(TRIM(T16))=0</formula>
    </cfRule>
  </conditionalFormatting>
  <conditionalFormatting sqref="T16">
    <cfRule type="cellIs" dxfId="17" priority="19" operator="between">
      <formula>1</formula>
      <formula>4</formula>
    </cfRule>
    <cfRule type="containsText" dxfId="16" priority="20" operator="containsText" text="X">
      <formula>NOT(ISERROR(SEARCH("X",T16)))</formula>
    </cfRule>
  </conditionalFormatting>
  <conditionalFormatting sqref="Q17:S17">
    <cfRule type="containsText" dxfId="15" priority="15" operator="containsText" text="PRIMARY STUDY">
      <formula>NOT(ISERROR(SEARCH("PRIMARY STUDY",Q17)))</formula>
    </cfRule>
    <cfRule type="notContainsText" dxfId="14" priority="16" operator="notContains" text="YES">
      <formula>ISERROR(SEARCH("YES",Q17))</formula>
    </cfRule>
    <cfRule type="containsText" dxfId="13" priority="17" operator="containsText" text="YES">
      <formula>NOT(ISERROR(SEARCH("YES",Q17)))</formula>
    </cfRule>
  </conditionalFormatting>
  <conditionalFormatting sqref="T17">
    <cfRule type="containsBlanks" dxfId="12" priority="18">
      <formula>LEN(TRIM(T17))=0</formula>
    </cfRule>
  </conditionalFormatting>
  <conditionalFormatting sqref="T17">
    <cfRule type="cellIs" dxfId="11" priority="13" operator="between">
      <formula>1</formula>
      <formula>4</formula>
    </cfRule>
    <cfRule type="containsText" dxfId="10" priority="14" operator="containsText" text="X">
      <formula>NOT(ISERROR(SEARCH("X",T17)))</formula>
    </cfRule>
  </conditionalFormatting>
  <conditionalFormatting sqref="Q18:S18">
    <cfRule type="containsText" dxfId="9" priority="9" operator="containsText" text="PRIMARY STUDY">
      <formula>NOT(ISERROR(SEARCH("PRIMARY STUDY",Q18)))</formula>
    </cfRule>
    <cfRule type="notContainsText" dxfId="8" priority="10" operator="notContains" text="YES">
      <formula>ISERROR(SEARCH("YES",Q18))</formula>
    </cfRule>
    <cfRule type="containsText" dxfId="7" priority="11" operator="containsText" text="YES">
      <formula>NOT(ISERROR(SEARCH("YES",Q18)))</formula>
    </cfRule>
  </conditionalFormatting>
  <conditionalFormatting sqref="T18">
    <cfRule type="containsBlanks" dxfId="6" priority="12">
      <formula>LEN(TRIM(T18))=0</formula>
    </cfRule>
  </conditionalFormatting>
  <conditionalFormatting sqref="T18">
    <cfRule type="cellIs" dxfId="5" priority="7" operator="between">
      <formula>1</formula>
      <formula>4</formula>
    </cfRule>
    <cfRule type="containsText" dxfId="4" priority="8" operator="containsText" text="X">
      <formula>NOT(ISERROR(SEARCH("X",T18)))</formula>
    </cfRule>
  </conditionalFormatting>
  <conditionalFormatting sqref="B1">
    <cfRule type="duplicateValues" dxfId="3" priority="846"/>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58</v>
      </c>
      <c r="B1" s="34" t="s">
        <v>60</v>
      </c>
      <c r="C1" s="25" t="s">
        <v>59</v>
      </c>
    </row>
    <row r="2" spans="1:8" x14ac:dyDescent="0.25">
      <c r="A2" s="19"/>
      <c r="B2" t="s">
        <v>75</v>
      </c>
      <c r="C2" s="23" t="s">
        <v>68</v>
      </c>
    </row>
    <row r="3" spans="1:8" x14ac:dyDescent="0.25">
      <c r="A3" s="32"/>
      <c r="B3" t="s">
        <v>76</v>
      </c>
      <c r="C3" s="23" t="s">
        <v>69</v>
      </c>
    </row>
    <row r="4" spans="1:8" x14ac:dyDescent="0.25">
      <c r="A4" s="14"/>
      <c r="B4" t="s">
        <v>61</v>
      </c>
      <c r="C4" s="23" t="s">
        <v>70</v>
      </c>
    </row>
    <row r="5" spans="1:8" x14ac:dyDescent="0.25">
      <c r="A5" s="15"/>
      <c r="B5" t="s">
        <v>80</v>
      </c>
      <c r="C5" s="23" t="s">
        <v>71</v>
      </c>
      <c r="H5" s="37"/>
    </row>
    <row r="6" spans="1:8" x14ac:dyDescent="0.25">
      <c r="A6" s="16"/>
      <c r="B6" t="s">
        <v>77</v>
      </c>
      <c r="C6" s="23" t="s">
        <v>72</v>
      </c>
    </row>
    <row r="7" spans="1:8" x14ac:dyDescent="0.25">
      <c r="A7" s="18"/>
      <c r="B7" t="s">
        <v>79</v>
      </c>
      <c r="C7" s="23" t="s">
        <v>73</v>
      </c>
      <c r="H7" s="37"/>
    </row>
    <row r="8" spans="1:8" x14ac:dyDescent="0.25">
      <c r="A8" s="31"/>
      <c r="B8" t="s">
        <v>78</v>
      </c>
      <c r="C8" s="23" t="s">
        <v>74</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2023-07-10T09:15:25Z</dcterms:modified>
</cp:coreProperties>
</file>