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FAC2729-6ADD-403D-805D-F4180ED5525E}" xr6:coauthVersionLast="47" xr6:coauthVersionMax="47" xr10:uidLastSave="{00000000-0000-0000-0000-000000000000}"/>
  <bookViews>
    <workbookView xWindow="-23148" yWindow="-108" windowWidth="23256" windowHeight="12576" activeTab="2"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8" i="18" l="1"/>
  <c r="I17" i="18"/>
  <c r="I16" i="18" l="1"/>
  <c r="I3" i="18"/>
  <c r="I4" i="18"/>
  <c r="I5" i="18"/>
  <c r="I6" i="18"/>
  <c r="I7" i="18"/>
  <c r="I8" i="18"/>
  <c r="I9" i="18"/>
  <c r="I10" i="18"/>
  <c r="I11" i="18"/>
  <c r="I12" i="18"/>
  <c r="I13" i="18"/>
  <c r="I14" i="18"/>
  <c r="I15" i="18"/>
  <c r="I2" i="18"/>
  <c r="V228" i="22" l="1"/>
  <c r="V229" i="22"/>
  <c r="V230" i="22"/>
  <c r="V231" i="22"/>
  <c r="V232" i="22"/>
  <c r="V233" i="22"/>
  <c r="V234" i="22"/>
  <c r="V235" i="22"/>
  <c r="V236" i="22"/>
  <c r="V237" i="22"/>
  <c r="V227" i="22"/>
  <c r="V226" i="22"/>
  <c r="V225" i="22"/>
  <c r="AP237" i="22"/>
  <c r="AP236" i="22"/>
  <c r="AP235" i="22"/>
  <c r="AP234" i="22"/>
  <c r="AP233" i="22"/>
  <c r="AP232" i="22"/>
  <c r="AP231" i="22"/>
  <c r="AP230" i="22"/>
  <c r="AP229" i="22"/>
  <c r="AP228" i="22"/>
  <c r="AV227" i="22"/>
  <c r="AV228" i="22"/>
  <c r="AV229" i="22"/>
  <c r="AV230" i="22"/>
  <c r="AV231" i="22"/>
  <c r="AV232" i="22"/>
  <c r="AV233" i="22"/>
  <c r="AV234" i="22"/>
  <c r="AV235" i="22"/>
  <c r="AV236" i="22"/>
  <c r="AV237" i="22"/>
  <c r="AV226" i="22"/>
  <c r="AV225" i="22"/>
  <c r="AP227" i="22"/>
  <c r="AP226" i="22"/>
  <c r="AP225" i="22"/>
  <c r="S228" i="22"/>
  <c r="S229" i="22"/>
  <c r="S230" i="22"/>
  <c r="S231" i="22"/>
  <c r="S232" i="22"/>
  <c r="S233" i="22"/>
  <c r="S234" i="22"/>
  <c r="S235" i="22"/>
  <c r="S236" i="22"/>
  <c r="S237" i="22"/>
  <c r="S227" i="22"/>
  <c r="S226" i="22"/>
  <c r="S225" i="22"/>
  <c r="F237" i="22"/>
  <c r="F236" i="22"/>
  <c r="F235" i="22"/>
  <c r="F234" i="22"/>
  <c r="F233" i="22"/>
  <c r="F232" i="22"/>
  <c r="F231" i="22"/>
  <c r="F230" i="22"/>
  <c r="F229" i="22"/>
  <c r="F228" i="22"/>
  <c r="F227" i="22"/>
  <c r="F226" i="22"/>
  <c r="F225" i="22"/>
  <c r="V204" i="22"/>
  <c r="V203" i="22"/>
  <c r="AP204" i="22"/>
  <c r="AP203" i="22"/>
  <c r="AV224" i="22"/>
  <c r="AP224" i="22"/>
  <c r="AV223" i="22"/>
  <c r="AP223" i="22"/>
  <c r="AV222" i="22"/>
  <c r="AP222" i="22"/>
  <c r="AV221" i="22"/>
  <c r="AP221" i="22"/>
  <c r="AV220" i="22"/>
  <c r="AP220" i="22"/>
  <c r="AV219" i="22"/>
  <c r="AP219" i="22"/>
  <c r="AV218" i="22"/>
  <c r="AP218" i="22"/>
  <c r="AV217" i="22"/>
  <c r="AP217" i="22"/>
  <c r="AV216" i="22"/>
  <c r="AP216" i="22"/>
  <c r="AV215" i="22"/>
  <c r="AP215" i="22"/>
  <c r="AV214" i="22"/>
  <c r="AP214" i="22"/>
  <c r="AV213" i="22"/>
  <c r="AP213" i="22"/>
  <c r="AV212" i="22"/>
  <c r="AP212" i="22"/>
  <c r="AV211" i="22"/>
  <c r="AP211" i="22"/>
  <c r="AV210" i="22"/>
  <c r="AP210" i="22"/>
  <c r="AV209" i="22"/>
  <c r="AP209" i="22"/>
  <c r="AV208" i="22"/>
  <c r="AP208" i="22"/>
  <c r="AV207" i="22"/>
  <c r="AP207" i="22"/>
  <c r="AV206" i="22"/>
  <c r="AP206" i="22"/>
  <c r="AV205" i="22"/>
  <c r="AP205" i="22"/>
  <c r="V224" i="22"/>
  <c r="V223" i="22"/>
  <c r="V222" i="22"/>
  <c r="V221" i="22"/>
  <c r="V220" i="22"/>
  <c r="V219" i="22"/>
  <c r="V218" i="22"/>
  <c r="V217" i="22"/>
  <c r="V216" i="22"/>
  <c r="V215" i="22"/>
  <c r="V214" i="22"/>
  <c r="V213" i="22"/>
  <c r="V212" i="22"/>
  <c r="V211" i="22"/>
  <c r="V210" i="22"/>
  <c r="V209" i="22"/>
  <c r="V208" i="22"/>
  <c r="V207" i="22"/>
  <c r="V206" i="22"/>
  <c r="V205" i="22"/>
  <c r="S204" i="22"/>
  <c r="S205" i="22"/>
  <c r="S206" i="22"/>
  <c r="S207" i="22"/>
  <c r="S208" i="22"/>
  <c r="S209" i="22"/>
  <c r="S210" i="22"/>
  <c r="S211" i="22"/>
  <c r="S212" i="22"/>
  <c r="S213" i="22"/>
  <c r="S214" i="22"/>
  <c r="S215" i="22"/>
  <c r="S216" i="22"/>
  <c r="S217" i="22"/>
  <c r="S218" i="22"/>
  <c r="S219" i="22"/>
  <c r="S220" i="22"/>
  <c r="S221" i="22"/>
  <c r="S222" i="22"/>
  <c r="S223" i="22"/>
  <c r="S224" i="22"/>
  <c r="S203" i="22"/>
  <c r="F224" i="22"/>
  <c r="F223" i="22"/>
  <c r="F222" i="22"/>
  <c r="F221" i="22"/>
  <c r="F220" i="22"/>
  <c r="F219" i="22"/>
  <c r="F218" i="22"/>
  <c r="F217" i="22"/>
  <c r="F216" i="22"/>
  <c r="F215" i="22"/>
  <c r="F214" i="22"/>
  <c r="F213" i="22"/>
  <c r="F212" i="22"/>
  <c r="F211" i="22"/>
  <c r="F210" i="22"/>
  <c r="F209" i="22"/>
  <c r="AU204" i="22"/>
  <c r="AV204" i="22" s="1"/>
  <c r="AU203" i="22"/>
  <c r="AV203" i="22" s="1"/>
  <c r="F204" i="22"/>
  <c r="F205" i="22"/>
  <c r="F206" i="22"/>
  <c r="F207" i="22"/>
  <c r="F208" i="22"/>
  <c r="F203"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167" i="22"/>
  <c r="S202" i="22"/>
  <c r="S201" i="22"/>
  <c r="S200" i="22"/>
  <c r="S199" i="22"/>
  <c r="S198" i="22"/>
  <c r="S197" i="22"/>
  <c r="S196" i="22"/>
  <c r="S195" i="22"/>
  <c r="S194" i="22"/>
  <c r="S193" i="22"/>
  <c r="S192" i="22"/>
  <c r="S191" i="22"/>
  <c r="S190" i="22"/>
  <c r="S189" i="22"/>
  <c r="S188" i="22"/>
  <c r="S187" i="22"/>
  <c r="S186" i="22"/>
  <c r="S185" i="22"/>
  <c r="S184" i="22"/>
  <c r="S183" i="22"/>
  <c r="S182" i="22"/>
  <c r="S181" i="22"/>
  <c r="S180" i="22"/>
  <c r="S179" i="22"/>
  <c r="S178" i="22"/>
  <c r="S177" i="22"/>
  <c r="S176" i="22"/>
  <c r="S175" i="22"/>
  <c r="S174" i="22"/>
  <c r="S173" i="22"/>
  <c r="S172" i="22"/>
  <c r="S171" i="22"/>
  <c r="S170" i="22"/>
  <c r="S169" i="22"/>
  <c r="S168" i="22"/>
  <c r="S167" i="22"/>
  <c r="C80" i="13"/>
  <c r="V168" i="22"/>
  <c r="V169" i="22"/>
  <c r="V170" i="22"/>
  <c r="V171" i="22"/>
  <c r="V172" i="22"/>
  <c r="V173" i="22"/>
  <c r="V174" i="22"/>
  <c r="V175" i="22"/>
  <c r="V176" i="22"/>
  <c r="V177" i="22"/>
  <c r="V178" i="22"/>
  <c r="V179" i="22"/>
  <c r="V180" i="22"/>
  <c r="V181" i="22"/>
  <c r="V182" i="22"/>
  <c r="V183" i="22"/>
  <c r="V184" i="22"/>
  <c r="V185" i="22"/>
  <c r="V186" i="22"/>
  <c r="V187" i="22"/>
  <c r="V188" i="22"/>
  <c r="V189" i="22"/>
  <c r="V190" i="22"/>
  <c r="V191" i="22"/>
  <c r="V192" i="22"/>
  <c r="V193" i="22"/>
  <c r="V194" i="22"/>
  <c r="V195" i="22"/>
  <c r="V196" i="22"/>
  <c r="V197" i="22"/>
  <c r="V198" i="22"/>
  <c r="V199" i="22"/>
  <c r="V200" i="22"/>
  <c r="V201" i="22"/>
  <c r="V202" i="22"/>
  <c r="V167" i="22"/>
  <c r="U168" i="22"/>
  <c r="U169" i="22"/>
  <c r="U170" i="22"/>
  <c r="U171" i="22"/>
  <c r="U172" i="22"/>
  <c r="U173" i="22"/>
  <c r="U174" i="22"/>
  <c r="U175" i="22"/>
  <c r="U176" i="22"/>
  <c r="U177" i="22"/>
  <c r="U178" i="22"/>
  <c r="U179" i="22"/>
  <c r="U180" i="22"/>
  <c r="U181" i="22"/>
  <c r="U182" i="22"/>
  <c r="U183" i="22"/>
  <c r="U184" i="22"/>
  <c r="U185" i="22"/>
  <c r="U186" i="22"/>
  <c r="U187" i="22"/>
  <c r="U188" i="22"/>
  <c r="U189" i="22"/>
  <c r="U190" i="22"/>
  <c r="U191" i="22"/>
  <c r="U192" i="22"/>
  <c r="U193" i="22"/>
  <c r="U194" i="22"/>
  <c r="U195" i="22"/>
  <c r="U196" i="22"/>
  <c r="U197" i="22"/>
  <c r="U198" i="22"/>
  <c r="U199" i="22"/>
  <c r="U200" i="22"/>
  <c r="U201" i="22"/>
  <c r="U202" i="22"/>
  <c r="U167" i="22"/>
  <c r="AU168" i="22"/>
  <c r="AV168" i="22" s="1"/>
  <c r="AU169" i="22"/>
  <c r="AV169" i="22" s="1"/>
  <c r="AU170" i="22"/>
  <c r="AV170" i="22"/>
  <c r="AU171" i="22"/>
  <c r="AV171" i="22"/>
  <c r="AU172" i="22"/>
  <c r="AV172" i="22"/>
  <c r="AU173" i="22"/>
  <c r="AV173" i="22"/>
  <c r="AU174" i="22"/>
  <c r="AV174" i="22"/>
  <c r="AU175" i="22"/>
  <c r="AV175" i="22"/>
  <c r="AU176" i="22"/>
  <c r="AV176" i="22"/>
  <c r="AU177" i="22"/>
  <c r="AV177" i="22"/>
  <c r="AU178" i="22"/>
  <c r="AV178" i="22"/>
  <c r="AU179" i="22"/>
  <c r="AV179" i="22"/>
  <c r="AU180" i="22"/>
  <c r="AV180" i="22"/>
  <c r="AU181" i="22"/>
  <c r="AV181" i="22"/>
  <c r="AU182" i="22"/>
  <c r="AV182" i="22"/>
  <c r="AU183" i="22"/>
  <c r="AV183" i="22"/>
  <c r="AU184" i="22"/>
  <c r="AV184" i="22"/>
  <c r="AU185" i="22"/>
  <c r="AV185" i="22"/>
  <c r="AU186" i="22"/>
  <c r="AV186" i="22"/>
  <c r="AU187" i="22"/>
  <c r="AV187" i="22"/>
  <c r="AU188" i="22"/>
  <c r="AV188" i="22"/>
  <c r="AU189" i="22"/>
  <c r="AV189" i="22"/>
  <c r="AU190" i="22"/>
  <c r="AV190" i="22"/>
  <c r="AU191" i="22"/>
  <c r="AV191" i="22"/>
  <c r="AU192" i="22"/>
  <c r="AV192" i="22"/>
  <c r="AU193" i="22"/>
  <c r="AV193" i="22"/>
  <c r="AU194" i="22"/>
  <c r="AV194" i="22"/>
  <c r="AU195" i="22"/>
  <c r="AV195" i="22"/>
  <c r="AU196" i="22"/>
  <c r="AV196" i="22"/>
  <c r="AU197" i="22"/>
  <c r="AV197" i="22"/>
  <c r="AU198" i="22"/>
  <c r="AV198" i="22"/>
  <c r="AU199" i="22"/>
  <c r="AV199" i="22"/>
  <c r="AU200" i="22"/>
  <c r="AV200" i="22"/>
  <c r="AU201" i="22"/>
  <c r="AV201" i="22"/>
  <c r="AU202" i="22"/>
  <c r="AV202" i="22"/>
  <c r="AV167" i="22"/>
  <c r="AU167" i="22"/>
  <c r="BN169" i="22"/>
  <c r="BN170" i="22"/>
  <c r="BN171" i="22"/>
  <c r="BN172" i="22"/>
  <c r="BN173" i="22"/>
  <c r="BN174" i="22"/>
  <c r="BN175" i="22"/>
  <c r="BN176" i="22"/>
  <c r="BN177" i="22"/>
  <c r="BN178" i="22"/>
  <c r="BN179" i="22"/>
  <c r="BN180" i="22"/>
  <c r="BN181" i="22"/>
  <c r="BN182" i="22"/>
  <c r="BN183" i="22"/>
  <c r="BN184" i="22"/>
  <c r="BN185" i="22"/>
  <c r="BN186" i="22"/>
  <c r="BN187" i="22"/>
  <c r="BN188" i="22"/>
  <c r="BN189" i="22"/>
  <c r="BN190" i="22"/>
  <c r="BN191" i="22"/>
  <c r="BN192" i="22"/>
  <c r="BN193" i="22"/>
  <c r="BN194" i="22"/>
  <c r="BN195" i="22"/>
  <c r="BN196" i="22"/>
  <c r="BN197" i="22"/>
  <c r="BN198" i="22"/>
  <c r="BN199" i="22"/>
  <c r="BN200" i="22"/>
  <c r="BN201" i="22"/>
  <c r="BN202" i="22"/>
  <c r="BN168" i="22"/>
  <c r="BN167" i="22"/>
  <c r="AY179" i="22"/>
  <c r="AY180" i="22"/>
  <c r="AY181" i="22"/>
  <c r="AY182" i="22"/>
  <c r="AY183" i="22"/>
  <c r="AY184" i="22"/>
  <c r="AY185" i="22"/>
  <c r="AY186" i="22"/>
  <c r="AY187" i="22"/>
  <c r="AY188" i="22"/>
  <c r="AY189" i="22"/>
  <c r="AY190" i="22"/>
  <c r="AY191" i="22"/>
  <c r="AY192" i="22"/>
  <c r="AY193" i="22"/>
  <c r="AY194" i="22"/>
  <c r="AY195" i="22"/>
  <c r="AY196" i="22"/>
  <c r="AY197" i="22"/>
  <c r="AY198" i="22"/>
  <c r="AY199" i="22"/>
  <c r="AY200" i="22"/>
  <c r="AY201" i="22"/>
  <c r="AY202" i="22"/>
  <c r="AY178" i="22"/>
  <c r="AY177" i="22"/>
  <c r="AY168" i="22"/>
  <c r="AY167" i="22"/>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S166" i="22"/>
  <c r="S165" i="22"/>
  <c r="S164" i="22"/>
  <c r="S163" i="22"/>
  <c r="S162" i="22"/>
  <c r="S161" i="22"/>
  <c r="S160" i="22"/>
  <c r="S159" i="22"/>
  <c r="S158" i="22"/>
  <c r="S157" i="22"/>
  <c r="S156" i="22"/>
  <c r="S155" i="22"/>
  <c r="S154" i="22"/>
  <c r="S153" i="22"/>
  <c r="S152" i="22"/>
  <c r="S151" i="22"/>
  <c r="S150" i="22"/>
  <c r="S149" i="22"/>
  <c r="S148" i="22"/>
  <c r="S147" i="22"/>
  <c r="S146" i="22"/>
  <c r="S145" i="22"/>
  <c r="S144" i="22"/>
  <c r="S143" i="22"/>
  <c r="S142" i="22"/>
  <c r="S141" i="22"/>
  <c r="S140" i="22"/>
  <c r="S139" i="22"/>
  <c r="S138" i="22"/>
  <c r="S137" i="22"/>
  <c r="S136" i="22"/>
  <c r="S135" i="22"/>
  <c r="S134" i="22"/>
  <c r="S133" i="22"/>
  <c r="S132" i="22"/>
  <c r="S131" i="22"/>
  <c r="S130" i="22"/>
  <c r="S129" i="22"/>
  <c r="AR140" i="22"/>
  <c r="AV140" i="22"/>
  <c r="AR141" i="22"/>
  <c r="AV141" i="22"/>
  <c r="AR142" i="22"/>
  <c r="AV142" i="22"/>
  <c r="AR143" i="22"/>
  <c r="AV143" i="22"/>
  <c r="AR144" i="22"/>
  <c r="AV144" i="22"/>
  <c r="AR145" i="22"/>
  <c r="AV145" i="22"/>
  <c r="AR146" i="22"/>
  <c r="AV146" i="22"/>
  <c r="AR147" i="22"/>
  <c r="AV147" i="22"/>
  <c r="AR148" i="22"/>
  <c r="AV148" i="22"/>
  <c r="AR149" i="22"/>
  <c r="AV149" i="22"/>
  <c r="AR150" i="22"/>
  <c r="AV150" i="22"/>
  <c r="AR151" i="22"/>
  <c r="AV151" i="22"/>
  <c r="AR152" i="22"/>
  <c r="AV152" i="22"/>
  <c r="AR153" i="22"/>
  <c r="AV153" i="22"/>
  <c r="AR154" i="22"/>
  <c r="AV154" i="22"/>
  <c r="AR155" i="22"/>
  <c r="AV155" i="22"/>
  <c r="AR156" i="22"/>
  <c r="AV156" i="22"/>
  <c r="AR157" i="22"/>
  <c r="AV157" i="22"/>
  <c r="AR158" i="22"/>
  <c r="AV158" i="22"/>
  <c r="AR159" i="22"/>
  <c r="AV159" i="22"/>
  <c r="AR160" i="22"/>
  <c r="AV160" i="22"/>
  <c r="AR161" i="22"/>
  <c r="AV161" i="22"/>
  <c r="AR162" i="22"/>
  <c r="AV162" i="22"/>
  <c r="AR163" i="22"/>
  <c r="AV163" i="22"/>
  <c r="AR164" i="22"/>
  <c r="AV164" i="22"/>
  <c r="AR165" i="22"/>
  <c r="AV165" i="22"/>
  <c r="AR166" i="22"/>
  <c r="AV166" i="22"/>
  <c r="AV139" i="22"/>
  <c r="AR139" i="22"/>
  <c r="AV138" i="22"/>
  <c r="AR138" i="22"/>
  <c r="AV137" i="22"/>
  <c r="AR137" i="22"/>
  <c r="AR133" i="22"/>
  <c r="AV133" i="22"/>
  <c r="AR134" i="22"/>
  <c r="AV134" i="22"/>
  <c r="AR135" i="22"/>
  <c r="AV135" i="22"/>
  <c r="AR136" i="22"/>
  <c r="AV136" i="22"/>
  <c r="AV132" i="22"/>
  <c r="AR132" i="22"/>
  <c r="AV131" i="22"/>
  <c r="AV130" i="22"/>
  <c r="AV129" i="22"/>
  <c r="AR131" i="22"/>
  <c r="AR130" i="22"/>
  <c r="AR129" i="22"/>
  <c r="AI130" i="22"/>
  <c r="AJ130" i="22"/>
  <c r="AI131" i="22"/>
  <c r="AJ131" i="22"/>
  <c r="AI132" i="22"/>
  <c r="AJ132" i="22"/>
  <c r="AI133" i="22"/>
  <c r="AJ133" i="22"/>
  <c r="AI134" i="22"/>
  <c r="AJ134" i="22"/>
  <c r="AI135" i="22"/>
  <c r="AJ135" i="22"/>
  <c r="AI136" i="22"/>
  <c r="AJ136" i="22"/>
  <c r="AI137" i="22"/>
  <c r="AJ137" i="22"/>
  <c r="AI138" i="22"/>
  <c r="AJ138" i="22"/>
  <c r="AI139" i="22"/>
  <c r="AJ139" i="22"/>
  <c r="AI140" i="22"/>
  <c r="AJ140" i="22"/>
  <c r="AI141" i="22"/>
  <c r="AJ141" i="22"/>
  <c r="AI142" i="22"/>
  <c r="AJ142" i="22"/>
  <c r="AI143" i="22"/>
  <c r="AJ143" i="22"/>
  <c r="AI144" i="22"/>
  <c r="AJ144" i="22"/>
  <c r="AI145" i="22"/>
  <c r="AJ145" i="22"/>
  <c r="AI146" i="22"/>
  <c r="AJ146" i="22"/>
  <c r="AI147" i="22"/>
  <c r="AJ147" i="22"/>
  <c r="AI148" i="22"/>
  <c r="AJ148" i="22"/>
  <c r="AI149" i="22"/>
  <c r="AJ149" i="22"/>
  <c r="AI150" i="22"/>
  <c r="AJ150" i="22"/>
  <c r="AI151" i="22"/>
  <c r="AJ151" i="22"/>
  <c r="AI152" i="22"/>
  <c r="AJ152" i="22"/>
  <c r="AI153" i="22"/>
  <c r="AJ153" i="22"/>
  <c r="AI154" i="22"/>
  <c r="AJ154" i="22"/>
  <c r="AI155" i="22"/>
  <c r="AJ155" i="22"/>
  <c r="AI156" i="22"/>
  <c r="AJ156" i="22"/>
  <c r="AI157" i="22"/>
  <c r="AJ157" i="22"/>
  <c r="AI158" i="22"/>
  <c r="AJ158" i="22"/>
  <c r="AI159" i="22"/>
  <c r="AJ159" i="22"/>
  <c r="AI160" i="22"/>
  <c r="AJ160" i="22"/>
  <c r="AI161" i="22"/>
  <c r="AJ161" i="22"/>
  <c r="AI162" i="22"/>
  <c r="AJ162" i="22"/>
  <c r="AI163" i="22"/>
  <c r="AJ163" i="22"/>
  <c r="AI164" i="22"/>
  <c r="AJ164" i="22"/>
  <c r="AI165" i="22"/>
  <c r="AJ165" i="22"/>
  <c r="AI166" i="22"/>
  <c r="AJ166" i="22"/>
  <c r="AJ129" i="22"/>
  <c r="AI129" i="22"/>
  <c r="F136" i="22"/>
  <c r="F135" i="22"/>
  <c r="F134" i="22"/>
  <c r="F133" i="22"/>
  <c r="F132" i="22"/>
  <c r="F131" i="22"/>
  <c r="F130" i="22"/>
  <c r="F129" i="22"/>
  <c r="AP116" i="22"/>
  <c r="AP117" i="22"/>
  <c r="AP118" i="22"/>
  <c r="AP119" i="22"/>
  <c r="AP120" i="22"/>
  <c r="AP121" i="22"/>
  <c r="AP122" i="22"/>
  <c r="AP123" i="22"/>
  <c r="AP124" i="22"/>
  <c r="AP125" i="22"/>
  <c r="AP126" i="22"/>
  <c r="AP127" i="22"/>
  <c r="AP128" i="22"/>
  <c r="AP115" i="22"/>
  <c r="AV128" i="22"/>
  <c r="AV127" i="22"/>
  <c r="AV126" i="22"/>
  <c r="AV125" i="22"/>
  <c r="AV124" i="22"/>
  <c r="AV123" i="22"/>
  <c r="AV122" i="22"/>
  <c r="AV116" i="22"/>
  <c r="AV117" i="22"/>
  <c r="AV118" i="22"/>
  <c r="AV119" i="22"/>
  <c r="AV120" i="22"/>
  <c r="AV121" i="22"/>
  <c r="AV115" i="22"/>
  <c r="AX116" i="22"/>
  <c r="AX117" i="22"/>
  <c r="AX118" i="22"/>
  <c r="AX119" i="22"/>
  <c r="AX120" i="22"/>
  <c r="AX121" i="22"/>
  <c r="AX122" i="22"/>
  <c r="AX123" i="22"/>
  <c r="AX124" i="22"/>
  <c r="AX125" i="22"/>
  <c r="AX126" i="22"/>
  <c r="AX127" i="22"/>
  <c r="AX128" i="22"/>
  <c r="F116" i="22"/>
  <c r="F117" i="22"/>
  <c r="F118" i="22"/>
  <c r="F119" i="22"/>
  <c r="F120" i="22"/>
  <c r="F121" i="22"/>
  <c r="F122" i="22"/>
  <c r="F123" i="22"/>
  <c r="F124" i="22"/>
  <c r="F125" i="22"/>
  <c r="F126" i="22"/>
  <c r="F127" i="22"/>
  <c r="F128" i="22"/>
  <c r="F115" i="22"/>
  <c r="S128" i="22"/>
  <c r="S127" i="22"/>
  <c r="S126" i="22"/>
  <c r="S125" i="22"/>
  <c r="S124" i="22"/>
  <c r="S123" i="22"/>
  <c r="S122" i="22"/>
  <c r="S121" i="22"/>
  <c r="S120" i="22"/>
  <c r="S119" i="22"/>
  <c r="S118" i="22"/>
  <c r="S117" i="22"/>
  <c r="S116" i="22"/>
  <c r="S115" i="22"/>
  <c r="AX115" i="22"/>
  <c r="C68" i="13" l="1"/>
  <c r="C73" i="13"/>
  <c r="C71" i="13"/>
  <c r="C69" i="13"/>
  <c r="S114" i="22" l="1"/>
  <c r="S113" i="22"/>
  <c r="S112" i="22"/>
  <c r="S111" i="22"/>
  <c r="S110" i="22"/>
  <c r="E114" i="22"/>
  <c r="E113" i="22"/>
  <c r="E112" i="22"/>
  <c r="E111" i="22"/>
  <c r="E110" i="22"/>
  <c r="V106" i="22"/>
  <c r="AU106" i="22"/>
  <c r="AX106" i="22"/>
  <c r="V107" i="22"/>
  <c r="AU107" i="22"/>
  <c r="AX107" i="22"/>
  <c r="V108" i="22"/>
  <c r="AU108" i="22"/>
  <c r="AX108" i="22"/>
  <c r="V109" i="22"/>
  <c r="AU109" i="22"/>
  <c r="AX109" i="22"/>
  <c r="S109" i="22"/>
  <c r="S108" i="22"/>
  <c r="S107" i="22"/>
  <c r="S106" i="22"/>
  <c r="E109" i="22"/>
  <c r="E108" i="22"/>
  <c r="E107" i="22"/>
  <c r="E106" i="22"/>
  <c r="AU98" i="22"/>
  <c r="AU99" i="22"/>
  <c r="AU100" i="22"/>
  <c r="AU101" i="22"/>
  <c r="AU102" i="22"/>
  <c r="AU103" i="22"/>
  <c r="AU104" i="22"/>
  <c r="AU105" i="22"/>
  <c r="AU97" i="22"/>
  <c r="AX105" i="22"/>
  <c r="AX104" i="22"/>
  <c r="AX103" i="22"/>
  <c r="AX102" i="22"/>
  <c r="AX101" i="22"/>
  <c r="AX100" i="22"/>
  <c r="AX99" i="22"/>
  <c r="AX98" i="22"/>
  <c r="V97" i="22"/>
  <c r="V98" i="22"/>
  <c r="V99" i="22"/>
  <c r="V100" i="22"/>
  <c r="V101" i="22"/>
  <c r="V102" i="22"/>
  <c r="V103" i="22"/>
  <c r="V104" i="22"/>
  <c r="V105" i="22"/>
  <c r="AX97" i="22"/>
  <c r="AX96" i="22"/>
  <c r="V96" i="22"/>
  <c r="AU96" i="22"/>
  <c r="S105" i="22"/>
  <c r="S104" i="22"/>
  <c r="S103" i="22"/>
  <c r="S102" i="22"/>
  <c r="S101" i="22"/>
  <c r="S100" i="22"/>
  <c r="S99" i="22"/>
  <c r="S98" i="22"/>
  <c r="S97" i="22"/>
  <c r="S96" i="22"/>
  <c r="E105" i="22"/>
  <c r="E104" i="22"/>
  <c r="E103" i="22"/>
  <c r="E102" i="22"/>
  <c r="E101" i="22"/>
  <c r="E100" i="22"/>
  <c r="E99" i="22"/>
  <c r="E98" i="22"/>
  <c r="E97" i="22"/>
  <c r="E96" i="22"/>
  <c r="C70" i="13"/>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2"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C77" i="13" l="1"/>
  <c r="C17" i="13" l="1"/>
  <c r="C96" i="13"/>
  <c r="C95" i="13"/>
  <c r="C92" i="13"/>
  <c r="C91" i="13"/>
  <c r="C90" i="13"/>
  <c r="C89" i="13"/>
  <c r="C88" i="13"/>
  <c r="C87" i="13"/>
  <c r="C86" i="13"/>
  <c r="C85" i="13"/>
  <c r="C84" i="13"/>
  <c r="C83" i="13"/>
  <c r="C82" i="13"/>
  <c r="C81" i="13"/>
  <c r="C79" i="13"/>
  <c r="C76" i="13"/>
  <c r="C75" i="13"/>
  <c r="C74"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Q1" authorId="0" shapeId="0" xr:uid="{C6326B5B-BB88-490F-93ED-C190D35397E3}">
      <text>
        <r>
          <rPr>
            <sz val="11"/>
            <color theme="1"/>
            <rFont val="Calibri"/>
            <family val="2"/>
            <scheme val="minor"/>
          </rPr>
          <t xml:space="preserve">Petr Čala:
Cohort years to average out the individual effect (ability)
or Fixed-effects
</t>
        </r>
      </text>
    </comment>
    <comment ref="BR1" authorId="0" shapeId="0" xr:uid="{2536293A-53F2-4F16-BFE3-75ED5F119952}">
      <text>
        <r>
          <rPr>
            <b/>
            <sz val="9"/>
            <color indexed="81"/>
            <rFont val="Tahoma"/>
            <family val="2"/>
            <charset val="238"/>
          </rPr>
          <t>Petr Čala:</t>
        </r>
        <r>
          <rPr>
            <sz val="9"/>
            <color indexed="81"/>
            <rFont val="Tahoma"/>
            <family val="2"/>
            <charset val="238"/>
          </rPr>
          <t xml:space="preserve">
2SLS or 3SLS</t>
        </r>
      </text>
    </comment>
    <comment ref="BT1" authorId="0" shapeId="0" xr:uid="{78E96E77-FAFF-4092-A0F7-E312AD52FD7E}">
      <text>
        <r>
          <rPr>
            <b/>
            <sz val="9"/>
            <color indexed="81"/>
            <rFont val="Tahoma"/>
            <family val="2"/>
            <charset val="238"/>
          </rPr>
          <t>Petr Čala:</t>
        </r>
        <r>
          <rPr>
            <sz val="9"/>
            <color indexed="81"/>
            <rFont val="Tahoma"/>
            <family val="2"/>
            <charset val="238"/>
          </rPr>
          <t xml:space="preserve">
First differences by IV</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14D81499-7AB8-4287-A0D6-6F9073119B83}">
      <text>
        <r>
          <rPr>
            <b/>
            <sz val="9"/>
            <color indexed="81"/>
            <rFont val="Tahoma"/>
            <family val="2"/>
            <charset val="238"/>
          </rPr>
          <t>Petr Čala:</t>
        </r>
        <r>
          <rPr>
            <sz val="9"/>
            <color indexed="81"/>
            <rFont val="Tahoma"/>
            <family val="2"/>
            <charset val="238"/>
          </rPr>
          <t xml:space="preserve">
IV</t>
        </r>
      </text>
    </comment>
    <comment ref="BZ1" authorId="0" shapeId="0" xr:uid="{2F895017-3969-40FF-862F-7B1BE49B8A99}">
      <text>
        <r>
          <rPr>
            <sz val="11"/>
            <color theme="1"/>
            <rFont val="Calibri"/>
            <family val="2"/>
            <scheme val="minor"/>
          </rPr>
          <t>Petr Čala:
The study uses parents' education as an instrument for the estimate</t>
        </r>
      </text>
    </comment>
    <comment ref="CA1" authorId="0" shapeId="0" xr:uid="{3F415A2B-88EC-47CD-AFE0-3A1A77DB5929}">
      <text>
        <r>
          <rPr>
            <sz val="11"/>
            <color theme="1"/>
            <rFont val="Calibri"/>
            <family val="2"/>
            <scheme val="minor"/>
          </rPr>
          <t>Petr Čala:
Distance to school or school per area</t>
        </r>
      </text>
    </comment>
    <comment ref="CB1" authorId="0" shapeId="0" xr:uid="{A41D2BFD-9167-49E3-A436-66D336D1C8BC}">
      <text>
        <r>
          <rPr>
            <sz val="11"/>
            <color theme="1"/>
            <rFont val="Calibri"/>
            <family val="2"/>
            <scheme val="minor"/>
          </rPr>
          <t>Petr Čala:
The study uses another instrument</t>
        </r>
      </text>
    </comment>
    <comment ref="CC1" authorId="0" shapeId="0" xr:uid="{3E9AAFF6-4DE8-4BC2-9160-401FCC9A4E41}">
      <text>
        <r>
          <rPr>
            <sz val="11"/>
            <color theme="1"/>
            <rFont val="Calibri"/>
            <family val="2"/>
            <scheme val="minor"/>
          </rPr>
          <t>Petr Čala:
Age is controlled for in the Mincer equation</t>
        </r>
      </text>
    </comment>
    <comment ref="CD1" authorId="0" shapeId="0" xr:uid="{C4837C67-8A3D-4F5A-99B8-938329B9DB58}">
      <text>
        <r>
          <rPr>
            <sz val="11"/>
            <color theme="1"/>
            <rFont val="Calibri"/>
            <family val="2"/>
            <scheme val="minor"/>
          </rPr>
          <t>Petr Čala:
Squared age is controlled for in the Mincer equation</t>
        </r>
      </text>
    </comment>
    <comment ref="CE1" authorId="0" shapeId="0" xr:uid="{44BCC188-A821-48CE-98C1-33BC4DE54391}">
      <text>
        <r>
          <rPr>
            <sz val="11"/>
            <color theme="1"/>
            <rFont val="Calibri"/>
            <family val="2"/>
            <scheme val="minor"/>
          </rPr>
          <t>Petr Čala:
Experience control in the Mincer equation</t>
        </r>
      </text>
    </comment>
    <comment ref="CF1" authorId="0" shapeId="0" xr:uid="{3A6EDC0D-DA25-46AC-873B-43D6E855993F}">
      <text>
        <r>
          <rPr>
            <sz val="11"/>
            <color theme="1"/>
            <rFont val="Calibri"/>
            <family val="2"/>
            <scheme val="minor"/>
          </rPr>
          <t>Petr Čala:
Experience squared control</t>
        </r>
      </text>
    </comment>
    <comment ref="CG1" authorId="0" shapeId="0" xr:uid="{35D42C96-44CA-429D-8F74-52EC7A7733ED}">
      <text>
        <r>
          <rPr>
            <sz val="11"/>
            <color theme="1"/>
            <rFont val="Calibri"/>
            <family val="2"/>
            <scheme val="minor"/>
          </rPr>
          <t>Petr Čala:
Ethnicity control in the Mincer equation</t>
        </r>
      </text>
    </comment>
    <comment ref="CH1" authorId="0" shapeId="0" xr:uid="{00DEC1A5-D4BB-489C-93CD-5408C554DB67}">
      <text>
        <r>
          <rPr>
            <sz val="11"/>
            <color theme="1"/>
            <rFont val="Calibri"/>
            <family val="2"/>
            <scheme val="minor"/>
          </rPr>
          <t>Petr Čala:
Health control in the Mincer equation</t>
        </r>
      </text>
    </comment>
    <comment ref="CI1" authorId="0" shapeId="0" xr:uid="{2D503D4C-015D-4282-B212-A72CF7EAAF5F}">
      <text>
        <r>
          <rPr>
            <sz val="11"/>
            <color theme="1"/>
            <rFont val="Calibri"/>
            <family val="2"/>
            <scheme val="minor"/>
          </rPr>
          <t>Petr Čala:
Gender control in the Mincer equation</t>
        </r>
      </text>
    </comment>
    <comment ref="CJ1" authorId="0" shapeId="0" xr:uid="{8EFB2D40-1686-4749-908A-00B4BAE02E84}">
      <text>
        <r>
          <rPr>
            <sz val="11"/>
            <color theme="1"/>
            <rFont val="Calibri"/>
            <family val="2"/>
            <scheme val="minor"/>
          </rPr>
          <t>Petr Čala:
Marriage control in the Mincer equation</t>
        </r>
      </text>
    </comment>
    <comment ref="CK1" authorId="0" shapeId="0" xr:uid="{D52621D7-E7AD-41D6-A13F-25FADC8F4693}">
      <text>
        <r>
          <rPr>
            <sz val="11"/>
            <color theme="1"/>
            <rFont val="Calibri"/>
            <family val="2"/>
            <scheme val="minor"/>
          </rPr>
          <t>Petr Čala:
Occupation control in the Mincer equation</t>
        </r>
      </text>
    </comment>
    <comment ref="CL1" authorId="0" shapeId="0" xr:uid="{398C9D56-89DC-4216-9503-98CCE6489FC2}">
      <text>
        <r>
          <rPr>
            <sz val="11"/>
            <color theme="1"/>
            <rFont val="Calibri"/>
            <family val="2"/>
            <scheme val="minor"/>
          </rPr>
          <t>Petr Čala:
Firm characteristics control in the Mincer equation</t>
        </r>
      </text>
    </comment>
    <comment ref="CM1" authorId="0" shapeId="0" xr:uid="{0F4D6292-CD11-4EE2-9875-9BC6D568BE79}">
      <text>
        <r>
          <rPr>
            <sz val="11"/>
            <color theme="1"/>
            <rFont val="Calibri"/>
            <family val="2"/>
            <scheme val="minor"/>
          </rPr>
          <t xml:space="preserve">Petr Čala:
Urban/rural control
</t>
        </r>
      </text>
    </comment>
    <comment ref="CN1" authorId="0" shapeId="0" xr:uid="{6338CD52-9D65-48E4-A728-90FF75BE0942}">
      <text>
        <r>
          <rPr>
            <sz val="11"/>
            <color theme="1"/>
            <rFont val="Calibri"/>
            <family val="2"/>
            <scheme val="minor"/>
          </rPr>
          <t>Petr Čala:
Macroeconomic variables control in the Mincer equation, such as sector of activity</t>
        </r>
      </text>
    </comment>
    <comment ref="CO1" authorId="0" shapeId="0" xr:uid="{0E83382F-9392-4ED5-BBFD-820EF855E0FC}">
      <text>
        <r>
          <rPr>
            <sz val="11"/>
            <color theme="1"/>
            <rFont val="Calibri"/>
            <family val="2"/>
            <scheme val="minor"/>
          </rPr>
          <t>Petr Čala:
Impact factor, via tools</t>
        </r>
      </text>
    </comment>
    <comment ref="CP1" authorId="0" shapeId="0" xr:uid="{22B88D5F-84A2-4520-AFB8-E7EAA14B06AB}">
      <text>
        <r>
          <rPr>
            <sz val="11"/>
            <color theme="1"/>
            <rFont val="Calibri"/>
            <family val="2"/>
            <scheme val="minor"/>
          </rPr>
          <t>Petr Čala:
Log number of citations in google scholar</t>
        </r>
      </text>
    </comment>
    <comment ref="CQ1" authorId="0" shapeId="0" xr:uid="{70F56552-FA85-46A3-9E60-5041B8BFA7AC}">
      <text>
        <r>
          <rPr>
            <sz val="11"/>
            <color theme="1"/>
            <rFont val="Calibri"/>
            <family val="2"/>
            <scheme val="minor"/>
          </rPr>
          <t>Petr Čala:
1 if published in journal, 0 if working/discussion paper</t>
        </r>
      </text>
    </comment>
    <comment ref="CS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B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<sst xmlns="http://schemas.openxmlformats.org/spreadsheetml/2006/main" count="2818" uniqueCount="415">
  <si>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</si>
  <si>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</si>
  <si>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</si>
  <si>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</si>
  <si>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</si>
  <si>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</si>
  <si>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</si>
  <si>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</si>
  <si>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</si>
  <si>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</si>
  <si>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</si>
  <si>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</si>
  <si>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</si>
  <si>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</si>
  <si>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</si>
  <si>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</si>
  <si>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</si>
  <si>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</si>
  <si>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</si>
  <si>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</si>
  <si>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</si>
  <si>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</si>
  <si>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</si>
  <si>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</si>
  <si>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</si>
  <si>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</si>
  <si>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</si>
  <si>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</si>
  <si>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</si>
  <si>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</si>
  <si>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</si>
  <si>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</si>
  <si>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</si>
  <si>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</si>
  <si>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</si>
  <si>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</si>
  <si>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</si>
  <si>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</si>
  <si>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</si>
  <si>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</si>
  <si>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</si>
  <si>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</si>
  <si>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</si>
  <si>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</si>
  <si>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</si>
  <si>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</si>
  <si>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</si>
  <si>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</si>
  <si>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</si>
  <si>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</si>
  <si>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</si>
  <si>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</si>
  <si>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</si>
  <si>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</si>
  <si>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</si>
  <si>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</si>
  <si>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</si>
  <si>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</si>
  <si>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</si>
  <si>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</si>
  <si>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</si>
  <si>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</si>
  <si>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</si>
  <si>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</si>
  <si>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</si>
  <si>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</si>
  <si>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</si>
  <si>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</si>
  <si>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</si>
  <si>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</si>
  <si>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</si>
  <si>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</si>
  <si>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</si>
  <si>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</si>
  <si>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</si>
  <si>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</si>
  <si>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</si>
  <si>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</si>
  <si>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</si>
  <si>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</si>
  <si>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</si>
  <si>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</si>
  <si>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</si>
  <si>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</si>
  <si>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</si>
  <si>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wage_log_monthly</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</si>
  <si>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</si>
  <si>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</si>
  <si>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</si>
  <si>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</si>
  <si>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</si>
  <si>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</si>
  <si>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</si>
  <si>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</si>
  <si>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</si>
  <si>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</si>
  <si>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</si>
  <si>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</si>
  <si>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</si>
  <si>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</si>
  <si>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</si>
  <si>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</si>
  <si>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</si>
  <si>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</si>
  <si>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</si>
  <si>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</si>
  <si>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</si>
  <si>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</si>
  <si>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</si>
  <si>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</si>
  <si>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</si>
  <si>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</si>
  <si>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</si>
  <si>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</si>
  <si>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</si>
  <si>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</si>
  <si>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</si>
  <si>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</si>
  <si>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</si>
  <si>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</si>
  <si>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</si>
  <si>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</si>
  <si>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</si>
  <si>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</si>
  <si>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</si>
  <si>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</si>
  <si>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</si>
  <si>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</si>
  <si>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</si>
  <si>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</si>
  <si>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</si>
  <si>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</si>
  <si>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</si>
  <si>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</si>
  <si>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</si>
  <si>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</si>
  <si>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</si>
  <si>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</si>
  <si>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</si>
  <si>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</si>
  <si>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</si>
  <si>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</si>
  <si>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</si>
  <si>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</si>
  <si>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</si>
  <si>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</si>
  <si>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</si>
  <si>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</si>
  <si>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</si>
  <si>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</si>
  <si>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</si>
  <si>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</si>
  <si>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</si>
  <si>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</si>
  <si>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</si>
  <si>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</si>
  <si>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</si>
  <si>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</si>
  <si>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</si>
  <si>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</si>
  <si>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</si>
  <si>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</si>
  <si>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</si>
  <si>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</si>
  <si>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</si>
  <si>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</si>
  <si>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</si>
  <si>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</si>
  <si>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</si>
  <si>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</si>
  <si>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</si>
  <si>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</si>
  <si>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</si>
  <si>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</si>
  <si>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</si>
  <si>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</si>
  <si>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</si>
  <si>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</si>
  <si>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</si>
  <si>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</si>
  <si>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</si>
  <si>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</si>
  <si>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</si>
  <si>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</si>
  <si>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</si>
  <si>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</si>
  <si>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</si>
  <si>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</si>
  <si>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</si>
  <si>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</si>
  <si>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</si>
  <si>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</si>
  <si>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</si>
  <si>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</si>
  <si>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Ability: Direct</t>
  </si>
  <si>
    <t>Ability: Proxied</t>
  </si>
  <si>
    <t>Ability: Uncontrolled</t>
  </si>
  <si>
    <t>Ability: Unmentioned</t>
  </si>
  <si>
    <t>Instrument: Distance to School</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</si>
  <si>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</si>
  <si>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</si>
  <si>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</si>
  <si>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</si>
  <si>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</si>
  <si>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</si>
  <si>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</si>
  <si>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</si>
  <si>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</si>
  <si>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</si>
  <si>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</si>
  <si>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</si>
  <si>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</si>
  <si>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</si>
  <si>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</si>
  <si>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</si>
  <si>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</si>
  <si>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</si>
  <si>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</si>
  <si>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</si>
  <si>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</si>
  <si>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</si>
  <si>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</si>
  <si>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</si>
  <si>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</si>
  <si>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</si>
  <si>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</si>
  <si>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</si>
  <si>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</si>
  <si>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</si>
  <si>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</si>
  <si>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</si>
  <si>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</si>
  <si>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</si>
  <si>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</si>
  <si>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</si>
  <si>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</si>
  <si>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</si>
  <si>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</si>
  <si>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</si>
  <si>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</si>
  <si>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</si>
  <si>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</si>
  <si>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</si>
  <si>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</si>
  <si>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</si>
  <si>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</si>
  <si>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</si>
  <si>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</si>
  <si>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</si>
  <si>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</si>
  <si>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</si>
  <si>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</si>
  <si>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</si>
  <si>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</si>
  <si>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</si>
  <si>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</si>
  <si>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</si>
  <si>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</si>
  <si>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</si>
  <si>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</si>
  <si>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</si>
  <si>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</si>
  <si>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</si>
  <si>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</si>
  <si>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</si>
  <si>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</si>
  <si>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</si>
  <si>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</si>
  <si>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</si>
  <si>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</si>
  <si>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</si>
  <si>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</si>
  <si>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</si>
  <si>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</si>
  <si>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</si>
  <si>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</si>
  <si>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</si>
  <si>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</si>
  <si>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</si>
  <si>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</si>
  <si>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</si>
  <si>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</si>
  <si>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</si>
  <si>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</si>
  <si>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</si>
  <si>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</si>
  <si>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</si>
  <si>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</si>
  <si>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</si>
  <si>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</si>
  <si>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</si>
  <si>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</si>
  <si>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</si>
  <si>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</si>
  <si>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</si>
  <si>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</si>
  <si>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</si>
  <si>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</si>
  <si>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</si>
  <si>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</si>
  <si>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</si>
  <si>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</si>
  <si>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</si>
  <si>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</si>
  <si>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</si>
  <si>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</si>
  <si>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</si>
  <si>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</si>
  <si>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</si>
  <si>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</si>
  <si>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</si>
  <si>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</si>
  <si>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</si>
  <si>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</si>
  <si>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</si>
  <si>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</si>
  <si>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</si>
  <si>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</si>
  <si>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</si>
  <si>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</si>
  <si>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</si>
  <si>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</si>
  <si>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</si>
  <si>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</si>
  <si>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</si>
  <si>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</si>
  <si>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</si>
  <si>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</si>
  <si>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</si>
  <si>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</si>
  <si>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</si>
  <si>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</si>
  <si>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</si>
  <si>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</si>
  <si>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</si>
  <si>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</si>
  <si>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</si>
  <si>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</si>
  <si>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</si>
  <si>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</si>
  <si>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</si>
  <si>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</si>
  <si>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</si>
  <si>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</si>
  <si>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</si>
  <si>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</si>
  <si>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</si>
  <si>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</si>
  <si>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</si>
  <si>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</si>
  <si>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</si>
  <si>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</si>
  <si>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</si>
  <si>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</si>
  <si>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</si>
  <si>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</si>
  <si>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</si>
  <si>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</si>
  <si>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</si>
  <si>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</si>
  <si>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</si>
  <si>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</si>
  <si>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</si>
  <si>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</si>
  <si>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</si>
  <si>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</si>
  <si>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</si>
  <si>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</si>
  <si>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</si>
  <si>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</si>
  <si>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</si>
  <si>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</si>
  <si>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</si>
  <si>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</si>
  <si>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</si>
  <si>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</si>
  <si>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</si>
  <si>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</si>
  <si>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</si>
  <si>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</si>
  <si>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</si>
  <si>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</si>
  <si>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</si>
  <si>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</si>
  <si>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</si>
  <si>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</si>
  <si>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</si>
  <si>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</si>
  <si>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</si>
  <si>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</si>
  <si>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</si>
  <si>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</si>
  <si>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</si>
  <si>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</si>
  <si>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</si>
  <si>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</si>
  <si>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</si>
  <si>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</si>
  <si>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</si>
  <si>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</si>
  <si>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Bingley et al. (2005)</t>
  </si>
  <si>
    <t>Bingley, Paul, Kaare Christensen, and Ian Walker</t>
  </si>
  <si>
    <t>Twin-based estimates of the returns to education: Evidence from the population of Danish twins</t>
  </si>
  <si>
    <t>Bingley, Paul, Kaare Christensen, and Ian Walker. "Twin-based estimates of the returns to education: Evidence from the population of Danish twins." unpublished paper (2005).</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</si>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</sst>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5">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0" fontId="0" fillId="4" borderId="2"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cellXfs>
  <cellStyles count="3">
    <cellStyle name="Currency 2" xfId="2" xr:uid="{00000000-0005-0000-0000-000001000000}"/>
    <cellStyle name="Hyperlink" xfId="1" builtinId="8"/>
    <cellStyle name="Normal" xfId="0" builtinId="0"/>
  </cellStyles>
  <dxfs count="85">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T301"/>
  <sheetViews>
    <sheetView zoomScaleNormal="100" workbookViewId="0">
      <pane xSplit="4" ySplit="1" topLeftCell="E228" activePane="bottomRight" state="frozen"/>
      <selection pane="topRight" activeCell="E1" sqref="E1"/>
      <selection pane="bottomLeft" activeCell="A2" sqref="A2"/>
      <selection pane="bottomRight" activeCell="O238" sqref="O238"/>
    </sheetView>
  </sheetViews>
  <sheetFormatPr defaultRowHeight="15" x14ac:dyDescent="0.25"/>
  <cols>
    <col min="1" max="1" width="5.140625" customWidth="1"/>
    <col min="2" max="2" width="4.140625" customWidth="1"/>
    <col min="4" max="4" width="9.140625" style="85"/>
    <col min="5" max="6" width="9.140625" style="6"/>
    <col min="7" max="8" width="9.140625" hidden="1" customWidth="1"/>
    <col min="9" max="9" width="9.140625" style="29" hidden="1" customWidth="1"/>
    <col min="10" max="11" width="9.140625" hidden="1" customWidth="1"/>
    <col min="12" max="12" width="9.140625" style="84"/>
    <col min="13" max="16" width="9.140625" style="75"/>
    <col min="17" max="17" width="9.140625" style="84"/>
    <col min="18" max="19" width="9.140625" style="75"/>
    <col min="20" max="20" width="9.140625" style="74" hidden="1" customWidth="1"/>
    <col min="21" max="22" width="9.140625" style="75"/>
    <col min="23" max="23" width="9.140625" style="84"/>
    <col min="24" max="24" width="9.140625" style="75"/>
    <col min="25" max="25" width="9.140625" style="84"/>
    <col min="26" max="28" width="9.140625" style="75"/>
    <col min="29" max="29" width="9.140625" style="84"/>
    <col min="30" max="31" width="9.140625" style="75"/>
    <col min="32" max="32" width="9.140625" style="84"/>
    <col min="33" max="33" width="9.140625" style="75"/>
    <col min="34" max="34" width="9.140625" style="74"/>
    <col min="39" max="39" width="9.140625" style="29"/>
    <col min="41" max="41" width="9.140625" style="29"/>
    <col min="43" max="43" width="9.140625" style="29"/>
    <col min="45" max="45" width="9.140625" style="29" hidden="1" customWidth="1"/>
    <col min="46" max="46" width="9.140625" hidden="1" customWidth="1"/>
    <col min="47" max="47" width="9.140625" style="29"/>
    <col min="48" max="48" width="9.140625" style="12"/>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7"/>
    <col min="73" max="73" width="9.140625" style="29" hidden="1" customWidth="1"/>
    <col min="74" max="76" width="9.140625" hidden="1" customWidth="1"/>
    <col min="78" max="78" width="9.140625" style="29"/>
    <col min="81" max="81" width="9.140625" style="29"/>
    <col min="92" max="92" width="9.140625" style="17"/>
    <col min="93" max="93" width="9.140625" hidden="1" customWidth="1"/>
    <col min="94" max="95" width="9.140625" style="29" hidden="1" customWidth="1"/>
    <col min="96" max="96" width="9.140625" hidden="1" customWidth="1"/>
    <col min="97" max="97" width="9.140625" style="67" hidden="1" customWidth="1"/>
  </cols>
  <sheetData>
    <row r="1" spans="1:98" x14ac:dyDescent="0.25">
      <c r="A1" s="1" t="s">
        <v>0</v>
      </c>
      <c r="B1" s="1" t="s">
        <v>1</v>
      </c>
      <c r="C1" s="19" t="s">
        <v>102</v>
      </c>
      <c r="D1" s="9" t="s">
        <v>148</v>
      </c>
      <c r="E1" s="61" t="s">
        <v>90</v>
      </c>
      <c r="F1" s="62" t="s">
        <v>49</v>
      </c>
      <c r="G1" s="21" t="s">
        <v>50</v>
      </c>
      <c r="H1" s="21" t="s">
        <v>51</v>
      </c>
      <c r="I1" s="69" t="s">
        <v>154</v>
      </c>
      <c r="J1" s="21" t="s">
        <v>155</v>
      </c>
      <c r="K1" s="21" t="s">
        <v>156</v>
      </c>
      <c r="L1" s="77" t="s">
        <v>7</v>
      </c>
      <c r="M1" s="78" t="s">
        <v>9</v>
      </c>
      <c r="N1" s="78" t="s">
        <v>6</v>
      </c>
      <c r="O1" s="78" t="s">
        <v>8</v>
      </c>
      <c r="P1" s="78" t="s">
        <v>96</v>
      </c>
      <c r="Q1" s="77" t="s">
        <v>53</v>
      </c>
      <c r="R1" s="78" t="s">
        <v>54</v>
      </c>
      <c r="S1" s="78" t="s">
        <v>52</v>
      </c>
      <c r="T1" s="79" t="s">
        <v>89</v>
      </c>
      <c r="U1" s="80" t="s">
        <v>2</v>
      </c>
      <c r="V1" s="80" t="s">
        <v>10</v>
      </c>
      <c r="W1" s="81" t="s">
        <v>93</v>
      </c>
      <c r="X1" s="80" t="s">
        <v>94</v>
      </c>
      <c r="Y1" s="81" t="s">
        <v>82</v>
      </c>
      <c r="Z1" s="80" t="s">
        <v>87</v>
      </c>
      <c r="AA1" s="80" t="s">
        <v>85</v>
      </c>
      <c r="AB1" s="82" t="s">
        <v>83</v>
      </c>
      <c r="AC1" s="81" t="s">
        <v>11</v>
      </c>
      <c r="AD1" s="80" t="s">
        <v>12</v>
      </c>
      <c r="AE1" s="82" t="s">
        <v>13</v>
      </c>
      <c r="AF1" s="81" t="s">
        <v>14</v>
      </c>
      <c r="AG1" s="82" t="s">
        <v>15</v>
      </c>
      <c r="AH1" s="83" t="s">
        <v>28</v>
      </c>
      <c r="AI1" s="3" t="s">
        <v>66</v>
      </c>
      <c r="AJ1" s="27" t="s">
        <v>62</v>
      </c>
      <c r="AK1" s="3" t="s">
        <v>63</v>
      </c>
      <c r="AL1" s="11" t="s">
        <v>64</v>
      </c>
      <c r="AM1" s="28" t="s">
        <v>56</v>
      </c>
      <c r="AN1" s="11" t="s">
        <v>55</v>
      </c>
      <c r="AO1" s="28" t="s">
        <v>3</v>
      </c>
      <c r="AP1" s="11" t="s">
        <v>4</v>
      </c>
      <c r="AQ1" s="28" t="s">
        <v>365</v>
      </c>
      <c r="AR1" s="3" t="s">
        <v>366</v>
      </c>
      <c r="AS1" s="28" t="s">
        <v>16</v>
      </c>
      <c r="AT1" s="11" t="s">
        <v>17</v>
      </c>
      <c r="AU1" s="28" t="s">
        <v>361</v>
      </c>
      <c r="AV1" s="11" t="s">
        <v>362</v>
      </c>
      <c r="AW1" s="11" t="s">
        <v>377</v>
      </c>
      <c r="AX1" s="11" t="s">
        <v>378</v>
      </c>
      <c r="AY1" s="11" t="s">
        <v>379</v>
      </c>
      <c r="AZ1" s="64" t="s">
        <v>5</v>
      </c>
      <c r="BA1" s="3" t="s">
        <v>21</v>
      </c>
      <c r="BB1" s="3" t="s">
        <v>22</v>
      </c>
      <c r="BC1" s="3" t="s">
        <v>23</v>
      </c>
      <c r="BD1" s="3" t="s">
        <v>24</v>
      </c>
      <c r="BE1" s="3" t="s">
        <v>25</v>
      </c>
      <c r="BF1" s="3" t="s">
        <v>26</v>
      </c>
      <c r="BG1" s="3" t="s">
        <v>27</v>
      </c>
      <c r="BH1" s="28" t="s">
        <v>20</v>
      </c>
      <c r="BI1" s="3" t="s">
        <v>19</v>
      </c>
      <c r="BJ1" s="3" t="s">
        <v>18</v>
      </c>
      <c r="BK1" s="28" t="s">
        <v>29</v>
      </c>
      <c r="BL1" s="3" t="s">
        <v>30</v>
      </c>
      <c r="BM1" s="16" t="s">
        <v>166</v>
      </c>
      <c r="BN1" s="66" t="s">
        <v>31</v>
      </c>
      <c r="BO1" s="4" t="s">
        <v>32</v>
      </c>
      <c r="BP1" s="4" t="s">
        <v>386</v>
      </c>
      <c r="BQ1" s="4" t="s">
        <v>384</v>
      </c>
      <c r="BR1" s="4" t="s">
        <v>84</v>
      </c>
      <c r="BS1" s="4" t="s">
        <v>358</v>
      </c>
      <c r="BT1" s="4" t="s">
        <v>387</v>
      </c>
      <c r="BU1" s="71" t="s">
        <v>33</v>
      </c>
      <c r="BV1" s="35" t="s">
        <v>34</v>
      </c>
      <c r="BW1" s="35" t="s">
        <v>80</v>
      </c>
      <c r="BX1" s="36" t="s">
        <v>81</v>
      </c>
      <c r="BY1" s="4" t="s">
        <v>390</v>
      </c>
      <c r="BZ1" s="68" t="s">
        <v>356</v>
      </c>
      <c r="CA1" s="4" t="s">
        <v>88</v>
      </c>
      <c r="CB1" s="13" t="s">
        <v>392</v>
      </c>
      <c r="CC1" s="68" t="s">
        <v>35</v>
      </c>
      <c r="CD1" s="4" t="s">
        <v>36</v>
      </c>
      <c r="CE1" s="4" t="s">
        <v>37</v>
      </c>
      <c r="CF1" s="4" t="s">
        <v>65</v>
      </c>
      <c r="CG1" s="4" t="s">
        <v>38</v>
      </c>
      <c r="CH1" s="4" t="s">
        <v>39</v>
      </c>
      <c r="CI1" s="4" t="s">
        <v>40</v>
      </c>
      <c r="CJ1" s="4" t="s">
        <v>165</v>
      </c>
      <c r="CK1" s="4" t="s">
        <v>41</v>
      </c>
      <c r="CL1" s="4" t="s">
        <v>43</v>
      </c>
      <c r="CM1" s="4" t="s">
        <v>86</v>
      </c>
      <c r="CN1" s="18" t="s">
        <v>42</v>
      </c>
      <c r="CO1" s="30" t="s">
        <v>44</v>
      </c>
      <c r="CP1" s="72" t="s">
        <v>45</v>
      </c>
      <c r="CQ1" s="72" t="s">
        <v>46</v>
      </c>
      <c r="CR1" s="30" t="s">
        <v>109</v>
      </c>
      <c r="CS1" s="73" t="s">
        <v>47</v>
      </c>
      <c r="CT1" s="51" t="s">
        <v>48</v>
      </c>
    </row>
    <row r="2" spans="1:98" x14ac:dyDescent="0.25">
      <c r="A2">
        <v>1</v>
      </c>
      <c r="B2">
        <v>1</v>
      </c>
      <c r="C2" t="s">
        <v>267</v>
      </c>
      <c r="D2" s="10">
        <v>10.199999999999999</v>
      </c>
      <c r="E2" s="6">
        <v>1</v>
      </c>
      <c r="F2" s="6">
        <f>D2/E2</f>
        <v>10.199999999999999</v>
      </c>
      <c r="I2" s="76">
        <f t="shared" ref="I2:I11" si="0">IFERROR(F2/SQRT(F2^2+S2), "X")</f>
        <v>0.36567831673481643</v>
      </c>
      <c r="J2" s="70">
        <f t="shared" ref="J2:J11" si="1">IFERROR(SQRT((1-I2^2)/S2), "X")</f>
        <v>3.5850815366158473E-2</v>
      </c>
      <c r="K2" s="70">
        <f t="shared" ref="K2:K11" si="2">IFERROR(1/J2, "X")</f>
        <v>27.893368387485943</v>
      </c>
      <c r="L2" s="7">
        <v>1</v>
      </c>
      <c r="M2" s="8">
        <v>0</v>
      </c>
      <c r="N2" s="8">
        <v>0</v>
      </c>
      <c r="O2" s="8">
        <v>0</v>
      </c>
      <c r="P2" s="8">
        <v>0</v>
      </c>
      <c r="Q2" s="7">
        <v>680</v>
      </c>
      <c r="R2" s="8">
        <v>5</v>
      </c>
      <c r="S2" s="8">
        <f t="shared" ref="S2:S11" si="3">Q2-R2-1</f>
        <v>674</v>
      </c>
      <c r="T2" s="63">
        <f>COUNTIF(B:B,B2)</f>
        <v>22</v>
      </c>
      <c r="U2" s="6">
        <v>14.03</v>
      </c>
      <c r="V2" s="6">
        <v>8.34</v>
      </c>
      <c r="W2" s="7">
        <v>1</v>
      </c>
      <c r="X2" s="8">
        <v>0</v>
      </c>
      <c r="Y2" s="7">
        <v>1</v>
      </c>
      <c r="Z2" s="8">
        <v>0</v>
      </c>
      <c r="AA2" s="8">
        <v>0</v>
      </c>
      <c r="AB2" s="22">
        <v>0</v>
      </c>
      <c r="AC2" s="7">
        <v>0</v>
      </c>
      <c r="AD2" s="8">
        <v>1</v>
      </c>
      <c r="AE2" s="22">
        <v>0</v>
      </c>
      <c r="AF2" s="7">
        <v>0</v>
      </c>
      <c r="AG2" s="22">
        <v>1</v>
      </c>
      <c r="AH2" s="63">
        <v>1992</v>
      </c>
      <c r="AI2" t="s">
        <v>61</v>
      </c>
      <c r="AJ2" t="s">
        <v>61</v>
      </c>
      <c r="AK2" t="s">
        <v>61</v>
      </c>
      <c r="AL2" t="s">
        <v>61</v>
      </c>
      <c r="AM2" s="29" t="s">
        <v>61</v>
      </c>
      <c r="AN2" s="12" t="s">
        <v>61</v>
      </c>
      <c r="AO2" s="29">
        <v>0.41</v>
      </c>
      <c r="AP2">
        <v>0.59</v>
      </c>
      <c r="AQ2" s="29">
        <v>0.92</v>
      </c>
      <c r="AR2" s="70">
        <f>1-AQ2</f>
        <v>7.999999999999996E-2</v>
      </c>
      <c r="AU2" s="29">
        <v>0.64</v>
      </c>
      <c r="AV2" s="12">
        <f>1-AU2</f>
        <v>0.36</v>
      </c>
      <c r="AW2" s="12">
        <v>1</v>
      </c>
      <c r="AX2" s="12">
        <v>0</v>
      </c>
      <c r="AY2" s="12">
        <v>0</v>
      </c>
      <c r="AZ2" s="65" t="s">
        <v>95</v>
      </c>
      <c r="BN2" s="67">
        <v>38.07</v>
      </c>
      <c r="BO2">
        <v>0</v>
      </c>
      <c r="BP2">
        <v>1</v>
      </c>
      <c r="BQ2">
        <v>0</v>
      </c>
      <c r="BR2">
        <v>0</v>
      </c>
      <c r="BS2">
        <v>0</v>
      </c>
      <c r="BT2">
        <v>0</v>
      </c>
      <c r="BU2" s="29">
        <v>1</v>
      </c>
      <c r="BV2">
        <v>0</v>
      </c>
      <c r="BW2">
        <v>0</v>
      </c>
      <c r="BX2" s="12">
        <v>0</v>
      </c>
      <c r="BY2">
        <v>0</v>
      </c>
      <c r="BZ2" s="29">
        <v>0</v>
      </c>
      <c r="CA2">
        <v>0</v>
      </c>
      <c r="CB2" s="12">
        <v>0</v>
      </c>
      <c r="CC2" s="29">
        <v>1</v>
      </c>
      <c r="CD2">
        <v>1</v>
      </c>
      <c r="CE2">
        <v>0</v>
      </c>
      <c r="CF2">
        <v>0</v>
      </c>
      <c r="CG2">
        <v>1</v>
      </c>
      <c r="CH2">
        <v>0</v>
      </c>
      <c r="CI2">
        <v>1</v>
      </c>
      <c r="CJ2">
        <v>0</v>
      </c>
      <c r="CK2">
        <v>0</v>
      </c>
      <c r="CL2">
        <v>0</v>
      </c>
      <c r="CM2">
        <v>0</v>
      </c>
      <c r="CN2" s="17">
        <v>0</v>
      </c>
      <c r="CT2" t="s">
        <v>48</v>
      </c>
    </row>
    <row r="3" spans="1:98" x14ac:dyDescent="0.25">
      <c r="A3">
        <v>2</v>
      </c>
      <c r="B3">
        <v>1</v>
      </c>
      <c r="C3" t="s">
        <v>267</v>
      </c>
      <c r="D3" s="10">
        <v>6.6</v>
      </c>
      <c r="E3" s="6">
        <v>1.8</v>
      </c>
      <c r="F3" s="6">
        <f t="shared" ref="F3:F80" si="4">D3/E3</f>
        <v>3.6666666666666665</v>
      </c>
      <c r="I3" s="76">
        <f t="shared" si="0"/>
        <v>0.13994865635766554</v>
      </c>
      <c r="J3" s="70">
        <f t="shared" si="1"/>
        <v>3.8167815370272418E-2</v>
      </c>
      <c r="K3" s="70">
        <f t="shared" si="2"/>
        <v>26.200084817504781</v>
      </c>
      <c r="L3" s="7">
        <v>1</v>
      </c>
      <c r="M3" s="8">
        <v>0</v>
      </c>
      <c r="N3" s="8">
        <v>0</v>
      </c>
      <c r="O3" s="8">
        <v>0</v>
      </c>
      <c r="P3" s="8">
        <v>0</v>
      </c>
      <c r="Q3" s="7">
        <v>680</v>
      </c>
      <c r="R3" s="8">
        <v>6</v>
      </c>
      <c r="S3" s="8">
        <f t="shared" si="3"/>
        <v>673</v>
      </c>
      <c r="T3" s="63">
        <f>COUNTIF(B:B,B3)</f>
        <v>22</v>
      </c>
      <c r="U3" s="6">
        <v>14.03</v>
      </c>
      <c r="V3" s="6">
        <v>8.34</v>
      </c>
      <c r="W3" s="7">
        <v>1</v>
      </c>
      <c r="X3" s="8">
        <v>0</v>
      </c>
      <c r="Y3" s="7">
        <v>1</v>
      </c>
      <c r="Z3" s="8">
        <v>0</v>
      </c>
      <c r="AA3" s="8">
        <v>0</v>
      </c>
      <c r="AB3" s="22">
        <v>0</v>
      </c>
      <c r="AC3" s="7">
        <v>0</v>
      </c>
      <c r="AD3" s="8">
        <v>1</v>
      </c>
      <c r="AE3" s="22">
        <v>0</v>
      </c>
      <c r="AF3" s="7">
        <v>0</v>
      </c>
      <c r="AG3" s="22">
        <v>1</v>
      </c>
      <c r="AH3" s="63">
        <v>1992</v>
      </c>
      <c r="AI3" t="s">
        <v>61</v>
      </c>
      <c r="AJ3" t="s">
        <v>61</v>
      </c>
      <c r="AK3" t="s">
        <v>61</v>
      </c>
      <c r="AL3" t="s">
        <v>61</v>
      </c>
      <c r="AM3" s="29" t="s">
        <v>61</v>
      </c>
      <c r="AN3" s="12" t="s">
        <v>61</v>
      </c>
      <c r="AO3" s="29">
        <v>0.41</v>
      </c>
      <c r="AP3">
        <v>0.59</v>
      </c>
      <c r="AQ3" s="29">
        <v>0.92</v>
      </c>
      <c r="AR3" s="70">
        <f t="shared" ref="AR3:AR23" si="5">1-AQ3</f>
        <v>7.999999999999996E-2</v>
      </c>
      <c r="AU3" s="29">
        <v>0.64</v>
      </c>
      <c r="AV3" s="12">
        <f t="shared" ref="AV3:AV23" si="6">1-AU3</f>
        <v>0.36</v>
      </c>
      <c r="AW3" s="12">
        <v>1</v>
      </c>
      <c r="AX3" s="12">
        <v>0</v>
      </c>
      <c r="AY3" s="12">
        <v>0</v>
      </c>
      <c r="AZ3" s="65" t="s">
        <v>95</v>
      </c>
      <c r="BN3" s="67">
        <v>38.07</v>
      </c>
      <c r="BO3">
        <v>0</v>
      </c>
      <c r="BP3">
        <v>1</v>
      </c>
      <c r="BQ3">
        <v>0</v>
      </c>
      <c r="BR3">
        <v>0</v>
      </c>
      <c r="BS3">
        <v>0</v>
      </c>
      <c r="BT3">
        <v>0</v>
      </c>
      <c r="BU3" s="29">
        <v>1</v>
      </c>
      <c r="BV3">
        <v>0</v>
      </c>
      <c r="BW3">
        <v>0</v>
      </c>
      <c r="BX3" s="12">
        <v>0</v>
      </c>
      <c r="BY3">
        <v>0</v>
      </c>
      <c r="BZ3" s="29">
        <v>0</v>
      </c>
      <c r="CA3">
        <v>0</v>
      </c>
      <c r="CB3" s="12">
        <v>0</v>
      </c>
      <c r="CC3" s="29">
        <v>1</v>
      </c>
      <c r="CD3">
        <v>1</v>
      </c>
      <c r="CE3">
        <v>0</v>
      </c>
      <c r="CF3">
        <v>0</v>
      </c>
      <c r="CG3">
        <v>1</v>
      </c>
      <c r="CH3">
        <v>0</v>
      </c>
      <c r="CI3">
        <v>1</v>
      </c>
      <c r="CJ3">
        <v>0</v>
      </c>
      <c r="CK3">
        <v>0</v>
      </c>
      <c r="CL3">
        <v>0</v>
      </c>
      <c r="CM3">
        <v>0</v>
      </c>
      <c r="CN3" s="17">
        <v>0</v>
      </c>
      <c r="CT3" t="s">
        <v>48</v>
      </c>
    </row>
    <row r="4" spans="1:98" x14ac:dyDescent="0.25">
      <c r="A4">
        <v>3</v>
      </c>
      <c r="B4">
        <v>1</v>
      </c>
      <c r="C4" t="s">
        <v>267</v>
      </c>
      <c r="D4" s="10">
        <v>9.1</v>
      </c>
      <c r="E4" s="6">
        <v>2.4</v>
      </c>
      <c r="F4" s="6">
        <f t="shared" si="4"/>
        <v>3.7916666666666665</v>
      </c>
      <c r="I4" s="76">
        <f t="shared" si="0"/>
        <v>0.14462145808585403</v>
      </c>
      <c r="J4" s="70">
        <f t="shared" si="1"/>
        <v>3.8141923011653811E-2</v>
      </c>
      <c r="K4" s="70">
        <f t="shared" si="2"/>
        <v>26.217870548751879</v>
      </c>
      <c r="L4" s="7">
        <v>1</v>
      </c>
      <c r="M4" s="8">
        <v>0</v>
      </c>
      <c r="N4" s="8">
        <v>0</v>
      </c>
      <c r="O4" s="8">
        <v>0</v>
      </c>
      <c r="P4" s="8">
        <v>0</v>
      </c>
      <c r="Q4" s="7">
        <v>680</v>
      </c>
      <c r="R4" s="8">
        <v>6</v>
      </c>
      <c r="S4" s="8">
        <f t="shared" si="3"/>
        <v>673</v>
      </c>
      <c r="T4" s="63">
        <f>COUNTIF(B:B,B4)</f>
        <v>22</v>
      </c>
      <c r="U4" s="6">
        <v>14.03</v>
      </c>
      <c r="V4" s="6">
        <v>8.34</v>
      </c>
      <c r="W4" s="7">
        <v>1</v>
      </c>
      <c r="X4" s="8">
        <v>0</v>
      </c>
      <c r="Y4" s="7">
        <v>1</v>
      </c>
      <c r="Z4" s="8">
        <v>0</v>
      </c>
      <c r="AA4" s="8">
        <v>0</v>
      </c>
      <c r="AB4" s="22">
        <v>0</v>
      </c>
      <c r="AC4" s="7">
        <v>0</v>
      </c>
      <c r="AD4" s="8">
        <v>1</v>
      </c>
      <c r="AE4" s="22">
        <v>0</v>
      </c>
      <c r="AF4" s="7">
        <v>0</v>
      </c>
      <c r="AG4" s="22">
        <v>1</v>
      </c>
      <c r="AH4" s="63">
        <v>1992</v>
      </c>
      <c r="AI4" t="s">
        <v>61</v>
      </c>
      <c r="AJ4" t="s">
        <v>61</v>
      </c>
      <c r="AK4" t="s">
        <v>61</v>
      </c>
      <c r="AL4" t="s">
        <v>61</v>
      </c>
      <c r="AM4" s="29" t="s">
        <v>61</v>
      </c>
      <c r="AN4" s="12" t="s">
        <v>61</v>
      </c>
      <c r="AO4" s="29">
        <v>0.41</v>
      </c>
      <c r="AP4">
        <v>0.59</v>
      </c>
      <c r="AQ4" s="29">
        <v>0.92</v>
      </c>
      <c r="AR4" s="70">
        <f t="shared" si="5"/>
        <v>7.999999999999996E-2</v>
      </c>
      <c r="AU4" s="29">
        <v>0.64</v>
      </c>
      <c r="AV4" s="12">
        <f t="shared" si="6"/>
        <v>0.36</v>
      </c>
      <c r="AW4" s="12">
        <v>1</v>
      </c>
      <c r="AX4" s="12">
        <v>0</v>
      </c>
      <c r="AY4" s="12">
        <v>0</v>
      </c>
      <c r="AZ4" s="65" t="s">
        <v>95</v>
      </c>
      <c r="BN4" s="67">
        <v>38.07</v>
      </c>
      <c r="BO4">
        <v>0</v>
      </c>
      <c r="BP4">
        <v>0</v>
      </c>
      <c r="BQ4">
        <v>0</v>
      </c>
      <c r="BR4">
        <v>1</v>
      </c>
      <c r="BS4">
        <v>0</v>
      </c>
      <c r="BT4">
        <v>0</v>
      </c>
      <c r="BU4" s="29">
        <v>1</v>
      </c>
      <c r="BV4">
        <v>0</v>
      </c>
      <c r="BW4">
        <v>0</v>
      </c>
      <c r="BX4" s="12">
        <v>0</v>
      </c>
      <c r="BY4">
        <v>0</v>
      </c>
      <c r="BZ4" s="29">
        <v>0</v>
      </c>
      <c r="CA4">
        <v>0</v>
      </c>
      <c r="CB4" s="12">
        <v>0</v>
      </c>
      <c r="CC4" s="29">
        <v>1</v>
      </c>
      <c r="CD4">
        <v>1</v>
      </c>
      <c r="CE4">
        <v>0</v>
      </c>
      <c r="CF4">
        <v>0</v>
      </c>
      <c r="CG4">
        <v>1</v>
      </c>
      <c r="CH4">
        <v>0</v>
      </c>
      <c r="CI4">
        <v>1</v>
      </c>
      <c r="CJ4">
        <v>0</v>
      </c>
      <c r="CK4">
        <v>0</v>
      </c>
      <c r="CL4">
        <v>0</v>
      </c>
      <c r="CM4">
        <v>0</v>
      </c>
      <c r="CN4" s="17">
        <v>0</v>
      </c>
      <c r="CT4" t="s">
        <v>48</v>
      </c>
    </row>
    <row r="5" spans="1:98" x14ac:dyDescent="0.25">
      <c r="A5">
        <v>4</v>
      </c>
      <c r="B5">
        <v>1</v>
      </c>
      <c r="C5" t="s">
        <v>267</v>
      </c>
      <c r="D5" s="10">
        <v>7</v>
      </c>
      <c r="E5" s="6">
        <v>1.9</v>
      </c>
      <c r="F5" s="6">
        <f t="shared" si="4"/>
        <v>3.6842105263157898</v>
      </c>
      <c r="I5" s="76">
        <f t="shared" si="0"/>
        <v>0.19648818007772637</v>
      </c>
      <c r="J5" s="70">
        <f t="shared" si="1"/>
        <v>5.3332506021097147E-2</v>
      </c>
      <c r="K5" s="70">
        <f t="shared" si="2"/>
        <v>18.750290856469832</v>
      </c>
      <c r="L5" s="7">
        <v>1</v>
      </c>
      <c r="M5" s="8">
        <v>0</v>
      </c>
      <c r="N5" s="8">
        <v>0</v>
      </c>
      <c r="O5" s="8">
        <v>0</v>
      </c>
      <c r="P5" s="8">
        <v>0</v>
      </c>
      <c r="Q5" s="7">
        <v>340</v>
      </c>
      <c r="R5" s="8">
        <v>1</v>
      </c>
      <c r="S5" s="8">
        <f t="shared" si="3"/>
        <v>338</v>
      </c>
      <c r="T5" s="63">
        <f>COUNTIF(B:B,B5)</f>
        <v>22</v>
      </c>
      <c r="U5" s="6">
        <v>14.03</v>
      </c>
      <c r="V5" s="6">
        <v>8.34</v>
      </c>
      <c r="W5" s="7">
        <v>1</v>
      </c>
      <c r="X5" s="8">
        <v>0</v>
      </c>
      <c r="Y5" s="7">
        <v>1</v>
      </c>
      <c r="Z5" s="8">
        <v>0</v>
      </c>
      <c r="AA5" s="8">
        <v>0</v>
      </c>
      <c r="AB5" s="22">
        <v>0</v>
      </c>
      <c r="AC5" s="7">
        <v>0</v>
      </c>
      <c r="AD5" s="8">
        <v>1</v>
      </c>
      <c r="AE5" s="22">
        <v>0</v>
      </c>
      <c r="AF5" s="7">
        <v>0</v>
      </c>
      <c r="AG5" s="22">
        <v>1</v>
      </c>
      <c r="AH5" s="63">
        <v>1992</v>
      </c>
      <c r="AI5" t="s">
        <v>61</v>
      </c>
      <c r="AJ5" t="s">
        <v>61</v>
      </c>
      <c r="AK5" t="s">
        <v>61</v>
      </c>
      <c r="AL5" t="s">
        <v>61</v>
      </c>
      <c r="AM5" s="29" t="s">
        <v>61</v>
      </c>
      <c r="AN5" s="12" t="s">
        <v>61</v>
      </c>
      <c r="AO5" s="29">
        <v>0.41</v>
      </c>
      <c r="AP5">
        <v>0.59</v>
      </c>
      <c r="AQ5" s="29">
        <v>0.92</v>
      </c>
      <c r="AR5" s="70">
        <f t="shared" si="5"/>
        <v>7.999999999999996E-2</v>
      </c>
      <c r="AU5" s="29">
        <v>0.64</v>
      </c>
      <c r="AV5" s="12">
        <f t="shared" si="6"/>
        <v>0.36</v>
      </c>
      <c r="AW5" s="12">
        <v>1</v>
      </c>
      <c r="AX5" s="12">
        <v>0</v>
      </c>
      <c r="AY5" s="12">
        <v>0</v>
      </c>
      <c r="AZ5" s="65" t="s">
        <v>95</v>
      </c>
      <c r="BN5" s="67">
        <v>38.07</v>
      </c>
      <c r="BO5">
        <v>0</v>
      </c>
      <c r="BP5">
        <v>0</v>
      </c>
      <c r="BQ5">
        <v>0</v>
      </c>
      <c r="BR5">
        <v>0</v>
      </c>
      <c r="BS5">
        <v>1</v>
      </c>
      <c r="BT5">
        <v>0</v>
      </c>
      <c r="BU5" s="29">
        <v>1</v>
      </c>
      <c r="BV5">
        <v>0</v>
      </c>
      <c r="BW5">
        <v>0</v>
      </c>
      <c r="BX5" s="12">
        <v>0</v>
      </c>
      <c r="BY5">
        <v>0</v>
      </c>
      <c r="BZ5" s="29">
        <v>0</v>
      </c>
      <c r="CA5">
        <v>0</v>
      </c>
      <c r="CB5" s="12">
        <v>0</v>
      </c>
      <c r="CC5" s="29">
        <v>0</v>
      </c>
      <c r="CD5">
        <v>0</v>
      </c>
      <c r="CE5">
        <v>0</v>
      </c>
      <c r="CF5">
        <v>0</v>
      </c>
      <c r="CG5">
        <v>0</v>
      </c>
      <c r="CH5">
        <v>0</v>
      </c>
      <c r="CI5">
        <v>0</v>
      </c>
      <c r="CJ5">
        <v>0</v>
      </c>
      <c r="CK5">
        <v>0</v>
      </c>
      <c r="CL5">
        <v>0</v>
      </c>
      <c r="CM5">
        <v>0</v>
      </c>
      <c r="CN5" s="17">
        <v>0</v>
      </c>
      <c r="CT5" t="s">
        <v>48</v>
      </c>
    </row>
    <row r="6" spans="1:98" x14ac:dyDescent="0.25">
      <c r="A6">
        <v>5</v>
      </c>
      <c r="B6">
        <v>1</v>
      </c>
      <c r="C6" t="s">
        <v>267</v>
      </c>
      <c r="D6" s="10">
        <v>8.8000000000000007</v>
      </c>
      <c r="E6" s="6">
        <v>2.5</v>
      </c>
      <c r="F6" s="6">
        <f t="shared" si="4"/>
        <v>3.5200000000000005</v>
      </c>
      <c r="I6" s="76">
        <f t="shared" si="0"/>
        <v>0.18804706699996604</v>
      </c>
      <c r="J6" s="70">
        <f t="shared" si="1"/>
        <v>5.3422462215899427E-2</v>
      </c>
      <c r="K6" s="70">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3">
        <v>1992</v>
      </c>
      <c r="AI6" t="s">
        <v>61</v>
      </c>
      <c r="AJ6" t="s">
        <v>61</v>
      </c>
      <c r="AK6" t="s">
        <v>61</v>
      </c>
      <c r="AL6" t="s">
        <v>61</v>
      </c>
      <c r="AM6" s="29" t="s">
        <v>61</v>
      </c>
      <c r="AN6" s="12" t="s">
        <v>61</v>
      </c>
      <c r="AO6" s="29">
        <v>0.41</v>
      </c>
      <c r="AP6">
        <v>0.59</v>
      </c>
      <c r="AQ6" s="29">
        <v>0.92</v>
      </c>
      <c r="AR6" s="70">
        <f t="shared" si="5"/>
        <v>7.999999999999996E-2</v>
      </c>
      <c r="AU6" s="29">
        <v>0.64</v>
      </c>
      <c r="AV6" s="12">
        <f t="shared" si="6"/>
        <v>0.36</v>
      </c>
      <c r="AW6" s="12">
        <v>1</v>
      </c>
      <c r="AX6" s="12">
        <v>0</v>
      </c>
      <c r="AY6" s="12">
        <v>0</v>
      </c>
      <c r="AZ6" s="65" t="s">
        <v>95</v>
      </c>
      <c r="BN6" s="67">
        <v>38.07</v>
      </c>
      <c r="BO6">
        <v>0</v>
      </c>
      <c r="BP6">
        <v>0</v>
      </c>
      <c r="BQ6">
        <v>0</v>
      </c>
      <c r="BR6">
        <v>0</v>
      </c>
      <c r="BS6">
        <v>0</v>
      </c>
      <c r="BT6">
        <v>1</v>
      </c>
      <c r="BU6" s="29">
        <v>1</v>
      </c>
      <c r="BV6">
        <v>0</v>
      </c>
      <c r="BW6">
        <v>0</v>
      </c>
      <c r="BX6" s="12">
        <v>0</v>
      </c>
      <c r="BY6">
        <v>0</v>
      </c>
      <c r="BZ6" s="29">
        <v>1</v>
      </c>
      <c r="CA6">
        <v>0</v>
      </c>
      <c r="CB6" s="12">
        <v>0</v>
      </c>
      <c r="CC6" s="29">
        <v>0</v>
      </c>
      <c r="CD6">
        <v>0</v>
      </c>
      <c r="CE6">
        <v>0</v>
      </c>
      <c r="CF6">
        <v>0</v>
      </c>
      <c r="CG6">
        <v>0</v>
      </c>
      <c r="CH6">
        <v>0</v>
      </c>
      <c r="CI6">
        <v>0</v>
      </c>
      <c r="CJ6">
        <v>0</v>
      </c>
      <c r="CK6">
        <v>0</v>
      </c>
      <c r="CL6">
        <v>0</v>
      </c>
      <c r="CM6">
        <v>0</v>
      </c>
      <c r="CN6" s="17">
        <v>0</v>
      </c>
      <c r="CT6" t="s">
        <v>48</v>
      </c>
    </row>
    <row r="7" spans="1:98" x14ac:dyDescent="0.25">
      <c r="A7">
        <v>6</v>
      </c>
      <c r="B7">
        <v>1</v>
      </c>
      <c r="C7" t="s">
        <v>267</v>
      </c>
      <c r="D7" s="10">
        <v>11.3</v>
      </c>
      <c r="E7" s="6">
        <v>1</v>
      </c>
      <c r="F7" s="6">
        <f t="shared" si="4"/>
        <v>11.3</v>
      </c>
      <c r="I7" s="76">
        <f t="shared" si="0"/>
        <v>0.40339395369089359</v>
      </c>
      <c r="J7" s="70">
        <f t="shared" si="1"/>
        <v>3.5698579972645444E-2</v>
      </c>
      <c r="K7" s="70">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3">
        <v>1992</v>
      </c>
      <c r="AI7" t="s">
        <v>61</v>
      </c>
      <c r="AJ7" t="s">
        <v>61</v>
      </c>
      <c r="AK7" t="s">
        <v>61</v>
      </c>
      <c r="AL7" t="s">
        <v>61</v>
      </c>
      <c r="AM7" s="29" t="s">
        <v>61</v>
      </c>
      <c r="AN7" s="12" t="s">
        <v>61</v>
      </c>
      <c r="AO7" s="29">
        <v>0.41</v>
      </c>
      <c r="AP7">
        <v>0.59</v>
      </c>
      <c r="AQ7" s="29">
        <v>0.92</v>
      </c>
      <c r="AR7" s="70">
        <f t="shared" si="5"/>
        <v>7.999999999999996E-2</v>
      </c>
      <c r="AU7" s="29">
        <v>0.64</v>
      </c>
      <c r="AV7" s="12">
        <f t="shared" si="6"/>
        <v>0.36</v>
      </c>
      <c r="AW7" s="12">
        <v>1</v>
      </c>
      <c r="AX7" s="12">
        <v>0</v>
      </c>
      <c r="AY7" s="12">
        <v>0</v>
      </c>
      <c r="AZ7" s="65" t="s">
        <v>95</v>
      </c>
      <c r="BN7" s="67">
        <v>38.07</v>
      </c>
      <c r="BO7">
        <v>0</v>
      </c>
      <c r="BP7">
        <v>1</v>
      </c>
      <c r="BQ7">
        <v>0</v>
      </c>
      <c r="BR7">
        <v>0</v>
      </c>
      <c r="BS7">
        <v>0</v>
      </c>
      <c r="BT7">
        <v>0</v>
      </c>
      <c r="BU7" s="29">
        <v>1</v>
      </c>
      <c r="BV7">
        <v>0</v>
      </c>
      <c r="BW7">
        <v>0</v>
      </c>
      <c r="BX7" s="12">
        <v>0</v>
      </c>
      <c r="BY7">
        <v>0</v>
      </c>
      <c r="BZ7" s="29">
        <v>0</v>
      </c>
      <c r="CA7">
        <v>0</v>
      </c>
      <c r="CB7" s="12">
        <v>0</v>
      </c>
      <c r="CC7" s="29">
        <v>1</v>
      </c>
      <c r="CD7">
        <v>1</v>
      </c>
      <c r="CE7">
        <v>0</v>
      </c>
      <c r="CF7">
        <v>1</v>
      </c>
      <c r="CG7">
        <v>1</v>
      </c>
      <c r="CH7">
        <v>0</v>
      </c>
      <c r="CI7">
        <v>1</v>
      </c>
      <c r="CJ7">
        <v>1</v>
      </c>
      <c r="CK7">
        <v>0</v>
      </c>
      <c r="CL7">
        <v>0</v>
      </c>
      <c r="CM7">
        <v>0</v>
      </c>
      <c r="CN7" s="17">
        <v>1</v>
      </c>
      <c r="CT7" t="s">
        <v>48</v>
      </c>
    </row>
    <row r="8" spans="1:98" x14ac:dyDescent="0.25">
      <c r="A8">
        <v>7</v>
      </c>
      <c r="B8">
        <v>1</v>
      </c>
      <c r="C8" t="s">
        <v>267</v>
      </c>
      <c r="D8" s="10">
        <v>7.4</v>
      </c>
      <c r="E8" s="6">
        <v>1.7</v>
      </c>
      <c r="F8" s="6">
        <f t="shared" si="4"/>
        <v>4.3529411764705888</v>
      </c>
      <c r="I8" s="76">
        <f t="shared" si="0"/>
        <v>0.16755122592426927</v>
      </c>
      <c r="J8" s="70">
        <f t="shared" si="1"/>
        <v>3.8491497847467263E-2</v>
      </c>
      <c r="K8" s="70">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3">
        <v>1992</v>
      </c>
      <c r="AI8" t="s">
        <v>61</v>
      </c>
      <c r="AJ8" t="s">
        <v>61</v>
      </c>
      <c r="AK8" t="s">
        <v>61</v>
      </c>
      <c r="AL8" t="s">
        <v>61</v>
      </c>
      <c r="AM8" s="29" t="s">
        <v>61</v>
      </c>
      <c r="AN8" s="12" t="s">
        <v>61</v>
      </c>
      <c r="AO8" s="29">
        <v>0.41</v>
      </c>
      <c r="AP8">
        <v>0.59</v>
      </c>
      <c r="AQ8" s="29">
        <v>0.92</v>
      </c>
      <c r="AR8" s="70">
        <f t="shared" si="5"/>
        <v>7.999999999999996E-2</v>
      </c>
      <c r="AU8" s="29">
        <v>0.64</v>
      </c>
      <c r="AV8" s="12">
        <f t="shared" si="6"/>
        <v>0.36</v>
      </c>
      <c r="AW8" s="12">
        <v>1</v>
      </c>
      <c r="AX8" s="12">
        <v>0</v>
      </c>
      <c r="AY8" s="12">
        <v>0</v>
      </c>
      <c r="AZ8" s="65" t="s">
        <v>95</v>
      </c>
      <c r="BN8" s="67">
        <v>38.07</v>
      </c>
      <c r="BO8">
        <v>0</v>
      </c>
      <c r="BP8">
        <v>1</v>
      </c>
      <c r="BQ8">
        <v>0</v>
      </c>
      <c r="BR8">
        <v>0</v>
      </c>
      <c r="BS8">
        <v>0</v>
      </c>
      <c r="BT8">
        <v>0</v>
      </c>
      <c r="BU8" s="29">
        <v>1</v>
      </c>
      <c r="BV8">
        <v>0</v>
      </c>
      <c r="BW8">
        <v>0</v>
      </c>
      <c r="BX8" s="12">
        <v>0</v>
      </c>
      <c r="BY8">
        <v>0</v>
      </c>
      <c r="BZ8" s="29">
        <v>0</v>
      </c>
      <c r="CA8">
        <v>0</v>
      </c>
      <c r="CB8" s="12">
        <v>0</v>
      </c>
      <c r="CC8" s="29">
        <v>1</v>
      </c>
      <c r="CD8">
        <v>1</v>
      </c>
      <c r="CE8">
        <v>0</v>
      </c>
      <c r="CF8">
        <v>0</v>
      </c>
      <c r="CG8">
        <v>1</v>
      </c>
      <c r="CH8">
        <v>0</v>
      </c>
      <c r="CI8">
        <v>1</v>
      </c>
      <c r="CJ8">
        <v>1</v>
      </c>
      <c r="CK8">
        <v>0</v>
      </c>
      <c r="CL8">
        <v>0</v>
      </c>
      <c r="CM8">
        <v>0</v>
      </c>
      <c r="CN8" s="17">
        <v>1</v>
      </c>
      <c r="CT8" t="s">
        <v>48</v>
      </c>
    </row>
    <row r="9" spans="1:98" x14ac:dyDescent="0.25">
      <c r="A9">
        <v>8</v>
      </c>
      <c r="B9">
        <v>1</v>
      </c>
      <c r="C9" t="s">
        <v>267</v>
      </c>
      <c r="D9" s="10">
        <v>10.6</v>
      </c>
      <c r="E9" s="6">
        <v>2.2000000000000002</v>
      </c>
      <c r="F9" s="6">
        <f t="shared" si="4"/>
        <v>4.8181818181818175</v>
      </c>
      <c r="I9" s="76">
        <f t="shared" si="0"/>
        <v>0.18487559718104329</v>
      </c>
      <c r="J9" s="70">
        <f t="shared" si="1"/>
        <v>3.837040696210333E-2</v>
      </c>
      <c r="K9" s="70">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3">
        <v>1992</v>
      </c>
      <c r="AI9" t="s">
        <v>61</v>
      </c>
      <c r="AJ9" t="s">
        <v>61</v>
      </c>
      <c r="AK9" t="s">
        <v>61</v>
      </c>
      <c r="AL9" t="s">
        <v>61</v>
      </c>
      <c r="AM9" s="29" t="s">
        <v>61</v>
      </c>
      <c r="AN9" s="12" t="s">
        <v>61</v>
      </c>
      <c r="AO9" s="29">
        <v>0.41</v>
      </c>
      <c r="AP9">
        <v>0.59</v>
      </c>
      <c r="AQ9" s="29">
        <v>0.92</v>
      </c>
      <c r="AR9" s="70">
        <f t="shared" si="5"/>
        <v>7.999999999999996E-2</v>
      </c>
      <c r="AU9" s="29">
        <v>0.64</v>
      </c>
      <c r="AV9" s="12">
        <f t="shared" si="6"/>
        <v>0.36</v>
      </c>
      <c r="AW9" s="12">
        <v>1</v>
      </c>
      <c r="AX9" s="12">
        <v>0</v>
      </c>
      <c r="AY9" s="12">
        <v>0</v>
      </c>
      <c r="AZ9" s="65" t="s">
        <v>95</v>
      </c>
      <c r="BN9" s="67">
        <v>38.07</v>
      </c>
      <c r="BO9">
        <v>0</v>
      </c>
      <c r="BP9">
        <v>0</v>
      </c>
      <c r="BQ9">
        <v>0</v>
      </c>
      <c r="BR9">
        <v>1</v>
      </c>
      <c r="BS9">
        <v>0</v>
      </c>
      <c r="BT9">
        <v>0</v>
      </c>
      <c r="BU9" s="29">
        <v>1</v>
      </c>
      <c r="BV9">
        <v>0</v>
      </c>
      <c r="BW9">
        <v>0</v>
      </c>
      <c r="BX9" s="12">
        <v>0</v>
      </c>
      <c r="BY9">
        <v>0</v>
      </c>
      <c r="BZ9" s="29">
        <v>0</v>
      </c>
      <c r="CA9">
        <v>0</v>
      </c>
      <c r="CB9" s="12">
        <v>0</v>
      </c>
      <c r="CC9" s="29">
        <v>1</v>
      </c>
      <c r="CD9">
        <v>1</v>
      </c>
      <c r="CE9">
        <v>0</v>
      </c>
      <c r="CF9">
        <v>0</v>
      </c>
      <c r="CG9">
        <v>1</v>
      </c>
      <c r="CH9">
        <v>0</v>
      </c>
      <c r="CI9">
        <v>1</v>
      </c>
      <c r="CJ9">
        <v>1</v>
      </c>
      <c r="CK9">
        <v>0</v>
      </c>
      <c r="CL9">
        <v>0</v>
      </c>
      <c r="CM9">
        <v>0</v>
      </c>
      <c r="CN9" s="17">
        <v>1</v>
      </c>
      <c r="CT9" t="s">
        <v>48</v>
      </c>
    </row>
    <row r="10" spans="1:98" x14ac:dyDescent="0.25">
      <c r="A10">
        <v>9</v>
      </c>
      <c r="B10">
        <v>1</v>
      </c>
      <c r="C10" t="s">
        <v>267</v>
      </c>
      <c r="D10" s="10">
        <v>7.8</v>
      </c>
      <c r="E10" s="6">
        <v>1.8</v>
      </c>
      <c r="F10" s="6">
        <f t="shared" si="4"/>
        <v>4.333333333333333</v>
      </c>
      <c r="I10" s="76">
        <f t="shared" si="0"/>
        <v>0.23270004537651326</v>
      </c>
      <c r="J10" s="70">
        <f t="shared" si="1"/>
        <v>5.3700010471503065E-2</v>
      </c>
      <c r="K10" s="70">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3">
        <v>1992</v>
      </c>
      <c r="AI10" t="s">
        <v>61</v>
      </c>
      <c r="AJ10" t="s">
        <v>61</v>
      </c>
      <c r="AK10" t="s">
        <v>61</v>
      </c>
      <c r="AL10" t="s">
        <v>61</v>
      </c>
      <c r="AM10" s="29" t="s">
        <v>61</v>
      </c>
      <c r="AN10" s="12" t="s">
        <v>61</v>
      </c>
      <c r="AO10" s="29">
        <v>0.41</v>
      </c>
      <c r="AP10">
        <v>0.59</v>
      </c>
      <c r="AQ10" s="29">
        <v>0.92</v>
      </c>
      <c r="AR10" s="70">
        <f t="shared" si="5"/>
        <v>7.999999999999996E-2</v>
      </c>
      <c r="AU10" s="29">
        <v>0.64</v>
      </c>
      <c r="AV10" s="12">
        <f t="shared" si="6"/>
        <v>0.36</v>
      </c>
      <c r="AW10" s="12">
        <v>1</v>
      </c>
      <c r="AX10" s="12">
        <v>0</v>
      </c>
      <c r="AY10" s="12">
        <v>0</v>
      </c>
      <c r="AZ10" s="65" t="s">
        <v>95</v>
      </c>
      <c r="BN10" s="67">
        <v>38.07</v>
      </c>
      <c r="BO10">
        <v>0</v>
      </c>
      <c r="BP10">
        <v>0</v>
      </c>
      <c r="BQ10">
        <v>0</v>
      </c>
      <c r="BR10">
        <v>0</v>
      </c>
      <c r="BS10">
        <v>1</v>
      </c>
      <c r="BT10">
        <v>0</v>
      </c>
      <c r="BU10" s="29">
        <v>1</v>
      </c>
      <c r="BV10">
        <v>0</v>
      </c>
      <c r="BW10">
        <v>0</v>
      </c>
      <c r="BX10" s="12">
        <v>0</v>
      </c>
      <c r="BY10">
        <v>0</v>
      </c>
      <c r="BZ10" s="29">
        <v>0</v>
      </c>
      <c r="CA10">
        <v>0</v>
      </c>
      <c r="CB10" s="12">
        <v>0</v>
      </c>
      <c r="CC10" s="29">
        <v>0</v>
      </c>
      <c r="CD10">
        <v>0</v>
      </c>
      <c r="CE10">
        <v>0</v>
      </c>
      <c r="CF10">
        <v>0</v>
      </c>
      <c r="CG10">
        <v>0</v>
      </c>
      <c r="CH10">
        <v>0</v>
      </c>
      <c r="CI10">
        <v>0</v>
      </c>
      <c r="CJ10">
        <v>1</v>
      </c>
      <c r="CK10">
        <v>0</v>
      </c>
      <c r="CL10">
        <v>0</v>
      </c>
      <c r="CM10">
        <v>0</v>
      </c>
      <c r="CN10" s="17">
        <v>1</v>
      </c>
      <c r="CT10" t="s">
        <v>48</v>
      </c>
    </row>
    <row r="11" spans="1:98" x14ac:dyDescent="0.25">
      <c r="A11">
        <v>10</v>
      </c>
      <c r="B11">
        <v>1</v>
      </c>
      <c r="C11" t="s">
        <v>267</v>
      </c>
      <c r="D11" s="10">
        <v>10</v>
      </c>
      <c r="E11" s="6">
        <v>2.2999999999999998</v>
      </c>
      <c r="F11" s="6">
        <f t="shared" si="4"/>
        <v>4.3478260869565224</v>
      </c>
      <c r="I11" s="76">
        <f t="shared" si="0"/>
        <v>0.23343596396905494</v>
      </c>
      <c r="J11" s="70">
        <f t="shared" si="1"/>
        <v>5.3690271712882633E-2</v>
      </c>
      <c r="K11" s="70">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3">
        <v>1992</v>
      </c>
      <c r="AI11" t="s">
        <v>61</v>
      </c>
      <c r="AJ11" t="s">
        <v>61</v>
      </c>
      <c r="AK11" t="s">
        <v>61</v>
      </c>
      <c r="AL11" t="s">
        <v>61</v>
      </c>
      <c r="AM11" s="29" t="s">
        <v>61</v>
      </c>
      <c r="AN11" s="12" t="s">
        <v>61</v>
      </c>
      <c r="AO11" s="29">
        <v>0.41</v>
      </c>
      <c r="AP11">
        <v>0.59</v>
      </c>
      <c r="AQ11" s="29">
        <v>0.92</v>
      </c>
      <c r="AR11" s="70">
        <f t="shared" si="5"/>
        <v>7.999999999999996E-2</v>
      </c>
      <c r="AU11" s="29">
        <v>0.64</v>
      </c>
      <c r="AV11" s="12">
        <f t="shared" si="6"/>
        <v>0.36</v>
      </c>
      <c r="AW11" s="12">
        <v>1</v>
      </c>
      <c r="AX11" s="12">
        <v>0</v>
      </c>
      <c r="AY11" s="12">
        <v>0</v>
      </c>
      <c r="AZ11" s="65" t="s">
        <v>95</v>
      </c>
      <c r="BN11" s="67">
        <v>38.07</v>
      </c>
      <c r="BO11">
        <v>0</v>
      </c>
      <c r="BP11">
        <v>0</v>
      </c>
      <c r="BQ11">
        <v>0</v>
      </c>
      <c r="BR11">
        <v>0</v>
      </c>
      <c r="BS11">
        <v>0</v>
      </c>
      <c r="BT11">
        <v>1</v>
      </c>
      <c r="BU11" s="29">
        <v>1</v>
      </c>
      <c r="BV11">
        <v>0</v>
      </c>
      <c r="BW11">
        <v>0</v>
      </c>
      <c r="BX11" s="12">
        <v>0</v>
      </c>
      <c r="BY11">
        <v>0</v>
      </c>
      <c r="BZ11" s="29">
        <v>1</v>
      </c>
      <c r="CA11">
        <v>0</v>
      </c>
      <c r="CB11" s="12">
        <v>0</v>
      </c>
      <c r="CC11" s="29">
        <v>0</v>
      </c>
      <c r="CD11">
        <v>0</v>
      </c>
      <c r="CE11">
        <v>0</v>
      </c>
      <c r="CF11">
        <v>0</v>
      </c>
      <c r="CG11">
        <v>0</v>
      </c>
      <c r="CH11">
        <v>0</v>
      </c>
      <c r="CI11">
        <v>0</v>
      </c>
      <c r="CJ11">
        <v>1</v>
      </c>
      <c r="CK11">
        <v>0</v>
      </c>
      <c r="CL11">
        <v>0</v>
      </c>
      <c r="CM11">
        <v>0</v>
      </c>
      <c r="CN11" s="17">
        <v>1</v>
      </c>
      <c r="CT11" t="s">
        <v>48</v>
      </c>
    </row>
    <row r="12" spans="1:98" x14ac:dyDescent="0.25">
      <c r="A12">
        <v>11</v>
      </c>
      <c r="B12">
        <v>1</v>
      </c>
      <c r="C12" t="s">
        <v>267</v>
      </c>
      <c r="D12" s="10">
        <v>6.6</v>
      </c>
      <c r="E12" s="6">
        <v>1.8</v>
      </c>
      <c r="F12" s="6">
        <f t="shared" si="4"/>
        <v>3.6666666666666665</v>
      </c>
      <c r="L12" s="7">
        <v>1</v>
      </c>
      <c r="M12" s="8">
        <v>0</v>
      </c>
      <c r="N12" s="8">
        <v>0</v>
      </c>
      <c r="O12" s="8">
        <v>0</v>
      </c>
      <c r="P12" s="8">
        <v>0</v>
      </c>
      <c r="Q12" s="7">
        <v>395</v>
      </c>
      <c r="R12" s="8">
        <v>5</v>
      </c>
      <c r="S12" s="8">
        <f t="shared" ref="S12:S176" si="7">Q12-R12-1</f>
        <v>389</v>
      </c>
      <c r="U12" s="6">
        <v>14.03</v>
      </c>
      <c r="V12" s="6">
        <v>8.34</v>
      </c>
      <c r="W12" s="7">
        <v>1</v>
      </c>
      <c r="X12" s="8">
        <v>0</v>
      </c>
      <c r="Y12" s="7">
        <v>1</v>
      </c>
      <c r="Z12" s="8">
        <v>0</v>
      </c>
      <c r="AA12" s="8">
        <v>0</v>
      </c>
      <c r="AB12" s="22">
        <v>0</v>
      </c>
      <c r="AC12" s="7">
        <v>0</v>
      </c>
      <c r="AD12" s="8">
        <v>1</v>
      </c>
      <c r="AE12" s="22">
        <v>0</v>
      </c>
      <c r="AF12" s="7">
        <v>0</v>
      </c>
      <c r="AG12" s="22">
        <v>1</v>
      </c>
      <c r="AH12" s="63">
        <v>1992</v>
      </c>
      <c r="AI12" t="s">
        <v>61</v>
      </c>
      <c r="AJ12" t="s">
        <v>61</v>
      </c>
      <c r="AK12" t="s">
        <v>61</v>
      </c>
      <c r="AL12" t="s">
        <v>61</v>
      </c>
      <c r="AM12" s="29" t="s">
        <v>61</v>
      </c>
      <c r="AN12" s="12" t="s">
        <v>61</v>
      </c>
      <c r="AO12" s="29">
        <v>0.41</v>
      </c>
      <c r="AP12">
        <v>0.59</v>
      </c>
      <c r="AQ12" s="29">
        <v>0.92</v>
      </c>
      <c r="AR12" s="70">
        <f t="shared" si="5"/>
        <v>7.999999999999996E-2</v>
      </c>
      <c r="AU12" s="29">
        <v>0.64</v>
      </c>
      <c r="AV12" s="12">
        <f t="shared" si="6"/>
        <v>0.36</v>
      </c>
      <c r="AW12" s="12">
        <v>1</v>
      </c>
      <c r="AX12" s="12">
        <v>0</v>
      </c>
      <c r="AY12" s="12">
        <v>0</v>
      </c>
      <c r="AZ12" s="65" t="s">
        <v>95</v>
      </c>
      <c r="BN12" s="67">
        <v>38.07</v>
      </c>
      <c r="BO12">
        <v>1</v>
      </c>
      <c r="BP12">
        <v>0</v>
      </c>
      <c r="BQ12">
        <v>0</v>
      </c>
      <c r="BR12">
        <v>0</v>
      </c>
      <c r="BS12">
        <v>0</v>
      </c>
      <c r="BT12">
        <v>0</v>
      </c>
      <c r="BY12">
        <v>0</v>
      </c>
      <c r="BZ12" s="29">
        <v>0</v>
      </c>
      <c r="CA12">
        <v>0</v>
      </c>
      <c r="CB12" s="12">
        <v>0</v>
      </c>
      <c r="CC12" s="29">
        <v>1</v>
      </c>
      <c r="CD12">
        <v>1</v>
      </c>
      <c r="CE12">
        <v>0</v>
      </c>
      <c r="CF12">
        <v>0</v>
      </c>
      <c r="CG12">
        <v>1</v>
      </c>
      <c r="CH12">
        <v>0</v>
      </c>
      <c r="CI12">
        <v>1</v>
      </c>
      <c r="CJ12">
        <v>0</v>
      </c>
      <c r="CK12">
        <v>0</v>
      </c>
      <c r="CL12">
        <v>0</v>
      </c>
      <c r="CM12">
        <v>0</v>
      </c>
      <c r="CN12" s="17">
        <v>0</v>
      </c>
      <c r="CT12" t="s">
        <v>48</v>
      </c>
    </row>
    <row r="13" spans="1:98" x14ac:dyDescent="0.25">
      <c r="A13">
        <v>12</v>
      </c>
      <c r="B13">
        <v>1</v>
      </c>
      <c r="C13" t="s">
        <v>267</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3">
        <v>1992</v>
      </c>
      <c r="AI13" t="s">
        <v>61</v>
      </c>
      <c r="AJ13" t="s">
        <v>61</v>
      </c>
      <c r="AK13" t="s">
        <v>61</v>
      </c>
      <c r="AL13" t="s">
        <v>61</v>
      </c>
      <c r="AM13" s="29" t="s">
        <v>61</v>
      </c>
      <c r="AN13" s="12" t="s">
        <v>61</v>
      </c>
      <c r="AO13" s="29">
        <v>0.41</v>
      </c>
      <c r="AP13">
        <v>0.59</v>
      </c>
      <c r="AQ13" s="29">
        <v>0.92</v>
      </c>
      <c r="AR13" s="70">
        <f t="shared" si="5"/>
        <v>7.999999999999996E-2</v>
      </c>
      <c r="AU13" s="29">
        <v>0.64</v>
      </c>
      <c r="AV13" s="12">
        <f t="shared" si="6"/>
        <v>0.36</v>
      </c>
      <c r="AW13" s="12">
        <v>1</v>
      </c>
      <c r="AX13" s="12">
        <v>0</v>
      </c>
      <c r="AY13" s="12">
        <v>0</v>
      </c>
      <c r="AZ13" s="65" t="s">
        <v>95</v>
      </c>
      <c r="BN13" s="67">
        <v>38.07</v>
      </c>
      <c r="BO13">
        <v>1</v>
      </c>
      <c r="BP13">
        <v>0</v>
      </c>
      <c r="BQ13">
        <v>0</v>
      </c>
      <c r="BR13">
        <v>0</v>
      </c>
      <c r="BS13">
        <v>0</v>
      </c>
      <c r="BT13">
        <v>0</v>
      </c>
      <c r="BY13">
        <v>0</v>
      </c>
      <c r="BZ13" s="29">
        <v>0</v>
      </c>
      <c r="CA13">
        <v>0</v>
      </c>
      <c r="CB13" s="12">
        <v>0</v>
      </c>
      <c r="CC13" s="29">
        <v>1</v>
      </c>
      <c r="CD13">
        <v>1</v>
      </c>
      <c r="CE13">
        <v>0</v>
      </c>
      <c r="CF13">
        <v>0</v>
      </c>
      <c r="CG13">
        <v>1</v>
      </c>
      <c r="CH13">
        <v>0</v>
      </c>
      <c r="CI13">
        <v>1</v>
      </c>
      <c r="CJ13">
        <v>0</v>
      </c>
      <c r="CK13">
        <v>0</v>
      </c>
      <c r="CL13">
        <v>0</v>
      </c>
      <c r="CM13">
        <v>0</v>
      </c>
      <c r="CN13" s="17">
        <v>0</v>
      </c>
      <c r="CT13" t="s">
        <v>48</v>
      </c>
    </row>
    <row r="14" spans="1:98" x14ac:dyDescent="0.25">
      <c r="A14">
        <v>13</v>
      </c>
      <c r="B14">
        <v>1</v>
      </c>
      <c r="C14" t="s">
        <v>267</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3">
        <v>1992</v>
      </c>
      <c r="AI14" t="s">
        <v>61</v>
      </c>
      <c r="AJ14" t="s">
        <v>61</v>
      </c>
      <c r="AK14" t="s">
        <v>61</v>
      </c>
      <c r="AL14" t="s">
        <v>61</v>
      </c>
      <c r="AM14" s="29" t="s">
        <v>61</v>
      </c>
      <c r="AN14" s="12" t="s">
        <v>61</v>
      </c>
      <c r="AO14" s="29">
        <v>0.41</v>
      </c>
      <c r="AP14">
        <v>0.59</v>
      </c>
      <c r="AQ14" s="29">
        <v>0.92</v>
      </c>
      <c r="AR14" s="70">
        <f t="shared" si="5"/>
        <v>7.999999999999996E-2</v>
      </c>
      <c r="AU14" s="29">
        <v>0.64</v>
      </c>
      <c r="AV14" s="12">
        <f t="shared" si="6"/>
        <v>0.36</v>
      </c>
      <c r="AW14" s="12">
        <v>1</v>
      </c>
      <c r="AX14" s="12">
        <v>0</v>
      </c>
      <c r="AY14" s="12">
        <v>0</v>
      </c>
      <c r="AZ14" s="65" t="s">
        <v>95</v>
      </c>
      <c r="BN14" s="67">
        <v>38.07</v>
      </c>
      <c r="BO14">
        <v>1</v>
      </c>
      <c r="BP14">
        <v>0</v>
      </c>
      <c r="BQ14">
        <v>0</v>
      </c>
      <c r="BR14">
        <v>0</v>
      </c>
      <c r="BS14">
        <v>0</v>
      </c>
      <c r="BT14">
        <v>0</v>
      </c>
      <c r="BY14">
        <v>0</v>
      </c>
      <c r="BZ14" s="29">
        <v>0</v>
      </c>
      <c r="CA14">
        <v>0</v>
      </c>
      <c r="CB14" s="12">
        <v>0</v>
      </c>
      <c r="CC14" s="29">
        <v>1</v>
      </c>
      <c r="CD14">
        <v>1</v>
      </c>
      <c r="CE14">
        <v>0</v>
      </c>
      <c r="CF14">
        <v>0</v>
      </c>
      <c r="CG14">
        <v>1</v>
      </c>
      <c r="CH14">
        <v>0</v>
      </c>
      <c r="CI14">
        <v>1</v>
      </c>
      <c r="CJ14">
        <v>0</v>
      </c>
      <c r="CK14">
        <v>0</v>
      </c>
      <c r="CL14">
        <v>0</v>
      </c>
      <c r="CM14">
        <v>0</v>
      </c>
      <c r="CN14" s="17">
        <v>0</v>
      </c>
      <c r="CT14" t="s">
        <v>48</v>
      </c>
    </row>
    <row r="15" spans="1:98" x14ac:dyDescent="0.25">
      <c r="A15">
        <v>14</v>
      </c>
      <c r="B15">
        <v>1</v>
      </c>
      <c r="C15" t="s">
        <v>267</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3">
        <v>1992</v>
      </c>
      <c r="AI15" t="s">
        <v>61</v>
      </c>
      <c r="AJ15" t="s">
        <v>61</v>
      </c>
      <c r="AK15" t="s">
        <v>61</v>
      </c>
      <c r="AL15" t="s">
        <v>61</v>
      </c>
      <c r="AM15" s="29" t="s">
        <v>61</v>
      </c>
      <c r="AN15" s="12" t="s">
        <v>61</v>
      </c>
      <c r="AO15" s="29">
        <v>0.41</v>
      </c>
      <c r="AP15">
        <v>0.59</v>
      </c>
      <c r="AQ15" s="29">
        <v>0.92</v>
      </c>
      <c r="AR15" s="70">
        <f t="shared" si="5"/>
        <v>7.999999999999996E-2</v>
      </c>
      <c r="AU15" s="29">
        <v>0.64</v>
      </c>
      <c r="AV15" s="12">
        <f t="shared" si="6"/>
        <v>0.36</v>
      </c>
      <c r="AW15" s="12">
        <v>1</v>
      </c>
      <c r="AX15" s="12">
        <v>0</v>
      </c>
      <c r="AY15" s="12">
        <v>0</v>
      </c>
      <c r="AZ15" s="65" t="s">
        <v>95</v>
      </c>
      <c r="BN15" s="67">
        <v>38.07</v>
      </c>
      <c r="BO15">
        <v>1</v>
      </c>
      <c r="BP15">
        <v>0</v>
      </c>
      <c r="BQ15">
        <v>0</v>
      </c>
      <c r="BR15">
        <v>0</v>
      </c>
      <c r="BS15">
        <v>0</v>
      </c>
      <c r="BT15">
        <v>0</v>
      </c>
      <c r="BY15">
        <v>0</v>
      </c>
      <c r="BZ15" s="29">
        <v>0</v>
      </c>
      <c r="CA15">
        <v>0</v>
      </c>
      <c r="CB15" s="12">
        <v>0</v>
      </c>
      <c r="CC15" s="29">
        <v>1</v>
      </c>
      <c r="CD15">
        <v>1</v>
      </c>
      <c r="CE15">
        <v>0</v>
      </c>
      <c r="CF15">
        <v>0</v>
      </c>
      <c r="CG15">
        <v>1</v>
      </c>
      <c r="CH15">
        <v>0</v>
      </c>
      <c r="CI15">
        <v>1</v>
      </c>
      <c r="CJ15">
        <v>0</v>
      </c>
      <c r="CK15">
        <v>0</v>
      </c>
      <c r="CL15">
        <v>0</v>
      </c>
      <c r="CM15">
        <v>0</v>
      </c>
      <c r="CN15" s="17">
        <v>0</v>
      </c>
      <c r="CT15" t="s">
        <v>48</v>
      </c>
    </row>
    <row r="16" spans="1:98" x14ac:dyDescent="0.25">
      <c r="A16">
        <v>15</v>
      </c>
      <c r="B16">
        <v>1</v>
      </c>
      <c r="C16" t="s">
        <v>267</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3">
        <v>1992</v>
      </c>
      <c r="AI16" t="s">
        <v>61</v>
      </c>
      <c r="AJ16" t="s">
        <v>61</v>
      </c>
      <c r="AK16" t="s">
        <v>61</v>
      </c>
      <c r="AL16" t="s">
        <v>61</v>
      </c>
      <c r="AM16" s="29" t="s">
        <v>61</v>
      </c>
      <c r="AN16" s="12" t="s">
        <v>61</v>
      </c>
      <c r="AO16" s="29">
        <v>0.41</v>
      </c>
      <c r="AP16">
        <v>0.59</v>
      </c>
      <c r="AQ16" s="29">
        <v>0.92</v>
      </c>
      <c r="AR16" s="70">
        <f t="shared" si="5"/>
        <v>7.999999999999996E-2</v>
      </c>
      <c r="AU16" s="29">
        <v>0.64</v>
      </c>
      <c r="AV16" s="12">
        <f t="shared" si="6"/>
        <v>0.36</v>
      </c>
      <c r="AW16" s="12">
        <v>1</v>
      </c>
      <c r="AX16" s="12">
        <v>0</v>
      </c>
      <c r="AY16" s="12">
        <v>0</v>
      </c>
      <c r="AZ16" s="65" t="s">
        <v>95</v>
      </c>
      <c r="BN16" s="67">
        <v>38.07</v>
      </c>
      <c r="BO16">
        <v>1</v>
      </c>
      <c r="BP16">
        <v>0</v>
      </c>
      <c r="BQ16">
        <v>0</v>
      </c>
      <c r="BR16">
        <v>0</v>
      </c>
      <c r="BS16">
        <v>0</v>
      </c>
      <c r="BT16">
        <v>0</v>
      </c>
      <c r="BY16">
        <v>0</v>
      </c>
      <c r="BZ16" s="29">
        <v>0</v>
      </c>
      <c r="CA16">
        <v>0</v>
      </c>
      <c r="CB16" s="12">
        <v>0</v>
      </c>
      <c r="CC16" s="29">
        <v>1</v>
      </c>
      <c r="CD16">
        <v>1</v>
      </c>
      <c r="CE16">
        <v>0</v>
      </c>
      <c r="CF16">
        <v>0</v>
      </c>
      <c r="CG16">
        <v>1</v>
      </c>
      <c r="CH16">
        <v>0</v>
      </c>
      <c r="CI16">
        <v>1</v>
      </c>
      <c r="CJ16">
        <v>0</v>
      </c>
      <c r="CK16">
        <v>0</v>
      </c>
      <c r="CL16">
        <v>0</v>
      </c>
      <c r="CM16">
        <v>0</v>
      </c>
      <c r="CN16" s="17">
        <v>0</v>
      </c>
      <c r="CT16" t="s">
        <v>48</v>
      </c>
    </row>
    <row r="17" spans="1:98" x14ac:dyDescent="0.25">
      <c r="A17">
        <v>16</v>
      </c>
      <c r="B17">
        <v>1</v>
      </c>
      <c r="C17" t="s">
        <v>267</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3">
        <v>1992</v>
      </c>
      <c r="AI17" t="s">
        <v>61</v>
      </c>
      <c r="AJ17" t="s">
        <v>61</v>
      </c>
      <c r="AK17" t="s">
        <v>61</v>
      </c>
      <c r="AL17" t="s">
        <v>61</v>
      </c>
      <c r="AM17" s="29" t="s">
        <v>61</v>
      </c>
      <c r="AN17" s="12" t="s">
        <v>61</v>
      </c>
      <c r="AO17" s="29">
        <v>0.41</v>
      </c>
      <c r="AP17">
        <v>0.59</v>
      </c>
      <c r="AQ17" s="29">
        <v>0.92</v>
      </c>
      <c r="AR17" s="70">
        <f t="shared" si="5"/>
        <v>7.999999999999996E-2</v>
      </c>
      <c r="AU17" s="29">
        <v>0.64</v>
      </c>
      <c r="AV17" s="12">
        <f t="shared" si="6"/>
        <v>0.36</v>
      </c>
      <c r="AW17" s="12">
        <v>1</v>
      </c>
      <c r="AX17" s="12">
        <v>0</v>
      </c>
      <c r="AY17" s="12">
        <v>0</v>
      </c>
      <c r="AZ17" s="65" t="s">
        <v>95</v>
      </c>
      <c r="BN17" s="67">
        <v>38.07</v>
      </c>
      <c r="BO17">
        <v>1</v>
      </c>
      <c r="BP17">
        <v>0</v>
      </c>
      <c r="BQ17">
        <v>0</v>
      </c>
      <c r="BR17">
        <v>0</v>
      </c>
      <c r="BS17">
        <v>0</v>
      </c>
      <c r="BT17">
        <v>0</v>
      </c>
      <c r="BY17">
        <v>0</v>
      </c>
      <c r="BZ17" s="29">
        <v>0</v>
      </c>
      <c r="CA17">
        <v>0</v>
      </c>
      <c r="CB17" s="12">
        <v>0</v>
      </c>
      <c r="CC17" s="29">
        <v>1</v>
      </c>
      <c r="CD17">
        <v>1</v>
      </c>
      <c r="CE17">
        <v>0</v>
      </c>
      <c r="CF17">
        <v>0</v>
      </c>
      <c r="CG17">
        <v>1</v>
      </c>
      <c r="CH17">
        <v>0</v>
      </c>
      <c r="CI17">
        <v>1</v>
      </c>
      <c r="CJ17">
        <v>0</v>
      </c>
      <c r="CK17">
        <v>0</v>
      </c>
      <c r="CL17">
        <v>0</v>
      </c>
      <c r="CM17">
        <v>0</v>
      </c>
      <c r="CN17" s="17">
        <v>0</v>
      </c>
      <c r="CT17" t="s">
        <v>48</v>
      </c>
    </row>
    <row r="18" spans="1:98" x14ac:dyDescent="0.25">
      <c r="A18">
        <v>17</v>
      </c>
      <c r="B18">
        <v>1</v>
      </c>
      <c r="C18" t="s">
        <v>267</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3">
        <v>1992</v>
      </c>
      <c r="AI18" t="s">
        <v>61</v>
      </c>
      <c r="AJ18" t="s">
        <v>61</v>
      </c>
      <c r="AK18" t="s">
        <v>61</v>
      </c>
      <c r="AL18" t="s">
        <v>61</v>
      </c>
      <c r="AM18" s="29" t="s">
        <v>61</v>
      </c>
      <c r="AN18" s="12" t="s">
        <v>61</v>
      </c>
      <c r="AO18" s="29">
        <v>0.41</v>
      </c>
      <c r="AP18">
        <v>0.59</v>
      </c>
      <c r="AQ18" s="29">
        <v>0.92</v>
      </c>
      <c r="AR18" s="70">
        <f t="shared" si="5"/>
        <v>7.999999999999996E-2</v>
      </c>
      <c r="AU18" s="29">
        <v>0.64</v>
      </c>
      <c r="AV18" s="12">
        <f t="shared" si="6"/>
        <v>0.36</v>
      </c>
      <c r="AW18" s="12">
        <v>1</v>
      </c>
      <c r="AX18" s="12">
        <v>0</v>
      </c>
      <c r="AY18" s="12">
        <v>0</v>
      </c>
      <c r="AZ18" s="65" t="s">
        <v>95</v>
      </c>
      <c r="BN18" s="67">
        <v>38.07</v>
      </c>
      <c r="BO18">
        <v>0</v>
      </c>
      <c r="BP18">
        <v>0</v>
      </c>
      <c r="BQ18">
        <v>0</v>
      </c>
      <c r="BR18">
        <v>0</v>
      </c>
      <c r="BS18">
        <v>0</v>
      </c>
      <c r="BT18">
        <v>1</v>
      </c>
      <c r="BY18">
        <v>0</v>
      </c>
      <c r="BZ18" s="29">
        <v>1</v>
      </c>
      <c r="CA18">
        <v>0</v>
      </c>
      <c r="CB18" s="12">
        <v>0</v>
      </c>
      <c r="CC18" s="29">
        <v>0</v>
      </c>
      <c r="CD18">
        <v>0</v>
      </c>
      <c r="CE18">
        <v>0</v>
      </c>
      <c r="CF18">
        <v>0</v>
      </c>
      <c r="CG18">
        <v>0</v>
      </c>
      <c r="CH18">
        <v>0</v>
      </c>
      <c r="CI18">
        <v>0</v>
      </c>
      <c r="CJ18">
        <v>1</v>
      </c>
      <c r="CK18">
        <v>0</v>
      </c>
      <c r="CL18">
        <v>0</v>
      </c>
      <c r="CM18">
        <v>0</v>
      </c>
      <c r="CN18" s="17">
        <v>1</v>
      </c>
      <c r="CT18" t="s">
        <v>48</v>
      </c>
    </row>
    <row r="19" spans="1:98" x14ac:dyDescent="0.25">
      <c r="A19">
        <v>18</v>
      </c>
      <c r="B19">
        <v>1</v>
      </c>
      <c r="C19" t="s">
        <v>267</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3">
        <v>1992</v>
      </c>
      <c r="AI19" t="s">
        <v>61</v>
      </c>
      <c r="AJ19" t="s">
        <v>61</v>
      </c>
      <c r="AK19" t="s">
        <v>61</v>
      </c>
      <c r="AL19" t="s">
        <v>61</v>
      </c>
      <c r="AM19" s="29" t="s">
        <v>61</v>
      </c>
      <c r="AN19" s="12" t="s">
        <v>61</v>
      </c>
      <c r="AO19" s="29">
        <v>0.41</v>
      </c>
      <c r="AP19">
        <v>0.59</v>
      </c>
      <c r="AQ19" s="29">
        <v>0.92</v>
      </c>
      <c r="AR19" s="70">
        <f t="shared" si="5"/>
        <v>7.999999999999996E-2</v>
      </c>
      <c r="AU19" s="29">
        <v>0.64</v>
      </c>
      <c r="AV19" s="12">
        <f t="shared" si="6"/>
        <v>0.36</v>
      </c>
      <c r="AW19" s="12">
        <v>1</v>
      </c>
      <c r="AX19" s="12">
        <v>0</v>
      </c>
      <c r="AY19" s="12">
        <v>0</v>
      </c>
      <c r="AZ19" s="65" t="s">
        <v>95</v>
      </c>
      <c r="BN19" s="67">
        <v>38.07</v>
      </c>
      <c r="BO19">
        <v>0</v>
      </c>
      <c r="BP19">
        <v>0</v>
      </c>
      <c r="BQ19">
        <v>0</v>
      </c>
      <c r="BR19">
        <v>0</v>
      </c>
      <c r="BS19">
        <v>0</v>
      </c>
      <c r="BT19">
        <v>1</v>
      </c>
      <c r="BY19">
        <v>0</v>
      </c>
      <c r="BZ19" s="29">
        <v>1</v>
      </c>
      <c r="CA19">
        <v>0</v>
      </c>
      <c r="CB19" s="12">
        <v>0</v>
      </c>
      <c r="CC19" s="29">
        <v>0</v>
      </c>
      <c r="CD19">
        <v>0</v>
      </c>
      <c r="CE19">
        <v>0</v>
      </c>
      <c r="CF19">
        <v>0</v>
      </c>
      <c r="CG19">
        <v>0</v>
      </c>
      <c r="CH19">
        <v>0</v>
      </c>
      <c r="CI19">
        <v>0</v>
      </c>
      <c r="CJ19">
        <v>1</v>
      </c>
      <c r="CK19">
        <v>0</v>
      </c>
      <c r="CL19">
        <v>0</v>
      </c>
      <c r="CM19">
        <v>0</v>
      </c>
      <c r="CN19" s="17">
        <v>1</v>
      </c>
      <c r="CT19" t="s">
        <v>48</v>
      </c>
    </row>
    <row r="20" spans="1:98" x14ac:dyDescent="0.25">
      <c r="A20">
        <v>19</v>
      </c>
      <c r="B20">
        <v>1</v>
      </c>
      <c r="C20" t="s">
        <v>267</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3">
        <v>1992</v>
      </c>
      <c r="AI20" t="s">
        <v>61</v>
      </c>
      <c r="AJ20" t="s">
        <v>61</v>
      </c>
      <c r="AK20" t="s">
        <v>61</v>
      </c>
      <c r="AL20" t="s">
        <v>61</v>
      </c>
      <c r="AM20" s="29" t="s">
        <v>61</v>
      </c>
      <c r="AN20" s="12" t="s">
        <v>61</v>
      </c>
      <c r="AO20" s="29">
        <v>0.41</v>
      </c>
      <c r="AP20">
        <v>0.59</v>
      </c>
      <c r="AQ20" s="29">
        <v>0.92</v>
      </c>
      <c r="AR20" s="70">
        <f t="shared" si="5"/>
        <v>7.999999999999996E-2</v>
      </c>
      <c r="AU20" s="29">
        <v>0.64</v>
      </c>
      <c r="AV20" s="12">
        <f t="shared" si="6"/>
        <v>0.36</v>
      </c>
      <c r="AW20" s="12">
        <v>1</v>
      </c>
      <c r="AX20" s="12">
        <v>0</v>
      </c>
      <c r="AY20" s="12">
        <v>0</v>
      </c>
      <c r="AZ20" s="65" t="s">
        <v>95</v>
      </c>
      <c r="BN20" s="67">
        <v>38.07</v>
      </c>
      <c r="BO20">
        <v>0</v>
      </c>
      <c r="BP20">
        <v>0</v>
      </c>
      <c r="BQ20">
        <v>0</v>
      </c>
      <c r="BR20">
        <v>0</v>
      </c>
      <c r="BS20">
        <v>0</v>
      </c>
      <c r="BT20">
        <v>1</v>
      </c>
      <c r="BY20">
        <v>0</v>
      </c>
      <c r="BZ20" s="29">
        <v>1</v>
      </c>
      <c r="CA20">
        <v>0</v>
      </c>
      <c r="CB20" s="12">
        <v>0</v>
      </c>
      <c r="CC20" s="29">
        <v>0</v>
      </c>
      <c r="CD20">
        <v>0</v>
      </c>
      <c r="CE20">
        <v>0</v>
      </c>
      <c r="CF20">
        <v>0</v>
      </c>
      <c r="CG20">
        <v>0</v>
      </c>
      <c r="CH20">
        <v>0</v>
      </c>
      <c r="CI20">
        <v>0</v>
      </c>
      <c r="CJ20">
        <v>1</v>
      </c>
      <c r="CK20">
        <v>0</v>
      </c>
      <c r="CL20">
        <v>0</v>
      </c>
      <c r="CM20">
        <v>0</v>
      </c>
      <c r="CN20" s="17">
        <v>1</v>
      </c>
      <c r="CT20" t="s">
        <v>48</v>
      </c>
    </row>
    <row r="21" spans="1:98" x14ac:dyDescent="0.25">
      <c r="A21">
        <v>20</v>
      </c>
      <c r="B21">
        <v>1</v>
      </c>
      <c r="C21" t="s">
        <v>267</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3">
        <v>1992</v>
      </c>
      <c r="AI21" t="s">
        <v>61</v>
      </c>
      <c r="AJ21" t="s">
        <v>61</v>
      </c>
      <c r="AK21" t="s">
        <v>61</v>
      </c>
      <c r="AL21" t="s">
        <v>61</v>
      </c>
      <c r="AM21" s="29" t="s">
        <v>61</v>
      </c>
      <c r="AN21" s="12" t="s">
        <v>61</v>
      </c>
      <c r="AO21" s="29">
        <v>0.41</v>
      </c>
      <c r="AP21">
        <v>0.59</v>
      </c>
      <c r="AQ21" s="29">
        <v>0.92</v>
      </c>
      <c r="AR21" s="70">
        <f t="shared" si="5"/>
        <v>7.999999999999996E-2</v>
      </c>
      <c r="AU21" s="29">
        <v>0.64</v>
      </c>
      <c r="AV21" s="12">
        <f t="shared" si="6"/>
        <v>0.36</v>
      </c>
      <c r="AW21" s="12">
        <v>1</v>
      </c>
      <c r="AX21" s="12">
        <v>0</v>
      </c>
      <c r="AY21" s="12">
        <v>0</v>
      </c>
      <c r="AZ21" s="65" t="s">
        <v>95</v>
      </c>
      <c r="BN21" s="67">
        <v>38.07</v>
      </c>
      <c r="BO21">
        <v>0</v>
      </c>
      <c r="BP21">
        <v>0</v>
      </c>
      <c r="BQ21">
        <v>0</v>
      </c>
      <c r="BR21">
        <v>0</v>
      </c>
      <c r="BS21">
        <v>0</v>
      </c>
      <c r="BT21">
        <v>1</v>
      </c>
      <c r="BY21">
        <v>0</v>
      </c>
      <c r="BZ21" s="29">
        <v>1</v>
      </c>
      <c r="CA21">
        <v>0</v>
      </c>
      <c r="CB21" s="12">
        <v>0</v>
      </c>
      <c r="CC21" s="29">
        <v>0</v>
      </c>
      <c r="CD21">
        <v>0</v>
      </c>
      <c r="CE21">
        <v>0</v>
      </c>
      <c r="CF21">
        <v>0</v>
      </c>
      <c r="CG21">
        <v>0</v>
      </c>
      <c r="CH21">
        <v>0</v>
      </c>
      <c r="CI21">
        <v>0</v>
      </c>
      <c r="CJ21">
        <v>1</v>
      </c>
      <c r="CK21">
        <v>0</v>
      </c>
      <c r="CL21">
        <v>0</v>
      </c>
      <c r="CM21">
        <v>0</v>
      </c>
      <c r="CN21" s="17">
        <v>1</v>
      </c>
      <c r="CT21" t="s">
        <v>48</v>
      </c>
    </row>
    <row r="22" spans="1:98" x14ac:dyDescent="0.25">
      <c r="A22">
        <v>21</v>
      </c>
      <c r="B22">
        <v>1</v>
      </c>
      <c r="C22" t="s">
        <v>267</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3">
        <v>1992</v>
      </c>
      <c r="AI22" t="s">
        <v>61</v>
      </c>
      <c r="AJ22" t="s">
        <v>61</v>
      </c>
      <c r="AK22" t="s">
        <v>61</v>
      </c>
      <c r="AL22" t="s">
        <v>61</v>
      </c>
      <c r="AM22" s="29" t="s">
        <v>61</v>
      </c>
      <c r="AN22" s="12" t="s">
        <v>61</v>
      </c>
      <c r="AO22" s="29">
        <v>0.41</v>
      </c>
      <c r="AP22">
        <v>0.59</v>
      </c>
      <c r="AQ22" s="29">
        <v>0.92</v>
      </c>
      <c r="AR22" s="70">
        <f t="shared" si="5"/>
        <v>7.999999999999996E-2</v>
      </c>
      <c r="AU22" s="29">
        <v>0.64</v>
      </c>
      <c r="AV22" s="12">
        <f t="shared" si="6"/>
        <v>0.36</v>
      </c>
      <c r="AW22" s="12">
        <v>1</v>
      </c>
      <c r="AX22" s="12">
        <v>0</v>
      </c>
      <c r="AY22" s="12">
        <v>0</v>
      </c>
      <c r="AZ22" s="65" t="s">
        <v>95</v>
      </c>
      <c r="BN22" s="67">
        <v>38.07</v>
      </c>
      <c r="BO22">
        <v>0</v>
      </c>
      <c r="BP22">
        <v>0</v>
      </c>
      <c r="BQ22">
        <v>0</v>
      </c>
      <c r="BR22">
        <v>0</v>
      </c>
      <c r="BS22">
        <v>0</v>
      </c>
      <c r="BT22">
        <v>1</v>
      </c>
      <c r="BY22">
        <v>0</v>
      </c>
      <c r="BZ22" s="29">
        <v>1</v>
      </c>
      <c r="CA22">
        <v>0</v>
      </c>
      <c r="CB22" s="12">
        <v>0</v>
      </c>
      <c r="CC22" s="29">
        <v>0</v>
      </c>
      <c r="CD22">
        <v>0</v>
      </c>
      <c r="CE22">
        <v>0</v>
      </c>
      <c r="CF22">
        <v>0</v>
      </c>
      <c r="CG22">
        <v>0</v>
      </c>
      <c r="CH22">
        <v>0</v>
      </c>
      <c r="CI22">
        <v>0</v>
      </c>
      <c r="CJ22">
        <v>1</v>
      </c>
      <c r="CK22">
        <v>0</v>
      </c>
      <c r="CL22">
        <v>0</v>
      </c>
      <c r="CM22">
        <v>0</v>
      </c>
      <c r="CN22" s="17">
        <v>1</v>
      </c>
      <c r="CT22" t="s">
        <v>48</v>
      </c>
    </row>
    <row r="23" spans="1:98" x14ac:dyDescent="0.25">
      <c r="A23">
        <v>22</v>
      </c>
      <c r="B23">
        <v>1</v>
      </c>
      <c r="C23" t="s">
        <v>267</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3">
        <v>1992</v>
      </c>
      <c r="AI23" t="s">
        <v>61</v>
      </c>
      <c r="AJ23" t="s">
        <v>61</v>
      </c>
      <c r="AK23" t="s">
        <v>61</v>
      </c>
      <c r="AL23" t="s">
        <v>61</v>
      </c>
      <c r="AM23" s="29" t="s">
        <v>61</v>
      </c>
      <c r="AN23" s="12" t="s">
        <v>61</v>
      </c>
      <c r="AO23" s="29">
        <v>0.41</v>
      </c>
      <c r="AP23">
        <v>0.59</v>
      </c>
      <c r="AQ23" s="29">
        <v>0.92</v>
      </c>
      <c r="AR23" s="70">
        <f t="shared" si="5"/>
        <v>7.999999999999996E-2</v>
      </c>
      <c r="AU23" s="29">
        <v>0.64</v>
      </c>
      <c r="AV23" s="12">
        <f t="shared" si="6"/>
        <v>0.36</v>
      </c>
      <c r="AW23" s="12">
        <v>1</v>
      </c>
      <c r="AX23" s="12">
        <v>0</v>
      </c>
      <c r="AY23" s="12">
        <v>0</v>
      </c>
      <c r="AZ23" s="65" t="s">
        <v>95</v>
      </c>
      <c r="BN23" s="67">
        <v>38.07</v>
      </c>
      <c r="BO23">
        <v>0</v>
      </c>
      <c r="BP23">
        <v>0</v>
      </c>
      <c r="BQ23">
        <v>0</v>
      </c>
      <c r="BR23">
        <v>0</v>
      </c>
      <c r="BS23">
        <v>0</v>
      </c>
      <c r="BT23">
        <v>1</v>
      </c>
      <c r="BY23">
        <v>0</v>
      </c>
      <c r="BZ23" s="29">
        <v>1</v>
      </c>
      <c r="CA23">
        <v>0</v>
      </c>
      <c r="CB23" s="12">
        <v>0</v>
      </c>
      <c r="CC23" s="29">
        <v>0</v>
      </c>
      <c r="CD23">
        <v>0</v>
      </c>
      <c r="CE23">
        <v>0</v>
      </c>
      <c r="CF23">
        <v>0</v>
      </c>
      <c r="CG23">
        <v>0</v>
      </c>
      <c r="CH23">
        <v>0</v>
      </c>
      <c r="CI23">
        <v>0</v>
      </c>
      <c r="CJ23">
        <v>1</v>
      </c>
      <c r="CK23">
        <v>0</v>
      </c>
      <c r="CL23">
        <v>0</v>
      </c>
      <c r="CM23">
        <v>0</v>
      </c>
      <c r="CN23" s="17">
        <v>1</v>
      </c>
      <c r="CT23" t="s">
        <v>48</v>
      </c>
    </row>
    <row r="24" spans="1:98" x14ac:dyDescent="0.25">
      <c r="A24">
        <v>23</v>
      </c>
      <c r="B24">
        <v>2</v>
      </c>
      <c r="C24" t="s">
        <v>273</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3">
        <v>1991</v>
      </c>
      <c r="AI24" t="s">
        <v>61</v>
      </c>
      <c r="AJ24" t="s">
        <v>61</v>
      </c>
      <c r="AK24" t="s">
        <v>61</v>
      </c>
      <c r="AL24" t="s">
        <v>61</v>
      </c>
      <c r="AM24" s="29">
        <v>0.85</v>
      </c>
      <c r="AN24">
        <v>0.15</v>
      </c>
      <c r="AO24" s="29">
        <v>0.46</v>
      </c>
      <c r="AP24">
        <v>0.54</v>
      </c>
      <c r="AQ24" s="29">
        <v>0.94</v>
      </c>
      <c r="AR24" s="70">
        <v>0.06</v>
      </c>
      <c r="AU24" s="29">
        <v>0.45</v>
      </c>
      <c r="AV24" s="12">
        <v>0.55000000000000004</v>
      </c>
      <c r="AW24" s="12">
        <v>1</v>
      </c>
      <c r="AX24" s="12">
        <v>0</v>
      </c>
      <c r="AY24" s="12">
        <v>0</v>
      </c>
      <c r="AZ24" s="65" t="s">
        <v>95</v>
      </c>
      <c r="BN24" s="67">
        <v>36.56</v>
      </c>
      <c r="BO24">
        <v>1</v>
      </c>
      <c r="BP24">
        <v>0</v>
      </c>
      <c r="BQ24">
        <v>0</v>
      </c>
      <c r="BR24">
        <v>0</v>
      </c>
      <c r="BS24">
        <v>0</v>
      </c>
      <c r="BT24">
        <v>0</v>
      </c>
      <c r="BY24">
        <v>0</v>
      </c>
      <c r="BZ24" s="29">
        <v>0</v>
      </c>
      <c r="CA24">
        <v>0</v>
      </c>
      <c r="CB24" s="12">
        <v>0</v>
      </c>
      <c r="CC24" s="29">
        <v>1</v>
      </c>
      <c r="CD24">
        <v>1</v>
      </c>
      <c r="CE24">
        <v>0</v>
      </c>
      <c r="CF24">
        <v>0</v>
      </c>
      <c r="CG24">
        <v>1</v>
      </c>
      <c r="CH24">
        <v>0</v>
      </c>
      <c r="CI24">
        <v>1</v>
      </c>
      <c r="CJ24">
        <v>0</v>
      </c>
      <c r="CK24">
        <v>0</v>
      </c>
      <c r="CL24">
        <v>0</v>
      </c>
      <c r="CM24">
        <v>0</v>
      </c>
      <c r="CN24" s="17">
        <v>0</v>
      </c>
      <c r="CT24" t="s">
        <v>48</v>
      </c>
    </row>
    <row r="25" spans="1:98" x14ac:dyDescent="0.25">
      <c r="A25">
        <v>24</v>
      </c>
      <c r="B25">
        <v>2</v>
      </c>
      <c r="C25" t="s">
        <v>273</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3">
        <v>1991</v>
      </c>
      <c r="AI25" t="s">
        <v>61</v>
      </c>
      <c r="AJ25" t="s">
        <v>61</v>
      </c>
      <c r="AK25" t="s">
        <v>61</v>
      </c>
      <c r="AL25" t="s">
        <v>61</v>
      </c>
      <c r="AM25" s="29">
        <v>0.85</v>
      </c>
      <c r="AN25">
        <v>0.15</v>
      </c>
      <c r="AO25" s="29">
        <v>0.46</v>
      </c>
      <c r="AP25">
        <v>0.54</v>
      </c>
      <c r="AQ25" s="29">
        <v>0.94</v>
      </c>
      <c r="AR25" s="70">
        <v>0.06</v>
      </c>
      <c r="AU25" s="29">
        <v>0.45</v>
      </c>
      <c r="AV25" s="12">
        <v>0.55000000000000004</v>
      </c>
      <c r="AW25" s="12">
        <v>1</v>
      </c>
      <c r="AX25" s="12">
        <v>0</v>
      </c>
      <c r="AY25" s="12">
        <v>0</v>
      </c>
      <c r="AZ25" s="65" t="s">
        <v>95</v>
      </c>
      <c r="BN25" s="67">
        <v>36.56</v>
      </c>
      <c r="BO25">
        <v>0</v>
      </c>
      <c r="BP25">
        <v>1</v>
      </c>
      <c r="BQ25">
        <v>0</v>
      </c>
      <c r="BR25">
        <v>0</v>
      </c>
      <c r="BS25">
        <v>0</v>
      </c>
      <c r="BT25">
        <v>0</v>
      </c>
      <c r="BY25">
        <v>0</v>
      </c>
      <c r="BZ25" s="29">
        <v>0</v>
      </c>
      <c r="CA25">
        <v>0</v>
      </c>
      <c r="CB25" s="12">
        <v>0</v>
      </c>
      <c r="CC25" s="29">
        <v>1</v>
      </c>
      <c r="CD25">
        <v>1</v>
      </c>
      <c r="CE25">
        <v>0</v>
      </c>
      <c r="CF25">
        <v>0</v>
      </c>
      <c r="CG25">
        <v>1</v>
      </c>
      <c r="CH25">
        <v>0</v>
      </c>
      <c r="CI25">
        <v>1</v>
      </c>
      <c r="CJ25">
        <v>0</v>
      </c>
      <c r="CK25">
        <v>0</v>
      </c>
      <c r="CL25">
        <v>0</v>
      </c>
      <c r="CM25">
        <v>0</v>
      </c>
      <c r="CN25" s="17">
        <v>0</v>
      </c>
      <c r="CT25" t="s">
        <v>48</v>
      </c>
    </row>
    <row r="26" spans="1:98" x14ac:dyDescent="0.25">
      <c r="A26">
        <v>25</v>
      </c>
      <c r="B26">
        <v>2</v>
      </c>
      <c r="C26" t="s">
        <v>273</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3">
        <v>1991</v>
      </c>
      <c r="AI26" t="s">
        <v>61</v>
      </c>
      <c r="AJ26" t="s">
        <v>61</v>
      </c>
      <c r="AK26" t="s">
        <v>61</v>
      </c>
      <c r="AL26" t="s">
        <v>61</v>
      </c>
      <c r="AM26" s="29">
        <v>0.85</v>
      </c>
      <c r="AN26">
        <v>0.15</v>
      </c>
      <c r="AO26" s="29">
        <v>0.46</v>
      </c>
      <c r="AP26">
        <v>0.54</v>
      </c>
      <c r="AQ26" s="29">
        <v>0.94</v>
      </c>
      <c r="AR26" s="70">
        <v>0.06</v>
      </c>
      <c r="AU26" s="29">
        <v>0.45</v>
      </c>
      <c r="AV26" s="12">
        <v>0.55000000000000004</v>
      </c>
      <c r="AW26" s="12">
        <v>1</v>
      </c>
      <c r="AX26" s="12">
        <v>0</v>
      </c>
      <c r="AY26" s="12">
        <v>0</v>
      </c>
      <c r="AZ26" s="65" t="s">
        <v>95</v>
      </c>
      <c r="BN26" s="67">
        <v>36.56</v>
      </c>
      <c r="BO26">
        <v>0</v>
      </c>
      <c r="BP26">
        <v>1</v>
      </c>
      <c r="BQ26">
        <v>0</v>
      </c>
      <c r="BR26">
        <v>0</v>
      </c>
      <c r="BS26">
        <v>0</v>
      </c>
      <c r="BT26">
        <v>0</v>
      </c>
      <c r="BY26">
        <v>0</v>
      </c>
      <c r="BZ26" s="29">
        <v>0</v>
      </c>
      <c r="CA26">
        <v>0</v>
      </c>
      <c r="CB26" s="12">
        <v>0</v>
      </c>
      <c r="CC26" s="29">
        <v>1</v>
      </c>
      <c r="CD26">
        <v>1</v>
      </c>
      <c r="CE26">
        <v>0</v>
      </c>
      <c r="CF26">
        <v>0</v>
      </c>
      <c r="CG26">
        <v>1</v>
      </c>
      <c r="CH26">
        <v>0</v>
      </c>
      <c r="CI26">
        <v>1</v>
      </c>
      <c r="CJ26">
        <v>0</v>
      </c>
      <c r="CK26">
        <v>0</v>
      </c>
      <c r="CL26">
        <v>0</v>
      </c>
      <c r="CM26">
        <v>0</v>
      </c>
      <c r="CN26" s="17">
        <v>0</v>
      </c>
      <c r="CT26" t="s">
        <v>48</v>
      </c>
    </row>
    <row r="27" spans="1:98" x14ac:dyDescent="0.25">
      <c r="A27">
        <v>26</v>
      </c>
      <c r="B27">
        <v>2</v>
      </c>
      <c r="C27" t="s">
        <v>273</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3">
        <v>1991</v>
      </c>
      <c r="AI27" t="s">
        <v>61</v>
      </c>
      <c r="AJ27" t="s">
        <v>61</v>
      </c>
      <c r="AK27" t="s">
        <v>61</v>
      </c>
      <c r="AL27" t="s">
        <v>61</v>
      </c>
      <c r="AM27" s="29">
        <v>0.85</v>
      </c>
      <c r="AN27">
        <v>0.15</v>
      </c>
      <c r="AO27" s="29">
        <v>0.46</v>
      </c>
      <c r="AP27">
        <v>0.54</v>
      </c>
      <c r="AQ27" s="29">
        <v>0.94</v>
      </c>
      <c r="AR27" s="70">
        <v>0.06</v>
      </c>
      <c r="AU27" s="29">
        <v>0.45</v>
      </c>
      <c r="AV27" s="12">
        <v>0.55000000000000004</v>
      </c>
      <c r="AW27" s="12">
        <v>1</v>
      </c>
      <c r="AX27" s="12">
        <v>0</v>
      </c>
      <c r="AY27" s="12">
        <v>0</v>
      </c>
      <c r="AZ27" s="65" t="s">
        <v>95</v>
      </c>
      <c r="BN27" s="67">
        <v>36.56</v>
      </c>
      <c r="BO27">
        <v>0</v>
      </c>
      <c r="BP27">
        <v>0</v>
      </c>
      <c r="BQ27">
        <v>0</v>
      </c>
      <c r="BR27">
        <v>0</v>
      </c>
      <c r="BS27">
        <v>0</v>
      </c>
      <c r="BT27">
        <v>0</v>
      </c>
      <c r="BY27">
        <v>1</v>
      </c>
      <c r="BZ27" s="29">
        <v>1</v>
      </c>
      <c r="CA27">
        <v>0</v>
      </c>
      <c r="CB27" s="12">
        <v>0</v>
      </c>
      <c r="CC27" s="29">
        <v>1</v>
      </c>
      <c r="CD27">
        <v>1</v>
      </c>
      <c r="CE27">
        <v>0</v>
      </c>
      <c r="CF27">
        <v>0</v>
      </c>
      <c r="CG27">
        <v>1</v>
      </c>
      <c r="CH27">
        <v>0</v>
      </c>
      <c r="CI27">
        <v>1</v>
      </c>
      <c r="CJ27">
        <v>0</v>
      </c>
      <c r="CK27">
        <v>0</v>
      </c>
      <c r="CL27">
        <v>0</v>
      </c>
      <c r="CM27">
        <v>0</v>
      </c>
      <c r="CN27" s="17">
        <v>0</v>
      </c>
      <c r="CT27" t="s">
        <v>48</v>
      </c>
    </row>
    <row r="28" spans="1:98" x14ac:dyDescent="0.25">
      <c r="A28">
        <v>27</v>
      </c>
      <c r="B28">
        <v>2</v>
      </c>
      <c r="C28" t="s">
        <v>273</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3">
        <v>1991</v>
      </c>
      <c r="AI28" t="s">
        <v>61</v>
      </c>
      <c r="AJ28" t="s">
        <v>61</v>
      </c>
      <c r="AK28" t="s">
        <v>61</v>
      </c>
      <c r="AL28" t="s">
        <v>61</v>
      </c>
      <c r="AM28" s="29">
        <v>0.85</v>
      </c>
      <c r="AN28">
        <v>0.15</v>
      </c>
      <c r="AO28" s="29">
        <v>0.46</v>
      </c>
      <c r="AP28">
        <v>0.54</v>
      </c>
      <c r="AQ28" s="29">
        <v>0.94</v>
      </c>
      <c r="AR28" s="70">
        <v>0.06</v>
      </c>
      <c r="AU28" s="29">
        <v>0.45</v>
      </c>
      <c r="AV28" s="12">
        <v>0.55000000000000004</v>
      </c>
      <c r="AW28" s="12">
        <v>1</v>
      </c>
      <c r="AX28" s="12">
        <v>0</v>
      </c>
      <c r="AY28" s="12">
        <v>0</v>
      </c>
      <c r="AZ28" s="65" t="s">
        <v>95</v>
      </c>
      <c r="BN28" s="67">
        <v>36.56</v>
      </c>
      <c r="BO28">
        <v>0</v>
      </c>
      <c r="BP28">
        <v>0</v>
      </c>
      <c r="BQ28">
        <v>0</v>
      </c>
      <c r="BR28">
        <v>0</v>
      </c>
      <c r="BS28">
        <v>1</v>
      </c>
      <c r="BT28">
        <v>0</v>
      </c>
      <c r="BY28">
        <v>0</v>
      </c>
      <c r="BZ28" s="29">
        <v>0</v>
      </c>
      <c r="CA28">
        <v>0</v>
      </c>
      <c r="CB28" s="12">
        <v>0</v>
      </c>
      <c r="CC28" s="29">
        <v>0</v>
      </c>
      <c r="CD28">
        <v>0</v>
      </c>
      <c r="CE28">
        <v>0</v>
      </c>
      <c r="CF28">
        <v>0</v>
      </c>
      <c r="CG28">
        <v>0</v>
      </c>
      <c r="CH28">
        <v>0</v>
      </c>
      <c r="CI28">
        <v>0</v>
      </c>
      <c r="CJ28">
        <v>0</v>
      </c>
      <c r="CK28">
        <v>0</v>
      </c>
      <c r="CL28">
        <v>0</v>
      </c>
      <c r="CM28">
        <v>0</v>
      </c>
      <c r="CN28" s="17">
        <v>0</v>
      </c>
      <c r="CT28" t="s">
        <v>48</v>
      </c>
    </row>
    <row r="29" spans="1:98" x14ac:dyDescent="0.25">
      <c r="A29">
        <v>28</v>
      </c>
      <c r="B29">
        <v>2</v>
      </c>
      <c r="C29" t="s">
        <v>273</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3">
        <v>1991</v>
      </c>
      <c r="AI29" t="s">
        <v>61</v>
      </c>
      <c r="AJ29" t="s">
        <v>61</v>
      </c>
      <c r="AK29" t="s">
        <v>61</v>
      </c>
      <c r="AL29" t="s">
        <v>61</v>
      </c>
      <c r="AM29" s="29">
        <v>0.85</v>
      </c>
      <c r="AN29">
        <v>0.15</v>
      </c>
      <c r="AO29" s="29">
        <v>0.46</v>
      </c>
      <c r="AP29">
        <v>0.54</v>
      </c>
      <c r="AQ29" s="29">
        <v>0.94</v>
      </c>
      <c r="AR29" s="70">
        <v>0.06</v>
      </c>
      <c r="AU29" s="29">
        <v>0.45</v>
      </c>
      <c r="AV29" s="12">
        <v>0.55000000000000004</v>
      </c>
      <c r="AW29" s="12">
        <v>1</v>
      </c>
      <c r="AX29" s="12">
        <v>0</v>
      </c>
      <c r="AY29" s="12">
        <v>0</v>
      </c>
      <c r="AZ29" s="65" t="s">
        <v>95</v>
      </c>
      <c r="BN29" s="67">
        <v>36.56</v>
      </c>
      <c r="BO29">
        <v>0</v>
      </c>
      <c r="BP29">
        <v>0</v>
      </c>
      <c r="BQ29">
        <v>0</v>
      </c>
      <c r="BR29">
        <v>0</v>
      </c>
      <c r="BS29">
        <v>0</v>
      </c>
      <c r="BT29">
        <v>1</v>
      </c>
      <c r="BY29">
        <v>0</v>
      </c>
      <c r="BZ29" s="29">
        <v>1</v>
      </c>
      <c r="CA29">
        <v>0</v>
      </c>
      <c r="CB29">
        <v>0</v>
      </c>
      <c r="CC29" s="29">
        <v>0</v>
      </c>
      <c r="CD29">
        <v>0</v>
      </c>
      <c r="CE29">
        <v>0</v>
      </c>
      <c r="CF29">
        <v>0</v>
      </c>
      <c r="CG29">
        <v>0</v>
      </c>
      <c r="CH29">
        <v>0</v>
      </c>
      <c r="CI29">
        <v>0</v>
      </c>
      <c r="CJ29">
        <v>0</v>
      </c>
      <c r="CK29">
        <v>0</v>
      </c>
      <c r="CL29">
        <v>0</v>
      </c>
      <c r="CM29">
        <v>0</v>
      </c>
      <c r="CN29" s="17">
        <v>0</v>
      </c>
      <c r="CT29" t="s">
        <v>48</v>
      </c>
    </row>
    <row r="30" spans="1:98" x14ac:dyDescent="0.25">
      <c r="A30">
        <v>29</v>
      </c>
      <c r="B30">
        <v>2</v>
      </c>
      <c r="C30" t="s">
        <v>273</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3">
        <v>1991</v>
      </c>
      <c r="AI30" t="s">
        <v>61</v>
      </c>
      <c r="AJ30" t="s">
        <v>61</v>
      </c>
      <c r="AK30" t="s">
        <v>61</v>
      </c>
      <c r="AL30" t="s">
        <v>61</v>
      </c>
      <c r="AM30" s="29">
        <v>0.85</v>
      </c>
      <c r="AN30">
        <v>0.15</v>
      </c>
      <c r="AO30" s="29">
        <v>0.46</v>
      </c>
      <c r="AP30">
        <v>0.54</v>
      </c>
      <c r="AQ30" s="29">
        <v>0.94</v>
      </c>
      <c r="AR30" s="70">
        <v>0.06</v>
      </c>
      <c r="AU30" s="29">
        <v>0.45</v>
      </c>
      <c r="AV30" s="12">
        <v>0.55000000000000004</v>
      </c>
      <c r="AW30" s="12">
        <v>1</v>
      </c>
      <c r="AX30" s="12">
        <v>0</v>
      </c>
      <c r="AY30" s="12">
        <v>0</v>
      </c>
      <c r="AZ30" s="65" t="s">
        <v>95</v>
      </c>
      <c r="BN30" s="67">
        <v>36.56</v>
      </c>
      <c r="BO30">
        <v>1</v>
      </c>
      <c r="BP30">
        <v>0</v>
      </c>
      <c r="BQ30">
        <v>0</v>
      </c>
      <c r="BR30">
        <v>0</v>
      </c>
      <c r="BS30">
        <v>0</v>
      </c>
      <c r="BT30">
        <v>0</v>
      </c>
      <c r="BY30">
        <v>0</v>
      </c>
      <c r="BZ30" s="29">
        <v>0</v>
      </c>
      <c r="CA30">
        <v>0</v>
      </c>
      <c r="CB30">
        <v>0</v>
      </c>
      <c r="CC30" s="29">
        <v>1</v>
      </c>
      <c r="CD30">
        <v>1</v>
      </c>
      <c r="CE30">
        <v>0</v>
      </c>
      <c r="CF30">
        <v>0</v>
      </c>
      <c r="CG30">
        <v>1</v>
      </c>
      <c r="CH30">
        <v>0</v>
      </c>
      <c r="CI30">
        <v>1</v>
      </c>
      <c r="CJ30">
        <v>0</v>
      </c>
      <c r="CK30">
        <v>0</v>
      </c>
      <c r="CL30">
        <v>0</v>
      </c>
      <c r="CM30">
        <v>0</v>
      </c>
      <c r="CN30" s="17">
        <v>0</v>
      </c>
      <c r="CT30" t="s">
        <v>48</v>
      </c>
    </row>
    <row r="31" spans="1:98" x14ac:dyDescent="0.25">
      <c r="A31">
        <v>30</v>
      </c>
      <c r="B31">
        <v>2</v>
      </c>
      <c r="C31" t="s">
        <v>273</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3">
        <v>1991</v>
      </c>
      <c r="AI31" t="s">
        <v>61</v>
      </c>
      <c r="AJ31" t="s">
        <v>61</v>
      </c>
      <c r="AK31" t="s">
        <v>61</v>
      </c>
      <c r="AL31" t="s">
        <v>61</v>
      </c>
      <c r="AM31" s="29">
        <v>0.85</v>
      </c>
      <c r="AN31">
        <v>0.15</v>
      </c>
      <c r="AO31" s="29">
        <v>0.46</v>
      </c>
      <c r="AP31">
        <v>0.54</v>
      </c>
      <c r="AQ31" s="29">
        <v>0.94</v>
      </c>
      <c r="AR31" s="70">
        <v>0.06</v>
      </c>
      <c r="AU31" s="29">
        <v>0.45</v>
      </c>
      <c r="AV31" s="12">
        <v>0.55000000000000004</v>
      </c>
      <c r="AW31" s="12">
        <v>1</v>
      </c>
      <c r="AX31" s="12">
        <v>0</v>
      </c>
      <c r="AY31" s="12">
        <v>0</v>
      </c>
      <c r="AZ31" s="65" t="s">
        <v>95</v>
      </c>
      <c r="BN31" s="67">
        <v>36.56</v>
      </c>
      <c r="BO31">
        <v>0</v>
      </c>
      <c r="BP31">
        <v>1</v>
      </c>
      <c r="BQ31">
        <v>0</v>
      </c>
      <c r="BR31">
        <v>0</v>
      </c>
      <c r="BS31">
        <v>0</v>
      </c>
      <c r="BT31">
        <v>0</v>
      </c>
      <c r="BY31">
        <v>0</v>
      </c>
      <c r="BZ31" s="29">
        <v>0</v>
      </c>
      <c r="CA31">
        <v>0</v>
      </c>
      <c r="CB31">
        <v>0</v>
      </c>
      <c r="CC31" s="29">
        <v>1</v>
      </c>
      <c r="CD31">
        <v>1</v>
      </c>
      <c r="CE31">
        <v>0</v>
      </c>
      <c r="CF31">
        <v>0</v>
      </c>
      <c r="CG31">
        <v>1</v>
      </c>
      <c r="CH31">
        <v>0</v>
      </c>
      <c r="CI31">
        <v>1</v>
      </c>
      <c r="CJ31">
        <v>0</v>
      </c>
      <c r="CK31">
        <v>0</v>
      </c>
      <c r="CL31">
        <v>0</v>
      </c>
      <c r="CM31">
        <v>0</v>
      </c>
      <c r="CN31" s="17">
        <v>0</v>
      </c>
      <c r="CT31" t="s">
        <v>48</v>
      </c>
    </row>
    <row r="32" spans="1:98" x14ac:dyDescent="0.25">
      <c r="A32">
        <v>31</v>
      </c>
      <c r="B32">
        <v>2</v>
      </c>
      <c r="C32" t="s">
        <v>273</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3">
        <v>1991</v>
      </c>
      <c r="AI32" t="s">
        <v>61</v>
      </c>
      <c r="AJ32" t="s">
        <v>61</v>
      </c>
      <c r="AK32" t="s">
        <v>61</v>
      </c>
      <c r="AL32" t="s">
        <v>61</v>
      </c>
      <c r="AM32" s="29">
        <v>0.85</v>
      </c>
      <c r="AN32">
        <v>0.15</v>
      </c>
      <c r="AO32" s="29">
        <v>0.46</v>
      </c>
      <c r="AP32">
        <v>0.54</v>
      </c>
      <c r="AQ32" s="29">
        <v>0.94</v>
      </c>
      <c r="AR32" s="70">
        <v>0.06</v>
      </c>
      <c r="AU32" s="29">
        <v>0.45</v>
      </c>
      <c r="AV32" s="12">
        <v>0.55000000000000004</v>
      </c>
      <c r="AW32" s="12">
        <v>1</v>
      </c>
      <c r="AX32" s="12">
        <v>0</v>
      </c>
      <c r="AY32" s="12">
        <v>0</v>
      </c>
      <c r="AZ32" s="65" t="s">
        <v>95</v>
      </c>
      <c r="BN32" s="67">
        <v>36.56</v>
      </c>
      <c r="BO32">
        <v>0</v>
      </c>
      <c r="BP32">
        <v>1</v>
      </c>
      <c r="BQ32">
        <v>0</v>
      </c>
      <c r="BR32">
        <v>0</v>
      </c>
      <c r="BS32">
        <v>0</v>
      </c>
      <c r="BT32">
        <v>0</v>
      </c>
      <c r="BY32">
        <v>0</v>
      </c>
      <c r="BZ32" s="29">
        <v>0</v>
      </c>
      <c r="CA32">
        <v>0</v>
      </c>
      <c r="CB32">
        <v>0</v>
      </c>
      <c r="CC32" s="29">
        <v>1</v>
      </c>
      <c r="CD32">
        <v>1</v>
      </c>
      <c r="CE32">
        <v>0</v>
      </c>
      <c r="CF32">
        <v>0</v>
      </c>
      <c r="CG32">
        <v>1</v>
      </c>
      <c r="CH32">
        <v>0</v>
      </c>
      <c r="CI32">
        <v>1</v>
      </c>
      <c r="CJ32">
        <v>0</v>
      </c>
      <c r="CK32">
        <v>0</v>
      </c>
      <c r="CL32">
        <v>0</v>
      </c>
      <c r="CM32">
        <v>0</v>
      </c>
      <c r="CN32" s="17">
        <v>0</v>
      </c>
      <c r="CT32" t="s">
        <v>48</v>
      </c>
    </row>
    <row r="33" spans="1:98" x14ac:dyDescent="0.25">
      <c r="A33">
        <v>32</v>
      </c>
      <c r="B33">
        <v>2</v>
      </c>
      <c r="C33" t="s">
        <v>273</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3">
        <v>1991</v>
      </c>
      <c r="AI33" t="s">
        <v>61</v>
      </c>
      <c r="AJ33" t="s">
        <v>61</v>
      </c>
      <c r="AK33" t="s">
        <v>61</v>
      </c>
      <c r="AL33" t="s">
        <v>61</v>
      </c>
      <c r="AM33" s="29">
        <v>0.85</v>
      </c>
      <c r="AN33">
        <v>0.15</v>
      </c>
      <c r="AO33" s="29">
        <v>0.46</v>
      </c>
      <c r="AP33">
        <v>0.54</v>
      </c>
      <c r="AQ33" s="29">
        <v>0.94</v>
      </c>
      <c r="AR33" s="70">
        <v>0.06</v>
      </c>
      <c r="AU33" s="29">
        <v>0.45</v>
      </c>
      <c r="AV33" s="12">
        <v>0.55000000000000004</v>
      </c>
      <c r="AW33" s="12">
        <v>1</v>
      </c>
      <c r="AX33" s="12">
        <v>0</v>
      </c>
      <c r="AY33" s="12">
        <v>0</v>
      </c>
      <c r="AZ33" s="65" t="s">
        <v>95</v>
      </c>
      <c r="BN33" s="67">
        <v>36.56</v>
      </c>
      <c r="BO33">
        <v>0</v>
      </c>
      <c r="BP33">
        <v>0</v>
      </c>
      <c r="BQ33">
        <v>0</v>
      </c>
      <c r="BR33">
        <v>0</v>
      </c>
      <c r="BS33">
        <v>1</v>
      </c>
      <c r="BT33">
        <v>0</v>
      </c>
      <c r="BY33">
        <v>0</v>
      </c>
      <c r="BZ33" s="29">
        <v>0</v>
      </c>
      <c r="CA33">
        <v>0</v>
      </c>
      <c r="CB33">
        <v>0</v>
      </c>
      <c r="CC33" s="29">
        <v>0</v>
      </c>
      <c r="CD33">
        <v>0</v>
      </c>
      <c r="CE33">
        <v>0</v>
      </c>
      <c r="CF33">
        <v>0</v>
      </c>
      <c r="CG33">
        <v>0</v>
      </c>
      <c r="CH33">
        <v>0</v>
      </c>
      <c r="CI33">
        <v>0</v>
      </c>
      <c r="CJ33">
        <v>0</v>
      </c>
      <c r="CK33">
        <v>0</v>
      </c>
      <c r="CL33">
        <v>0</v>
      </c>
      <c r="CM33">
        <v>0</v>
      </c>
      <c r="CN33" s="17">
        <v>0</v>
      </c>
      <c r="CT33" t="s">
        <v>48</v>
      </c>
    </row>
    <row r="34" spans="1:98" x14ac:dyDescent="0.25">
      <c r="A34">
        <v>33</v>
      </c>
      <c r="B34">
        <v>2</v>
      </c>
      <c r="C34" t="s">
        <v>273</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3">
        <v>1991</v>
      </c>
      <c r="AI34" t="s">
        <v>61</v>
      </c>
      <c r="AJ34" t="s">
        <v>61</v>
      </c>
      <c r="AK34" t="s">
        <v>61</v>
      </c>
      <c r="AL34" t="s">
        <v>61</v>
      </c>
      <c r="AM34" s="29">
        <v>0.85</v>
      </c>
      <c r="AN34">
        <v>0.15</v>
      </c>
      <c r="AO34" s="29">
        <v>0.46</v>
      </c>
      <c r="AP34">
        <v>0.54</v>
      </c>
      <c r="AQ34" s="29">
        <v>0.94</v>
      </c>
      <c r="AR34" s="70">
        <v>0.06</v>
      </c>
      <c r="AU34" s="29">
        <v>0.45</v>
      </c>
      <c r="AV34" s="12">
        <v>0.55000000000000004</v>
      </c>
      <c r="AW34" s="12">
        <v>1</v>
      </c>
      <c r="AX34" s="12">
        <v>0</v>
      </c>
      <c r="AY34" s="12">
        <v>0</v>
      </c>
      <c r="AZ34" s="65" t="s">
        <v>95</v>
      </c>
      <c r="BN34" s="67">
        <v>36.56</v>
      </c>
      <c r="BO34">
        <v>0</v>
      </c>
      <c r="BP34">
        <v>1</v>
      </c>
      <c r="BQ34">
        <v>0</v>
      </c>
      <c r="BR34">
        <v>0</v>
      </c>
      <c r="BS34">
        <v>0</v>
      </c>
      <c r="BT34">
        <v>0</v>
      </c>
      <c r="BY34">
        <v>0</v>
      </c>
      <c r="BZ34" s="29">
        <v>0</v>
      </c>
      <c r="CA34">
        <v>0</v>
      </c>
      <c r="CB34">
        <v>0</v>
      </c>
      <c r="CC34" s="29">
        <v>1</v>
      </c>
      <c r="CD34">
        <v>1</v>
      </c>
      <c r="CE34">
        <v>1</v>
      </c>
      <c r="CF34">
        <v>0</v>
      </c>
      <c r="CG34">
        <v>1</v>
      </c>
      <c r="CH34">
        <v>0</v>
      </c>
      <c r="CI34">
        <v>1</v>
      </c>
      <c r="CJ34">
        <v>1</v>
      </c>
      <c r="CK34">
        <v>0</v>
      </c>
      <c r="CL34">
        <v>1</v>
      </c>
      <c r="CM34">
        <v>0</v>
      </c>
      <c r="CN34" s="17">
        <v>0</v>
      </c>
      <c r="CT34" t="s">
        <v>48</v>
      </c>
    </row>
    <row r="35" spans="1:98" x14ac:dyDescent="0.25">
      <c r="A35">
        <v>34</v>
      </c>
      <c r="B35">
        <v>2</v>
      </c>
      <c r="C35" t="s">
        <v>273</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3">
        <v>1991</v>
      </c>
      <c r="AI35" t="s">
        <v>61</v>
      </c>
      <c r="AJ35" t="s">
        <v>61</v>
      </c>
      <c r="AK35" t="s">
        <v>61</v>
      </c>
      <c r="AL35" t="s">
        <v>61</v>
      </c>
      <c r="AM35" s="29">
        <v>0.85</v>
      </c>
      <c r="AN35">
        <v>0.15</v>
      </c>
      <c r="AO35" s="29">
        <v>0.46</v>
      </c>
      <c r="AP35">
        <v>0.54</v>
      </c>
      <c r="AQ35" s="29">
        <v>0.94</v>
      </c>
      <c r="AR35" s="70">
        <v>0.06</v>
      </c>
      <c r="AU35" s="29">
        <v>0.45</v>
      </c>
      <c r="AV35" s="12">
        <v>0.55000000000000004</v>
      </c>
      <c r="AW35" s="12">
        <v>1</v>
      </c>
      <c r="AX35" s="12">
        <v>0</v>
      </c>
      <c r="AY35" s="12">
        <v>0</v>
      </c>
      <c r="AZ35" s="65" t="s">
        <v>95</v>
      </c>
      <c r="BN35" s="67">
        <v>36.56</v>
      </c>
      <c r="BO35">
        <v>0</v>
      </c>
      <c r="BP35">
        <v>1</v>
      </c>
      <c r="BQ35">
        <v>0</v>
      </c>
      <c r="BR35">
        <v>0</v>
      </c>
      <c r="BS35">
        <v>0</v>
      </c>
      <c r="BT35">
        <v>0</v>
      </c>
      <c r="BY35">
        <v>0</v>
      </c>
      <c r="BZ35" s="29">
        <v>0</v>
      </c>
      <c r="CA35">
        <v>0</v>
      </c>
      <c r="CB35">
        <v>0</v>
      </c>
      <c r="CC35" s="29">
        <v>1</v>
      </c>
      <c r="CD35">
        <v>1</v>
      </c>
      <c r="CE35">
        <v>1</v>
      </c>
      <c r="CF35">
        <v>0</v>
      </c>
      <c r="CG35">
        <v>1</v>
      </c>
      <c r="CH35">
        <v>0</v>
      </c>
      <c r="CI35">
        <v>1</v>
      </c>
      <c r="CJ35">
        <v>1</v>
      </c>
      <c r="CK35">
        <v>0</v>
      </c>
      <c r="CL35">
        <v>1</v>
      </c>
      <c r="CM35">
        <v>0</v>
      </c>
      <c r="CN35" s="17">
        <v>0</v>
      </c>
      <c r="CT35" t="s">
        <v>48</v>
      </c>
    </row>
    <row r="36" spans="1:98" x14ac:dyDescent="0.25">
      <c r="A36">
        <v>35</v>
      </c>
      <c r="B36">
        <v>2</v>
      </c>
      <c r="C36" t="s">
        <v>273</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3">
        <v>1991</v>
      </c>
      <c r="AI36" t="s">
        <v>61</v>
      </c>
      <c r="AJ36" t="s">
        <v>61</v>
      </c>
      <c r="AK36" t="s">
        <v>61</v>
      </c>
      <c r="AL36" t="s">
        <v>61</v>
      </c>
      <c r="AM36" s="29">
        <v>0.85</v>
      </c>
      <c r="AN36">
        <v>0.15</v>
      </c>
      <c r="AO36" s="29">
        <v>0.46</v>
      </c>
      <c r="AP36">
        <v>0.54</v>
      </c>
      <c r="AQ36" s="29">
        <v>0.94</v>
      </c>
      <c r="AR36" s="70">
        <v>0.06</v>
      </c>
      <c r="AU36" s="29">
        <v>0.45</v>
      </c>
      <c r="AV36" s="12">
        <v>0.55000000000000004</v>
      </c>
      <c r="AW36" s="12">
        <v>1</v>
      </c>
      <c r="AX36" s="12">
        <v>0</v>
      </c>
      <c r="AY36" s="12">
        <v>0</v>
      </c>
      <c r="AZ36" s="65" t="s">
        <v>95</v>
      </c>
      <c r="BN36" s="67">
        <v>36.56</v>
      </c>
      <c r="BO36">
        <v>0</v>
      </c>
      <c r="BP36">
        <v>0</v>
      </c>
      <c r="BQ36">
        <v>0</v>
      </c>
      <c r="BR36">
        <v>0</v>
      </c>
      <c r="BS36">
        <v>0</v>
      </c>
      <c r="BT36">
        <v>0</v>
      </c>
      <c r="BY36">
        <v>1</v>
      </c>
      <c r="BZ36" s="29">
        <v>1</v>
      </c>
      <c r="CA36">
        <v>0</v>
      </c>
      <c r="CB36">
        <v>0</v>
      </c>
      <c r="CC36" s="29">
        <v>1</v>
      </c>
      <c r="CD36">
        <v>1</v>
      </c>
      <c r="CE36">
        <v>1</v>
      </c>
      <c r="CF36">
        <v>0</v>
      </c>
      <c r="CG36">
        <v>1</v>
      </c>
      <c r="CH36">
        <v>0</v>
      </c>
      <c r="CI36">
        <v>1</v>
      </c>
      <c r="CJ36">
        <v>1</v>
      </c>
      <c r="CK36">
        <v>0</v>
      </c>
      <c r="CL36">
        <v>1</v>
      </c>
      <c r="CM36">
        <v>0</v>
      </c>
      <c r="CN36" s="17">
        <v>0</v>
      </c>
      <c r="CT36" t="s">
        <v>48</v>
      </c>
    </row>
    <row r="37" spans="1:98" x14ac:dyDescent="0.25">
      <c r="A37">
        <v>36</v>
      </c>
      <c r="B37">
        <v>2</v>
      </c>
      <c r="C37" t="s">
        <v>273</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3">
        <v>1991</v>
      </c>
      <c r="AI37" t="s">
        <v>61</v>
      </c>
      <c r="AJ37" t="s">
        <v>61</v>
      </c>
      <c r="AK37" t="s">
        <v>61</v>
      </c>
      <c r="AL37" t="s">
        <v>61</v>
      </c>
      <c r="AM37" s="29">
        <v>0.85</v>
      </c>
      <c r="AN37">
        <v>0.15</v>
      </c>
      <c r="AO37" s="29">
        <v>0.46</v>
      </c>
      <c r="AP37">
        <v>0.54</v>
      </c>
      <c r="AQ37" s="29">
        <v>0.94</v>
      </c>
      <c r="AR37" s="70">
        <v>0.06</v>
      </c>
      <c r="AU37" s="29">
        <v>0.45</v>
      </c>
      <c r="AV37" s="12">
        <v>0.55000000000000004</v>
      </c>
      <c r="AW37" s="12">
        <v>1</v>
      </c>
      <c r="AX37" s="12">
        <v>0</v>
      </c>
      <c r="AY37" s="12">
        <v>0</v>
      </c>
      <c r="AZ37" s="65" t="s">
        <v>95</v>
      </c>
      <c r="BN37" s="67">
        <v>36.56</v>
      </c>
      <c r="BO37">
        <v>0</v>
      </c>
      <c r="BP37">
        <v>0</v>
      </c>
      <c r="BQ37">
        <v>0</v>
      </c>
      <c r="BR37">
        <v>0</v>
      </c>
      <c r="BS37">
        <v>1</v>
      </c>
      <c r="BT37">
        <v>0</v>
      </c>
      <c r="BY37">
        <v>0</v>
      </c>
      <c r="BZ37" s="29">
        <v>0</v>
      </c>
      <c r="CA37">
        <v>0</v>
      </c>
      <c r="CB37">
        <v>0</v>
      </c>
      <c r="CC37" s="29">
        <v>0</v>
      </c>
      <c r="CD37">
        <v>0</v>
      </c>
      <c r="CE37">
        <v>1</v>
      </c>
      <c r="CF37">
        <v>0</v>
      </c>
      <c r="CG37">
        <v>0</v>
      </c>
      <c r="CH37">
        <v>0</v>
      </c>
      <c r="CI37">
        <v>0</v>
      </c>
      <c r="CJ37">
        <v>1</v>
      </c>
      <c r="CK37">
        <v>0</v>
      </c>
      <c r="CL37">
        <v>1</v>
      </c>
      <c r="CM37">
        <v>0</v>
      </c>
      <c r="CN37" s="17">
        <v>0</v>
      </c>
      <c r="CT37" t="s">
        <v>48</v>
      </c>
    </row>
    <row r="38" spans="1:98" x14ac:dyDescent="0.25">
      <c r="A38">
        <v>37</v>
      </c>
      <c r="B38">
        <v>2</v>
      </c>
      <c r="C38" t="s">
        <v>273</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3">
        <v>1991</v>
      </c>
      <c r="AI38" t="s">
        <v>61</v>
      </c>
      <c r="AJ38" t="s">
        <v>61</v>
      </c>
      <c r="AK38" t="s">
        <v>61</v>
      </c>
      <c r="AL38" t="s">
        <v>61</v>
      </c>
      <c r="AM38" s="29">
        <v>0.85</v>
      </c>
      <c r="AN38">
        <v>0.15</v>
      </c>
      <c r="AO38" s="29">
        <v>0.46</v>
      </c>
      <c r="AP38">
        <v>0.54</v>
      </c>
      <c r="AQ38" s="29">
        <v>0.94</v>
      </c>
      <c r="AR38" s="70">
        <v>0.06</v>
      </c>
      <c r="AU38" s="29">
        <v>0.45</v>
      </c>
      <c r="AV38" s="12">
        <v>0.55000000000000004</v>
      </c>
      <c r="AW38" s="12">
        <v>1</v>
      </c>
      <c r="AX38" s="12">
        <v>0</v>
      </c>
      <c r="AY38" s="12">
        <v>0</v>
      </c>
      <c r="AZ38" s="65" t="s">
        <v>95</v>
      </c>
      <c r="BN38" s="67">
        <v>36.56</v>
      </c>
      <c r="BO38">
        <v>0</v>
      </c>
      <c r="BP38">
        <v>0</v>
      </c>
      <c r="BQ38">
        <v>0</v>
      </c>
      <c r="BR38">
        <v>0</v>
      </c>
      <c r="BS38">
        <v>0</v>
      </c>
      <c r="BT38">
        <v>1</v>
      </c>
      <c r="BY38">
        <v>0</v>
      </c>
      <c r="BZ38" s="29">
        <v>1</v>
      </c>
      <c r="CA38">
        <v>0</v>
      </c>
      <c r="CB38">
        <v>0</v>
      </c>
      <c r="CC38" s="29">
        <v>0</v>
      </c>
      <c r="CD38">
        <v>0</v>
      </c>
      <c r="CE38">
        <v>1</v>
      </c>
      <c r="CF38">
        <v>0</v>
      </c>
      <c r="CG38">
        <v>0</v>
      </c>
      <c r="CH38">
        <v>0</v>
      </c>
      <c r="CI38">
        <v>0</v>
      </c>
      <c r="CJ38">
        <v>1</v>
      </c>
      <c r="CK38">
        <v>0</v>
      </c>
      <c r="CL38">
        <v>1</v>
      </c>
      <c r="CM38">
        <v>0</v>
      </c>
      <c r="CN38" s="17">
        <v>0</v>
      </c>
      <c r="CT38" t="s">
        <v>48</v>
      </c>
    </row>
    <row r="39" spans="1:98" x14ac:dyDescent="0.25">
      <c r="A39">
        <v>38</v>
      </c>
      <c r="B39">
        <v>3</v>
      </c>
      <c r="C39" t="s">
        <v>279</v>
      </c>
      <c r="D39" s="10">
        <v>10.5</v>
      </c>
      <c r="E39" s="6">
        <v>0.8</v>
      </c>
      <c r="F39" s="6">
        <f t="shared" si="4"/>
        <v>13.125</v>
      </c>
      <c r="L39" s="84">
        <v>1</v>
      </c>
      <c r="M39" s="8">
        <v>0</v>
      </c>
      <c r="N39" s="8">
        <v>0</v>
      </c>
      <c r="O39" s="8">
        <v>0</v>
      </c>
      <c r="P39" s="8">
        <v>0</v>
      </c>
      <c r="Q39" s="7">
        <v>906</v>
      </c>
      <c r="R39" s="8">
        <v>5</v>
      </c>
      <c r="S39" s="8">
        <f t="shared" si="7"/>
        <v>900</v>
      </c>
      <c r="U39" s="6">
        <v>14.08</v>
      </c>
      <c r="V39" s="6">
        <f t="shared" si="8"/>
        <v>16.480000000000004</v>
      </c>
      <c r="W39" s="84">
        <v>1</v>
      </c>
      <c r="X39" s="8">
        <v>0</v>
      </c>
      <c r="Y39" s="84">
        <v>1</v>
      </c>
      <c r="Z39" s="8">
        <v>0</v>
      </c>
      <c r="AA39" s="8">
        <v>0</v>
      </c>
      <c r="AB39" s="22">
        <v>0</v>
      </c>
      <c r="AC39" s="84">
        <v>0</v>
      </c>
      <c r="AD39" s="8">
        <v>1</v>
      </c>
      <c r="AE39" s="22">
        <v>0</v>
      </c>
      <c r="AF39" s="84">
        <v>1</v>
      </c>
      <c r="AG39" s="22">
        <v>0</v>
      </c>
      <c r="AH39" s="74">
        <v>1993</v>
      </c>
      <c r="AI39" t="s">
        <v>61</v>
      </c>
      <c r="AJ39" t="s">
        <v>61</v>
      </c>
      <c r="AK39" t="s">
        <v>61</v>
      </c>
      <c r="AL39" t="s">
        <v>61</v>
      </c>
      <c r="AM39" s="29" t="s">
        <v>61</v>
      </c>
      <c r="AN39" t="s">
        <v>61</v>
      </c>
      <c r="AO39" s="29">
        <v>0.46</v>
      </c>
      <c r="AP39">
        <v>0.54</v>
      </c>
      <c r="AQ39" s="29">
        <v>0.94</v>
      </c>
      <c r="AR39" s="70">
        <f>1-AQ39</f>
        <v>6.0000000000000053E-2</v>
      </c>
      <c r="AU39" s="29">
        <v>0.45</v>
      </c>
      <c r="AV39" s="12">
        <f>1-AU39</f>
        <v>0.55000000000000004</v>
      </c>
      <c r="AW39" s="12">
        <v>1</v>
      </c>
      <c r="AX39" s="12">
        <v>0</v>
      </c>
      <c r="AY39" s="12">
        <v>0</v>
      </c>
      <c r="AZ39" s="65" t="s">
        <v>95</v>
      </c>
      <c r="BN39" s="67">
        <v>36.56</v>
      </c>
      <c r="BO39">
        <v>1</v>
      </c>
      <c r="BP39">
        <v>0</v>
      </c>
      <c r="BQ39">
        <v>0</v>
      </c>
      <c r="BR39">
        <v>0</v>
      </c>
      <c r="BS39">
        <v>0</v>
      </c>
      <c r="BT39">
        <v>0</v>
      </c>
      <c r="BY39">
        <v>0</v>
      </c>
      <c r="BZ39" s="29">
        <v>0</v>
      </c>
      <c r="CA39">
        <v>0</v>
      </c>
      <c r="CB39">
        <v>0</v>
      </c>
      <c r="CC39" s="29">
        <v>1</v>
      </c>
      <c r="CD39">
        <v>1</v>
      </c>
      <c r="CE39">
        <v>0</v>
      </c>
      <c r="CF39">
        <v>0</v>
      </c>
      <c r="CG39">
        <v>1</v>
      </c>
      <c r="CH39">
        <v>0</v>
      </c>
      <c r="CI39">
        <v>1</v>
      </c>
      <c r="CJ39">
        <v>0</v>
      </c>
      <c r="CK39">
        <v>0</v>
      </c>
      <c r="CL39">
        <v>0</v>
      </c>
      <c r="CM39">
        <v>0</v>
      </c>
      <c r="CN39" s="17">
        <v>0</v>
      </c>
      <c r="CT39" t="s">
        <v>48</v>
      </c>
    </row>
    <row r="40" spans="1:98" x14ac:dyDescent="0.25">
      <c r="A40">
        <v>39</v>
      </c>
      <c r="B40">
        <v>3</v>
      </c>
      <c r="C40" t="s">
        <v>279</v>
      </c>
      <c r="D40" s="10">
        <v>10.1</v>
      </c>
      <c r="E40" s="6">
        <v>0.9</v>
      </c>
      <c r="F40" s="6">
        <f t="shared" si="4"/>
        <v>11.222222222222221</v>
      </c>
      <c r="L40" s="84">
        <v>1</v>
      </c>
      <c r="M40" s="8">
        <v>0</v>
      </c>
      <c r="N40" s="8">
        <v>0</v>
      </c>
      <c r="O40" s="8">
        <v>0</v>
      </c>
      <c r="P40" s="8">
        <v>0</v>
      </c>
      <c r="Q40" s="7">
        <v>906</v>
      </c>
      <c r="R40" s="8">
        <v>5</v>
      </c>
      <c r="S40" s="8">
        <f t="shared" si="7"/>
        <v>900</v>
      </c>
      <c r="U40" s="6">
        <v>14.08</v>
      </c>
      <c r="V40" s="6">
        <f t="shared" si="8"/>
        <v>16.480000000000004</v>
      </c>
      <c r="W40" s="84">
        <v>1</v>
      </c>
      <c r="X40" s="8">
        <v>0</v>
      </c>
      <c r="Y40" s="84">
        <v>1</v>
      </c>
      <c r="Z40" s="8">
        <v>0</v>
      </c>
      <c r="AA40" s="8">
        <v>0</v>
      </c>
      <c r="AB40" s="22">
        <v>0</v>
      </c>
      <c r="AC40" s="84">
        <v>0</v>
      </c>
      <c r="AD40" s="8">
        <v>1</v>
      </c>
      <c r="AE40" s="22">
        <v>0</v>
      </c>
      <c r="AF40" s="84">
        <v>1</v>
      </c>
      <c r="AG40" s="22">
        <v>0</v>
      </c>
      <c r="AH40" s="74">
        <v>1993</v>
      </c>
      <c r="AI40" t="s">
        <v>61</v>
      </c>
      <c r="AJ40" t="s">
        <v>61</v>
      </c>
      <c r="AK40" t="s">
        <v>61</v>
      </c>
      <c r="AL40" t="s">
        <v>61</v>
      </c>
      <c r="AM40" s="29" t="s">
        <v>61</v>
      </c>
      <c r="AN40" t="s">
        <v>61</v>
      </c>
      <c r="AO40" s="29">
        <v>0.46</v>
      </c>
      <c r="AP40">
        <v>0.54</v>
      </c>
      <c r="AQ40" s="29">
        <v>0.94</v>
      </c>
      <c r="AR40" s="70">
        <f t="shared" ref="AR40:AR80" si="9">1-AQ40</f>
        <v>6.0000000000000053E-2</v>
      </c>
      <c r="AU40" s="29">
        <v>0.45</v>
      </c>
      <c r="AV40" s="12">
        <f t="shared" ref="AV40:AV64" si="10">1-AU40</f>
        <v>0.55000000000000004</v>
      </c>
      <c r="AW40" s="12">
        <v>1</v>
      </c>
      <c r="AX40" s="12">
        <v>0</v>
      </c>
      <c r="AY40" s="12">
        <v>0</v>
      </c>
      <c r="AZ40" s="65" t="s">
        <v>95</v>
      </c>
      <c r="BN40" s="67">
        <v>36.56</v>
      </c>
      <c r="BO40">
        <v>0</v>
      </c>
      <c r="BP40">
        <v>1</v>
      </c>
      <c r="BQ40">
        <v>0</v>
      </c>
      <c r="BR40">
        <v>0</v>
      </c>
      <c r="BS40">
        <v>0</v>
      </c>
      <c r="BT40">
        <v>0</v>
      </c>
      <c r="BY40">
        <v>0</v>
      </c>
      <c r="BZ40" s="29">
        <v>0</v>
      </c>
      <c r="CA40">
        <v>0</v>
      </c>
      <c r="CB40">
        <v>0</v>
      </c>
      <c r="CC40" s="29">
        <v>1</v>
      </c>
      <c r="CD40">
        <v>1</v>
      </c>
      <c r="CE40">
        <v>0</v>
      </c>
      <c r="CF40">
        <v>0</v>
      </c>
      <c r="CG40">
        <v>1</v>
      </c>
      <c r="CH40">
        <v>0</v>
      </c>
      <c r="CI40">
        <v>1</v>
      </c>
      <c r="CJ40">
        <v>0</v>
      </c>
      <c r="CK40">
        <v>0</v>
      </c>
      <c r="CL40">
        <v>0</v>
      </c>
      <c r="CM40">
        <v>0</v>
      </c>
      <c r="CN40" s="17">
        <v>0</v>
      </c>
      <c r="CT40" t="s">
        <v>48</v>
      </c>
    </row>
    <row r="41" spans="1:98" x14ac:dyDescent="0.25">
      <c r="A41">
        <v>40</v>
      </c>
      <c r="B41">
        <v>3</v>
      </c>
      <c r="C41" t="s">
        <v>279</v>
      </c>
      <c r="D41" s="10">
        <v>7.5</v>
      </c>
      <c r="E41" s="6">
        <v>1.7</v>
      </c>
      <c r="F41" s="6">
        <f t="shared" si="4"/>
        <v>4.4117647058823533</v>
      </c>
      <c r="L41" s="84">
        <v>1</v>
      </c>
      <c r="M41" s="8">
        <v>0</v>
      </c>
      <c r="N41" s="8">
        <v>0</v>
      </c>
      <c r="O41" s="8">
        <v>0</v>
      </c>
      <c r="P41" s="8">
        <v>0</v>
      </c>
      <c r="Q41" s="7">
        <v>453</v>
      </c>
      <c r="R41" s="8">
        <v>1</v>
      </c>
      <c r="S41" s="8">
        <f t="shared" si="7"/>
        <v>451</v>
      </c>
      <c r="U41" s="6">
        <v>14.08</v>
      </c>
      <c r="V41" s="6">
        <f t="shared" si="8"/>
        <v>16.480000000000004</v>
      </c>
      <c r="W41" s="84">
        <v>1</v>
      </c>
      <c r="X41" s="8">
        <v>0</v>
      </c>
      <c r="Y41" s="84">
        <v>1</v>
      </c>
      <c r="Z41" s="8">
        <v>0</v>
      </c>
      <c r="AA41" s="8">
        <v>0</v>
      </c>
      <c r="AB41" s="22">
        <v>0</v>
      </c>
      <c r="AC41" s="84">
        <v>0</v>
      </c>
      <c r="AD41" s="8">
        <v>1</v>
      </c>
      <c r="AE41" s="22">
        <v>0</v>
      </c>
      <c r="AF41" s="84">
        <v>1</v>
      </c>
      <c r="AG41" s="22">
        <v>0</v>
      </c>
      <c r="AH41" s="74">
        <v>1993</v>
      </c>
      <c r="AI41" t="s">
        <v>61</v>
      </c>
      <c r="AJ41" t="s">
        <v>61</v>
      </c>
      <c r="AK41" t="s">
        <v>61</v>
      </c>
      <c r="AL41" t="s">
        <v>61</v>
      </c>
      <c r="AM41" s="29" t="s">
        <v>61</v>
      </c>
      <c r="AN41" t="s">
        <v>61</v>
      </c>
      <c r="AO41" s="29">
        <v>0.46</v>
      </c>
      <c r="AP41">
        <v>0.54</v>
      </c>
      <c r="AQ41" s="29">
        <v>0.94</v>
      </c>
      <c r="AR41" s="70">
        <f t="shared" si="9"/>
        <v>6.0000000000000053E-2</v>
      </c>
      <c r="AU41" s="29">
        <v>0.45</v>
      </c>
      <c r="AV41" s="12">
        <f t="shared" si="10"/>
        <v>0.55000000000000004</v>
      </c>
      <c r="AW41" s="12">
        <v>1</v>
      </c>
      <c r="AX41" s="12">
        <v>0</v>
      </c>
      <c r="AY41" s="12">
        <v>0</v>
      </c>
      <c r="AZ41" s="65" t="s">
        <v>95</v>
      </c>
      <c r="BN41" s="67">
        <v>36.56</v>
      </c>
      <c r="BO41">
        <v>0</v>
      </c>
      <c r="BP41">
        <v>0</v>
      </c>
      <c r="BQ41">
        <v>0</v>
      </c>
      <c r="BR41">
        <v>0</v>
      </c>
      <c r="BS41">
        <v>1</v>
      </c>
      <c r="BT41">
        <v>0</v>
      </c>
      <c r="BY41">
        <v>0</v>
      </c>
      <c r="BZ41" s="29">
        <v>0</v>
      </c>
      <c r="CA41">
        <v>0</v>
      </c>
      <c r="CB41">
        <v>0</v>
      </c>
      <c r="CC41" s="29">
        <v>0</v>
      </c>
      <c r="CD41">
        <v>0</v>
      </c>
      <c r="CE41">
        <v>0</v>
      </c>
      <c r="CF41">
        <v>0</v>
      </c>
      <c r="CG41">
        <v>0</v>
      </c>
      <c r="CH41">
        <v>0</v>
      </c>
      <c r="CI41">
        <v>0</v>
      </c>
      <c r="CJ41">
        <v>0</v>
      </c>
      <c r="CK41">
        <v>0</v>
      </c>
      <c r="CL41">
        <v>0</v>
      </c>
      <c r="CM41">
        <v>0</v>
      </c>
      <c r="CN41" s="17">
        <v>0</v>
      </c>
      <c r="CT41" t="s">
        <v>48</v>
      </c>
    </row>
    <row r="42" spans="1:98" x14ac:dyDescent="0.25">
      <c r="A42">
        <v>41</v>
      </c>
      <c r="B42">
        <v>3</v>
      </c>
      <c r="C42" t="s">
        <v>279</v>
      </c>
      <c r="D42" s="10">
        <v>9.5</v>
      </c>
      <c r="E42" s="6">
        <v>2.7</v>
      </c>
      <c r="F42" s="6">
        <f t="shared" si="4"/>
        <v>3.5185185185185182</v>
      </c>
      <c r="L42" s="84">
        <v>1</v>
      </c>
      <c r="M42" s="8">
        <v>0</v>
      </c>
      <c r="N42" s="8">
        <v>0</v>
      </c>
      <c r="O42" s="8">
        <v>0</v>
      </c>
      <c r="P42" s="8">
        <v>0</v>
      </c>
      <c r="Q42" s="7">
        <v>453</v>
      </c>
      <c r="R42" s="8">
        <v>1</v>
      </c>
      <c r="S42" s="8">
        <f t="shared" si="7"/>
        <v>451</v>
      </c>
      <c r="U42" s="6">
        <v>14.08</v>
      </c>
      <c r="V42" s="6">
        <f t="shared" si="8"/>
        <v>16.480000000000004</v>
      </c>
      <c r="W42" s="84">
        <v>1</v>
      </c>
      <c r="X42" s="8">
        <v>0</v>
      </c>
      <c r="Y42" s="84">
        <v>1</v>
      </c>
      <c r="Z42" s="8">
        <v>0</v>
      </c>
      <c r="AA42" s="8">
        <v>0</v>
      </c>
      <c r="AB42" s="22">
        <v>0</v>
      </c>
      <c r="AC42" s="84">
        <v>0</v>
      </c>
      <c r="AD42" s="8">
        <v>1</v>
      </c>
      <c r="AE42" s="22">
        <v>0</v>
      </c>
      <c r="AF42" s="84">
        <v>1</v>
      </c>
      <c r="AG42" s="22">
        <v>0</v>
      </c>
      <c r="AH42" s="74">
        <v>1993</v>
      </c>
      <c r="AI42" t="s">
        <v>61</v>
      </c>
      <c r="AJ42" t="s">
        <v>61</v>
      </c>
      <c r="AK42" t="s">
        <v>61</v>
      </c>
      <c r="AL42" t="s">
        <v>61</v>
      </c>
      <c r="AM42" s="29" t="s">
        <v>61</v>
      </c>
      <c r="AN42" t="s">
        <v>61</v>
      </c>
      <c r="AO42" s="29">
        <v>0.46</v>
      </c>
      <c r="AP42">
        <v>0.54</v>
      </c>
      <c r="AQ42" s="29">
        <v>0.94</v>
      </c>
      <c r="AR42" s="70">
        <f t="shared" si="9"/>
        <v>6.0000000000000053E-2</v>
      </c>
      <c r="AU42" s="29">
        <v>0.45</v>
      </c>
      <c r="AV42" s="12">
        <f t="shared" si="10"/>
        <v>0.55000000000000004</v>
      </c>
      <c r="AW42" s="12">
        <v>1</v>
      </c>
      <c r="AX42" s="12">
        <v>0</v>
      </c>
      <c r="AY42" s="12">
        <v>0</v>
      </c>
      <c r="AZ42" s="65" t="s">
        <v>95</v>
      </c>
      <c r="BN42" s="67">
        <v>36.56</v>
      </c>
      <c r="BO42">
        <v>0</v>
      </c>
      <c r="BP42">
        <v>0</v>
      </c>
      <c r="BQ42">
        <v>0</v>
      </c>
      <c r="BR42">
        <v>0</v>
      </c>
      <c r="BS42">
        <v>0</v>
      </c>
      <c r="BT42">
        <v>0</v>
      </c>
      <c r="BY42">
        <v>1</v>
      </c>
      <c r="BZ42" s="29">
        <v>0</v>
      </c>
      <c r="CA42">
        <v>0</v>
      </c>
      <c r="CB42">
        <v>0</v>
      </c>
      <c r="CC42" s="29">
        <v>0</v>
      </c>
      <c r="CD42">
        <v>0</v>
      </c>
      <c r="CE42">
        <v>0</v>
      </c>
      <c r="CF42">
        <v>0</v>
      </c>
      <c r="CG42">
        <v>0</v>
      </c>
      <c r="CH42">
        <v>0</v>
      </c>
      <c r="CI42">
        <v>0</v>
      </c>
      <c r="CJ42">
        <v>0</v>
      </c>
      <c r="CK42">
        <v>0</v>
      </c>
      <c r="CL42">
        <v>0</v>
      </c>
      <c r="CM42">
        <v>0</v>
      </c>
      <c r="CN42" s="17">
        <v>0</v>
      </c>
      <c r="CT42" t="s">
        <v>48</v>
      </c>
    </row>
    <row r="43" spans="1:98" x14ac:dyDescent="0.25">
      <c r="A43">
        <v>42</v>
      </c>
      <c r="B43">
        <v>3</v>
      </c>
      <c r="C43" t="s">
        <v>279</v>
      </c>
      <c r="D43" s="10">
        <v>11.1</v>
      </c>
      <c r="E43" s="6">
        <v>0.9</v>
      </c>
      <c r="F43" s="6">
        <f t="shared" si="4"/>
        <v>12.333333333333332</v>
      </c>
      <c r="L43" s="84">
        <v>1</v>
      </c>
      <c r="M43" s="8">
        <v>0</v>
      </c>
      <c r="N43" s="8">
        <v>0</v>
      </c>
      <c r="O43" s="8">
        <v>0</v>
      </c>
      <c r="P43" s="8">
        <v>0</v>
      </c>
      <c r="Q43" s="7">
        <v>890</v>
      </c>
      <c r="R43" s="8">
        <v>8</v>
      </c>
      <c r="S43" s="8">
        <f t="shared" si="7"/>
        <v>881</v>
      </c>
      <c r="U43" s="6">
        <v>14.08</v>
      </c>
      <c r="V43" s="6">
        <f t="shared" si="8"/>
        <v>16.480000000000004</v>
      </c>
      <c r="W43" s="84">
        <v>1</v>
      </c>
      <c r="X43" s="8">
        <v>0</v>
      </c>
      <c r="Y43" s="84">
        <v>1</v>
      </c>
      <c r="Z43" s="8">
        <v>0</v>
      </c>
      <c r="AA43" s="8">
        <v>0</v>
      </c>
      <c r="AB43" s="22">
        <v>0</v>
      </c>
      <c r="AC43" s="84">
        <v>0</v>
      </c>
      <c r="AD43" s="8">
        <v>1</v>
      </c>
      <c r="AE43" s="22">
        <v>0</v>
      </c>
      <c r="AF43" s="84">
        <v>1</v>
      </c>
      <c r="AG43" s="22">
        <v>0</v>
      </c>
      <c r="AH43" s="74">
        <v>1993</v>
      </c>
      <c r="AI43" t="s">
        <v>61</v>
      </c>
      <c r="AJ43" t="s">
        <v>61</v>
      </c>
      <c r="AK43" t="s">
        <v>61</v>
      </c>
      <c r="AL43" t="s">
        <v>61</v>
      </c>
      <c r="AM43" s="29" t="s">
        <v>61</v>
      </c>
      <c r="AN43" t="s">
        <v>61</v>
      </c>
      <c r="AO43" s="29">
        <v>0.46</v>
      </c>
      <c r="AP43">
        <v>0.54</v>
      </c>
      <c r="AQ43" s="29">
        <v>0.94</v>
      </c>
      <c r="AR43" s="70">
        <f t="shared" si="9"/>
        <v>6.0000000000000053E-2</v>
      </c>
      <c r="AU43" s="29">
        <v>0.45</v>
      </c>
      <c r="AV43" s="12">
        <f t="shared" si="10"/>
        <v>0.55000000000000004</v>
      </c>
      <c r="AW43" s="12">
        <v>1</v>
      </c>
      <c r="AX43" s="12">
        <v>0</v>
      </c>
      <c r="AY43" s="12">
        <v>0</v>
      </c>
      <c r="AZ43" s="65" t="s">
        <v>95</v>
      </c>
      <c r="BN43" s="67">
        <v>36.56</v>
      </c>
      <c r="BO43">
        <v>1</v>
      </c>
      <c r="BP43">
        <v>0</v>
      </c>
      <c r="BQ43">
        <v>0</v>
      </c>
      <c r="BR43">
        <v>0</v>
      </c>
      <c r="BS43">
        <v>0</v>
      </c>
      <c r="BT43">
        <v>0</v>
      </c>
      <c r="BY43">
        <v>0</v>
      </c>
      <c r="BZ43" s="29">
        <v>0</v>
      </c>
      <c r="CA43">
        <v>0</v>
      </c>
      <c r="CB43">
        <v>0</v>
      </c>
      <c r="CC43" s="29">
        <v>1</v>
      </c>
      <c r="CD43">
        <v>1</v>
      </c>
      <c r="CE43">
        <v>1</v>
      </c>
      <c r="CF43">
        <v>0</v>
      </c>
      <c r="CG43">
        <v>1</v>
      </c>
      <c r="CH43">
        <v>0</v>
      </c>
      <c r="CI43">
        <v>1</v>
      </c>
      <c r="CJ43">
        <v>1</v>
      </c>
      <c r="CK43">
        <v>0</v>
      </c>
      <c r="CL43">
        <v>1</v>
      </c>
      <c r="CM43">
        <v>0</v>
      </c>
      <c r="CN43" s="17">
        <v>0</v>
      </c>
      <c r="CT43" t="s">
        <v>48</v>
      </c>
    </row>
    <row r="44" spans="1:98" x14ac:dyDescent="0.25">
      <c r="A44">
        <v>43</v>
      </c>
      <c r="B44">
        <v>3</v>
      </c>
      <c r="C44" t="s">
        <v>279</v>
      </c>
      <c r="D44" s="10">
        <v>8.9</v>
      </c>
      <c r="E44" s="6">
        <v>1.6</v>
      </c>
      <c r="F44" s="6">
        <f t="shared" si="4"/>
        <v>5.5625</v>
      </c>
      <c r="L44" s="84">
        <v>1</v>
      </c>
      <c r="M44" s="8">
        <v>0</v>
      </c>
      <c r="N44" s="8">
        <v>0</v>
      </c>
      <c r="O44" s="8">
        <v>0</v>
      </c>
      <c r="P44" s="8">
        <v>0</v>
      </c>
      <c r="Q44" s="7">
        <v>445</v>
      </c>
      <c r="R44" s="8">
        <v>4</v>
      </c>
      <c r="S44" s="8">
        <f t="shared" si="7"/>
        <v>440</v>
      </c>
      <c r="U44" s="6">
        <v>14.08</v>
      </c>
      <c r="V44" s="6">
        <f t="shared" si="8"/>
        <v>16.480000000000004</v>
      </c>
      <c r="W44" s="84">
        <v>1</v>
      </c>
      <c r="X44" s="8">
        <v>0</v>
      </c>
      <c r="Y44" s="84">
        <v>1</v>
      </c>
      <c r="Z44" s="8">
        <v>0</v>
      </c>
      <c r="AA44" s="8">
        <v>0</v>
      </c>
      <c r="AB44" s="22">
        <v>0</v>
      </c>
      <c r="AC44" s="84">
        <v>0</v>
      </c>
      <c r="AD44" s="8">
        <v>1</v>
      </c>
      <c r="AE44" s="22">
        <v>0</v>
      </c>
      <c r="AF44" s="84">
        <v>1</v>
      </c>
      <c r="AG44" s="22">
        <v>0</v>
      </c>
      <c r="AH44" s="74">
        <v>1993</v>
      </c>
      <c r="AI44" t="s">
        <v>61</v>
      </c>
      <c r="AJ44" t="s">
        <v>61</v>
      </c>
      <c r="AK44" t="s">
        <v>61</v>
      </c>
      <c r="AL44" t="s">
        <v>61</v>
      </c>
      <c r="AM44" s="29" t="s">
        <v>61</v>
      </c>
      <c r="AN44" t="s">
        <v>61</v>
      </c>
      <c r="AO44" s="29">
        <v>0.46</v>
      </c>
      <c r="AP44">
        <v>0.54</v>
      </c>
      <c r="AQ44" s="29">
        <v>0.94</v>
      </c>
      <c r="AR44" s="70">
        <f t="shared" si="9"/>
        <v>6.0000000000000053E-2</v>
      </c>
      <c r="AU44" s="29">
        <v>0.45</v>
      </c>
      <c r="AV44" s="12">
        <f t="shared" si="10"/>
        <v>0.55000000000000004</v>
      </c>
      <c r="AW44" s="12">
        <v>1</v>
      </c>
      <c r="AX44" s="12">
        <v>0</v>
      </c>
      <c r="AY44" s="12">
        <v>0</v>
      </c>
      <c r="AZ44" s="65" t="s">
        <v>95</v>
      </c>
      <c r="BN44" s="67">
        <v>36.56</v>
      </c>
      <c r="BO44">
        <v>0</v>
      </c>
      <c r="BP44">
        <v>0</v>
      </c>
      <c r="BQ44">
        <v>0</v>
      </c>
      <c r="BR44">
        <v>0</v>
      </c>
      <c r="BS44">
        <v>1</v>
      </c>
      <c r="BT44">
        <v>0</v>
      </c>
      <c r="BY44">
        <v>0</v>
      </c>
      <c r="BZ44" s="29">
        <v>0</v>
      </c>
      <c r="CA44">
        <v>0</v>
      </c>
      <c r="CB44">
        <v>0</v>
      </c>
      <c r="CC44" s="29">
        <v>0</v>
      </c>
      <c r="CD44">
        <v>0</v>
      </c>
      <c r="CE44">
        <v>1</v>
      </c>
      <c r="CF44">
        <v>0</v>
      </c>
      <c r="CG44">
        <v>0</v>
      </c>
      <c r="CH44">
        <v>0</v>
      </c>
      <c r="CI44">
        <v>0</v>
      </c>
      <c r="CJ44">
        <v>1</v>
      </c>
      <c r="CK44">
        <v>0</v>
      </c>
      <c r="CL44">
        <v>1</v>
      </c>
      <c r="CM44">
        <v>0</v>
      </c>
      <c r="CN44" s="17">
        <v>0</v>
      </c>
      <c r="CT44" t="s">
        <v>48</v>
      </c>
    </row>
    <row r="45" spans="1:98" x14ac:dyDescent="0.25">
      <c r="A45">
        <v>44</v>
      </c>
      <c r="B45">
        <v>3</v>
      </c>
      <c r="C45" t="s">
        <v>279</v>
      </c>
      <c r="D45" s="10">
        <v>11</v>
      </c>
      <c r="E45" s="6">
        <v>2.7</v>
      </c>
      <c r="F45" s="6">
        <f t="shared" si="4"/>
        <v>4.0740740740740735</v>
      </c>
      <c r="L45" s="84">
        <v>1</v>
      </c>
      <c r="M45" s="8">
        <v>0</v>
      </c>
      <c r="N45" s="8">
        <v>0</v>
      </c>
      <c r="O45" s="8">
        <v>0</v>
      </c>
      <c r="P45" s="8">
        <v>0</v>
      </c>
      <c r="Q45" s="7">
        <v>445</v>
      </c>
      <c r="R45" s="8">
        <v>4</v>
      </c>
      <c r="S45" s="8">
        <f t="shared" si="7"/>
        <v>440</v>
      </c>
      <c r="U45" s="6">
        <v>14.08</v>
      </c>
      <c r="V45" s="6">
        <f t="shared" si="8"/>
        <v>16.480000000000004</v>
      </c>
      <c r="W45" s="84">
        <v>1</v>
      </c>
      <c r="X45" s="8">
        <v>0</v>
      </c>
      <c r="Y45" s="84">
        <v>1</v>
      </c>
      <c r="Z45" s="8">
        <v>0</v>
      </c>
      <c r="AA45" s="8">
        <v>0</v>
      </c>
      <c r="AB45" s="22">
        <v>0</v>
      </c>
      <c r="AC45" s="84">
        <v>0</v>
      </c>
      <c r="AD45" s="8">
        <v>1</v>
      </c>
      <c r="AE45" s="22">
        <v>0</v>
      </c>
      <c r="AF45" s="84">
        <v>1</v>
      </c>
      <c r="AG45" s="22">
        <v>0</v>
      </c>
      <c r="AH45" s="74">
        <v>1993</v>
      </c>
      <c r="AI45" t="s">
        <v>61</v>
      </c>
      <c r="AJ45" t="s">
        <v>61</v>
      </c>
      <c r="AK45" t="s">
        <v>61</v>
      </c>
      <c r="AL45" t="s">
        <v>61</v>
      </c>
      <c r="AM45" s="29" t="s">
        <v>61</v>
      </c>
      <c r="AN45" t="s">
        <v>61</v>
      </c>
      <c r="AO45" s="29">
        <v>0.46</v>
      </c>
      <c r="AP45">
        <v>0.54</v>
      </c>
      <c r="AQ45" s="29">
        <v>0.94</v>
      </c>
      <c r="AR45" s="70">
        <f t="shared" si="9"/>
        <v>6.0000000000000053E-2</v>
      </c>
      <c r="AU45" s="29">
        <v>0.45</v>
      </c>
      <c r="AV45" s="12">
        <f t="shared" si="10"/>
        <v>0.55000000000000004</v>
      </c>
      <c r="AW45" s="12">
        <v>1</v>
      </c>
      <c r="AX45" s="12">
        <v>0</v>
      </c>
      <c r="AY45" s="12">
        <v>0</v>
      </c>
      <c r="AZ45" s="65" t="s">
        <v>95</v>
      </c>
      <c r="BN45" s="67">
        <v>36.56</v>
      </c>
      <c r="BO45">
        <v>0</v>
      </c>
      <c r="BP45">
        <v>0</v>
      </c>
      <c r="BQ45">
        <v>0</v>
      </c>
      <c r="BR45">
        <v>0</v>
      </c>
      <c r="BS45">
        <v>0</v>
      </c>
      <c r="BT45">
        <v>0</v>
      </c>
      <c r="BY45">
        <v>1</v>
      </c>
      <c r="BZ45" s="29">
        <v>0</v>
      </c>
      <c r="CA45">
        <v>0</v>
      </c>
      <c r="CB45">
        <v>0</v>
      </c>
      <c r="CC45" s="29">
        <v>0</v>
      </c>
      <c r="CD45">
        <v>0</v>
      </c>
      <c r="CE45">
        <v>1</v>
      </c>
      <c r="CF45">
        <v>0</v>
      </c>
      <c r="CG45">
        <v>0</v>
      </c>
      <c r="CH45">
        <v>0</v>
      </c>
      <c r="CI45">
        <v>0</v>
      </c>
      <c r="CJ45">
        <v>1</v>
      </c>
      <c r="CK45">
        <v>0</v>
      </c>
      <c r="CL45">
        <v>1</v>
      </c>
      <c r="CM45">
        <v>0</v>
      </c>
      <c r="CN45" s="17">
        <v>0</v>
      </c>
      <c r="CT45" t="s">
        <v>48</v>
      </c>
    </row>
    <row r="46" spans="1:98" x14ac:dyDescent="0.25">
      <c r="A46">
        <v>45</v>
      </c>
      <c r="B46">
        <v>3</v>
      </c>
      <c r="C46" t="s">
        <v>279</v>
      </c>
      <c r="D46" s="10">
        <v>7.1</v>
      </c>
      <c r="E46" s="6">
        <v>1.6</v>
      </c>
      <c r="F46" s="6">
        <f t="shared" si="4"/>
        <v>4.4374999999999991</v>
      </c>
      <c r="L46" s="84">
        <v>1</v>
      </c>
      <c r="M46" s="8">
        <v>0</v>
      </c>
      <c r="N46" s="8">
        <v>0</v>
      </c>
      <c r="O46" s="8">
        <v>0</v>
      </c>
      <c r="P46" s="8">
        <v>0</v>
      </c>
      <c r="Q46" s="7">
        <v>445</v>
      </c>
      <c r="R46" s="8">
        <v>4</v>
      </c>
      <c r="S46" s="8">
        <f t="shared" si="7"/>
        <v>440</v>
      </c>
      <c r="U46" s="6">
        <v>14.08</v>
      </c>
      <c r="V46" s="6">
        <f t="shared" si="8"/>
        <v>16.480000000000004</v>
      </c>
      <c r="W46" s="84">
        <v>1</v>
      </c>
      <c r="X46" s="8">
        <v>0</v>
      </c>
      <c r="Y46" s="84">
        <v>1</v>
      </c>
      <c r="Z46" s="8">
        <v>0</v>
      </c>
      <c r="AA46" s="8">
        <v>0</v>
      </c>
      <c r="AB46" s="22">
        <v>0</v>
      </c>
      <c r="AC46" s="84">
        <v>0</v>
      </c>
      <c r="AD46" s="8">
        <v>1</v>
      </c>
      <c r="AE46" s="22">
        <v>0</v>
      </c>
      <c r="AF46" s="84">
        <v>1</v>
      </c>
      <c r="AG46" s="22">
        <v>0</v>
      </c>
      <c r="AH46" s="74">
        <v>1993</v>
      </c>
      <c r="AI46" t="s">
        <v>61</v>
      </c>
      <c r="AJ46" t="s">
        <v>61</v>
      </c>
      <c r="AK46" t="s">
        <v>61</v>
      </c>
      <c r="AL46" t="s">
        <v>61</v>
      </c>
      <c r="AM46" s="29" t="s">
        <v>61</v>
      </c>
      <c r="AN46" t="s">
        <v>61</v>
      </c>
      <c r="AO46" s="29">
        <v>0.46</v>
      </c>
      <c r="AP46">
        <v>0.54</v>
      </c>
      <c r="AQ46" s="29">
        <v>0.94</v>
      </c>
      <c r="AR46" s="70">
        <f t="shared" si="9"/>
        <v>6.0000000000000053E-2</v>
      </c>
      <c r="AU46" s="29">
        <v>0.45</v>
      </c>
      <c r="AV46" s="12">
        <f t="shared" si="10"/>
        <v>0.55000000000000004</v>
      </c>
      <c r="AW46" s="12">
        <v>1</v>
      </c>
      <c r="AX46" s="12">
        <v>0</v>
      </c>
      <c r="AY46" s="12">
        <v>0</v>
      </c>
      <c r="AZ46" s="65" t="s">
        <v>95</v>
      </c>
      <c r="BN46" s="67">
        <v>36.56</v>
      </c>
      <c r="BO46">
        <v>0</v>
      </c>
      <c r="BP46">
        <v>0</v>
      </c>
      <c r="BQ46">
        <v>0</v>
      </c>
      <c r="BR46">
        <v>0</v>
      </c>
      <c r="BS46">
        <v>1</v>
      </c>
      <c r="BT46">
        <v>0</v>
      </c>
      <c r="BY46">
        <v>0</v>
      </c>
      <c r="BZ46" s="29">
        <v>0</v>
      </c>
      <c r="CA46">
        <v>0</v>
      </c>
      <c r="CB46">
        <v>0</v>
      </c>
      <c r="CC46" s="29">
        <v>0</v>
      </c>
      <c r="CD46">
        <v>0</v>
      </c>
      <c r="CE46">
        <v>1</v>
      </c>
      <c r="CF46">
        <v>0</v>
      </c>
      <c r="CG46">
        <v>0</v>
      </c>
      <c r="CH46">
        <v>0</v>
      </c>
      <c r="CI46">
        <v>0</v>
      </c>
      <c r="CJ46">
        <v>1</v>
      </c>
      <c r="CK46">
        <v>0</v>
      </c>
      <c r="CL46">
        <v>1</v>
      </c>
      <c r="CM46">
        <v>0</v>
      </c>
      <c r="CN46" s="17">
        <v>0</v>
      </c>
      <c r="CT46" t="s">
        <v>48</v>
      </c>
    </row>
    <row r="47" spans="1:98" x14ac:dyDescent="0.25">
      <c r="A47">
        <v>46</v>
      </c>
      <c r="B47">
        <v>3</v>
      </c>
      <c r="C47" t="s">
        <v>279</v>
      </c>
      <c r="D47" s="10">
        <v>11.9</v>
      </c>
      <c r="E47" s="6">
        <v>2.1</v>
      </c>
      <c r="F47" s="6">
        <f t="shared" si="4"/>
        <v>5.666666666666667</v>
      </c>
      <c r="L47" s="84">
        <v>1</v>
      </c>
      <c r="M47" s="8">
        <v>0</v>
      </c>
      <c r="N47" s="8">
        <v>0</v>
      </c>
      <c r="O47" s="8">
        <v>0</v>
      </c>
      <c r="P47" s="8">
        <v>0</v>
      </c>
      <c r="Q47" s="7">
        <v>445</v>
      </c>
      <c r="R47" s="8">
        <v>4</v>
      </c>
      <c r="S47" s="8">
        <f t="shared" si="7"/>
        <v>440</v>
      </c>
      <c r="U47" s="6">
        <v>14.08</v>
      </c>
      <c r="V47" s="6">
        <f t="shared" si="8"/>
        <v>16.480000000000004</v>
      </c>
      <c r="W47" s="84">
        <v>1</v>
      </c>
      <c r="X47" s="8">
        <v>0</v>
      </c>
      <c r="Y47" s="84">
        <v>1</v>
      </c>
      <c r="Z47" s="8">
        <v>0</v>
      </c>
      <c r="AA47" s="8">
        <v>0</v>
      </c>
      <c r="AB47" s="22">
        <v>0</v>
      </c>
      <c r="AC47" s="84">
        <v>0</v>
      </c>
      <c r="AD47" s="8">
        <v>1</v>
      </c>
      <c r="AE47" s="22">
        <v>0</v>
      </c>
      <c r="AF47" s="84">
        <v>1</v>
      </c>
      <c r="AG47" s="22">
        <v>0</v>
      </c>
      <c r="AH47" s="74">
        <v>1993</v>
      </c>
      <c r="AI47" t="s">
        <v>61</v>
      </c>
      <c r="AJ47" t="s">
        <v>61</v>
      </c>
      <c r="AK47" t="s">
        <v>61</v>
      </c>
      <c r="AL47" t="s">
        <v>61</v>
      </c>
      <c r="AM47" s="29" t="s">
        <v>61</v>
      </c>
      <c r="AN47" t="s">
        <v>61</v>
      </c>
      <c r="AO47" s="29">
        <v>0.46</v>
      </c>
      <c r="AP47">
        <v>0.54</v>
      </c>
      <c r="AQ47" s="29">
        <v>0.94</v>
      </c>
      <c r="AR47" s="70">
        <f t="shared" si="9"/>
        <v>6.0000000000000053E-2</v>
      </c>
      <c r="AU47" s="29">
        <v>0.45</v>
      </c>
      <c r="AV47" s="12">
        <f t="shared" si="10"/>
        <v>0.55000000000000004</v>
      </c>
      <c r="AW47" s="12">
        <v>1</v>
      </c>
      <c r="AX47" s="12">
        <v>0</v>
      </c>
      <c r="AY47" s="12">
        <v>0</v>
      </c>
      <c r="AZ47" s="65" t="s">
        <v>95</v>
      </c>
      <c r="BN47" s="67">
        <v>36.56</v>
      </c>
      <c r="BO47">
        <v>0</v>
      </c>
      <c r="BP47">
        <v>0</v>
      </c>
      <c r="BQ47">
        <v>0</v>
      </c>
      <c r="BR47">
        <v>0</v>
      </c>
      <c r="BS47">
        <v>0</v>
      </c>
      <c r="BT47">
        <v>0</v>
      </c>
      <c r="BY47">
        <v>1</v>
      </c>
      <c r="BZ47" s="29">
        <v>0</v>
      </c>
      <c r="CA47">
        <v>0</v>
      </c>
      <c r="CB47">
        <v>0</v>
      </c>
      <c r="CC47" s="29">
        <v>0</v>
      </c>
      <c r="CD47">
        <v>0</v>
      </c>
      <c r="CE47">
        <v>1</v>
      </c>
      <c r="CF47">
        <v>0</v>
      </c>
      <c r="CG47">
        <v>0</v>
      </c>
      <c r="CH47">
        <v>0</v>
      </c>
      <c r="CI47">
        <v>0</v>
      </c>
      <c r="CJ47">
        <v>1</v>
      </c>
      <c r="CK47">
        <v>0</v>
      </c>
      <c r="CL47">
        <v>1</v>
      </c>
      <c r="CM47">
        <v>0</v>
      </c>
      <c r="CN47" s="17">
        <v>0</v>
      </c>
      <c r="CT47" t="s">
        <v>48</v>
      </c>
    </row>
    <row r="48" spans="1:98" x14ac:dyDescent="0.25">
      <c r="A48">
        <v>47</v>
      </c>
      <c r="B48">
        <v>3</v>
      </c>
      <c r="C48" t="s">
        <v>279</v>
      </c>
      <c r="D48" s="10">
        <v>11.5</v>
      </c>
      <c r="E48" s="6">
        <v>1</v>
      </c>
      <c r="F48" s="6">
        <f t="shared" si="4"/>
        <v>11.5</v>
      </c>
      <c r="L48" s="84">
        <v>1</v>
      </c>
      <c r="M48" s="8">
        <v>0</v>
      </c>
      <c r="N48" s="8">
        <v>0</v>
      </c>
      <c r="O48" s="8">
        <v>0</v>
      </c>
      <c r="P48" s="8">
        <v>0</v>
      </c>
      <c r="Q48" s="7">
        <v>588</v>
      </c>
      <c r="R48" s="8">
        <v>8</v>
      </c>
      <c r="S48" s="8">
        <f t="shared" si="7"/>
        <v>579</v>
      </c>
      <c r="U48" s="6">
        <v>14.08</v>
      </c>
      <c r="V48" s="6">
        <f t="shared" si="8"/>
        <v>16.480000000000004</v>
      </c>
      <c r="W48" s="84">
        <v>1</v>
      </c>
      <c r="X48" s="8">
        <v>0</v>
      </c>
      <c r="Y48" s="84">
        <v>1</v>
      </c>
      <c r="Z48" s="8">
        <v>0</v>
      </c>
      <c r="AA48" s="8">
        <v>0</v>
      </c>
      <c r="AB48" s="22">
        <v>0</v>
      </c>
      <c r="AC48" s="84">
        <v>0</v>
      </c>
      <c r="AD48" s="8">
        <v>1</v>
      </c>
      <c r="AE48" s="22">
        <v>0</v>
      </c>
      <c r="AF48" s="84">
        <v>1</v>
      </c>
      <c r="AG48" s="22">
        <v>0</v>
      </c>
      <c r="AH48" s="74">
        <v>1993</v>
      </c>
      <c r="AI48" t="s">
        <v>61</v>
      </c>
      <c r="AJ48" t="s">
        <v>61</v>
      </c>
      <c r="AK48" t="s">
        <v>61</v>
      </c>
      <c r="AL48" t="s">
        <v>61</v>
      </c>
      <c r="AM48" s="29" t="s">
        <v>61</v>
      </c>
      <c r="AN48" t="s">
        <v>61</v>
      </c>
      <c r="AO48" s="29">
        <v>0.46</v>
      </c>
      <c r="AP48">
        <v>0.54</v>
      </c>
      <c r="AQ48" s="29">
        <v>0.94</v>
      </c>
      <c r="AR48" s="70">
        <f t="shared" si="9"/>
        <v>6.0000000000000053E-2</v>
      </c>
      <c r="AU48" s="29">
        <v>0.45</v>
      </c>
      <c r="AV48" s="12">
        <f t="shared" si="10"/>
        <v>0.55000000000000004</v>
      </c>
      <c r="AW48" s="12">
        <v>1</v>
      </c>
      <c r="AX48" s="12">
        <v>0</v>
      </c>
      <c r="AY48" s="12">
        <v>0</v>
      </c>
      <c r="AZ48" s="65" t="s">
        <v>95</v>
      </c>
      <c r="BN48" s="67">
        <v>36.56</v>
      </c>
      <c r="BO48">
        <v>0</v>
      </c>
      <c r="BP48">
        <v>0</v>
      </c>
      <c r="BQ48">
        <v>0</v>
      </c>
      <c r="BR48">
        <v>0</v>
      </c>
      <c r="BS48">
        <v>0</v>
      </c>
      <c r="BT48">
        <v>0</v>
      </c>
      <c r="BY48">
        <v>0</v>
      </c>
      <c r="BZ48" s="29">
        <v>0</v>
      </c>
      <c r="CA48">
        <v>0</v>
      </c>
      <c r="CB48">
        <v>0</v>
      </c>
      <c r="CC48" s="29">
        <v>1</v>
      </c>
      <c r="CD48">
        <v>1</v>
      </c>
      <c r="CE48">
        <v>1</v>
      </c>
      <c r="CF48">
        <v>0</v>
      </c>
      <c r="CG48">
        <v>1</v>
      </c>
      <c r="CH48">
        <v>0</v>
      </c>
      <c r="CI48">
        <v>1</v>
      </c>
      <c r="CJ48">
        <v>1</v>
      </c>
      <c r="CK48">
        <v>0</v>
      </c>
      <c r="CL48">
        <v>1</v>
      </c>
      <c r="CM48">
        <v>0</v>
      </c>
      <c r="CN48" s="17">
        <v>0</v>
      </c>
      <c r="CT48" t="s">
        <v>48</v>
      </c>
    </row>
    <row r="49" spans="1:98" x14ac:dyDescent="0.25">
      <c r="A49">
        <v>48</v>
      </c>
      <c r="B49">
        <v>3</v>
      </c>
      <c r="C49" t="s">
        <v>279</v>
      </c>
      <c r="D49" s="10">
        <v>6.9</v>
      </c>
      <c r="E49" s="6">
        <v>2.2000000000000002</v>
      </c>
      <c r="F49" s="6">
        <f t="shared" si="4"/>
        <v>3.1363636363636362</v>
      </c>
      <c r="L49" s="84">
        <v>1</v>
      </c>
      <c r="M49" s="8">
        <v>0</v>
      </c>
      <c r="N49" s="8">
        <v>0</v>
      </c>
      <c r="O49" s="8">
        <v>0</v>
      </c>
      <c r="P49" s="8">
        <v>0</v>
      </c>
      <c r="Q49" s="7">
        <v>294</v>
      </c>
      <c r="R49" s="8">
        <v>4</v>
      </c>
      <c r="S49" s="8">
        <f t="shared" si="7"/>
        <v>289</v>
      </c>
      <c r="U49" s="75">
        <v>14.11</v>
      </c>
      <c r="V49" s="6">
        <f t="shared" si="8"/>
        <v>17.770000000000003</v>
      </c>
      <c r="W49" s="84">
        <v>1</v>
      </c>
      <c r="X49" s="8">
        <v>0</v>
      </c>
      <c r="Y49" s="84">
        <v>1</v>
      </c>
      <c r="Z49" s="8">
        <v>0</v>
      </c>
      <c r="AA49" s="8">
        <v>0</v>
      </c>
      <c r="AB49" s="22">
        <v>0</v>
      </c>
      <c r="AC49" s="84">
        <v>0</v>
      </c>
      <c r="AD49" s="8">
        <v>1</v>
      </c>
      <c r="AE49" s="22">
        <v>0</v>
      </c>
      <c r="AF49" s="84">
        <v>1</v>
      </c>
      <c r="AG49" s="22">
        <v>0</v>
      </c>
      <c r="AH49" s="74">
        <v>1993</v>
      </c>
      <c r="AI49" t="s">
        <v>61</v>
      </c>
      <c r="AJ49" t="s">
        <v>61</v>
      </c>
      <c r="AK49" t="s">
        <v>61</v>
      </c>
      <c r="AL49" t="s">
        <v>61</v>
      </c>
      <c r="AM49" s="29" t="s">
        <v>61</v>
      </c>
      <c r="AN49" t="s">
        <v>61</v>
      </c>
      <c r="AO49" s="29">
        <v>0.61</v>
      </c>
      <c r="AP49">
        <v>0.59</v>
      </c>
      <c r="AQ49" s="29">
        <v>0.48</v>
      </c>
      <c r="AR49" s="70">
        <f t="shared" si="9"/>
        <v>0.52</v>
      </c>
      <c r="AU49" s="29">
        <v>0.92</v>
      </c>
      <c r="AV49" s="12">
        <f t="shared" si="10"/>
        <v>7.999999999999996E-2</v>
      </c>
      <c r="AW49" s="12">
        <v>1</v>
      </c>
      <c r="AX49" s="12">
        <v>0</v>
      </c>
      <c r="AY49" s="12">
        <v>0</v>
      </c>
      <c r="AZ49" s="65" t="s">
        <v>95</v>
      </c>
      <c r="BN49" s="67">
        <v>37.880000000000003</v>
      </c>
      <c r="BO49">
        <v>0</v>
      </c>
      <c r="BP49">
        <v>1</v>
      </c>
      <c r="BQ49">
        <v>0</v>
      </c>
      <c r="BR49">
        <v>0</v>
      </c>
      <c r="BS49">
        <v>1</v>
      </c>
      <c r="BT49">
        <v>0</v>
      </c>
      <c r="BY49">
        <v>0</v>
      </c>
      <c r="BZ49" s="29">
        <v>0</v>
      </c>
      <c r="CA49">
        <v>0</v>
      </c>
      <c r="CB49">
        <v>0</v>
      </c>
      <c r="CC49" s="29">
        <v>0</v>
      </c>
      <c r="CD49">
        <v>0</v>
      </c>
      <c r="CE49">
        <v>1</v>
      </c>
      <c r="CF49">
        <v>0</v>
      </c>
      <c r="CG49">
        <v>0</v>
      </c>
      <c r="CH49">
        <v>0</v>
      </c>
      <c r="CI49">
        <v>0</v>
      </c>
      <c r="CJ49">
        <v>1</v>
      </c>
      <c r="CK49">
        <v>0</v>
      </c>
      <c r="CL49">
        <v>1</v>
      </c>
      <c r="CM49">
        <v>0</v>
      </c>
      <c r="CN49" s="17">
        <v>0</v>
      </c>
      <c r="CT49" t="s">
        <v>48</v>
      </c>
    </row>
    <row r="50" spans="1:98" x14ac:dyDescent="0.25">
      <c r="A50">
        <v>49</v>
      </c>
      <c r="B50">
        <v>3</v>
      </c>
      <c r="C50" t="s">
        <v>279</v>
      </c>
      <c r="D50" s="10">
        <v>7.6</v>
      </c>
      <c r="E50" s="6">
        <v>3.9</v>
      </c>
      <c r="F50" s="6">
        <f t="shared" si="4"/>
        <v>1.9487179487179487</v>
      </c>
      <c r="L50" s="84">
        <v>1</v>
      </c>
      <c r="M50" s="8">
        <v>0</v>
      </c>
      <c r="N50" s="8">
        <v>0</v>
      </c>
      <c r="O50" s="8">
        <v>0</v>
      </c>
      <c r="P50" s="8">
        <v>0</v>
      </c>
      <c r="Q50" s="7">
        <v>294</v>
      </c>
      <c r="R50" s="8">
        <v>4</v>
      </c>
      <c r="S50" s="8">
        <f t="shared" si="7"/>
        <v>289</v>
      </c>
      <c r="U50" s="75">
        <v>14.11</v>
      </c>
      <c r="V50" s="6">
        <f t="shared" si="8"/>
        <v>17.770000000000003</v>
      </c>
      <c r="W50" s="84">
        <v>1</v>
      </c>
      <c r="X50" s="8">
        <v>0</v>
      </c>
      <c r="Y50" s="84">
        <v>1</v>
      </c>
      <c r="Z50" s="8">
        <v>0</v>
      </c>
      <c r="AA50" s="8">
        <v>0</v>
      </c>
      <c r="AB50" s="22">
        <v>0</v>
      </c>
      <c r="AC50" s="84">
        <v>0</v>
      </c>
      <c r="AD50" s="8">
        <v>1</v>
      </c>
      <c r="AE50" s="22">
        <v>0</v>
      </c>
      <c r="AF50" s="84">
        <v>1</v>
      </c>
      <c r="AG50" s="22">
        <v>0</v>
      </c>
      <c r="AH50" s="74">
        <v>1993</v>
      </c>
      <c r="AI50" t="s">
        <v>61</v>
      </c>
      <c r="AJ50" t="s">
        <v>61</v>
      </c>
      <c r="AK50" t="s">
        <v>61</v>
      </c>
      <c r="AL50" t="s">
        <v>61</v>
      </c>
      <c r="AM50" s="29" t="s">
        <v>61</v>
      </c>
      <c r="AN50" t="s">
        <v>61</v>
      </c>
      <c r="AO50" s="29">
        <v>0.61</v>
      </c>
      <c r="AP50">
        <v>0.59</v>
      </c>
      <c r="AQ50" s="29">
        <v>0.48</v>
      </c>
      <c r="AR50" s="70">
        <f t="shared" si="9"/>
        <v>0.52</v>
      </c>
      <c r="AU50" s="29">
        <v>0.92</v>
      </c>
      <c r="AV50" s="12">
        <f t="shared" si="10"/>
        <v>7.999999999999996E-2</v>
      </c>
      <c r="AW50" s="12">
        <v>1</v>
      </c>
      <c r="AX50" s="12">
        <v>0</v>
      </c>
      <c r="AY50" s="12">
        <v>0</v>
      </c>
      <c r="AZ50" s="65" t="s">
        <v>95</v>
      </c>
      <c r="BN50" s="67">
        <v>37.880000000000003</v>
      </c>
      <c r="BO50">
        <v>0</v>
      </c>
      <c r="BP50">
        <v>0</v>
      </c>
      <c r="BQ50">
        <v>0</v>
      </c>
      <c r="BR50">
        <v>0</v>
      </c>
      <c r="BS50">
        <v>0</v>
      </c>
      <c r="BT50">
        <v>0</v>
      </c>
      <c r="BY50">
        <v>1</v>
      </c>
      <c r="BZ50" s="29">
        <v>0</v>
      </c>
      <c r="CA50">
        <v>0</v>
      </c>
      <c r="CB50">
        <v>0</v>
      </c>
      <c r="CC50" s="29">
        <v>0</v>
      </c>
      <c r="CD50">
        <v>0</v>
      </c>
      <c r="CE50">
        <v>1</v>
      </c>
      <c r="CF50">
        <v>0</v>
      </c>
      <c r="CG50">
        <v>0</v>
      </c>
      <c r="CH50">
        <v>0</v>
      </c>
      <c r="CI50">
        <v>0</v>
      </c>
      <c r="CJ50">
        <v>1</v>
      </c>
      <c r="CK50">
        <v>0</v>
      </c>
      <c r="CL50">
        <v>1</v>
      </c>
      <c r="CM50">
        <v>0</v>
      </c>
      <c r="CN50" s="17">
        <v>0</v>
      </c>
      <c r="CT50" t="s">
        <v>48</v>
      </c>
    </row>
    <row r="51" spans="1:98" x14ac:dyDescent="0.25">
      <c r="A51">
        <v>50</v>
      </c>
      <c r="B51">
        <v>3</v>
      </c>
      <c r="C51" t="s">
        <v>279</v>
      </c>
      <c r="D51" s="10">
        <v>4</v>
      </c>
      <c r="E51" s="6">
        <v>2.1</v>
      </c>
      <c r="F51" s="6">
        <f t="shared" si="4"/>
        <v>1.9047619047619047</v>
      </c>
      <c r="L51" s="84">
        <v>1</v>
      </c>
      <c r="M51" s="8">
        <v>0</v>
      </c>
      <c r="N51" s="8">
        <v>0</v>
      </c>
      <c r="O51" s="8">
        <v>0</v>
      </c>
      <c r="P51" s="8">
        <v>0</v>
      </c>
      <c r="Q51" s="7">
        <v>294</v>
      </c>
      <c r="R51" s="8">
        <v>4</v>
      </c>
      <c r="S51" s="8">
        <f t="shared" si="7"/>
        <v>289</v>
      </c>
      <c r="U51" s="75">
        <v>14.11</v>
      </c>
      <c r="V51" s="6">
        <f t="shared" si="8"/>
        <v>17.770000000000003</v>
      </c>
      <c r="W51" s="84">
        <v>1</v>
      </c>
      <c r="X51" s="8">
        <v>0</v>
      </c>
      <c r="Y51" s="84">
        <v>1</v>
      </c>
      <c r="Z51" s="8">
        <v>0</v>
      </c>
      <c r="AA51" s="8">
        <v>0</v>
      </c>
      <c r="AB51" s="22">
        <v>0</v>
      </c>
      <c r="AC51" s="84">
        <v>0</v>
      </c>
      <c r="AD51" s="8">
        <v>1</v>
      </c>
      <c r="AE51" s="22">
        <v>0</v>
      </c>
      <c r="AF51" s="84">
        <v>1</v>
      </c>
      <c r="AG51" s="22">
        <v>0</v>
      </c>
      <c r="AH51" s="74">
        <v>1993</v>
      </c>
      <c r="AI51" t="s">
        <v>61</v>
      </c>
      <c r="AJ51" t="s">
        <v>61</v>
      </c>
      <c r="AK51" t="s">
        <v>61</v>
      </c>
      <c r="AL51" t="s">
        <v>61</v>
      </c>
      <c r="AM51" s="29" t="s">
        <v>61</v>
      </c>
      <c r="AN51" t="s">
        <v>61</v>
      </c>
      <c r="AO51" s="29">
        <v>0.61</v>
      </c>
      <c r="AP51">
        <v>0.59</v>
      </c>
      <c r="AQ51" s="29">
        <v>0.48</v>
      </c>
      <c r="AR51" s="70">
        <f t="shared" si="9"/>
        <v>0.52</v>
      </c>
      <c r="AU51" s="29">
        <v>0.92</v>
      </c>
      <c r="AV51" s="12">
        <f t="shared" si="10"/>
        <v>7.999999999999996E-2</v>
      </c>
      <c r="AW51" s="12">
        <v>1</v>
      </c>
      <c r="AX51" s="12">
        <v>0</v>
      </c>
      <c r="AY51" s="12">
        <v>0</v>
      </c>
      <c r="AZ51" s="65" t="s">
        <v>95</v>
      </c>
      <c r="BN51" s="67">
        <v>37.880000000000003</v>
      </c>
      <c r="BO51">
        <v>0</v>
      </c>
      <c r="BP51">
        <v>0</v>
      </c>
      <c r="BQ51">
        <v>0</v>
      </c>
      <c r="BR51">
        <v>0</v>
      </c>
      <c r="BS51">
        <v>1</v>
      </c>
      <c r="BT51">
        <v>0</v>
      </c>
      <c r="BY51">
        <v>0</v>
      </c>
      <c r="BZ51" s="29">
        <v>0</v>
      </c>
      <c r="CA51">
        <v>0</v>
      </c>
      <c r="CB51">
        <v>0</v>
      </c>
      <c r="CC51" s="29">
        <v>0</v>
      </c>
      <c r="CD51">
        <v>0</v>
      </c>
      <c r="CE51">
        <v>1</v>
      </c>
      <c r="CF51">
        <v>0</v>
      </c>
      <c r="CG51">
        <v>0</v>
      </c>
      <c r="CH51">
        <v>0</v>
      </c>
      <c r="CI51">
        <v>0</v>
      </c>
      <c r="CJ51">
        <v>1</v>
      </c>
      <c r="CK51">
        <v>0</v>
      </c>
      <c r="CL51">
        <v>1</v>
      </c>
      <c r="CM51">
        <v>0</v>
      </c>
      <c r="CN51" s="17">
        <v>0</v>
      </c>
      <c r="CT51" t="s">
        <v>48</v>
      </c>
    </row>
    <row r="52" spans="1:98" x14ac:dyDescent="0.25">
      <c r="A52">
        <v>51</v>
      </c>
      <c r="B52">
        <v>3</v>
      </c>
      <c r="C52" t="s">
        <v>279</v>
      </c>
      <c r="D52" s="10">
        <v>10.4</v>
      </c>
      <c r="E52" s="6">
        <v>3</v>
      </c>
      <c r="F52" s="6">
        <f t="shared" si="4"/>
        <v>3.4666666666666668</v>
      </c>
      <c r="L52" s="84">
        <v>1</v>
      </c>
      <c r="M52" s="8">
        <v>0</v>
      </c>
      <c r="N52" s="8">
        <v>0</v>
      </c>
      <c r="O52" s="8">
        <v>0</v>
      </c>
      <c r="P52" s="8">
        <v>0</v>
      </c>
      <c r="Q52" s="7">
        <v>294</v>
      </c>
      <c r="R52" s="8">
        <v>4</v>
      </c>
      <c r="S52" s="8">
        <f t="shared" si="7"/>
        <v>289</v>
      </c>
      <c r="U52" s="75">
        <v>14.11</v>
      </c>
      <c r="V52" s="6">
        <f t="shared" si="8"/>
        <v>17.770000000000003</v>
      </c>
      <c r="W52" s="84">
        <v>1</v>
      </c>
      <c r="X52" s="8">
        <v>0</v>
      </c>
      <c r="Y52" s="84">
        <v>1</v>
      </c>
      <c r="Z52" s="8">
        <v>0</v>
      </c>
      <c r="AA52" s="8">
        <v>0</v>
      </c>
      <c r="AB52" s="22">
        <v>0</v>
      </c>
      <c r="AC52" s="84">
        <v>0</v>
      </c>
      <c r="AD52" s="8">
        <v>1</v>
      </c>
      <c r="AE52" s="22">
        <v>0</v>
      </c>
      <c r="AF52" s="84">
        <v>1</v>
      </c>
      <c r="AG52" s="22">
        <v>0</v>
      </c>
      <c r="AH52" s="74">
        <v>1993</v>
      </c>
      <c r="AI52" t="s">
        <v>61</v>
      </c>
      <c r="AJ52" t="s">
        <v>61</v>
      </c>
      <c r="AK52" t="s">
        <v>61</v>
      </c>
      <c r="AL52" t="s">
        <v>61</v>
      </c>
      <c r="AM52" s="29" t="s">
        <v>61</v>
      </c>
      <c r="AN52" t="s">
        <v>61</v>
      </c>
      <c r="AO52" s="29">
        <v>0.61</v>
      </c>
      <c r="AP52">
        <v>0.59</v>
      </c>
      <c r="AQ52" s="29">
        <v>0.48</v>
      </c>
      <c r="AR52" s="70">
        <f t="shared" si="9"/>
        <v>0.52</v>
      </c>
      <c r="AU52" s="29">
        <v>0.92</v>
      </c>
      <c r="AV52" s="12">
        <f t="shared" si="10"/>
        <v>7.999999999999996E-2</v>
      </c>
      <c r="AW52" s="12">
        <v>1</v>
      </c>
      <c r="AX52" s="12">
        <v>0</v>
      </c>
      <c r="AY52" s="12">
        <v>0</v>
      </c>
      <c r="AZ52" s="65" t="s">
        <v>95</v>
      </c>
      <c r="BN52" s="67">
        <v>37.880000000000003</v>
      </c>
      <c r="BO52">
        <v>0</v>
      </c>
      <c r="BP52">
        <v>0</v>
      </c>
      <c r="BQ52">
        <v>0</v>
      </c>
      <c r="BR52">
        <v>0</v>
      </c>
      <c r="BS52">
        <v>0</v>
      </c>
      <c r="BT52">
        <v>0</v>
      </c>
      <c r="BY52">
        <v>1</v>
      </c>
      <c r="BZ52" s="29">
        <v>0</v>
      </c>
      <c r="CA52">
        <v>0</v>
      </c>
      <c r="CB52">
        <v>0</v>
      </c>
      <c r="CC52" s="29">
        <v>0</v>
      </c>
      <c r="CD52">
        <v>0</v>
      </c>
      <c r="CE52">
        <v>1</v>
      </c>
      <c r="CF52">
        <v>0</v>
      </c>
      <c r="CG52">
        <v>0</v>
      </c>
      <c r="CH52">
        <v>0</v>
      </c>
      <c r="CI52">
        <v>0</v>
      </c>
      <c r="CJ52">
        <v>1</v>
      </c>
      <c r="CK52">
        <v>0</v>
      </c>
      <c r="CL52">
        <v>1</v>
      </c>
      <c r="CM52">
        <v>0</v>
      </c>
      <c r="CN52" s="17">
        <v>0</v>
      </c>
      <c r="CT52" t="s">
        <v>48</v>
      </c>
    </row>
    <row r="53" spans="1:98" x14ac:dyDescent="0.25">
      <c r="A53">
        <v>52</v>
      </c>
      <c r="B53">
        <v>4</v>
      </c>
      <c r="C53" t="s">
        <v>286</v>
      </c>
      <c r="D53" s="10">
        <v>7.8</v>
      </c>
      <c r="E53" s="6">
        <v>0.2</v>
      </c>
      <c r="F53" s="6">
        <f t="shared" si="4"/>
        <v>39</v>
      </c>
      <c r="L53" s="84">
        <v>1</v>
      </c>
      <c r="M53" s="8">
        <v>0</v>
      </c>
      <c r="N53" s="8">
        <v>0</v>
      </c>
      <c r="O53" s="8">
        <v>0</v>
      </c>
      <c r="P53" s="8">
        <v>0</v>
      </c>
      <c r="Q53" s="84">
        <v>4398</v>
      </c>
      <c r="R53" s="75">
        <v>3</v>
      </c>
      <c r="S53" s="75">
        <f t="shared" si="7"/>
        <v>4394</v>
      </c>
      <c r="U53" s="75">
        <v>12.1</v>
      </c>
      <c r="V53" s="75">
        <v>6.9</v>
      </c>
      <c r="W53" s="84">
        <v>0</v>
      </c>
      <c r="X53" s="75">
        <v>1</v>
      </c>
      <c r="Y53" s="84">
        <v>1</v>
      </c>
      <c r="Z53" s="8">
        <v>0</v>
      </c>
      <c r="AA53" s="8">
        <v>0</v>
      </c>
      <c r="AB53" s="22">
        <v>0</v>
      </c>
      <c r="AC53" s="84">
        <v>0</v>
      </c>
      <c r="AD53" s="75">
        <v>1</v>
      </c>
      <c r="AE53" s="75">
        <v>0</v>
      </c>
      <c r="AF53" s="84">
        <v>1</v>
      </c>
      <c r="AG53" s="75">
        <v>0</v>
      </c>
      <c r="AH53" s="74">
        <v>1999</v>
      </c>
      <c r="AI53" t="s">
        <v>61</v>
      </c>
      <c r="AJ53" t="s">
        <v>61</v>
      </c>
      <c r="AK53" t="s">
        <v>61</v>
      </c>
      <c r="AL53" t="s">
        <v>61</v>
      </c>
      <c r="AM53" s="29">
        <f>1-AN53</f>
        <v>0.95199999999999996</v>
      </c>
      <c r="AN53">
        <v>4.8000000000000001E-2</v>
      </c>
      <c r="AO53" s="29">
        <v>0</v>
      </c>
      <c r="AP53">
        <v>1</v>
      </c>
      <c r="AQ53" s="29">
        <v>0.59499999999999997</v>
      </c>
      <c r="AR53" s="70">
        <f t="shared" si="9"/>
        <v>0.40500000000000003</v>
      </c>
      <c r="AU53" s="29">
        <v>0.94899999999999995</v>
      </c>
      <c r="AV53" s="12">
        <f t="shared" si="10"/>
        <v>5.1000000000000045E-2</v>
      </c>
      <c r="AW53" s="12">
        <v>0</v>
      </c>
      <c r="AX53" s="12">
        <v>0</v>
      </c>
      <c r="AY53" s="12">
        <v>1</v>
      </c>
      <c r="AZ53" s="65" t="s">
        <v>360</v>
      </c>
      <c r="BN53" s="67">
        <v>38.9</v>
      </c>
      <c r="BO53">
        <v>1</v>
      </c>
      <c r="BP53">
        <v>0</v>
      </c>
      <c r="BQ53">
        <v>0</v>
      </c>
      <c r="BR53">
        <v>0</v>
      </c>
      <c r="BS53">
        <v>0</v>
      </c>
      <c r="BT53">
        <v>0</v>
      </c>
      <c r="BY53">
        <v>0</v>
      </c>
      <c r="BZ53" s="29">
        <v>0</v>
      </c>
      <c r="CA53">
        <v>0</v>
      </c>
      <c r="CB53">
        <v>0</v>
      </c>
      <c r="CC53" s="29">
        <v>1</v>
      </c>
      <c r="CD53">
        <v>1</v>
      </c>
      <c r="CE53">
        <v>0</v>
      </c>
      <c r="CF53">
        <v>0</v>
      </c>
      <c r="CG53">
        <v>0</v>
      </c>
      <c r="CH53">
        <v>0</v>
      </c>
      <c r="CI53">
        <v>0</v>
      </c>
      <c r="CJ53">
        <v>0</v>
      </c>
      <c r="CK53">
        <v>0</v>
      </c>
      <c r="CL53">
        <v>0</v>
      </c>
      <c r="CM53">
        <v>0</v>
      </c>
      <c r="CN53" s="17">
        <v>0</v>
      </c>
      <c r="CT53" t="s">
        <v>48</v>
      </c>
    </row>
    <row r="54" spans="1:98" x14ac:dyDescent="0.25">
      <c r="A54">
        <v>53</v>
      </c>
      <c r="B54">
        <v>4</v>
      </c>
      <c r="C54" t="s">
        <v>286</v>
      </c>
      <c r="D54" s="10">
        <v>7.7</v>
      </c>
      <c r="E54" s="6">
        <v>1.1000000000000001</v>
      </c>
      <c r="F54" s="6">
        <f t="shared" si="4"/>
        <v>7</v>
      </c>
      <c r="L54" s="84">
        <v>1</v>
      </c>
      <c r="M54" s="8">
        <v>0</v>
      </c>
      <c r="N54" s="8">
        <v>0</v>
      </c>
      <c r="O54" s="8">
        <v>0</v>
      </c>
      <c r="P54" s="8">
        <v>0</v>
      </c>
      <c r="Q54" s="84">
        <v>428</v>
      </c>
      <c r="R54" s="75">
        <v>3</v>
      </c>
      <c r="S54" s="75">
        <f t="shared" si="7"/>
        <v>424</v>
      </c>
      <c r="U54" s="75">
        <v>13.2</v>
      </c>
      <c r="V54" s="75">
        <v>11.9</v>
      </c>
      <c r="W54" s="84">
        <v>0</v>
      </c>
      <c r="X54" s="75">
        <v>1</v>
      </c>
      <c r="Y54" s="84">
        <v>1</v>
      </c>
      <c r="Z54" s="8">
        <v>0</v>
      </c>
      <c r="AA54" s="8">
        <v>0</v>
      </c>
      <c r="AB54" s="22">
        <v>0</v>
      </c>
      <c r="AC54" s="84">
        <v>0</v>
      </c>
      <c r="AD54" s="75">
        <v>1</v>
      </c>
      <c r="AE54" s="75">
        <v>0</v>
      </c>
      <c r="AF54" s="84">
        <v>1</v>
      </c>
      <c r="AG54" s="75">
        <v>0</v>
      </c>
      <c r="AH54" s="74">
        <v>1999</v>
      </c>
      <c r="AI54" t="s">
        <v>61</v>
      </c>
      <c r="AJ54" t="s">
        <v>61</v>
      </c>
      <c r="AK54" t="s">
        <v>61</v>
      </c>
      <c r="AL54" t="s">
        <v>61</v>
      </c>
      <c r="AM54" s="29">
        <f t="shared" ref="AM54:AM64" si="11">1-AN54</f>
        <v>0.95099999999999996</v>
      </c>
      <c r="AN54">
        <v>4.9000000000000002E-2</v>
      </c>
      <c r="AO54" s="29">
        <v>0</v>
      </c>
      <c r="AP54">
        <v>1</v>
      </c>
      <c r="AQ54" s="29">
        <v>0.61299999999999999</v>
      </c>
      <c r="AR54" s="70">
        <f t="shared" si="9"/>
        <v>0.38700000000000001</v>
      </c>
      <c r="AU54" s="29">
        <v>0.98299999999999998</v>
      </c>
      <c r="AV54" s="12">
        <f t="shared" si="10"/>
        <v>1.7000000000000015E-2</v>
      </c>
      <c r="AW54" s="12">
        <v>1</v>
      </c>
      <c r="AX54" s="12">
        <v>0</v>
      </c>
      <c r="AY54" s="12">
        <v>0</v>
      </c>
      <c r="AZ54" s="65" t="s">
        <v>360</v>
      </c>
      <c r="BN54" s="67">
        <v>42.5</v>
      </c>
      <c r="BO54">
        <v>1</v>
      </c>
      <c r="BP54">
        <v>0</v>
      </c>
      <c r="BQ54">
        <v>0</v>
      </c>
      <c r="BR54">
        <v>0</v>
      </c>
      <c r="BS54">
        <v>0</v>
      </c>
      <c r="BT54">
        <v>0</v>
      </c>
      <c r="BY54">
        <v>0</v>
      </c>
      <c r="BZ54" s="29">
        <v>0</v>
      </c>
      <c r="CA54">
        <v>0</v>
      </c>
      <c r="CB54">
        <v>0</v>
      </c>
      <c r="CC54" s="29">
        <v>1</v>
      </c>
      <c r="CD54">
        <v>1</v>
      </c>
      <c r="CE54">
        <v>0</v>
      </c>
      <c r="CF54">
        <v>0</v>
      </c>
      <c r="CG54">
        <v>0</v>
      </c>
      <c r="CH54">
        <v>0</v>
      </c>
      <c r="CI54">
        <v>0</v>
      </c>
      <c r="CJ54">
        <v>0</v>
      </c>
      <c r="CK54">
        <v>0</v>
      </c>
      <c r="CL54">
        <v>0</v>
      </c>
      <c r="CM54">
        <v>0</v>
      </c>
      <c r="CN54" s="17">
        <v>0</v>
      </c>
      <c r="CT54" t="s">
        <v>48</v>
      </c>
    </row>
    <row r="55" spans="1:98" x14ac:dyDescent="0.25">
      <c r="A55">
        <v>54</v>
      </c>
      <c r="B55">
        <v>4</v>
      </c>
      <c r="C55" t="s">
        <v>286</v>
      </c>
      <c r="D55" s="10">
        <v>8.5</v>
      </c>
      <c r="E55" s="6">
        <v>1.2</v>
      </c>
      <c r="F55" s="6">
        <f t="shared" si="4"/>
        <v>7.0833333333333339</v>
      </c>
      <c r="L55" s="84">
        <v>1</v>
      </c>
      <c r="M55" s="8">
        <v>0</v>
      </c>
      <c r="N55" s="8">
        <v>0</v>
      </c>
      <c r="O55" s="8">
        <v>0</v>
      </c>
      <c r="P55" s="8">
        <v>0</v>
      </c>
      <c r="Q55" s="84">
        <v>428</v>
      </c>
      <c r="R55" s="75">
        <v>3</v>
      </c>
      <c r="S55" s="75">
        <f t="shared" si="7"/>
        <v>424</v>
      </c>
      <c r="U55" s="75">
        <v>13.2</v>
      </c>
      <c r="V55" s="75">
        <v>11.9</v>
      </c>
      <c r="W55" s="84">
        <v>0</v>
      </c>
      <c r="X55" s="75">
        <v>1</v>
      </c>
      <c r="Y55" s="84">
        <v>1</v>
      </c>
      <c r="Z55" s="8">
        <v>0</v>
      </c>
      <c r="AA55" s="8">
        <v>0</v>
      </c>
      <c r="AB55" s="22">
        <v>0</v>
      </c>
      <c r="AC55" s="84">
        <v>0</v>
      </c>
      <c r="AD55" s="75">
        <v>1</v>
      </c>
      <c r="AE55" s="75">
        <v>0</v>
      </c>
      <c r="AF55" s="84">
        <v>1</v>
      </c>
      <c r="AG55" s="75">
        <v>0</v>
      </c>
      <c r="AH55" s="74">
        <v>1999</v>
      </c>
      <c r="AI55" t="s">
        <v>61</v>
      </c>
      <c r="AJ55" t="s">
        <v>61</v>
      </c>
      <c r="AK55" t="s">
        <v>61</v>
      </c>
      <c r="AL55" t="s">
        <v>61</v>
      </c>
      <c r="AM55" s="29">
        <f t="shared" si="11"/>
        <v>0.95099999999999996</v>
      </c>
      <c r="AN55">
        <v>4.9000000000000002E-2</v>
      </c>
      <c r="AO55" s="29">
        <v>0</v>
      </c>
      <c r="AP55">
        <v>1</v>
      </c>
      <c r="AQ55" s="29">
        <v>0.61299999999999999</v>
      </c>
      <c r="AR55" s="70">
        <f t="shared" si="9"/>
        <v>0.38700000000000001</v>
      </c>
      <c r="AU55" s="29">
        <v>0.98299999999999998</v>
      </c>
      <c r="AV55" s="12">
        <f t="shared" si="10"/>
        <v>1.7000000000000015E-2</v>
      </c>
      <c r="AW55" s="12">
        <v>1</v>
      </c>
      <c r="AX55" s="12">
        <v>0</v>
      </c>
      <c r="AY55" s="12">
        <v>0</v>
      </c>
      <c r="AZ55" s="65" t="s">
        <v>360</v>
      </c>
      <c r="BN55" s="67">
        <v>42.5</v>
      </c>
      <c r="BO55">
        <v>0</v>
      </c>
      <c r="BP55">
        <v>0</v>
      </c>
      <c r="BQ55">
        <v>0</v>
      </c>
      <c r="BR55">
        <v>0</v>
      </c>
      <c r="BS55">
        <v>0</v>
      </c>
      <c r="BT55">
        <v>0</v>
      </c>
      <c r="BY55">
        <v>1</v>
      </c>
      <c r="BZ55" s="29">
        <v>1</v>
      </c>
      <c r="CA55">
        <v>0</v>
      </c>
      <c r="CB55">
        <v>0</v>
      </c>
      <c r="CC55" s="29">
        <v>1</v>
      </c>
      <c r="CD55">
        <v>1</v>
      </c>
      <c r="CE55">
        <v>0</v>
      </c>
      <c r="CF55">
        <v>0</v>
      </c>
      <c r="CG55">
        <v>0</v>
      </c>
      <c r="CH55">
        <v>0</v>
      </c>
      <c r="CI55">
        <v>0</v>
      </c>
      <c r="CJ55">
        <v>0</v>
      </c>
      <c r="CK55">
        <v>0</v>
      </c>
      <c r="CL55">
        <v>0</v>
      </c>
      <c r="CM55">
        <v>0</v>
      </c>
      <c r="CN55" s="17">
        <v>0</v>
      </c>
      <c r="CT55" t="s">
        <v>48</v>
      </c>
    </row>
    <row r="56" spans="1:98" x14ac:dyDescent="0.25">
      <c r="A56">
        <v>55</v>
      </c>
      <c r="B56">
        <v>4</v>
      </c>
      <c r="C56" t="s">
        <v>286</v>
      </c>
      <c r="D56" s="10">
        <v>3.9</v>
      </c>
      <c r="E56" s="6">
        <v>2.2999999999999998</v>
      </c>
      <c r="F56" s="6">
        <f t="shared" si="4"/>
        <v>1.6956521739130437</v>
      </c>
      <c r="L56" s="84">
        <v>1</v>
      </c>
      <c r="M56" s="8">
        <v>0</v>
      </c>
      <c r="N56" s="8">
        <v>0</v>
      </c>
      <c r="O56" s="8">
        <v>0</v>
      </c>
      <c r="P56" s="8">
        <v>0</v>
      </c>
      <c r="Q56" s="84">
        <v>214</v>
      </c>
      <c r="R56" s="75">
        <v>1</v>
      </c>
      <c r="S56" s="75">
        <f t="shared" si="7"/>
        <v>212</v>
      </c>
      <c r="U56" s="75">
        <v>13.2</v>
      </c>
      <c r="V56" s="75">
        <v>11.9</v>
      </c>
      <c r="W56" s="84">
        <v>0</v>
      </c>
      <c r="X56" s="75">
        <v>1</v>
      </c>
      <c r="Y56" s="84">
        <v>1</v>
      </c>
      <c r="Z56" s="8">
        <v>0</v>
      </c>
      <c r="AA56" s="8">
        <v>0</v>
      </c>
      <c r="AB56" s="22">
        <v>0</v>
      </c>
      <c r="AC56" s="84">
        <v>0</v>
      </c>
      <c r="AD56" s="75">
        <v>1</v>
      </c>
      <c r="AE56" s="75">
        <v>0</v>
      </c>
      <c r="AF56" s="84">
        <v>1</v>
      </c>
      <c r="AG56" s="75">
        <v>0</v>
      </c>
      <c r="AH56" s="74">
        <v>1999</v>
      </c>
      <c r="AI56" t="s">
        <v>61</v>
      </c>
      <c r="AJ56" t="s">
        <v>61</v>
      </c>
      <c r="AK56" t="s">
        <v>61</v>
      </c>
      <c r="AL56" t="s">
        <v>61</v>
      </c>
      <c r="AM56" s="29">
        <f t="shared" si="11"/>
        <v>0.95099999999999996</v>
      </c>
      <c r="AN56">
        <v>4.9000000000000002E-2</v>
      </c>
      <c r="AO56" s="29">
        <v>0</v>
      </c>
      <c r="AP56">
        <v>1</v>
      </c>
      <c r="AQ56" s="29">
        <v>0.61299999999999999</v>
      </c>
      <c r="AR56" s="70">
        <f t="shared" si="9"/>
        <v>0.38700000000000001</v>
      </c>
      <c r="AU56" s="29">
        <v>0.98299999999999998</v>
      </c>
      <c r="AV56" s="12">
        <f t="shared" si="10"/>
        <v>1.7000000000000015E-2</v>
      </c>
      <c r="AW56" s="12">
        <v>1</v>
      </c>
      <c r="AX56" s="12">
        <v>0</v>
      </c>
      <c r="AY56" s="12">
        <v>0</v>
      </c>
      <c r="AZ56" s="65" t="s">
        <v>360</v>
      </c>
      <c r="BN56" s="67">
        <v>42.5</v>
      </c>
      <c r="BO56">
        <v>1</v>
      </c>
      <c r="BP56">
        <v>0</v>
      </c>
      <c r="BQ56">
        <v>0</v>
      </c>
      <c r="BR56">
        <v>0</v>
      </c>
      <c r="BS56">
        <v>0</v>
      </c>
      <c r="BT56">
        <v>0</v>
      </c>
      <c r="BY56">
        <v>0</v>
      </c>
      <c r="BZ56" s="29">
        <v>0</v>
      </c>
      <c r="CA56">
        <v>0</v>
      </c>
      <c r="CB56">
        <v>0</v>
      </c>
      <c r="CC56" s="29">
        <v>0</v>
      </c>
      <c r="CD56">
        <v>0</v>
      </c>
      <c r="CE56">
        <v>0</v>
      </c>
      <c r="CF56">
        <v>0</v>
      </c>
      <c r="CG56">
        <v>0</v>
      </c>
      <c r="CH56">
        <v>0</v>
      </c>
      <c r="CI56">
        <v>0</v>
      </c>
      <c r="CJ56">
        <v>0</v>
      </c>
      <c r="CK56">
        <v>0</v>
      </c>
      <c r="CL56">
        <v>0</v>
      </c>
      <c r="CM56">
        <v>0</v>
      </c>
      <c r="CN56" s="17">
        <v>0</v>
      </c>
      <c r="CT56" t="s">
        <v>48</v>
      </c>
    </row>
    <row r="57" spans="1:98" x14ac:dyDescent="0.25">
      <c r="A57">
        <v>56</v>
      </c>
      <c r="B57">
        <v>4</v>
      </c>
      <c r="C57" t="s">
        <v>286</v>
      </c>
      <c r="D57" s="10">
        <v>7.7</v>
      </c>
      <c r="E57" s="6">
        <v>3.3</v>
      </c>
      <c r="F57" s="6">
        <f t="shared" si="4"/>
        <v>2.3333333333333335</v>
      </c>
      <c r="L57" s="84">
        <v>1</v>
      </c>
      <c r="M57" s="8">
        <v>0</v>
      </c>
      <c r="N57" s="8">
        <v>0</v>
      </c>
      <c r="O57" s="8">
        <v>0</v>
      </c>
      <c r="P57" s="8">
        <v>0</v>
      </c>
      <c r="Q57" s="84">
        <v>214</v>
      </c>
      <c r="R57" s="75">
        <v>1</v>
      </c>
      <c r="S57" s="75">
        <f t="shared" si="7"/>
        <v>212</v>
      </c>
      <c r="U57" s="75">
        <v>13.2</v>
      </c>
      <c r="V57" s="75">
        <v>11.9</v>
      </c>
      <c r="W57" s="84">
        <v>0</v>
      </c>
      <c r="X57" s="75">
        <v>1</v>
      </c>
      <c r="Y57" s="84">
        <v>1</v>
      </c>
      <c r="Z57" s="8">
        <v>0</v>
      </c>
      <c r="AA57" s="8">
        <v>0</v>
      </c>
      <c r="AB57" s="22">
        <v>0</v>
      </c>
      <c r="AC57" s="84">
        <v>0</v>
      </c>
      <c r="AD57" s="75">
        <v>1</v>
      </c>
      <c r="AE57" s="75">
        <v>0</v>
      </c>
      <c r="AF57" s="84">
        <v>1</v>
      </c>
      <c r="AG57" s="75">
        <v>0</v>
      </c>
      <c r="AH57" s="74">
        <v>1999</v>
      </c>
      <c r="AI57" t="s">
        <v>61</v>
      </c>
      <c r="AJ57" t="s">
        <v>61</v>
      </c>
      <c r="AK57" t="s">
        <v>61</v>
      </c>
      <c r="AL57" t="s">
        <v>61</v>
      </c>
      <c r="AM57" s="29">
        <f t="shared" si="11"/>
        <v>0.95099999999999996</v>
      </c>
      <c r="AN57">
        <v>4.9000000000000002E-2</v>
      </c>
      <c r="AO57" s="29">
        <v>0</v>
      </c>
      <c r="AP57">
        <v>1</v>
      </c>
      <c r="AQ57" s="29">
        <v>0.61299999999999999</v>
      </c>
      <c r="AR57" s="70">
        <f t="shared" si="9"/>
        <v>0.38700000000000001</v>
      </c>
      <c r="AU57" s="29">
        <v>0.98299999999999998</v>
      </c>
      <c r="AV57" s="12">
        <f t="shared" si="10"/>
        <v>1.7000000000000015E-2</v>
      </c>
      <c r="AW57" s="12">
        <v>1</v>
      </c>
      <c r="AX57" s="12">
        <v>0</v>
      </c>
      <c r="AY57" s="12">
        <v>0</v>
      </c>
      <c r="AZ57" s="65" t="s">
        <v>360</v>
      </c>
      <c r="BN57" s="67">
        <v>42.5</v>
      </c>
      <c r="BO57">
        <v>0</v>
      </c>
      <c r="BP57">
        <v>0</v>
      </c>
      <c r="BQ57">
        <v>0</v>
      </c>
      <c r="BR57">
        <v>0</v>
      </c>
      <c r="BS57">
        <v>0</v>
      </c>
      <c r="BT57">
        <v>0</v>
      </c>
      <c r="BY57">
        <v>1</v>
      </c>
      <c r="BZ57" s="29">
        <v>1</v>
      </c>
      <c r="CA57">
        <v>0</v>
      </c>
      <c r="CB57">
        <v>0</v>
      </c>
      <c r="CC57" s="29">
        <v>0</v>
      </c>
      <c r="CD57">
        <v>0</v>
      </c>
      <c r="CE57">
        <v>0</v>
      </c>
      <c r="CF57">
        <v>0</v>
      </c>
      <c r="CG57">
        <v>0</v>
      </c>
      <c r="CH57">
        <v>0</v>
      </c>
      <c r="CI57">
        <v>0</v>
      </c>
      <c r="CJ57">
        <v>0</v>
      </c>
      <c r="CK57">
        <v>0</v>
      </c>
      <c r="CL57">
        <v>0</v>
      </c>
      <c r="CM57">
        <v>0</v>
      </c>
      <c r="CN57" s="17">
        <v>0</v>
      </c>
      <c r="CT57" t="s">
        <v>48</v>
      </c>
    </row>
    <row r="58" spans="1:98" x14ac:dyDescent="0.25">
      <c r="A58">
        <v>57</v>
      </c>
      <c r="B58">
        <v>4</v>
      </c>
      <c r="C58" t="s">
        <v>286</v>
      </c>
      <c r="D58" s="10">
        <v>7.2</v>
      </c>
      <c r="E58" s="6">
        <v>1.1000000000000001</v>
      </c>
      <c r="F58" s="6">
        <f t="shared" si="4"/>
        <v>6.545454545454545</v>
      </c>
      <c r="L58" s="84">
        <v>1</v>
      </c>
      <c r="M58" s="8">
        <v>0</v>
      </c>
      <c r="N58" s="8">
        <v>0</v>
      </c>
      <c r="O58" s="8">
        <v>0</v>
      </c>
      <c r="P58" s="8">
        <v>0</v>
      </c>
      <c r="Q58" s="84">
        <v>374</v>
      </c>
      <c r="R58" s="75">
        <v>6</v>
      </c>
      <c r="S58" s="75">
        <f t="shared" si="7"/>
        <v>367</v>
      </c>
      <c r="U58" s="75">
        <v>13.2</v>
      </c>
      <c r="V58" s="75">
        <v>11.9</v>
      </c>
      <c r="W58" s="84">
        <v>0</v>
      </c>
      <c r="X58" s="75">
        <v>1</v>
      </c>
      <c r="Y58" s="84">
        <v>1</v>
      </c>
      <c r="Z58" s="8">
        <v>0</v>
      </c>
      <c r="AA58" s="8">
        <v>0</v>
      </c>
      <c r="AB58" s="22">
        <v>0</v>
      </c>
      <c r="AC58" s="84">
        <v>0</v>
      </c>
      <c r="AD58" s="75">
        <v>1</v>
      </c>
      <c r="AE58" s="75">
        <v>0</v>
      </c>
      <c r="AF58" s="84">
        <v>1</v>
      </c>
      <c r="AG58" s="75">
        <v>0</v>
      </c>
      <c r="AH58" s="74">
        <v>1999</v>
      </c>
      <c r="AI58" t="s">
        <v>61</v>
      </c>
      <c r="AJ58" t="s">
        <v>61</v>
      </c>
      <c r="AK58" t="s">
        <v>61</v>
      </c>
      <c r="AL58" t="s">
        <v>61</v>
      </c>
      <c r="AM58" s="29">
        <f t="shared" si="11"/>
        <v>0.95099999999999996</v>
      </c>
      <c r="AN58">
        <v>4.9000000000000002E-2</v>
      </c>
      <c r="AO58" s="29">
        <v>0</v>
      </c>
      <c r="AP58">
        <v>1</v>
      </c>
      <c r="AQ58" s="29">
        <v>0.61299999999999999</v>
      </c>
      <c r="AR58" s="70">
        <f t="shared" si="9"/>
        <v>0.38700000000000001</v>
      </c>
      <c r="AU58" s="29">
        <v>0.98299999999999998</v>
      </c>
      <c r="AV58" s="12">
        <f t="shared" si="10"/>
        <v>1.7000000000000015E-2</v>
      </c>
      <c r="AW58" s="12">
        <v>1</v>
      </c>
      <c r="AX58" s="12">
        <v>0</v>
      </c>
      <c r="AY58" s="12">
        <v>0</v>
      </c>
      <c r="AZ58" s="65" t="s">
        <v>360</v>
      </c>
      <c r="BN58" s="67">
        <v>42.5</v>
      </c>
      <c r="BO58">
        <v>1</v>
      </c>
      <c r="BP58">
        <v>0</v>
      </c>
      <c r="BQ58">
        <v>0</v>
      </c>
      <c r="BR58">
        <v>0</v>
      </c>
      <c r="BS58">
        <v>0</v>
      </c>
      <c r="BT58">
        <v>0</v>
      </c>
      <c r="BY58">
        <v>0</v>
      </c>
      <c r="BZ58" s="29">
        <v>0</v>
      </c>
      <c r="CA58">
        <v>0</v>
      </c>
      <c r="CB58">
        <v>0</v>
      </c>
      <c r="CC58" s="29">
        <v>1</v>
      </c>
      <c r="CD58">
        <v>1</v>
      </c>
      <c r="CE58">
        <v>1</v>
      </c>
      <c r="CF58">
        <v>0</v>
      </c>
      <c r="CG58">
        <v>0</v>
      </c>
      <c r="CH58">
        <v>0</v>
      </c>
      <c r="CI58">
        <v>0</v>
      </c>
      <c r="CJ58">
        <v>1</v>
      </c>
      <c r="CK58">
        <v>1</v>
      </c>
      <c r="CL58">
        <v>0</v>
      </c>
      <c r="CM58">
        <v>0</v>
      </c>
      <c r="CN58" s="17">
        <v>0</v>
      </c>
      <c r="CT58" t="s">
        <v>48</v>
      </c>
    </row>
    <row r="59" spans="1:98" x14ac:dyDescent="0.25">
      <c r="A59">
        <v>58</v>
      </c>
      <c r="B59">
        <v>4</v>
      </c>
      <c r="C59" t="s">
        <v>286</v>
      </c>
      <c r="D59" s="10">
        <v>7.9</v>
      </c>
      <c r="E59" s="6">
        <v>1.2</v>
      </c>
      <c r="F59" s="6">
        <f t="shared" si="4"/>
        <v>6.5833333333333339</v>
      </c>
      <c r="L59" s="84">
        <v>1</v>
      </c>
      <c r="M59" s="8">
        <v>0</v>
      </c>
      <c r="N59" s="8">
        <v>0</v>
      </c>
      <c r="O59" s="8">
        <v>0</v>
      </c>
      <c r="P59" s="8">
        <v>0</v>
      </c>
      <c r="Q59" s="84">
        <v>374</v>
      </c>
      <c r="R59" s="75">
        <v>6</v>
      </c>
      <c r="S59" s="75">
        <f t="shared" si="7"/>
        <v>367</v>
      </c>
      <c r="U59" s="75">
        <v>13.2</v>
      </c>
      <c r="V59" s="75">
        <v>11.9</v>
      </c>
      <c r="W59" s="84">
        <v>0</v>
      </c>
      <c r="X59" s="75">
        <v>1</v>
      </c>
      <c r="Y59" s="84">
        <v>1</v>
      </c>
      <c r="Z59" s="8">
        <v>0</v>
      </c>
      <c r="AA59" s="8">
        <v>0</v>
      </c>
      <c r="AB59" s="22">
        <v>0</v>
      </c>
      <c r="AC59" s="84">
        <v>0</v>
      </c>
      <c r="AD59" s="75">
        <v>1</v>
      </c>
      <c r="AE59" s="75">
        <v>0</v>
      </c>
      <c r="AF59" s="84">
        <v>1</v>
      </c>
      <c r="AG59" s="75">
        <v>0</v>
      </c>
      <c r="AH59" s="74">
        <v>1999</v>
      </c>
      <c r="AI59" t="s">
        <v>61</v>
      </c>
      <c r="AJ59" t="s">
        <v>61</v>
      </c>
      <c r="AK59" t="s">
        <v>61</v>
      </c>
      <c r="AL59" t="s">
        <v>61</v>
      </c>
      <c r="AM59" s="29">
        <f t="shared" si="11"/>
        <v>0.95099999999999996</v>
      </c>
      <c r="AN59">
        <v>4.9000000000000002E-2</v>
      </c>
      <c r="AO59" s="29">
        <v>0</v>
      </c>
      <c r="AP59">
        <v>1</v>
      </c>
      <c r="AQ59" s="29">
        <v>0.61299999999999999</v>
      </c>
      <c r="AR59" s="70">
        <f t="shared" si="9"/>
        <v>0.38700000000000001</v>
      </c>
      <c r="AU59" s="29">
        <v>0.98299999999999998</v>
      </c>
      <c r="AV59" s="12">
        <f t="shared" si="10"/>
        <v>1.7000000000000015E-2</v>
      </c>
      <c r="AW59" s="12">
        <v>1</v>
      </c>
      <c r="AX59" s="12">
        <v>0</v>
      </c>
      <c r="AY59" s="12">
        <v>0</v>
      </c>
      <c r="AZ59" s="65" t="s">
        <v>360</v>
      </c>
      <c r="BN59" s="67">
        <v>42.5</v>
      </c>
      <c r="BO59">
        <v>0</v>
      </c>
      <c r="BP59">
        <v>0</v>
      </c>
      <c r="BQ59">
        <v>0</v>
      </c>
      <c r="BR59">
        <v>0</v>
      </c>
      <c r="BS59">
        <v>0</v>
      </c>
      <c r="BT59">
        <v>0</v>
      </c>
      <c r="BY59">
        <v>1</v>
      </c>
      <c r="BZ59" s="29">
        <v>1</v>
      </c>
      <c r="CA59">
        <v>0</v>
      </c>
      <c r="CB59">
        <v>0</v>
      </c>
      <c r="CC59" s="29">
        <v>1</v>
      </c>
      <c r="CD59">
        <v>1</v>
      </c>
      <c r="CE59">
        <v>1</v>
      </c>
      <c r="CF59">
        <v>0</v>
      </c>
      <c r="CG59">
        <v>0</v>
      </c>
      <c r="CH59">
        <v>0</v>
      </c>
      <c r="CI59">
        <v>0</v>
      </c>
      <c r="CJ59">
        <v>1</v>
      </c>
      <c r="CK59">
        <v>1</v>
      </c>
      <c r="CL59">
        <v>0</v>
      </c>
      <c r="CM59">
        <v>0</v>
      </c>
      <c r="CN59" s="17">
        <v>0</v>
      </c>
      <c r="CT59" t="s">
        <v>48</v>
      </c>
    </row>
    <row r="60" spans="1:98" x14ac:dyDescent="0.25">
      <c r="A60">
        <v>59</v>
      </c>
      <c r="B60">
        <v>4</v>
      </c>
      <c r="C60" t="s">
        <v>286</v>
      </c>
      <c r="D60" s="10">
        <v>3.8</v>
      </c>
      <c r="E60" s="6">
        <v>2.4</v>
      </c>
      <c r="F60" s="6">
        <f t="shared" si="4"/>
        <v>1.5833333333333333</v>
      </c>
      <c r="L60" s="84">
        <v>1</v>
      </c>
      <c r="M60" s="8">
        <v>0</v>
      </c>
      <c r="N60" s="8">
        <v>0</v>
      </c>
      <c r="O60" s="8">
        <v>0</v>
      </c>
      <c r="P60" s="8">
        <v>0</v>
      </c>
      <c r="Q60" s="84">
        <v>187</v>
      </c>
      <c r="R60" s="75">
        <v>4</v>
      </c>
      <c r="S60" s="75">
        <f t="shared" si="7"/>
        <v>182</v>
      </c>
      <c r="U60" s="75">
        <v>13.2</v>
      </c>
      <c r="V60" s="75">
        <v>11.9</v>
      </c>
      <c r="W60" s="84">
        <v>0</v>
      </c>
      <c r="X60" s="75">
        <v>1</v>
      </c>
      <c r="Y60" s="84">
        <v>1</v>
      </c>
      <c r="Z60" s="8">
        <v>0</v>
      </c>
      <c r="AA60" s="8">
        <v>0</v>
      </c>
      <c r="AB60" s="22">
        <v>0</v>
      </c>
      <c r="AC60" s="84">
        <v>0</v>
      </c>
      <c r="AD60" s="75">
        <v>1</v>
      </c>
      <c r="AE60" s="75">
        <v>0</v>
      </c>
      <c r="AF60" s="84">
        <v>1</v>
      </c>
      <c r="AG60" s="75">
        <v>0</v>
      </c>
      <c r="AH60" s="74">
        <v>1999</v>
      </c>
      <c r="AI60" t="s">
        <v>61</v>
      </c>
      <c r="AJ60" t="s">
        <v>61</v>
      </c>
      <c r="AK60" t="s">
        <v>61</v>
      </c>
      <c r="AL60" t="s">
        <v>61</v>
      </c>
      <c r="AM60" s="29">
        <f t="shared" si="11"/>
        <v>0.95099999999999996</v>
      </c>
      <c r="AN60">
        <v>4.9000000000000002E-2</v>
      </c>
      <c r="AO60" s="29">
        <v>0</v>
      </c>
      <c r="AP60">
        <v>1</v>
      </c>
      <c r="AQ60" s="29">
        <v>0.61299999999999999</v>
      </c>
      <c r="AR60" s="70">
        <f t="shared" si="9"/>
        <v>0.38700000000000001</v>
      </c>
      <c r="AU60" s="29">
        <v>0.98299999999999998</v>
      </c>
      <c r="AV60" s="12">
        <f t="shared" si="10"/>
        <v>1.7000000000000015E-2</v>
      </c>
      <c r="AW60" s="12">
        <v>1</v>
      </c>
      <c r="AX60" s="12">
        <v>0</v>
      </c>
      <c r="AY60" s="12">
        <v>0</v>
      </c>
      <c r="AZ60" s="65" t="s">
        <v>360</v>
      </c>
      <c r="BN60" s="67">
        <v>42.5</v>
      </c>
      <c r="BO60">
        <v>1</v>
      </c>
      <c r="BP60">
        <v>0</v>
      </c>
      <c r="BQ60">
        <v>0</v>
      </c>
      <c r="BR60">
        <v>0</v>
      </c>
      <c r="BS60">
        <v>0</v>
      </c>
      <c r="BT60">
        <v>0</v>
      </c>
      <c r="BY60">
        <v>0</v>
      </c>
      <c r="BZ60" s="29">
        <v>0</v>
      </c>
      <c r="CA60">
        <v>0</v>
      </c>
      <c r="CB60">
        <v>0</v>
      </c>
      <c r="CC60" s="29">
        <v>0</v>
      </c>
      <c r="CD60">
        <v>0</v>
      </c>
      <c r="CE60">
        <v>1</v>
      </c>
      <c r="CF60">
        <v>0</v>
      </c>
      <c r="CG60">
        <v>0</v>
      </c>
      <c r="CH60">
        <v>0</v>
      </c>
      <c r="CI60">
        <v>0</v>
      </c>
      <c r="CJ60">
        <v>1</v>
      </c>
      <c r="CK60">
        <v>1</v>
      </c>
      <c r="CL60">
        <v>0</v>
      </c>
      <c r="CM60">
        <v>0</v>
      </c>
      <c r="CN60" s="17">
        <v>0</v>
      </c>
      <c r="CT60" t="s">
        <v>48</v>
      </c>
    </row>
    <row r="61" spans="1:98" x14ac:dyDescent="0.25">
      <c r="A61">
        <v>60</v>
      </c>
      <c r="B61">
        <v>4</v>
      </c>
      <c r="C61" t="s">
        <v>286</v>
      </c>
      <c r="D61" s="10">
        <v>7.9</v>
      </c>
      <c r="E61" s="6">
        <v>3.6</v>
      </c>
      <c r="F61" s="6">
        <f t="shared" si="4"/>
        <v>2.1944444444444446</v>
      </c>
      <c r="L61" s="84">
        <v>1</v>
      </c>
      <c r="M61" s="8">
        <v>0</v>
      </c>
      <c r="N61" s="8">
        <v>0</v>
      </c>
      <c r="O61" s="8">
        <v>0</v>
      </c>
      <c r="P61" s="8">
        <v>0</v>
      </c>
      <c r="Q61" s="84">
        <v>187</v>
      </c>
      <c r="R61" s="75">
        <v>4</v>
      </c>
      <c r="S61" s="75">
        <f t="shared" si="7"/>
        <v>182</v>
      </c>
      <c r="U61" s="75">
        <v>13.2</v>
      </c>
      <c r="V61" s="75">
        <v>11.9</v>
      </c>
      <c r="W61" s="84">
        <v>0</v>
      </c>
      <c r="X61" s="75">
        <v>1</v>
      </c>
      <c r="Y61" s="84">
        <v>1</v>
      </c>
      <c r="Z61" s="8">
        <v>0</v>
      </c>
      <c r="AA61" s="8">
        <v>0</v>
      </c>
      <c r="AB61" s="22">
        <v>0</v>
      </c>
      <c r="AC61" s="84">
        <v>0</v>
      </c>
      <c r="AD61" s="75">
        <v>1</v>
      </c>
      <c r="AE61" s="75">
        <v>0</v>
      </c>
      <c r="AF61" s="84">
        <v>1</v>
      </c>
      <c r="AG61" s="75">
        <v>0</v>
      </c>
      <c r="AH61" s="74">
        <v>1999</v>
      </c>
      <c r="AI61" t="s">
        <v>61</v>
      </c>
      <c r="AJ61" t="s">
        <v>61</v>
      </c>
      <c r="AK61" t="s">
        <v>61</v>
      </c>
      <c r="AL61" t="s">
        <v>61</v>
      </c>
      <c r="AM61" s="29">
        <f t="shared" si="11"/>
        <v>0.95099999999999996</v>
      </c>
      <c r="AN61">
        <v>4.9000000000000002E-2</v>
      </c>
      <c r="AO61" s="29">
        <v>0</v>
      </c>
      <c r="AP61">
        <v>1</v>
      </c>
      <c r="AQ61" s="29">
        <v>0.61299999999999999</v>
      </c>
      <c r="AR61" s="70">
        <f t="shared" si="9"/>
        <v>0.38700000000000001</v>
      </c>
      <c r="AU61" s="29">
        <v>0.98299999999999998</v>
      </c>
      <c r="AV61" s="12">
        <f t="shared" si="10"/>
        <v>1.7000000000000015E-2</v>
      </c>
      <c r="AW61" s="12">
        <v>1</v>
      </c>
      <c r="AX61" s="12">
        <v>0</v>
      </c>
      <c r="AY61" s="12">
        <v>0</v>
      </c>
      <c r="AZ61" s="65" t="s">
        <v>360</v>
      </c>
      <c r="BN61" s="67">
        <v>42.5</v>
      </c>
      <c r="BO61">
        <v>0</v>
      </c>
      <c r="BP61">
        <v>0</v>
      </c>
      <c r="BQ61">
        <v>0</v>
      </c>
      <c r="BR61">
        <v>0</v>
      </c>
      <c r="BS61">
        <v>0</v>
      </c>
      <c r="BT61">
        <v>0</v>
      </c>
      <c r="BY61">
        <v>1</v>
      </c>
      <c r="BZ61" s="29">
        <v>1</v>
      </c>
      <c r="CA61">
        <v>0</v>
      </c>
      <c r="CB61">
        <v>0</v>
      </c>
      <c r="CC61" s="29">
        <v>0</v>
      </c>
      <c r="CD61">
        <v>0</v>
      </c>
      <c r="CE61">
        <v>1</v>
      </c>
      <c r="CF61">
        <v>0</v>
      </c>
      <c r="CG61">
        <v>0</v>
      </c>
      <c r="CH61">
        <v>0</v>
      </c>
      <c r="CI61">
        <v>0</v>
      </c>
      <c r="CJ61">
        <v>1</v>
      </c>
      <c r="CK61">
        <v>1</v>
      </c>
      <c r="CL61">
        <v>0</v>
      </c>
      <c r="CM61">
        <v>0</v>
      </c>
      <c r="CN61" s="17">
        <v>0</v>
      </c>
      <c r="CT61" t="s">
        <v>48</v>
      </c>
    </row>
    <row r="62" spans="1:98" x14ac:dyDescent="0.25">
      <c r="A62">
        <v>61</v>
      </c>
      <c r="B62">
        <v>4</v>
      </c>
      <c r="C62" t="s">
        <v>286</v>
      </c>
      <c r="D62" s="10">
        <v>7.7</v>
      </c>
      <c r="E62" s="6">
        <v>1.1000000000000001</v>
      </c>
      <c r="F62" s="6">
        <f t="shared" si="4"/>
        <v>7</v>
      </c>
      <c r="L62" s="84">
        <v>1</v>
      </c>
      <c r="M62" s="8">
        <v>0</v>
      </c>
      <c r="N62" s="8">
        <v>0</v>
      </c>
      <c r="O62" s="8">
        <v>0</v>
      </c>
      <c r="P62" s="8">
        <v>0</v>
      </c>
      <c r="Q62" s="84">
        <v>428</v>
      </c>
      <c r="R62" s="75">
        <v>3</v>
      </c>
      <c r="S62" s="75">
        <f t="shared" si="7"/>
        <v>424</v>
      </c>
      <c r="U62" s="75">
        <v>13.2</v>
      </c>
      <c r="V62" s="75">
        <v>11.9</v>
      </c>
      <c r="W62" s="84">
        <v>0</v>
      </c>
      <c r="X62" s="75">
        <v>1</v>
      </c>
      <c r="Y62" s="84">
        <v>1</v>
      </c>
      <c r="Z62" s="8">
        <v>0</v>
      </c>
      <c r="AA62" s="8">
        <v>0</v>
      </c>
      <c r="AB62" s="22">
        <v>0</v>
      </c>
      <c r="AC62" s="84">
        <v>0</v>
      </c>
      <c r="AD62" s="75">
        <v>1</v>
      </c>
      <c r="AE62" s="75">
        <v>0</v>
      </c>
      <c r="AF62" s="84">
        <v>1</v>
      </c>
      <c r="AG62" s="75">
        <v>0</v>
      </c>
      <c r="AH62" s="74">
        <v>1999</v>
      </c>
      <c r="AI62" t="s">
        <v>61</v>
      </c>
      <c r="AJ62" t="s">
        <v>61</v>
      </c>
      <c r="AK62" t="s">
        <v>61</v>
      </c>
      <c r="AL62" t="s">
        <v>61</v>
      </c>
      <c r="AM62" s="29">
        <f t="shared" si="11"/>
        <v>0.95099999999999996</v>
      </c>
      <c r="AN62">
        <v>4.9000000000000002E-2</v>
      </c>
      <c r="AO62" s="29">
        <v>0</v>
      </c>
      <c r="AP62">
        <v>1</v>
      </c>
      <c r="AQ62" s="29">
        <v>0.61299999999999999</v>
      </c>
      <c r="AR62" s="70">
        <f t="shared" si="9"/>
        <v>0.38700000000000001</v>
      </c>
      <c r="AU62" s="29">
        <v>0.98299999999999998</v>
      </c>
      <c r="AV62" s="12">
        <f t="shared" si="10"/>
        <v>1.7000000000000015E-2</v>
      </c>
      <c r="AW62" s="12">
        <v>1</v>
      </c>
      <c r="AX62" s="12">
        <v>0</v>
      </c>
      <c r="AY62" s="12">
        <v>0</v>
      </c>
      <c r="AZ62" s="65" t="s">
        <v>360</v>
      </c>
      <c r="BN62" s="67">
        <v>42.5</v>
      </c>
      <c r="BO62">
        <v>1</v>
      </c>
      <c r="BP62">
        <v>0</v>
      </c>
      <c r="BQ62">
        <v>0</v>
      </c>
      <c r="BR62">
        <v>0</v>
      </c>
      <c r="BS62">
        <v>0</v>
      </c>
      <c r="BT62">
        <v>0</v>
      </c>
      <c r="BY62">
        <v>0</v>
      </c>
      <c r="BZ62" s="29">
        <v>0</v>
      </c>
      <c r="CA62">
        <v>0</v>
      </c>
      <c r="CB62">
        <v>0</v>
      </c>
      <c r="CC62" s="29">
        <v>1</v>
      </c>
      <c r="CD62">
        <v>1</v>
      </c>
      <c r="CE62">
        <v>0</v>
      </c>
      <c r="CF62">
        <v>0</v>
      </c>
      <c r="CG62">
        <v>0</v>
      </c>
      <c r="CH62">
        <v>0</v>
      </c>
      <c r="CI62">
        <v>0</v>
      </c>
      <c r="CJ62">
        <v>0</v>
      </c>
      <c r="CK62">
        <v>0</v>
      </c>
      <c r="CL62">
        <v>0</v>
      </c>
      <c r="CM62">
        <v>0</v>
      </c>
      <c r="CN62" s="17">
        <v>0</v>
      </c>
      <c r="CT62" t="s">
        <v>48</v>
      </c>
    </row>
    <row r="63" spans="1:98" x14ac:dyDescent="0.25">
      <c r="A63">
        <v>62</v>
      </c>
      <c r="B63">
        <v>4</v>
      </c>
      <c r="C63" t="s">
        <v>286</v>
      </c>
      <c r="D63" s="10">
        <v>11</v>
      </c>
      <c r="E63" s="6">
        <v>4.4000000000000004</v>
      </c>
      <c r="F63" s="6">
        <f t="shared" si="4"/>
        <v>2.5</v>
      </c>
      <c r="L63" s="84">
        <v>1</v>
      </c>
      <c r="M63" s="8">
        <v>0</v>
      </c>
      <c r="N63" s="8">
        <v>0</v>
      </c>
      <c r="O63" s="8">
        <v>0</v>
      </c>
      <c r="P63" s="8">
        <v>0</v>
      </c>
      <c r="Q63" s="84">
        <v>428</v>
      </c>
      <c r="R63" s="75">
        <v>3</v>
      </c>
      <c r="S63" s="75">
        <f t="shared" si="7"/>
        <v>424</v>
      </c>
      <c r="U63" s="75">
        <v>13.2</v>
      </c>
      <c r="V63" s="75">
        <v>11.9</v>
      </c>
      <c r="W63" s="84">
        <v>0</v>
      </c>
      <c r="X63" s="75">
        <v>1</v>
      </c>
      <c r="Y63" s="84">
        <v>1</v>
      </c>
      <c r="Z63" s="8">
        <v>0</v>
      </c>
      <c r="AA63" s="8">
        <v>0</v>
      </c>
      <c r="AB63" s="22">
        <v>0</v>
      </c>
      <c r="AC63" s="84">
        <v>0</v>
      </c>
      <c r="AD63" s="75">
        <v>1</v>
      </c>
      <c r="AE63" s="75">
        <v>0</v>
      </c>
      <c r="AF63" s="84">
        <v>1</v>
      </c>
      <c r="AG63" s="75">
        <v>0</v>
      </c>
      <c r="AH63" s="74">
        <v>1999</v>
      </c>
      <c r="AI63" t="s">
        <v>61</v>
      </c>
      <c r="AJ63" t="s">
        <v>61</v>
      </c>
      <c r="AK63" t="s">
        <v>61</v>
      </c>
      <c r="AL63" t="s">
        <v>61</v>
      </c>
      <c r="AM63" s="29">
        <f t="shared" si="11"/>
        <v>0.95099999999999996</v>
      </c>
      <c r="AN63">
        <v>4.9000000000000002E-2</v>
      </c>
      <c r="AO63" s="29">
        <v>0</v>
      </c>
      <c r="AP63">
        <v>1</v>
      </c>
      <c r="AQ63" s="29">
        <v>0.61299999999999999</v>
      </c>
      <c r="AR63" s="70">
        <f t="shared" si="9"/>
        <v>0.38700000000000001</v>
      </c>
      <c r="AU63" s="29">
        <v>0.98299999999999998</v>
      </c>
      <c r="AV63" s="12">
        <f t="shared" si="10"/>
        <v>1.7000000000000015E-2</v>
      </c>
      <c r="AW63" s="12">
        <v>1</v>
      </c>
      <c r="AX63" s="12">
        <v>0</v>
      </c>
      <c r="AY63" s="12">
        <v>0</v>
      </c>
      <c r="AZ63" s="65" t="s">
        <v>360</v>
      </c>
      <c r="BN63" s="67">
        <v>42.5</v>
      </c>
      <c r="BO63">
        <v>0</v>
      </c>
      <c r="BP63">
        <v>0</v>
      </c>
      <c r="BQ63">
        <v>0</v>
      </c>
      <c r="BR63">
        <v>0</v>
      </c>
      <c r="BS63">
        <v>0</v>
      </c>
      <c r="BT63">
        <v>0</v>
      </c>
      <c r="BY63">
        <v>1</v>
      </c>
      <c r="BZ63" s="29">
        <v>0</v>
      </c>
      <c r="CA63">
        <v>0</v>
      </c>
      <c r="CB63">
        <v>1</v>
      </c>
      <c r="CC63" s="29">
        <v>1</v>
      </c>
      <c r="CD63">
        <v>1</v>
      </c>
      <c r="CE63">
        <v>0</v>
      </c>
      <c r="CF63">
        <v>0</v>
      </c>
      <c r="CG63">
        <v>0</v>
      </c>
      <c r="CH63">
        <v>0</v>
      </c>
      <c r="CI63">
        <v>0</v>
      </c>
      <c r="CJ63">
        <v>0</v>
      </c>
      <c r="CK63">
        <v>0</v>
      </c>
      <c r="CL63">
        <v>0</v>
      </c>
      <c r="CM63">
        <v>0</v>
      </c>
      <c r="CN63" s="17">
        <v>0</v>
      </c>
      <c r="CT63" t="s">
        <v>48</v>
      </c>
    </row>
    <row r="64" spans="1:98" x14ac:dyDescent="0.25">
      <c r="A64">
        <v>63</v>
      </c>
      <c r="B64">
        <v>4</v>
      </c>
      <c r="C64" t="s">
        <v>286</v>
      </c>
      <c r="D64" s="10">
        <v>10.4</v>
      </c>
      <c r="E64" s="6">
        <v>4.5</v>
      </c>
      <c r="F64" s="6">
        <f t="shared" si="4"/>
        <v>2.3111111111111113</v>
      </c>
      <c r="L64" s="84">
        <v>1</v>
      </c>
      <c r="M64" s="8">
        <v>0</v>
      </c>
      <c r="N64" s="8">
        <v>0</v>
      </c>
      <c r="O64" s="8">
        <v>0</v>
      </c>
      <c r="P64" s="8">
        <v>0</v>
      </c>
      <c r="Q64" s="84">
        <v>428</v>
      </c>
      <c r="R64" s="75">
        <v>3</v>
      </c>
      <c r="S64" s="75">
        <f t="shared" si="7"/>
        <v>424</v>
      </c>
      <c r="U64" s="75">
        <v>13.2</v>
      </c>
      <c r="V64" s="75">
        <v>11.9</v>
      </c>
      <c r="W64" s="84">
        <v>0</v>
      </c>
      <c r="X64" s="75">
        <v>1</v>
      </c>
      <c r="Y64" s="84">
        <v>1</v>
      </c>
      <c r="Z64" s="8">
        <v>0</v>
      </c>
      <c r="AA64" s="8">
        <v>0</v>
      </c>
      <c r="AB64" s="22">
        <v>0</v>
      </c>
      <c r="AC64" s="84">
        <v>0</v>
      </c>
      <c r="AD64" s="75">
        <v>1</v>
      </c>
      <c r="AE64" s="75">
        <v>0</v>
      </c>
      <c r="AF64" s="84">
        <v>1</v>
      </c>
      <c r="AG64" s="75">
        <v>0</v>
      </c>
      <c r="AH64" s="74">
        <v>1999</v>
      </c>
      <c r="AI64" t="s">
        <v>61</v>
      </c>
      <c r="AJ64" t="s">
        <v>61</v>
      </c>
      <c r="AK64" t="s">
        <v>61</v>
      </c>
      <c r="AL64" t="s">
        <v>61</v>
      </c>
      <c r="AM64" s="29">
        <f t="shared" si="11"/>
        <v>0.95099999999999996</v>
      </c>
      <c r="AN64">
        <v>4.9000000000000002E-2</v>
      </c>
      <c r="AO64" s="29">
        <v>0</v>
      </c>
      <c r="AP64">
        <v>1</v>
      </c>
      <c r="AQ64" s="29">
        <v>0.61299999999999999</v>
      </c>
      <c r="AR64" s="70">
        <f t="shared" si="9"/>
        <v>0.38700000000000001</v>
      </c>
      <c r="AU64" s="29">
        <v>0.98299999999999998</v>
      </c>
      <c r="AV64" s="12">
        <f t="shared" si="10"/>
        <v>1.7000000000000015E-2</v>
      </c>
      <c r="AW64" s="12">
        <v>1</v>
      </c>
      <c r="AX64" s="12">
        <v>0</v>
      </c>
      <c r="AY64" s="12">
        <v>0</v>
      </c>
      <c r="AZ64" s="65" t="s">
        <v>360</v>
      </c>
      <c r="BN64" s="67">
        <v>42.5</v>
      </c>
      <c r="BO64">
        <v>0</v>
      </c>
      <c r="BP64">
        <v>0</v>
      </c>
      <c r="BQ64">
        <v>0</v>
      </c>
      <c r="BR64">
        <v>0</v>
      </c>
      <c r="BS64">
        <v>0</v>
      </c>
      <c r="BT64">
        <v>0</v>
      </c>
      <c r="BY64">
        <v>1</v>
      </c>
      <c r="BZ64" s="29">
        <v>0</v>
      </c>
      <c r="CA64">
        <v>0</v>
      </c>
      <c r="CB64">
        <v>1</v>
      </c>
      <c r="CC64" s="29">
        <v>1</v>
      </c>
      <c r="CD64">
        <v>1</v>
      </c>
      <c r="CE64">
        <v>0</v>
      </c>
      <c r="CF64">
        <v>0</v>
      </c>
      <c r="CG64">
        <v>0</v>
      </c>
      <c r="CH64">
        <v>0</v>
      </c>
      <c r="CI64">
        <v>0</v>
      </c>
      <c r="CJ64">
        <v>0</v>
      </c>
      <c r="CK64">
        <v>0</v>
      </c>
      <c r="CL64">
        <v>0</v>
      </c>
      <c r="CM64">
        <v>0</v>
      </c>
      <c r="CN64" s="17">
        <v>0</v>
      </c>
      <c r="CT64" t="s">
        <v>48</v>
      </c>
    </row>
    <row r="65" spans="1:98" x14ac:dyDescent="0.25">
      <c r="A65">
        <v>64</v>
      </c>
      <c r="B65">
        <v>5</v>
      </c>
      <c r="C65" t="s">
        <v>292</v>
      </c>
      <c r="D65" s="10">
        <v>6.6</v>
      </c>
      <c r="E65" s="6">
        <v>0.4</v>
      </c>
      <c r="F65" s="6">
        <f t="shared" si="4"/>
        <v>16.499999999999996</v>
      </c>
      <c r="L65" s="84">
        <v>0</v>
      </c>
      <c r="M65" s="75">
        <v>0</v>
      </c>
      <c r="N65" s="75">
        <v>1</v>
      </c>
      <c r="O65" s="75">
        <v>0</v>
      </c>
      <c r="P65" s="75">
        <v>0</v>
      </c>
      <c r="Q65" s="84">
        <v>2253</v>
      </c>
      <c r="R65" s="75">
        <v>4</v>
      </c>
      <c r="S65" s="75">
        <f t="shared" si="7"/>
        <v>2248</v>
      </c>
      <c r="U65" s="75">
        <v>12.16</v>
      </c>
      <c r="V65" s="75">
        <v>14.03</v>
      </c>
      <c r="W65" s="84">
        <v>1</v>
      </c>
      <c r="X65" s="75">
        <v>0</v>
      </c>
      <c r="Y65" s="84">
        <v>0</v>
      </c>
      <c r="Z65" s="75">
        <v>0</v>
      </c>
      <c r="AA65" s="75">
        <v>1</v>
      </c>
      <c r="AB65" s="75">
        <v>0</v>
      </c>
      <c r="AC65" s="84">
        <v>0</v>
      </c>
      <c r="AD65" s="75">
        <v>1</v>
      </c>
      <c r="AE65" s="75">
        <v>0</v>
      </c>
      <c r="AF65" s="84">
        <v>1</v>
      </c>
      <c r="AG65" s="75">
        <v>0</v>
      </c>
      <c r="AH65" s="74">
        <v>2002</v>
      </c>
      <c r="AI65">
        <f>(1-SUM($AK65:$AL65))/2</f>
        <v>0.14000000000000001</v>
      </c>
      <c r="AJ65">
        <f>(1-SUM($AK65:$AL65))/2</f>
        <v>0.14000000000000001</v>
      </c>
      <c r="AK65">
        <v>0.6</v>
      </c>
      <c r="AL65">
        <v>0.12</v>
      </c>
      <c r="AM65" s="29" t="s">
        <v>61</v>
      </c>
      <c r="AN65" t="s">
        <v>61</v>
      </c>
      <c r="AO65" s="29">
        <v>0.59</v>
      </c>
      <c r="AP65">
        <f>1-AO65</f>
        <v>0.41000000000000003</v>
      </c>
      <c r="AQ65" s="29">
        <v>0</v>
      </c>
      <c r="AR65" s="70">
        <f t="shared" si="9"/>
        <v>1</v>
      </c>
      <c r="AU65" s="29">
        <v>0.64</v>
      </c>
      <c r="AV65" s="12">
        <f>1-AU65</f>
        <v>0.36</v>
      </c>
      <c r="AW65" s="12">
        <f>1-AY65</f>
        <v>0.43330000000000002</v>
      </c>
      <c r="AX65" s="12">
        <v>0</v>
      </c>
      <c r="AY65" s="12">
        <v>0.56669999999999998</v>
      </c>
      <c r="AZ65" s="65" t="s">
        <v>369</v>
      </c>
      <c r="BN65" s="67">
        <v>33.770000000000003</v>
      </c>
      <c r="BO65">
        <v>1</v>
      </c>
      <c r="BP65">
        <v>0</v>
      </c>
      <c r="BQ65">
        <v>0</v>
      </c>
      <c r="BR65">
        <v>0</v>
      </c>
      <c r="BS65">
        <v>0</v>
      </c>
      <c r="BT65">
        <v>0</v>
      </c>
      <c r="BY65">
        <v>0</v>
      </c>
      <c r="BZ65" s="29">
        <v>0</v>
      </c>
      <c r="CA65">
        <v>0</v>
      </c>
      <c r="CB65">
        <v>0</v>
      </c>
      <c r="CC65" s="29">
        <v>1</v>
      </c>
      <c r="CD65">
        <v>1</v>
      </c>
      <c r="CE65">
        <v>0</v>
      </c>
      <c r="CF65">
        <v>0</v>
      </c>
      <c r="CG65">
        <v>0</v>
      </c>
      <c r="CH65">
        <v>0</v>
      </c>
      <c r="CI65">
        <v>1</v>
      </c>
      <c r="CJ65">
        <v>0</v>
      </c>
      <c r="CK65">
        <v>0</v>
      </c>
      <c r="CL65">
        <v>0</v>
      </c>
      <c r="CM65">
        <v>0</v>
      </c>
      <c r="CN65" s="17">
        <v>0</v>
      </c>
      <c r="CT65" t="s">
        <v>48</v>
      </c>
    </row>
    <row r="66" spans="1:98" x14ac:dyDescent="0.25">
      <c r="A66">
        <v>65</v>
      </c>
      <c r="B66">
        <v>5</v>
      </c>
      <c r="C66" t="s">
        <v>292</v>
      </c>
      <c r="D66" s="10">
        <v>6.6</v>
      </c>
      <c r="E66" s="6">
        <v>0.4</v>
      </c>
      <c r="F66" s="6">
        <f t="shared" si="4"/>
        <v>16.499999999999996</v>
      </c>
      <c r="L66" s="84">
        <v>0</v>
      </c>
      <c r="M66" s="75">
        <v>0</v>
      </c>
      <c r="N66" s="75">
        <v>1</v>
      </c>
      <c r="O66" s="75">
        <v>0</v>
      </c>
      <c r="P66" s="75">
        <v>0</v>
      </c>
      <c r="Q66" s="84">
        <v>2253</v>
      </c>
      <c r="R66" s="75">
        <v>6</v>
      </c>
      <c r="S66" s="75">
        <f t="shared" si="7"/>
        <v>2246</v>
      </c>
      <c r="U66" s="75">
        <v>12.16</v>
      </c>
      <c r="V66" s="75">
        <v>14.03</v>
      </c>
      <c r="W66" s="84">
        <v>1</v>
      </c>
      <c r="X66" s="75">
        <v>0</v>
      </c>
      <c r="Y66" s="84">
        <v>0</v>
      </c>
      <c r="Z66" s="75">
        <v>0</v>
      </c>
      <c r="AA66" s="75">
        <v>1</v>
      </c>
      <c r="AB66" s="75">
        <v>0</v>
      </c>
      <c r="AC66" s="84">
        <v>0</v>
      </c>
      <c r="AD66" s="75">
        <v>1</v>
      </c>
      <c r="AE66" s="75">
        <v>0</v>
      </c>
      <c r="AF66" s="84">
        <v>1</v>
      </c>
      <c r="AG66" s="75">
        <v>0</v>
      </c>
      <c r="AH66" s="74">
        <v>2002</v>
      </c>
      <c r="AI66">
        <f t="shared" ref="AI66:AJ80" si="12">(1-SUM($AK66:$AL66))/2</f>
        <v>0.14000000000000001</v>
      </c>
      <c r="AJ66">
        <f t="shared" si="12"/>
        <v>0.14000000000000001</v>
      </c>
      <c r="AK66">
        <v>0.6</v>
      </c>
      <c r="AL66">
        <v>0.12</v>
      </c>
      <c r="AM66" s="29" t="s">
        <v>61</v>
      </c>
      <c r="AN66" t="s">
        <v>61</v>
      </c>
      <c r="AO66" s="29">
        <v>0.59</v>
      </c>
      <c r="AP66">
        <f t="shared" ref="AP66:AP82" si="13">1-AO66</f>
        <v>0.41000000000000003</v>
      </c>
      <c r="AQ66" s="29">
        <v>0</v>
      </c>
      <c r="AR66" s="70">
        <f t="shared" si="9"/>
        <v>1</v>
      </c>
      <c r="AU66" s="29">
        <v>0.64</v>
      </c>
      <c r="AV66" s="12">
        <f t="shared" ref="AV66:AV95" si="14">1-AU66</f>
        <v>0.36</v>
      </c>
      <c r="AW66" s="12">
        <f>1-AY66</f>
        <v>0.43330000000000002</v>
      </c>
      <c r="AX66" s="12">
        <v>0</v>
      </c>
      <c r="AY66" s="12">
        <v>0.56669999999999998</v>
      </c>
      <c r="AZ66" s="65" t="s">
        <v>369</v>
      </c>
      <c r="BN66" s="67">
        <v>33.770000000000003</v>
      </c>
      <c r="BO66">
        <v>1</v>
      </c>
      <c r="BP66">
        <v>0</v>
      </c>
      <c r="BQ66">
        <v>0</v>
      </c>
      <c r="BR66">
        <v>0</v>
      </c>
      <c r="BS66">
        <v>0</v>
      </c>
      <c r="BT66">
        <v>0</v>
      </c>
      <c r="BY66">
        <v>0</v>
      </c>
      <c r="BZ66" s="29">
        <v>0</v>
      </c>
      <c r="CA66">
        <v>0</v>
      </c>
      <c r="CB66">
        <v>0</v>
      </c>
      <c r="CC66" s="29">
        <v>1</v>
      </c>
      <c r="CD66">
        <v>1</v>
      </c>
      <c r="CE66">
        <v>1</v>
      </c>
      <c r="CF66">
        <v>0</v>
      </c>
      <c r="CG66">
        <v>0</v>
      </c>
      <c r="CH66">
        <v>0</v>
      </c>
      <c r="CI66">
        <v>1</v>
      </c>
      <c r="CJ66">
        <v>1</v>
      </c>
      <c r="CK66">
        <v>0</v>
      </c>
      <c r="CL66">
        <v>0</v>
      </c>
      <c r="CM66">
        <v>0</v>
      </c>
      <c r="CN66" s="17">
        <v>0</v>
      </c>
      <c r="CT66" t="s">
        <v>48</v>
      </c>
    </row>
    <row r="67" spans="1:98" x14ac:dyDescent="0.25">
      <c r="A67">
        <v>66</v>
      </c>
      <c r="B67">
        <v>5</v>
      </c>
      <c r="C67" t="s">
        <v>292</v>
      </c>
      <c r="D67" s="10">
        <v>8.3000000000000007</v>
      </c>
      <c r="E67" s="6">
        <v>0.6</v>
      </c>
      <c r="F67" s="6">
        <f t="shared" si="4"/>
        <v>13.833333333333336</v>
      </c>
      <c r="L67" s="84">
        <v>0</v>
      </c>
      <c r="M67" s="75">
        <v>0</v>
      </c>
      <c r="N67" s="75">
        <v>1</v>
      </c>
      <c r="O67" s="75">
        <v>0</v>
      </c>
      <c r="P67" s="75">
        <v>0</v>
      </c>
      <c r="Q67" s="84">
        <v>976</v>
      </c>
      <c r="R67" s="75">
        <v>4</v>
      </c>
      <c r="S67" s="75">
        <f t="shared" si="7"/>
        <v>971</v>
      </c>
      <c r="U67" s="75">
        <v>12.16</v>
      </c>
      <c r="V67" s="75">
        <v>14.03</v>
      </c>
      <c r="W67" s="84">
        <v>1</v>
      </c>
      <c r="X67" s="75">
        <v>0</v>
      </c>
      <c r="Y67" s="84">
        <v>0</v>
      </c>
      <c r="Z67" s="75">
        <v>0</v>
      </c>
      <c r="AA67" s="75">
        <v>1</v>
      </c>
      <c r="AB67" s="75">
        <v>0</v>
      </c>
      <c r="AC67" s="84">
        <v>0</v>
      </c>
      <c r="AD67" s="75">
        <v>1</v>
      </c>
      <c r="AE67" s="75">
        <v>0</v>
      </c>
      <c r="AF67" s="84">
        <v>1</v>
      </c>
      <c r="AG67" s="75">
        <v>0</v>
      </c>
      <c r="AH67" s="74">
        <v>2002</v>
      </c>
      <c r="AI67">
        <f t="shared" si="12"/>
        <v>0.14000000000000001</v>
      </c>
      <c r="AJ67">
        <f t="shared" si="12"/>
        <v>0.14000000000000001</v>
      </c>
      <c r="AK67">
        <v>0.6</v>
      </c>
      <c r="AL67">
        <v>0.12</v>
      </c>
      <c r="AM67" s="29" t="s">
        <v>61</v>
      </c>
      <c r="AN67" t="s">
        <v>61</v>
      </c>
      <c r="AO67" s="29">
        <v>0.59</v>
      </c>
      <c r="AP67">
        <f t="shared" si="13"/>
        <v>0.41000000000000003</v>
      </c>
      <c r="AQ67" s="29">
        <v>0</v>
      </c>
      <c r="AR67" s="70">
        <f t="shared" si="9"/>
        <v>1</v>
      </c>
      <c r="AU67" s="29">
        <v>0.64</v>
      </c>
      <c r="AV67" s="12">
        <f t="shared" si="14"/>
        <v>0.36</v>
      </c>
      <c r="AW67" s="12">
        <v>1</v>
      </c>
      <c r="AX67" s="12">
        <v>0</v>
      </c>
      <c r="AY67" s="12">
        <v>0</v>
      </c>
      <c r="AZ67" s="65" t="s">
        <v>369</v>
      </c>
      <c r="BN67" s="67">
        <v>33.770000000000003</v>
      </c>
      <c r="BO67">
        <v>1</v>
      </c>
      <c r="BP67">
        <v>0</v>
      </c>
      <c r="BQ67">
        <v>0</v>
      </c>
      <c r="BR67">
        <v>0</v>
      </c>
      <c r="BS67">
        <v>0</v>
      </c>
      <c r="BT67">
        <v>0</v>
      </c>
      <c r="BY67">
        <v>0</v>
      </c>
      <c r="BZ67" s="29">
        <v>0</v>
      </c>
      <c r="CA67">
        <v>0</v>
      </c>
      <c r="CB67">
        <v>0</v>
      </c>
      <c r="CC67" s="29">
        <v>1</v>
      </c>
      <c r="CD67">
        <v>1</v>
      </c>
      <c r="CE67">
        <v>0</v>
      </c>
      <c r="CF67">
        <v>0</v>
      </c>
      <c r="CG67">
        <v>0</v>
      </c>
      <c r="CH67">
        <v>0</v>
      </c>
      <c r="CI67">
        <v>1</v>
      </c>
      <c r="CJ67">
        <v>0</v>
      </c>
      <c r="CK67">
        <v>0</v>
      </c>
      <c r="CL67">
        <v>0</v>
      </c>
      <c r="CM67">
        <v>0</v>
      </c>
      <c r="CN67" s="17">
        <v>0</v>
      </c>
      <c r="CT67" t="s">
        <v>48</v>
      </c>
    </row>
    <row r="68" spans="1:98" x14ac:dyDescent="0.25">
      <c r="A68">
        <v>67</v>
      </c>
      <c r="B68">
        <v>5</v>
      </c>
      <c r="C68" t="s">
        <v>292</v>
      </c>
      <c r="D68" s="10">
        <v>8.4</v>
      </c>
      <c r="E68" s="6">
        <v>0.6</v>
      </c>
      <c r="F68" s="6">
        <f t="shared" si="4"/>
        <v>14.000000000000002</v>
      </c>
      <c r="L68" s="84">
        <v>0</v>
      </c>
      <c r="M68" s="75">
        <v>0</v>
      </c>
      <c r="N68" s="75">
        <v>1</v>
      </c>
      <c r="O68" s="75">
        <v>0</v>
      </c>
      <c r="P68" s="75">
        <v>0</v>
      </c>
      <c r="Q68" s="84">
        <v>976</v>
      </c>
      <c r="R68" s="75">
        <v>6</v>
      </c>
      <c r="S68" s="75">
        <f t="shared" si="7"/>
        <v>969</v>
      </c>
      <c r="U68" s="75">
        <v>12.16</v>
      </c>
      <c r="V68" s="75">
        <v>14.03</v>
      </c>
      <c r="W68" s="84">
        <v>1</v>
      </c>
      <c r="X68" s="75">
        <v>0</v>
      </c>
      <c r="Y68" s="84">
        <v>0</v>
      </c>
      <c r="Z68" s="75">
        <v>0</v>
      </c>
      <c r="AA68" s="75">
        <v>1</v>
      </c>
      <c r="AB68" s="75">
        <v>0</v>
      </c>
      <c r="AC68" s="84">
        <v>0</v>
      </c>
      <c r="AD68" s="75">
        <v>1</v>
      </c>
      <c r="AE68" s="75">
        <v>0</v>
      </c>
      <c r="AF68" s="84">
        <v>1</v>
      </c>
      <c r="AG68" s="75">
        <v>0</v>
      </c>
      <c r="AH68" s="74">
        <v>2002</v>
      </c>
      <c r="AI68">
        <f t="shared" si="12"/>
        <v>0.14000000000000001</v>
      </c>
      <c r="AJ68">
        <f t="shared" si="12"/>
        <v>0.14000000000000001</v>
      </c>
      <c r="AK68">
        <v>0.6</v>
      </c>
      <c r="AL68">
        <v>0.12</v>
      </c>
      <c r="AM68" s="29" t="s">
        <v>61</v>
      </c>
      <c r="AN68" t="s">
        <v>61</v>
      </c>
      <c r="AO68" s="29">
        <v>0.59</v>
      </c>
      <c r="AP68">
        <f t="shared" si="13"/>
        <v>0.41000000000000003</v>
      </c>
      <c r="AQ68" s="29">
        <v>0</v>
      </c>
      <c r="AR68" s="70">
        <f t="shared" si="9"/>
        <v>1</v>
      </c>
      <c r="AU68" s="29">
        <v>0.64</v>
      </c>
      <c r="AV68" s="12">
        <f t="shared" si="14"/>
        <v>0.36</v>
      </c>
      <c r="AW68" s="12">
        <v>1</v>
      </c>
      <c r="AX68" s="12">
        <v>0</v>
      </c>
      <c r="AY68" s="12">
        <v>0</v>
      </c>
      <c r="AZ68" s="65" t="s">
        <v>369</v>
      </c>
      <c r="BN68" s="67">
        <v>33.770000000000003</v>
      </c>
      <c r="BO68">
        <v>1</v>
      </c>
      <c r="BP68">
        <v>0</v>
      </c>
      <c r="BQ68">
        <v>0</v>
      </c>
      <c r="BR68">
        <v>0</v>
      </c>
      <c r="BS68">
        <v>0</v>
      </c>
      <c r="BT68">
        <v>0</v>
      </c>
      <c r="BY68">
        <v>0</v>
      </c>
      <c r="BZ68" s="29">
        <v>0</v>
      </c>
      <c r="CA68">
        <v>0</v>
      </c>
      <c r="CB68">
        <v>0</v>
      </c>
      <c r="CC68" s="29">
        <v>1</v>
      </c>
      <c r="CD68">
        <v>1</v>
      </c>
      <c r="CE68">
        <v>1</v>
      </c>
      <c r="CF68">
        <v>0</v>
      </c>
      <c r="CG68">
        <v>0</v>
      </c>
      <c r="CH68">
        <v>0</v>
      </c>
      <c r="CI68">
        <v>1</v>
      </c>
      <c r="CJ68">
        <v>1</v>
      </c>
      <c r="CK68">
        <v>0</v>
      </c>
      <c r="CL68">
        <v>0</v>
      </c>
      <c r="CM68">
        <v>0</v>
      </c>
      <c r="CN68" s="17">
        <v>0</v>
      </c>
      <c r="CT68" t="s">
        <v>48</v>
      </c>
    </row>
    <row r="69" spans="1:98" x14ac:dyDescent="0.25">
      <c r="A69">
        <v>68</v>
      </c>
      <c r="B69">
        <v>5</v>
      </c>
      <c r="C69" t="s">
        <v>292</v>
      </c>
      <c r="D69" s="10">
        <v>2.5</v>
      </c>
      <c r="E69" s="6">
        <v>1.5</v>
      </c>
      <c r="F69" s="6">
        <f t="shared" si="4"/>
        <v>1.6666666666666667</v>
      </c>
      <c r="L69" s="84">
        <v>0</v>
      </c>
      <c r="M69" s="75">
        <v>0</v>
      </c>
      <c r="N69" s="75">
        <v>1</v>
      </c>
      <c r="O69" s="75">
        <v>0</v>
      </c>
      <c r="P69" s="75">
        <v>0</v>
      </c>
      <c r="Q69" s="84">
        <v>976</v>
      </c>
      <c r="R69" s="75">
        <v>1</v>
      </c>
      <c r="S69" s="75">
        <f t="shared" si="7"/>
        <v>974</v>
      </c>
      <c r="U69" s="75">
        <v>12.16</v>
      </c>
      <c r="V69" s="75">
        <v>14.03</v>
      </c>
      <c r="W69" s="84">
        <v>1</v>
      </c>
      <c r="X69" s="75">
        <v>0</v>
      </c>
      <c r="Y69" s="84">
        <v>0</v>
      </c>
      <c r="Z69" s="75">
        <v>0</v>
      </c>
      <c r="AA69" s="75">
        <v>1</v>
      </c>
      <c r="AB69" s="75">
        <v>0</v>
      </c>
      <c r="AC69" s="84">
        <v>0</v>
      </c>
      <c r="AD69" s="75">
        <v>1</v>
      </c>
      <c r="AE69" s="75">
        <v>0</v>
      </c>
      <c r="AF69" s="84">
        <v>1</v>
      </c>
      <c r="AG69" s="75">
        <v>0</v>
      </c>
      <c r="AH69" s="74">
        <v>2002</v>
      </c>
      <c r="AI69">
        <f t="shared" si="12"/>
        <v>0.14000000000000001</v>
      </c>
      <c r="AJ69">
        <f t="shared" si="12"/>
        <v>0.14000000000000001</v>
      </c>
      <c r="AK69">
        <v>0.6</v>
      </c>
      <c r="AL69">
        <v>0.12</v>
      </c>
      <c r="AM69" s="29" t="s">
        <v>61</v>
      </c>
      <c r="AN69" t="s">
        <v>61</v>
      </c>
      <c r="AO69" s="29">
        <v>0.59</v>
      </c>
      <c r="AP69">
        <f t="shared" si="13"/>
        <v>0.41000000000000003</v>
      </c>
      <c r="AQ69" s="29">
        <v>0</v>
      </c>
      <c r="AR69" s="70">
        <f t="shared" si="9"/>
        <v>1</v>
      </c>
      <c r="AU69" s="29">
        <v>0.64</v>
      </c>
      <c r="AV69" s="12">
        <f t="shared" si="14"/>
        <v>0.36</v>
      </c>
      <c r="AW69" s="12">
        <v>1</v>
      </c>
      <c r="AX69" s="12">
        <v>0</v>
      </c>
      <c r="AY69" s="12">
        <v>0</v>
      </c>
      <c r="AZ69" s="65" t="s">
        <v>369</v>
      </c>
      <c r="BN69" s="67">
        <v>33.770000000000003</v>
      </c>
      <c r="BO69">
        <v>0</v>
      </c>
      <c r="BP69">
        <v>0</v>
      </c>
      <c r="BQ69">
        <v>1</v>
      </c>
      <c r="BR69">
        <v>0</v>
      </c>
      <c r="BS69">
        <v>0</v>
      </c>
      <c r="BT69">
        <v>0</v>
      </c>
      <c r="BY69">
        <v>0</v>
      </c>
      <c r="BZ69" s="29">
        <v>0</v>
      </c>
      <c r="CA69">
        <v>0</v>
      </c>
      <c r="CB69">
        <v>0</v>
      </c>
      <c r="CC69" s="29">
        <v>0</v>
      </c>
      <c r="CD69">
        <v>0</v>
      </c>
      <c r="CE69">
        <v>0</v>
      </c>
      <c r="CF69">
        <v>0</v>
      </c>
      <c r="CG69">
        <v>0</v>
      </c>
      <c r="CH69">
        <v>0</v>
      </c>
      <c r="CI69">
        <v>0</v>
      </c>
      <c r="CJ69">
        <v>0</v>
      </c>
      <c r="CK69">
        <v>0</v>
      </c>
      <c r="CL69">
        <v>0</v>
      </c>
      <c r="CM69">
        <v>0</v>
      </c>
      <c r="CN69" s="17">
        <v>0</v>
      </c>
      <c r="CT69" t="s">
        <v>48</v>
      </c>
    </row>
    <row r="70" spans="1:98" x14ac:dyDescent="0.25">
      <c r="A70">
        <v>69</v>
      </c>
      <c r="B70">
        <v>5</v>
      </c>
      <c r="C70" t="s">
        <v>292</v>
      </c>
      <c r="D70" s="10">
        <v>2.7</v>
      </c>
      <c r="E70" s="6">
        <v>1.5</v>
      </c>
      <c r="F70" s="6">
        <f t="shared" si="4"/>
        <v>1.8</v>
      </c>
      <c r="L70" s="84">
        <v>0</v>
      </c>
      <c r="M70" s="75">
        <v>0</v>
      </c>
      <c r="N70" s="75">
        <v>1</v>
      </c>
      <c r="O70" s="75">
        <v>0</v>
      </c>
      <c r="P70" s="75">
        <v>0</v>
      </c>
      <c r="Q70" s="84">
        <v>976</v>
      </c>
      <c r="R70" s="75">
        <v>3</v>
      </c>
      <c r="S70" s="75">
        <f t="shared" si="7"/>
        <v>972</v>
      </c>
      <c r="U70" s="75">
        <v>12.16</v>
      </c>
      <c r="V70" s="75">
        <v>14.03</v>
      </c>
      <c r="W70" s="84">
        <v>1</v>
      </c>
      <c r="X70" s="75">
        <v>0</v>
      </c>
      <c r="Y70" s="84">
        <v>0</v>
      </c>
      <c r="Z70" s="75">
        <v>0</v>
      </c>
      <c r="AA70" s="75">
        <v>1</v>
      </c>
      <c r="AB70" s="75">
        <v>0</v>
      </c>
      <c r="AC70" s="84">
        <v>0</v>
      </c>
      <c r="AD70" s="75">
        <v>1</v>
      </c>
      <c r="AE70" s="75">
        <v>0</v>
      </c>
      <c r="AF70" s="84">
        <v>1</v>
      </c>
      <c r="AG70" s="75">
        <v>0</v>
      </c>
      <c r="AH70" s="74">
        <v>2002</v>
      </c>
      <c r="AI70">
        <f t="shared" si="12"/>
        <v>0.14000000000000001</v>
      </c>
      <c r="AJ70">
        <f t="shared" si="12"/>
        <v>0.14000000000000001</v>
      </c>
      <c r="AK70">
        <v>0.6</v>
      </c>
      <c r="AL70">
        <v>0.12</v>
      </c>
      <c r="AM70" s="29" t="s">
        <v>61</v>
      </c>
      <c r="AN70" t="s">
        <v>61</v>
      </c>
      <c r="AO70" s="29">
        <v>0.59</v>
      </c>
      <c r="AP70">
        <f t="shared" si="13"/>
        <v>0.41000000000000003</v>
      </c>
      <c r="AQ70" s="29">
        <v>0</v>
      </c>
      <c r="AR70" s="70">
        <f t="shared" si="9"/>
        <v>1</v>
      </c>
      <c r="AU70" s="29">
        <v>0.64</v>
      </c>
      <c r="AV70" s="12">
        <f t="shared" si="14"/>
        <v>0.36</v>
      </c>
      <c r="AW70" s="12">
        <v>1</v>
      </c>
      <c r="AX70" s="12">
        <v>0</v>
      </c>
      <c r="AY70" s="12">
        <v>0</v>
      </c>
      <c r="AZ70" s="65" t="s">
        <v>369</v>
      </c>
      <c r="BN70" s="67">
        <v>33.770000000000003</v>
      </c>
      <c r="BO70">
        <v>0</v>
      </c>
      <c r="BP70">
        <v>0</v>
      </c>
      <c r="BQ70">
        <v>1</v>
      </c>
      <c r="BR70">
        <v>0</v>
      </c>
      <c r="BS70">
        <v>0</v>
      </c>
      <c r="BT70">
        <v>0</v>
      </c>
      <c r="BY70">
        <v>0</v>
      </c>
      <c r="BZ70" s="29">
        <v>0</v>
      </c>
      <c r="CA70">
        <v>0</v>
      </c>
      <c r="CB70">
        <v>0</v>
      </c>
      <c r="CC70" s="29">
        <v>0</v>
      </c>
      <c r="CD70">
        <v>0</v>
      </c>
      <c r="CE70">
        <v>1</v>
      </c>
      <c r="CF70">
        <v>0</v>
      </c>
      <c r="CG70">
        <v>0</v>
      </c>
      <c r="CH70">
        <v>0</v>
      </c>
      <c r="CI70">
        <v>0</v>
      </c>
      <c r="CJ70">
        <v>1</v>
      </c>
      <c r="CK70">
        <v>0</v>
      </c>
      <c r="CL70">
        <v>0</v>
      </c>
      <c r="CM70">
        <v>0</v>
      </c>
      <c r="CN70" s="17">
        <v>0</v>
      </c>
      <c r="CT70" t="s">
        <v>48</v>
      </c>
    </row>
    <row r="71" spans="1:98" x14ac:dyDescent="0.25">
      <c r="A71">
        <v>70</v>
      </c>
      <c r="B71">
        <v>5</v>
      </c>
      <c r="C71" t="s">
        <v>292</v>
      </c>
      <c r="D71" s="10">
        <v>2.5</v>
      </c>
      <c r="E71" s="6">
        <v>1.2</v>
      </c>
      <c r="F71" s="6">
        <f t="shared" si="4"/>
        <v>2.0833333333333335</v>
      </c>
      <c r="L71" s="84">
        <v>0</v>
      </c>
      <c r="M71" s="75">
        <v>0</v>
      </c>
      <c r="N71" s="75">
        <v>1</v>
      </c>
      <c r="O71" s="75">
        <v>0</v>
      </c>
      <c r="P71" s="75">
        <v>0</v>
      </c>
      <c r="Q71" s="84">
        <v>976</v>
      </c>
      <c r="R71" s="75">
        <v>5</v>
      </c>
      <c r="S71" s="75">
        <f t="shared" si="7"/>
        <v>970</v>
      </c>
      <c r="U71" s="75">
        <v>12.16</v>
      </c>
      <c r="V71" s="75">
        <v>14.03</v>
      </c>
      <c r="W71" s="84">
        <v>1</v>
      </c>
      <c r="X71" s="75">
        <v>0</v>
      </c>
      <c r="Y71" s="84">
        <v>0</v>
      </c>
      <c r="Z71" s="75">
        <v>0</v>
      </c>
      <c r="AA71" s="75">
        <v>1</v>
      </c>
      <c r="AB71" s="75">
        <v>0</v>
      </c>
      <c r="AC71" s="84">
        <v>0</v>
      </c>
      <c r="AD71" s="75">
        <v>1</v>
      </c>
      <c r="AE71" s="75">
        <v>0</v>
      </c>
      <c r="AF71" s="84">
        <v>1</v>
      </c>
      <c r="AG71" s="75">
        <v>0</v>
      </c>
      <c r="AH71" s="74">
        <v>2002</v>
      </c>
      <c r="AI71">
        <f t="shared" si="12"/>
        <v>0.14000000000000001</v>
      </c>
      <c r="AJ71">
        <f t="shared" si="12"/>
        <v>0.14000000000000001</v>
      </c>
      <c r="AK71">
        <v>0.6</v>
      </c>
      <c r="AL71">
        <v>0.12</v>
      </c>
      <c r="AM71" s="29" t="s">
        <v>61</v>
      </c>
      <c r="AN71" t="s">
        <v>61</v>
      </c>
      <c r="AO71" s="29">
        <v>0.59</v>
      </c>
      <c r="AP71">
        <f t="shared" si="13"/>
        <v>0.41000000000000003</v>
      </c>
      <c r="AQ71" s="29">
        <v>0</v>
      </c>
      <c r="AR71" s="70">
        <f t="shared" si="9"/>
        <v>1</v>
      </c>
      <c r="AU71" s="29">
        <v>0.64</v>
      </c>
      <c r="AV71" s="12">
        <f t="shared" si="14"/>
        <v>0.36</v>
      </c>
      <c r="AW71" s="12">
        <v>1</v>
      </c>
      <c r="AX71" s="12">
        <v>0</v>
      </c>
      <c r="AY71" s="12">
        <v>0</v>
      </c>
      <c r="AZ71" s="65" t="s">
        <v>369</v>
      </c>
      <c r="BN71" s="67">
        <v>33.770000000000003</v>
      </c>
      <c r="BO71">
        <v>0</v>
      </c>
      <c r="BP71">
        <v>1</v>
      </c>
      <c r="BQ71">
        <v>0</v>
      </c>
      <c r="BR71">
        <v>0</v>
      </c>
      <c r="BS71">
        <v>0</v>
      </c>
      <c r="BT71">
        <v>0</v>
      </c>
      <c r="BY71">
        <v>0</v>
      </c>
      <c r="BZ71" s="29">
        <v>0</v>
      </c>
      <c r="CA71">
        <v>0</v>
      </c>
      <c r="CB71">
        <v>0</v>
      </c>
      <c r="CC71" s="29">
        <v>1</v>
      </c>
      <c r="CD71">
        <v>1</v>
      </c>
      <c r="CE71">
        <v>0</v>
      </c>
      <c r="CF71">
        <v>0</v>
      </c>
      <c r="CG71">
        <v>0</v>
      </c>
      <c r="CH71">
        <v>0</v>
      </c>
      <c r="CI71">
        <v>1</v>
      </c>
      <c r="CJ71">
        <v>0</v>
      </c>
      <c r="CK71">
        <v>0</v>
      </c>
      <c r="CL71">
        <v>0</v>
      </c>
      <c r="CM71">
        <v>0</v>
      </c>
      <c r="CN71" s="17">
        <v>0</v>
      </c>
      <c r="CT71" t="s">
        <v>48</v>
      </c>
    </row>
    <row r="72" spans="1:98" x14ac:dyDescent="0.25">
      <c r="A72">
        <v>71</v>
      </c>
      <c r="B72">
        <v>5</v>
      </c>
      <c r="C72" t="s">
        <v>292</v>
      </c>
      <c r="D72" s="10">
        <v>2.7</v>
      </c>
      <c r="E72" s="6">
        <v>1.2</v>
      </c>
      <c r="F72" s="6">
        <f t="shared" si="4"/>
        <v>2.2500000000000004</v>
      </c>
      <c r="L72" s="84">
        <v>0</v>
      </c>
      <c r="M72" s="75">
        <v>0</v>
      </c>
      <c r="N72" s="75">
        <v>1</v>
      </c>
      <c r="O72" s="75">
        <v>0</v>
      </c>
      <c r="P72" s="75">
        <v>0</v>
      </c>
      <c r="Q72" s="84">
        <v>976</v>
      </c>
      <c r="R72" s="75">
        <v>7</v>
      </c>
      <c r="S72" s="75">
        <f t="shared" si="7"/>
        <v>968</v>
      </c>
      <c r="U72" s="75">
        <v>12.16</v>
      </c>
      <c r="V72" s="75">
        <v>14.03</v>
      </c>
      <c r="W72" s="84">
        <v>1</v>
      </c>
      <c r="X72" s="75">
        <v>0</v>
      </c>
      <c r="Y72" s="84">
        <v>0</v>
      </c>
      <c r="Z72" s="75">
        <v>0</v>
      </c>
      <c r="AA72" s="75">
        <v>1</v>
      </c>
      <c r="AB72" s="75">
        <v>0</v>
      </c>
      <c r="AC72" s="84">
        <v>0</v>
      </c>
      <c r="AD72" s="75">
        <v>1</v>
      </c>
      <c r="AE72" s="75">
        <v>0</v>
      </c>
      <c r="AF72" s="84">
        <v>1</v>
      </c>
      <c r="AG72" s="75">
        <v>0</v>
      </c>
      <c r="AH72" s="74">
        <v>2002</v>
      </c>
      <c r="AI72">
        <f t="shared" si="12"/>
        <v>0.14000000000000001</v>
      </c>
      <c r="AJ72">
        <f t="shared" si="12"/>
        <v>0.14000000000000001</v>
      </c>
      <c r="AK72">
        <v>0.6</v>
      </c>
      <c r="AL72">
        <v>0.12</v>
      </c>
      <c r="AM72" s="29" t="s">
        <v>61</v>
      </c>
      <c r="AN72" t="s">
        <v>61</v>
      </c>
      <c r="AO72" s="29">
        <v>0.59</v>
      </c>
      <c r="AP72">
        <f t="shared" si="13"/>
        <v>0.41000000000000003</v>
      </c>
      <c r="AQ72" s="29">
        <v>0</v>
      </c>
      <c r="AR72" s="70">
        <f t="shared" si="9"/>
        <v>1</v>
      </c>
      <c r="AU72" s="29">
        <v>0.64</v>
      </c>
      <c r="AV72" s="12">
        <f t="shared" si="14"/>
        <v>0.36</v>
      </c>
      <c r="AW72" s="12">
        <v>1</v>
      </c>
      <c r="AX72" s="12">
        <v>0</v>
      </c>
      <c r="AY72" s="12">
        <v>0</v>
      </c>
      <c r="AZ72" s="65" t="s">
        <v>369</v>
      </c>
      <c r="BN72" s="67">
        <v>33.770000000000003</v>
      </c>
      <c r="BO72">
        <v>0</v>
      </c>
      <c r="BP72">
        <v>1</v>
      </c>
      <c r="BQ72">
        <v>0</v>
      </c>
      <c r="BR72">
        <v>0</v>
      </c>
      <c r="BS72">
        <v>0</v>
      </c>
      <c r="BT72">
        <v>0</v>
      </c>
      <c r="BY72">
        <v>0</v>
      </c>
      <c r="BZ72" s="29">
        <v>0</v>
      </c>
      <c r="CA72">
        <v>0</v>
      </c>
      <c r="CB72">
        <v>0</v>
      </c>
      <c r="CC72" s="29">
        <v>1</v>
      </c>
      <c r="CD72">
        <v>1</v>
      </c>
      <c r="CE72">
        <v>1</v>
      </c>
      <c r="CF72">
        <v>0</v>
      </c>
      <c r="CG72">
        <v>0</v>
      </c>
      <c r="CH72">
        <v>0</v>
      </c>
      <c r="CI72">
        <v>1</v>
      </c>
      <c r="CJ72">
        <v>1</v>
      </c>
      <c r="CK72">
        <v>0</v>
      </c>
      <c r="CL72">
        <v>0</v>
      </c>
      <c r="CM72">
        <v>0</v>
      </c>
      <c r="CN72" s="17">
        <v>0</v>
      </c>
      <c r="CT72" t="s">
        <v>48</v>
      </c>
    </row>
    <row r="73" spans="1:98" x14ac:dyDescent="0.25">
      <c r="A73">
        <v>72</v>
      </c>
      <c r="B73">
        <v>5</v>
      </c>
      <c r="C73" t="s">
        <v>292</v>
      </c>
      <c r="D73" s="10">
        <v>3.2</v>
      </c>
      <c r="E73" s="6">
        <v>1.9</v>
      </c>
      <c r="F73" s="6">
        <f t="shared" si="4"/>
        <v>1.6842105263157896</v>
      </c>
      <c r="L73" s="84">
        <v>0</v>
      </c>
      <c r="M73" s="75">
        <v>0</v>
      </c>
      <c r="N73" s="75">
        <v>1</v>
      </c>
      <c r="O73" s="75">
        <v>0</v>
      </c>
      <c r="P73" s="75">
        <v>0</v>
      </c>
      <c r="Q73" s="84">
        <v>976</v>
      </c>
      <c r="R73" s="75">
        <v>1</v>
      </c>
      <c r="S73" s="75">
        <f t="shared" si="7"/>
        <v>974</v>
      </c>
      <c r="U73" s="75">
        <v>12.16</v>
      </c>
      <c r="V73" s="75">
        <v>14.03</v>
      </c>
      <c r="W73" s="84">
        <v>1</v>
      </c>
      <c r="X73" s="75">
        <v>0</v>
      </c>
      <c r="Y73" s="84">
        <v>0</v>
      </c>
      <c r="Z73" s="75">
        <v>0</v>
      </c>
      <c r="AA73" s="75">
        <v>1</v>
      </c>
      <c r="AB73" s="75">
        <v>0</v>
      </c>
      <c r="AC73" s="84">
        <v>0</v>
      </c>
      <c r="AD73" s="75">
        <v>1</v>
      </c>
      <c r="AE73" s="75">
        <v>0</v>
      </c>
      <c r="AF73" s="84">
        <v>1</v>
      </c>
      <c r="AG73" s="75">
        <v>0</v>
      </c>
      <c r="AH73" s="74">
        <v>2002</v>
      </c>
      <c r="AI73">
        <f t="shared" si="12"/>
        <v>0.14000000000000001</v>
      </c>
      <c r="AJ73">
        <f t="shared" si="12"/>
        <v>0.14000000000000001</v>
      </c>
      <c r="AK73">
        <v>0.6</v>
      </c>
      <c r="AL73">
        <v>0.12</v>
      </c>
      <c r="AM73" s="29" t="s">
        <v>61</v>
      </c>
      <c r="AN73" t="s">
        <v>61</v>
      </c>
      <c r="AO73" s="29">
        <v>0.59</v>
      </c>
      <c r="AP73">
        <f t="shared" si="13"/>
        <v>0.41000000000000003</v>
      </c>
      <c r="AQ73" s="29">
        <v>0</v>
      </c>
      <c r="AR73" s="70">
        <f t="shared" si="9"/>
        <v>1</v>
      </c>
      <c r="AU73" s="29">
        <v>0.64</v>
      </c>
      <c r="AV73" s="12">
        <f t="shared" si="14"/>
        <v>0.36</v>
      </c>
      <c r="AW73" s="12">
        <v>1</v>
      </c>
      <c r="AX73" s="12">
        <v>0</v>
      </c>
      <c r="AY73" s="12">
        <v>0</v>
      </c>
      <c r="AZ73" s="65" t="s">
        <v>369</v>
      </c>
      <c r="BN73" s="67">
        <v>33.770000000000003</v>
      </c>
      <c r="BO73">
        <v>0</v>
      </c>
      <c r="BP73">
        <v>0</v>
      </c>
      <c r="BQ73">
        <v>0</v>
      </c>
      <c r="BR73">
        <v>0</v>
      </c>
      <c r="BS73">
        <v>0</v>
      </c>
      <c r="BT73">
        <v>1</v>
      </c>
      <c r="BY73">
        <v>0</v>
      </c>
      <c r="BZ73" s="29">
        <v>1</v>
      </c>
      <c r="CA73">
        <v>0</v>
      </c>
      <c r="CB73">
        <v>0</v>
      </c>
      <c r="CC73" s="29">
        <v>0</v>
      </c>
      <c r="CD73">
        <v>0</v>
      </c>
      <c r="CE73">
        <v>0</v>
      </c>
      <c r="CF73">
        <v>0</v>
      </c>
      <c r="CG73">
        <v>0</v>
      </c>
      <c r="CH73">
        <v>0</v>
      </c>
      <c r="CI73">
        <v>0</v>
      </c>
      <c r="CJ73">
        <v>0</v>
      </c>
      <c r="CK73">
        <v>0</v>
      </c>
      <c r="CL73">
        <v>0</v>
      </c>
      <c r="CM73">
        <v>0</v>
      </c>
      <c r="CN73" s="17">
        <v>0</v>
      </c>
      <c r="CT73" t="s">
        <v>48</v>
      </c>
    </row>
    <row r="74" spans="1:98" x14ac:dyDescent="0.25">
      <c r="A74">
        <v>73</v>
      </c>
      <c r="B74">
        <v>5</v>
      </c>
      <c r="C74" t="s">
        <v>292</v>
      </c>
      <c r="D74" s="10">
        <v>3.3</v>
      </c>
      <c r="E74" s="6">
        <v>1.9</v>
      </c>
      <c r="F74" s="6">
        <f t="shared" si="4"/>
        <v>1.736842105263158</v>
      </c>
      <c r="L74" s="84">
        <v>0</v>
      </c>
      <c r="M74" s="75">
        <v>0</v>
      </c>
      <c r="N74" s="75">
        <v>1</v>
      </c>
      <c r="O74" s="75">
        <v>0</v>
      </c>
      <c r="P74" s="75">
        <v>0</v>
      </c>
      <c r="Q74" s="84">
        <v>976</v>
      </c>
      <c r="R74" s="75">
        <v>3</v>
      </c>
      <c r="S74" s="75">
        <f t="shared" si="7"/>
        <v>972</v>
      </c>
      <c r="U74" s="75">
        <v>12.16</v>
      </c>
      <c r="V74" s="75">
        <v>14.03</v>
      </c>
      <c r="W74" s="84">
        <v>1</v>
      </c>
      <c r="X74" s="75">
        <v>0</v>
      </c>
      <c r="Y74" s="84">
        <v>0</v>
      </c>
      <c r="Z74" s="75">
        <v>0</v>
      </c>
      <c r="AA74" s="75">
        <v>1</v>
      </c>
      <c r="AB74" s="75">
        <v>0</v>
      </c>
      <c r="AC74" s="84">
        <v>0</v>
      </c>
      <c r="AD74" s="75">
        <v>1</v>
      </c>
      <c r="AE74" s="75">
        <v>0</v>
      </c>
      <c r="AF74" s="84">
        <v>1</v>
      </c>
      <c r="AG74" s="75">
        <v>0</v>
      </c>
      <c r="AH74" s="74">
        <v>2002</v>
      </c>
      <c r="AI74">
        <f t="shared" si="12"/>
        <v>0.14000000000000001</v>
      </c>
      <c r="AJ74">
        <f t="shared" si="12"/>
        <v>0.14000000000000001</v>
      </c>
      <c r="AK74">
        <v>0.6</v>
      </c>
      <c r="AL74">
        <v>0.12</v>
      </c>
      <c r="AM74" s="29" t="s">
        <v>61</v>
      </c>
      <c r="AN74" t="s">
        <v>61</v>
      </c>
      <c r="AO74" s="29">
        <v>0.59</v>
      </c>
      <c r="AP74">
        <f t="shared" si="13"/>
        <v>0.41000000000000003</v>
      </c>
      <c r="AQ74" s="29">
        <v>0</v>
      </c>
      <c r="AR74" s="70">
        <f t="shared" si="9"/>
        <v>1</v>
      </c>
      <c r="AU74" s="29">
        <v>0.64</v>
      </c>
      <c r="AV74" s="12">
        <f t="shared" si="14"/>
        <v>0.36</v>
      </c>
      <c r="AW74" s="12">
        <v>1</v>
      </c>
      <c r="AX74" s="12">
        <v>0</v>
      </c>
      <c r="AY74" s="12">
        <v>0</v>
      </c>
      <c r="AZ74" s="65" t="s">
        <v>369</v>
      </c>
      <c r="BN74" s="67">
        <v>33.770000000000003</v>
      </c>
      <c r="BO74">
        <v>0</v>
      </c>
      <c r="BP74">
        <v>0</v>
      </c>
      <c r="BQ74">
        <v>0</v>
      </c>
      <c r="BR74">
        <v>0</v>
      </c>
      <c r="BS74">
        <v>0</v>
      </c>
      <c r="BT74">
        <v>1</v>
      </c>
      <c r="BY74">
        <v>0</v>
      </c>
      <c r="BZ74" s="29">
        <v>1</v>
      </c>
      <c r="CA74">
        <v>0</v>
      </c>
      <c r="CB74">
        <v>0</v>
      </c>
      <c r="CC74" s="29">
        <v>0</v>
      </c>
      <c r="CD74">
        <v>0</v>
      </c>
      <c r="CE74">
        <v>1</v>
      </c>
      <c r="CF74">
        <v>0</v>
      </c>
      <c r="CG74">
        <v>0</v>
      </c>
      <c r="CH74">
        <v>0</v>
      </c>
      <c r="CI74">
        <v>0</v>
      </c>
      <c r="CJ74">
        <v>1</v>
      </c>
      <c r="CK74">
        <v>0</v>
      </c>
      <c r="CL74">
        <v>0</v>
      </c>
      <c r="CM74">
        <v>0</v>
      </c>
      <c r="CN74" s="17">
        <v>0</v>
      </c>
      <c r="CT74" t="s">
        <v>48</v>
      </c>
    </row>
    <row r="75" spans="1:98" x14ac:dyDescent="0.25">
      <c r="A75">
        <v>74</v>
      </c>
      <c r="B75">
        <v>5</v>
      </c>
      <c r="C75" t="s">
        <v>292</v>
      </c>
      <c r="D75" s="10">
        <v>3.6</v>
      </c>
      <c r="E75" s="6">
        <v>1.8</v>
      </c>
      <c r="F75" s="6">
        <f t="shared" si="4"/>
        <v>2</v>
      </c>
      <c r="L75" s="84">
        <v>0</v>
      </c>
      <c r="M75" s="75">
        <v>0</v>
      </c>
      <c r="N75" s="75">
        <v>1</v>
      </c>
      <c r="O75" s="75">
        <v>0</v>
      </c>
      <c r="P75" s="75">
        <v>0</v>
      </c>
      <c r="Q75" s="84">
        <v>976</v>
      </c>
      <c r="R75" s="75">
        <v>1</v>
      </c>
      <c r="S75" s="75">
        <f t="shared" si="7"/>
        <v>974</v>
      </c>
      <c r="U75" s="75">
        <v>12.16</v>
      </c>
      <c r="V75" s="75">
        <v>14.03</v>
      </c>
      <c r="W75" s="84">
        <v>1</v>
      </c>
      <c r="X75" s="75">
        <v>0</v>
      </c>
      <c r="Y75" s="84">
        <v>0</v>
      </c>
      <c r="Z75" s="75">
        <v>0</v>
      </c>
      <c r="AA75" s="75">
        <v>1</v>
      </c>
      <c r="AB75" s="75">
        <v>0</v>
      </c>
      <c r="AC75" s="84">
        <v>0</v>
      </c>
      <c r="AD75" s="75">
        <v>1</v>
      </c>
      <c r="AE75" s="75">
        <v>0</v>
      </c>
      <c r="AF75" s="84">
        <v>1</v>
      </c>
      <c r="AG75" s="75">
        <v>0</v>
      </c>
      <c r="AH75" s="74">
        <v>2002</v>
      </c>
      <c r="AI75">
        <f t="shared" si="12"/>
        <v>0.14000000000000001</v>
      </c>
      <c r="AJ75">
        <f t="shared" si="12"/>
        <v>0.14000000000000001</v>
      </c>
      <c r="AK75">
        <v>0.6</v>
      </c>
      <c r="AL75">
        <v>0.12</v>
      </c>
      <c r="AM75" s="29" t="s">
        <v>61</v>
      </c>
      <c r="AN75" t="s">
        <v>61</v>
      </c>
      <c r="AO75" s="29">
        <v>0.59</v>
      </c>
      <c r="AP75">
        <f t="shared" si="13"/>
        <v>0.41000000000000003</v>
      </c>
      <c r="AQ75" s="29">
        <v>0</v>
      </c>
      <c r="AR75" s="70">
        <f t="shared" si="9"/>
        <v>1</v>
      </c>
      <c r="AU75" s="29">
        <v>0.64</v>
      </c>
      <c r="AV75" s="12">
        <f t="shared" si="14"/>
        <v>0.36</v>
      </c>
      <c r="AW75" s="12">
        <v>1</v>
      </c>
      <c r="AX75" s="12">
        <v>0</v>
      </c>
      <c r="AY75" s="12">
        <v>0</v>
      </c>
      <c r="AZ75" s="65" t="s">
        <v>369</v>
      </c>
      <c r="BN75" s="67">
        <v>33.770000000000003</v>
      </c>
      <c r="BO75">
        <v>0</v>
      </c>
      <c r="BP75">
        <v>0</v>
      </c>
      <c r="BQ75">
        <v>0</v>
      </c>
      <c r="BR75">
        <v>0</v>
      </c>
      <c r="BS75">
        <v>0</v>
      </c>
      <c r="BT75">
        <v>1</v>
      </c>
      <c r="BY75">
        <v>0</v>
      </c>
      <c r="BZ75" s="29">
        <v>1</v>
      </c>
      <c r="CA75">
        <v>0</v>
      </c>
      <c r="CB75">
        <v>0</v>
      </c>
      <c r="CC75" s="29">
        <v>0</v>
      </c>
      <c r="CD75">
        <v>0</v>
      </c>
      <c r="CE75">
        <v>0</v>
      </c>
      <c r="CF75">
        <v>0</v>
      </c>
      <c r="CG75">
        <v>0</v>
      </c>
      <c r="CH75">
        <v>0</v>
      </c>
      <c r="CI75">
        <v>0</v>
      </c>
      <c r="CJ75">
        <v>0</v>
      </c>
      <c r="CK75">
        <v>0</v>
      </c>
      <c r="CL75">
        <v>0</v>
      </c>
      <c r="CM75">
        <v>0</v>
      </c>
      <c r="CN75" s="17">
        <v>0</v>
      </c>
      <c r="CT75" t="s">
        <v>48</v>
      </c>
    </row>
    <row r="76" spans="1:98" x14ac:dyDescent="0.25">
      <c r="A76">
        <v>75</v>
      </c>
      <c r="B76">
        <v>5</v>
      </c>
      <c r="C76" t="s">
        <v>292</v>
      </c>
      <c r="D76" s="10">
        <v>3.8</v>
      </c>
      <c r="E76" s="6">
        <v>1.8</v>
      </c>
      <c r="F76" s="6">
        <f t="shared" si="4"/>
        <v>2.1111111111111112</v>
      </c>
      <c r="L76" s="84">
        <v>0</v>
      </c>
      <c r="M76" s="75">
        <v>0</v>
      </c>
      <c r="N76" s="75">
        <v>1</v>
      </c>
      <c r="O76" s="75">
        <v>0</v>
      </c>
      <c r="P76" s="75">
        <v>0</v>
      </c>
      <c r="Q76" s="84">
        <v>976</v>
      </c>
      <c r="R76" s="75">
        <v>3</v>
      </c>
      <c r="S76" s="75">
        <f t="shared" si="7"/>
        <v>972</v>
      </c>
      <c r="U76" s="75">
        <v>12.16</v>
      </c>
      <c r="V76" s="75">
        <v>14.03</v>
      </c>
      <c r="W76" s="84">
        <v>1</v>
      </c>
      <c r="X76" s="75">
        <v>0</v>
      </c>
      <c r="Y76" s="84">
        <v>0</v>
      </c>
      <c r="Z76" s="75">
        <v>0</v>
      </c>
      <c r="AA76" s="75">
        <v>1</v>
      </c>
      <c r="AB76" s="75">
        <v>0</v>
      </c>
      <c r="AC76" s="84">
        <v>0</v>
      </c>
      <c r="AD76" s="75">
        <v>1</v>
      </c>
      <c r="AE76" s="75">
        <v>0</v>
      </c>
      <c r="AF76" s="84">
        <v>1</v>
      </c>
      <c r="AG76" s="75">
        <v>0</v>
      </c>
      <c r="AH76" s="74">
        <v>2002</v>
      </c>
      <c r="AI76">
        <f t="shared" si="12"/>
        <v>0.14000000000000001</v>
      </c>
      <c r="AJ76">
        <f t="shared" si="12"/>
        <v>0.14000000000000001</v>
      </c>
      <c r="AK76">
        <v>0.6</v>
      </c>
      <c r="AL76">
        <v>0.12</v>
      </c>
      <c r="AM76" s="29" t="s">
        <v>61</v>
      </c>
      <c r="AN76" t="s">
        <v>61</v>
      </c>
      <c r="AO76" s="29">
        <v>0.59</v>
      </c>
      <c r="AP76">
        <f t="shared" si="13"/>
        <v>0.41000000000000003</v>
      </c>
      <c r="AQ76" s="29">
        <v>0</v>
      </c>
      <c r="AR76" s="70">
        <f t="shared" si="9"/>
        <v>1</v>
      </c>
      <c r="AU76" s="29">
        <v>0.64</v>
      </c>
      <c r="AV76" s="12">
        <f t="shared" si="14"/>
        <v>0.36</v>
      </c>
      <c r="AW76" s="12">
        <v>1</v>
      </c>
      <c r="AX76" s="12">
        <v>0</v>
      </c>
      <c r="AY76" s="12">
        <v>0</v>
      </c>
      <c r="AZ76" s="65" t="s">
        <v>369</v>
      </c>
      <c r="BN76" s="67">
        <v>33.770000000000003</v>
      </c>
      <c r="BO76">
        <v>0</v>
      </c>
      <c r="BP76">
        <v>0</v>
      </c>
      <c r="BQ76">
        <v>0</v>
      </c>
      <c r="BR76">
        <v>0</v>
      </c>
      <c r="BS76">
        <v>0</v>
      </c>
      <c r="BT76">
        <v>1</v>
      </c>
      <c r="BY76">
        <v>0</v>
      </c>
      <c r="BZ76" s="29">
        <v>1</v>
      </c>
      <c r="CA76">
        <v>0</v>
      </c>
      <c r="CB76">
        <v>0</v>
      </c>
      <c r="CC76" s="29">
        <v>0</v>
      </c>
      <c r="CD76">
        <v>0</v>
      </c>
      <c r="CE76">
        <v>1</v>
      </c>
      <c r="CF76">
        <v>0</v>
      </c>
      <c r="CG76">
        <v>0</v>
      </c>
      <c r="CH76">
        <v>0</v>
      </c>
      <c r="CI76">
        <v>0</v>
      </c>
      <c r="CJ76">
        <v>1</v>
      </c>
      <c r="CK76">
        <v>0</v>
      </c>
      <c r="CL76">
        <v>0</v>
      </c>
      <c r="CM76">
        <v>0</v>
      </c>
      <c r="CN76" s="17">
        <v>0</v>
      </c>
      <c r="CT76" t="s">
        <v>48</v>
      </c>
    </row>
    <row r="77" spans="1:98" x14ac:dyDescent="0.25">
      <c r="A77">
        <v>76</v>
      </c>
      <c r="B77">
        <v>5</v>
      </c>
      <c r="C77" t="s">
        <v>292</v>
      </c>
      <c r="D77" s="10">
        <v>8.5</v>
      </c>
      <c r="E77" s="6">
        <v>0.8</v>
      </c>
      <c r="F77" s="6">
        <f t="shared" si="4"/>
        <v>10.625</v>
      </c>
      <c r="L77" s="84">
        <v>0</v>
      </c>
      <c r="M77" s="75">
        <v>0</v>
      </c>
      <c r="N77" s="75">
        <v>1</v>
      </c>
      <c r="O77" s="75">
        <v>0</v>
      </c>
      <c r="P77" s="75">
        <v>0</v>
      </c>
      <c r="Q77" s="84">
        <v>632</v>
      </c>
      <c r="R77" s="75">
        <v>6</v>
      </c>
      <c r="S77" s="75">
        <f t="shared" si="7"/>
        <v>625</v>
      </c>
      <c r="U77" s="75">
        <v>12.16</v>
      </c>
      <c r="V77" s="75">
        <v>14.03</v>
      </c>
      <c r="W77" s="84">
        <v>1</v>
      </c>
      <c r="X77" s="75">
        <v>0</v>
      </c>
      <c r="Y77" s="84">
        <v>0</v>
      </c>
      <c r="Z77" s="75">
        <v>0</v>
      </c>
      <c r="AA77" s="75">
        <v>1</v>
      </c>
      <c r="AB77" s="75">
        <v>0</v>
      </c>
      <c r="AC77" s="84">
        <v>0</v>
      </c>
      <c r="AD77" s="75">
        <v>1</v>
      </c>
      <c r="AE77" s="75">
        <v>0</v>
      </c>
      <c r="AF77" s="84">
        <v>1</v>
      </c>
      <c r="AG77" s="75">
        <v>0</v>
      </c>
      <c r="AH77" s="74">
        <v>2002</v>
      </c>
      <c r="AI77">
        <f t="shared" si="12"/>
        <v>0.14000000000000001</v>
      </c>
      <c r="AJ77">
        <f t="shared" si="12"/>
        <v>0.14000000000000001</v>
      </c>
      <c r="AK77">
        <v>0.6</v>
      </c>
      <c r="AL77">
        <v>0.12</v>
      </c>
      <c r="AM77" s="29" t="s">
        <v>61</v>
      </c>
      <c r="AN77" t="s">
        <v>61</v>
      </c>
      <c r="AO77" s="29">
        <v>0.59</v>
      </c>
      <c r="AP77">
        <f t="shared" si="13"/>
        <v>0.41000000000000003</v>
      </c>
      <c r="AQ77" s="29">
        <v>0</v>
      </c>
      <c r="AR77" s="70">
        <f t="shared" si="9"/>
        <v>1</v>
      </c>
      <c r="AU77" s="29">
        <v>0.64</v>
      </c>
      <c r="AV77" s="12">
        <f t="shared" si="14"/>
        <v>0.36</v>
      </c>
      <c r="AW77" s="12">
        <v>0</v>
      </c>
      <c r="AX77" s="12">
        <v>1</v>
      </c>
      <c r="AY77" s="12">
        <v>0</v>
      </c>
      <c r="AZ77" s="65" t="s">
        <v>369</v>
      </c>
      <c r="BN77" s="67">
        <v>33.770000000000003</v>
      </c>
      <c r="BO77">
        <v>1</v>
      </c>
      <c r="BP77">
        <v>0</v>
      </c>
      <c r="BQ77">
        <v>0</v>
      </c>
      <c r="BR77">
        <v>0</v>
      </c>
      <c r="BS77">
        <v>0</v>
      </c>
      <c r="BT77">
        <v>0</v>
      </c>
      <c r="BY77">
        <v>0</v>
      </c>
      <c r="BZ77" s="29">
        <v>0</v>
      </c>
      <c r="CA77">
        <v>0</v>
      </c>
      <c r="CB77">
        <v>0</v>
      </c>
      <c r="CC77" s="29">
        <v>1</v>
      </c>
      <c r="CD77">
        <v>1</v>
      </c>
      <c r="CE77">
        <v>1</v>
      </c>
      <c r="CF77">
        <v>0</v>
      </c>
      <c r="CG77">
        <v>0</v>
      </c>
      <c r="CH77">
        <v>0</v>
      </c>
      <c r="CI77">
        <v>1</v>
      </c>
      <c r="CJ77">
        <v>1</v>
      </c>
      <c r="CK77">
        <v>0</v>
      </c>
      <c r="CL77">
        <v>0</v>
      </c>
      <c r="CM77">
        <v>0</v>
      </c>
      <c r="CN77" s="17">
        <v>0</v>
      </c>
      <c r="CT77" t="s">
        <v>48</v>
      </c>
    </row>
    <row r="78" spans="1:98" x14ac:dyDescent="0.25">
      <c r="A78">
        <v>77</v>
      </c>
      <c r="B78">
        <v>5</v>
      </c>
      <c r="C78" t="s">
        <v>292</v>
      </c>
      <c r="D78" s="10">
        <v>4.4000000000000004</v>
      </c>
      <c r="E78" s="6">
        <v>1.2</v>
      </c>
      <c r="F78" s="6">
        <f t="shared" si="4"/>
        <v>3.666666666666667</v>
      </c>
      <c r="L78" s="84">
        <v>0</v>
      </c>
      <c r="M78" s="75">
        <v>0</v>
      </c>
      <c r="N78" s="75">
        <v>1</v>
      </c>
      <c r="O78" s="75">
        <v>0</v>
      </c>
      <c r="P78" s="75">
        <v>0</v>
      </c>
      <c r="Q78" s="84">
        <v>632</v>
      </c>
      <c r="R78" s="75">
        <v>3</v>
      </c>
      <c r="S78" s="75">
        <f t="shared" si="7"/>
        <v>628</v>
      </c>
      <c r="U78" s="75">
        <v>12.16</v>
      </c>
      <c r="V78" s="75">
        <v>14.03</v>
      </c>
      <c r="W78" s="84">
        <v>1</v>
      </c>
      <c r="X78" s="75">
        <v>0</v>
      </c>
      <c r="Y78" s="84">
        <v>0</v>
      </c>
      <c r="Z78" s="75">
        <v>0</v>
      </c>
      <c r="AA78" s="75">
        <v>1</v>
      </c>
      <c r="AB78" s="75">
        <v>0</v>
      </c>
      <c r="AC78" s="84">
        <v>0</v>
      </c>
      <c r="AD78" s="75">
        <v>1</v>
      </c>
      <c r="AE78" s="75">
        <v>0</v>
      </c>
      <c r="AF78" s="84">
        <v>1</v>
      </c>
      <c r="AG78" s="75">
        <v>0</v>
      </c>
      <c r="AH78" s="74">
        <v>2002</v>
      </c>
      <c r="AI78">
        <f t="shared" si="12"/>
        <v>0.14000000000000001</v>
      </c>
      <c r="AJ78">
        <f t="shared" si="12"/>
        <v>0.14000000000000001</v>
      </c>
      <c r="AK78">
        <v>0.6</v>
      </c>
      <c r="AL78">
        <v>0.12</v>
      </c>
      <c r="AM78" s="29" t="s">
        <v>61</v>
      </c>
      <c r="AN78" t="s">
        <v>61</v>
      </c>
      <c r="AO78" s="29">
        <v>0.59</v>
      </c>
      <c r="AP78">
        <f t="shared" si="13"/>
        <v>0.41000000000000003</v>
      </c>
      <c r="AQ78" s="29">
        <v>0</v>
      </c>
      <c r="AR78" s="70">
        <f t="shared" si="9"/>
        <v>1</v>
      </c>
      <c r="AU78" s="29">
        <v>0.64</v>
      </c>
      <c r="AV78" s="12">
        <f t="shared" si="14"/>
        <v>0.36</v>
      </c>
      <c r="AW78" s="12">
        <v>0</v>
      </c>
      <c r="AX78" s="12">
        <v>1</v>
      </c>
      <c r="AY78" s="12">
        <v>0</v>
      </c>
      <c r="AZ78" s="65" t="s">
        <v>369</v>
      </c>
      <c r="BN78" s="67">
        <v>33.770000000000003</v>
      </c>
      <c r="BO78">
        <v>0</v>
      </c>
      <c r="BP78">
        <v>0</v>
      </c>
      <c r="BQ78">
        <v>1</v>
      </c>
      <c r="BR78">
        <v>0</v>
      </c>
      <c r="BS78">
        <v>0</v>
      </c>
      <c r="BT78">
        <v>0</v>
      </c>
      <c r="BY78">
        <v>0</v>
      </c>
      <c r="BZ78" s="29">
        <v>0</v>
      </c>
      <c r="CA78">
        <v>0</v>
      </c>
      <c r="CB78">
        <v>0</v>
      </c>
      <c r="CC78" s="29">
        <v>0</v>
      </c>
      <c r="CD78">
        <v>0</v>
      </c>
      <c r="CE78">
        <v>1</v>
      </c>
      <c r="CF78">
        <v>0</v>
      </c>
      <c r="CG78">
        <v>0</v>
      </c>
      <c r="CH78">
        <v>0</v>
      </c>
      <c r="CI78">
        <v>0</v>
      </c>
      <c r="CJ78">
        <v>1</v>
      </c>
      <c r="CK78">
        <v>0</v>
      </c>
      <c r="CL78">
        <v>0</v>
      </c>
      <c r="CM78">
        <v>0</v>
      </c>
      <c r="CN78" s="17">
        <v>0</v>
      </c>
      <c r="CT78" t="s">
        <v>48</v>
      </c>
    </row>
    <row r="79" spans="1:98" x14ac:dyDescent="0.25">
      <c r="A79">
        <v>78</v>
      </c>
      <c r="B79">
        <v>5</v>
      </c>
      <c r="C79" t="s">
        <v>292</v>
      </c>
      <c r="D79" s="10">
        <v>5.4</v>
      </c>
      <c r="E79" s="6">
        <v>1.7</v>
      </c>
      <c r="F79" s="6">
        <f t="shared" si="4"/>
        <v>3.1764705882352944</v>
      </c>
      <c r="L79" s="84">
        <v>0</v>
      </c>
      <c r="M79" s="75">
        <v>0</v>
      </c>
      <c r="N79" s="75">
        <v>1</v>
      </c>
      <c r="O79" s="75">
        <v>0</v>
      </c>
      <c r="P79" s="75">
        <v>0</v>
      </c>
      <c r="Q79" s="84">
        <v>632</v>
      </c>
      <c r="R79" s="75">
        <v>3</v>
      </c>
      <c r="S79" s="75">
        <f t="shared" si="7"/>
        <v>628</v>
      </c>
      <c r="U79" s="75">
        <v>12.16</v>
      </c>
      <c r="V79" s="75">
        <v>14.03</v>
      </c>
      <c r="W79" s="84">
        <v>1</v>
      </c>
      <c r="X79" s="75">
        <v>0</v>
      </c>
      <c r="Y79" s="84">
        <v>0</v>
      </c>
      <c r="Z79" s="75">
        <v>0</v>
      </c>
      <c r="AA79" s="75">
        <v>1</v>
      </c>
      <c r="AB79" s="75">
        <v>0</v>
      </c>
      <c r="AC79" s="84">
        <v>0</v>
      </c>
      <c r="AD79" s="75">
        <v>1</v>
      </c>
      <c r="AE79" s="75">
        <v>0</v>
      </c>
      <c r="AF79" s="84">
        <v>1</v>
      </c>
      <c r="AG79" s="75">
        <v>0</v>
      </c>
      <c r="AH79" s="74">
        <v>2002</v>
      </c>
      <c r="AI79">
        <f t="shared" si="12"/>
        <v>0.14000000000000001</v>
      </c>
      <c r="AJ79">
        <f t="shared" si="12"/>
        <v>0.14000000000000001</v>
      </c>
      <c r="AK79">
        <v>0.6</v>
      </c>
      <c r="AL79">
        <v>0.12</v>
      </c>
      <c r="AM79" s="29" t="s">
        <v>61</v>
      </c>
      <c r="AN79" t="s">
        <v>61</v>
      </c>
      <c r="AO79" s="29">
        <v>0.59</v>
      </c>
      <c r="AP79">
        <f t="shared" si="13"/>
        <v>0.41000000000000003</v>
      </c>
      <c r="AQ79" s="29">
        <v>0</v>
      </c>
      <c r="AR79" s="70">
        <f t="shared" si="9"/>
        <v>1</v>
      </c>
      <c r="AU79" s="29">
        <v>0.64</v>
      </c>
      <c r="AV79" s="12">
        <f t="shared" si="14"/>
        <v>0.36</v>
      </c>
      <c r="AW79" s="12">
        <v>0</v>
      </c>
      <c r="AX79" s="12">
        <v>1</v>
      </c>
      <c r="AY79" s="12">
        <v>0</v>
      </c>
      <c r="AZ79" s="65" t="s">
        <v>369</v>
      </c>
      <c r="BN79" s="67">
        <v>33.770000000000003</v>
      </c>
      <c r="BO79">
        <v>0</v>
      </c>
      <c r="BP79">
        <v>0</v>
      </c>
      <c r="BQ79">
        <v>0</v>
      </c>
      <c r="BR79">
        <v>0</v>
      </c>
      <c r="BS79">
        <v>0</v>
      </c>
      <c r="BT79">
        <v>1</v>
      </c>
      <c r="BY79">
        <v>0</v>
      </c>
      <c r="BZ79" s="29">
        <v>1</v>
      </c>
      <c r="CA79">
        <v>0</v>
      </c>
      <c r="CB79">
        <v>0</v>
      </c>
      <c r="CC79" s="29">
        <v>0</v>
      </c>
      <c r="CD79">
        <v>0</v>
      </c>
      <c r="CE79">
        <v>1</v>
      </c>
      <c r="CF79">
        <v>0</v>
      </c>
      <c r="CG79">
        <v>0</v>
      </c>
      <c r="CH79">
        <v>0</v>
      </c>
      <c r="CI79">
        <v>0</v>
      </c>
      <c r="CJ79">
        <v>1</v>
      </c>
      <c r="CK79">
        <v>0</v>
      </c>
      <c r="CL79">
        <v>0</v>
      </c>
      <c r="CM79">
        <v>0</v>
      </c>
      <c r="CN79" s="17">
        <v>0</v>
      </c>
      <c r="CT79" t="s">
        <v>48</v>
      </c>
    </row>
    <row r="80" spans="1:98" x14ac:dyDescent="0.25">
      <c r="A80">
        <v>79</v>
      </c>
      <c r="B80">
        <v>5</v>
      </c>
      <c r="C80" t="s">
        <v>292</v>
      </c>
      <c r="D80" s="10">
        <v>5.6</v>
      </c>
      <c r="E80" s="6">
        <v>1.8</v>
      </c>
      <c r="F80" s="6">
        <f t="shared" si="4"/>
        <v>3.1111111111111107</v>
      </c>
      <c r="L80" s="84">
        <v>0</v>
      </c>
      <c r="M80" s="75">
        <v>0</v>
      </c>
      <c r="N80" s="75">
        <v>1</v>
      </c>
      <c r="O80" s="75">
        <v>0</v>
      </c>
      <c r="P80" s="75">
        <v>0</v>
      </c>
      <c r="Q80" s="84">
        <v>632</v>
      </c>
      <c r="R80" s="75">
        <v>3</v>
      </c>
      <c r="S80" s="75">
        <f t="shared" si="7"/>
        <v>628</v>
      </c>
      <c r="U80" s="75">
        <v>12.16</v>
      </c>
      <c r="V80" s="75">
        <v>14.03</v>
      </c>
      <c r="W80" s="84">
        <v>1</v>
      </c>
      <c r="X80" s="75">
        <v>0</v>
      </c>
      <c r="Y80" s="84">
        <v>0</v>
      </c>
      <c r="Z80" s="75">
        <v>0</v>
      </c>
      <c r="AA80" s="75">
        <v>1</v>
      </c>
      <c r="AB80" s="75">
        <v>0</v>
      </c>
      <c r="AC80" s="84">
        <v>0</v>
      </c>
      <c r="AD80" s="75">
        <v>1</v>
      </c>
      <c r="AE80" s="75">
        <v>0</v>
      </c>
      <c r="AF80" s="84">
        <v>1</v>
      </c>
      <c r="AG80" s="75">
        <v>0</v>
      </c>
      <c r="AH80" s="74">
        <v>2002</v>
      </c>
      <c r="AI80">
        <f t="shared" si="12"/>
        <v>0.14000000000000001</v>
      </c>
      <c r="AJ80">
        <f t="shared" si="12"/>
        <v>0.14000000000000001</v>
      </c>
      <c r="AK80">
        <v>0.6</v>
      </c>
      <c r="AL80">
        <v>0.12</v>
      </c>
      <c r="AM80" s="29" t="s">
        <v>61</v>
      </c>
      <c r="AN80" t="s">
        <v>61</v>
      </c>
      <c r="AO80" s="29">
        <v>0.59</v>
      </c>
      <c r="AP80">
        <f t="shared" si="13"/>
        <v>0.41000000000000003</v>
      </c>
      <c r="AQ80" s="29">
        <v>0</v>
      </c>
      <c r="AR80" s="70">
        <f t="shared" si="9"/>
        <v>1</v>
      </c>
      <c r="AU80" s="29">
        <v>0.64</v>
      </c>
      <c r="AV80" s="12">
        <f t="shared" si="14"/>
        <v>0.36</v>
      </c>
      <c r="AW80" s="12">
        <v>0</v>
      </c>
      <c r="AX80" s="12">
        <v>1</v>
      </c>
      <c r="AY80" s="12">
        <v>0</v>
      </c>
      <c r="AZ80" s="65" t="s">
        <v>369</v>
      </c>
      <c r="BN80" s="67">
        <v>33.770000000000003</v>
      </c>
      <c r="BO80">
        <v>0</v>
      </c>
      <c r="BP80">
        <v>0</v>
      </c>
      <c r="BQ80">
        <v>0</v>
      </c>
      <c r="BR80">
        <v>0</v>
      </c>
      <c r="BS80">
        <v>0</v>
      </c>
      <c r="BT80">
        <v>1</v>
      </c>
      <c r="BY80">
        <v>0</v>
      </c>
      <c r="BZ80" s="29">
        <v>1</v>
      </c>
      <c r="CA80">
        <v>0</v>
      </c>
      <c r="CB80">
        <v>0</v>
      </c>
      <c r="CC80" s="29">
        <v>0</v>
      </c>
      <c r="CD80">
        <v>0</v>
      </c>
      <c r="CE80">
        <v>1</v>
      </c>
      <c r="CF80">
        <v>0</v>
      </c>
      <c r="CG80">
        <v>0</v>
      </c>
      <c r="CH80">
        <v>0</v>
      </c>
      <c r="CI80">
        <v>0</v>
      </c>
      <c r="CJ80">
        <v>1</v>
      </c>
      <c r="CK80">
        <v>0</v>
      </c>
      <c r="CL80">
        <v>0</v>
      </c>
      <c r="CM80">
        <v>0</v>
      </c>
      <c r="CN80" s="17">
        <v>0</v>
      </c>
      <c r="CT80" t="s">
        <v>48</v>
      </c>
    </row>
    <row r="81" spans="1:98" x14ac:dyDescent="0.25">
      <c r="A81">
        <v>80</v>
      </c>
      <c r="B81">
        <v>6</v>
      </c>
      <c r="C81" t="s">
        <v>298</v>
      </c>
      <c r="D81" s="10">
        <v>4.8</v>
      </c>
      <c r="E81" s="6">
        <f t="shared" ref="E81:E114" si="15">D81/F81</f>
        <v>0.28828828828828829</v>
      </c>
      <c r="F81" s="6">
        <v>16.649999999999999</v>
      </c>
      <c r="L81" s="84">
        <v>0</v>
      </c>
      <c r="M81" s="75">
        <v>0</v>
      </c>
      <c r="N81" s="75">
        <v>0</v>
      </c>
      <c r="O81" s="75">
        <v>1</v>
      </c>
      <c r="P81" s="75">
        <v>0</v>
      </c>
      <c r="Q81" s="84">
        <v>1204</v>
      </c>
      <c r="R81" s="75">
        <v>5</v>
      </c>
      <c r="S81" s="75">
        <f t="shared" si="7"/>
        <v>1198</v>
      </c>
      <c r="U81" s="75">
        <v>12.513999999999999</v>
      </c>
      <c r="V81" s="75">
        <f>BN81-U81-6</f>
        <v>18.317000000000004</v>
      </c>
      <c r="W81" s="84">
        <v>1</v>
      </c>
      <c r="X81" s="75">
        <v>0</v>
      </c>
      <c r="Y81" s="84">
        <v>0</v>
      </c>
      <c r="Z81" s="75">
        <v>0</v>
      </c>
      <c r="AA81" s="75">
        <v>0</v>
      </c>
      <c r="AB81" s="75">
        <v>1</v>
      </c>
      <c r="AC81" s="84">
        <v>0</v>
      </c>
      <c r="AD81" s="75">
        <v>1</v>
      </c>
      <c r="AE81" s="75">
        <v>0</v>
      </c>
      <c r="AF81" s="84">
        <v>0</v>
      </c>
      <c r="AG81" s="75">
        <v>1</v>
      </c>
      <c r="AH81" s="74">
        <v>1981</v>
      </c>
      <c r="AI81" t="s">
        <v>61</v>
      </c>
      <c r="AJ81" t="s">
        <v>61</v>
      </c>
      <c r="AK81" t="s">
        <v>61</v>
      </c>
      <c r="AL81" t="s">
        <v>61</v>
      </c>
      <c r="AM81" s="29" t="s">
        <v>61</v>
      </c>
      <c r="AN81" t="s">
        <v>61</v>
      </c>
      <c r="AO81" s="29">
        <v>0.46800000000000003</v>
      </c>
      <c r="AP81">
        <f t="shared" si="13"/>
        <v>0.53200000000000003</v>
      </c>
      <c r="AQ81" s="29" t="s">
        <v>61</v>
      </c>
      <c r="AR81" t="s">
        <v>61</v>
      </c>
      <c r="AU81" s="29">
        <v>0.75900000000000001</v>
      </c>
      <c r="AV81" s="12">
        <f t="shared" si="14"/>
        <v>0.24099999999999999</v>
      </c>
      <c r="AW81">
        <v>1</v>
      </c>
      <c r="AX81">
        <v>0</v>
      </c>
      <c r="AY81">
        <v>0</v>
      </c>
      <c r="AZ81" s="65" t="s">
        <v>376</v>
      </c>
      <c r="BN81" s="67">
        <v>36.831000000000003</v>
      </c>
      <c r="BO81">
        <v>0</v>
      </c>
      <c r="BP81">
        <v>0</v>
      </c>
      <c r="BQ81">
        <v>1</v>
      </c>
      <c r="BR81">
        <v>0</v>
      </c>
      <c r="BS81">
        <v>0</v>
      </c>
      <c r="BT81">
        <v>0</v>
      </c>
      <c r="BY81">
        <v>0</v>
      </c>
      <c r="BZ81" s="29">
        <v>0</v>
      </c>
      <c r="CA81">
        <v>0</v>
      </c>
      <c r="CB81">
        <v>0</v>
      </c>
      <c r="CC81" s="29">
        <v>1</v>
      </c>
      <c r="CD81">
        <v>0</v>
      </c>
      <c r="CE81">
        <v>0</v>
      </c>
      <c r="CF81">
        <v>0</v>
      </c>
      <c r="CG81">
        <v>0</v>
      </c>
      <c r="CH81">
        <v>0</v>
      </c>
      <c r="CI81">
        <v>1</v>
      </c>
      <c r="CJ81">
        <v>1</v>
      </c>
      <c r="CK81">
        <v>0</v>
      </c>
      <c r="CL81">
        <v>0</v>
      </c>
      <c r="CM81">
        <v>0</v>
      </c>
      <c r="CN81" s="17">
        <v>0</v>
      </c>
      <c r="CT81" t="s">
        <v>48</v>
      </c>
    </row>
    <row r="82" spans="1:98" x14ac:dyDescent="0.25">
      <c r="A82">
        <v>81</v>
      </c>
      <c r="B82">
        <v>6</v>
      </c>
      <c r="C82" t="s">
        <v>298</v>
      </c>
      <c r="D82" s="10">
        <v>2.5</v>
      </c>
      <c r="E82" s="6">
        <f t="shared" si="15"/>
        <v>0.50813008130081305</v>
      </c>
      <c r="F82" s="6">
        <v>4.92</v>
      </c>
      <c r="L82" s="84">
        <v>0</v>
      </c>
      <c r="M82" s="75">
        <v>0</v>
      </c>
      <c r="N82" s="75">
        <v>0</v>
      </c>
      <c r="O82" s="75">
        <v>1</v>
      </c>
      <c r="P82" s="75">
        <v>0</v>
      </c>
      <c r="Q82" s="84">
        <v>602</v>
      </c>
      <c r="R82" s="75">
        <v>2</v>
      </c>
      <c r="S82" s="75">
        <f t="shared" si="7"/>
        <v>599</v>
      </c>
      <c r="U82" s="75">
        <v>12.513999999999999</v>
      </c>
      <c r="V82" s="75">
        <f t="shared" ref="V82:V96" si="16">BN82-U82-6</f>
        <v>18.317000000000004</v>
      </c>
      <c r="W82" s="84">
        <v>1</v>
      </c>
      <c r="X82" s="75">
        <v>0</v>
      </c>
      <c r="Y82" s="84">
        <v>0</v>
      </c>
      <c r="Z82" s="75">
        <v>0</v>
      </c>
      <c r="AA82" s="75">
        <v>0</v>
      </c>
      <c r="AB82" s="75">
        <v>1</v>
      </c>
      <c r="AC82" s="84">
        <v>0</v>
      </c>
      <c r="AD82" s="75">
        <v>1</v>
      </c>
      <c r="AE82" s="75">
        <v>0</v>
      </c>
      <c r="AF82" s="84">
        <v>0</v>
      </c>
      <c r="AG82" s="75">
        <v>1</v>
      </c>
      <c r="AH82" s="74">
        <v>1981</v>
      </c>
      <c r="AI82" t="s">
        <v>61</v>
      </c>
      <c r="AJ82" t="s">
        <v>61</v>
      </c>
      <c r="AK82" t="s">
        <v>61</v>
      </c>
      <c r="AL82" t="s">
        <v>61</v>
      </c>
      <c r="AM82" s="29" t="s">
        <v>61</v>
      </c>
      <c r="AN82" t="s">
        <v>61</v>
      </c>
      <c r="AO82" s="29">
        <v>0.46800000000000003</v>
      </c>
      <c r="AP82">
        <f t="shared" si="13"/>
        <v>0.53200000000000003</v>
      </c>
      <c r="AQ82" s="29" t="s">
        <v>61</v>
      </c>
      <c r="AR82" t="s">
        <v>61</v>
      </c>
      <c r="AU82" s="29">
        <v>0.75900000000000001</v>
      </c>
      <c r="AV82" s="12">
        <f t="shared" si="14"/>
        <v>0.24099999999999999</v>
      </c>
      <c r="AW82">
        <v>1</v>
      </c>
      <c r="AX82">
        <v>0</v>
      </c>
      <c r="AY82">
        <v>0</v>
      </c>
      <c r="AZ82" s="65" t="s">
        <v>376</v>
      </c>
      <c r="BN82" s="67">
        <v>36.831000000000003</v>
      </c>
      <c r="BO82">
        <v>0</v>
      </c>
      <c r="BP82">
        <v>0</v>
      </c>
      <c r="BQ82">
        <v>1</v>
      </c>
      <c r="BR82">
        <v>0</v>
      </c>
      <c r="BS82">
        <v>0</v>
      </c>
      <c r="BT82">
        <v>0</v>
      </c>
      <c r="BY82">
        <v>0</v>
      </c>
      <c r="BZ82" s="29">
        <v>0</v>
      </c>
      <c r="CA82">
        <v>0</v>
      </c>
      <c r="CB82">
        <v>0</v>
      </c>
      <c r="CC82" s="29">
        <v>0</v>
      </c>
      <c r="CD82">
        <v>0</v>
      </c>
      <c r="CE82">
        <v>0</v>
      </c>
      <c r="CF82">
        <v>0</v>
      </c>
      <c r="CG82">
        <v>0</v>
      </c>
      <c r="CH82">
        <v>0</v>
      </c>
      <c r="CI82">
        <v>0</v>
      </c>
      <c r="CJ82">
        <v>1</v>
      </c>
      <c r="CK82">
        <v>0</v>
      </c>
      <c r="CL82">
        <v>0</v>
      </c>
      <c r="CM82">
        <v>0</v>
      </c>
      <c r="CN82" s="17">
        <v>0</v>
      </c>
      <c r="CT82" t="s">
        <v>48</v>
      </c>
    </row>
    <row r="83" spans="1:98" x14ac:dyDescent="0.25">
      <c r="A83">
        <v>82</v>
      </c>
      <c r="B83">
        <v>6</v>
      </c>
      <c r="C83" t="s">
        <v>298</v>
      </c>
      <c r="D83" s="10">
        <v>6</v>
      </c>
      <c r="E83" s="6">
        <f t="shared" si="15"/>
        <v>0.27985074626865669</v>
      </c>
      <c r="F83" s="6">
        <v>21.44</v>
      </c>
      <c r="L83" s="84">
        <v>0</v>
      </c>
      <c r="M83" s="75">
        <v>0</v>
      </c>
      <c r="N83" s="75">
        <v>0</v>
      </c>
      <c r="O83" s="75">
        <v>1</v>
      </c>
      <c r="P83" s="75">
        <v>0</v>
      </c>
      <c r="Q83" s="84">
        <v>1176</v>
      </c>
      <c r="R83" s="75">
        <v>5</v>
      </c>
      <c r="S83" s="75">
        <f t="shared" si="7"/>
        <v>1170</v>
      </c>
      <c r="U83" s="75">
        <v>12.695</v>
      </c>
      <c r="V83" s="75">
        <f t="shared" si="16"/>
        <v>16.643000000000001</v>
      </c>
      <c r="W83" s="84">
        <v>1</v>
      </c>
      <c r="X83" s="75">
        <v>0</v>
      </c>
      <c r="Y83" s="84">
        <v>0</v>
      </c>
      <c r="Z83" s="75">
        <v>0</v>
      </c>
      <c r="AA83" s="75">
        <v>0</v>
      </c>
      <c r="AB83" s="75">
        <v>1</v>
      </c>
      <c r="AC83" s="84">
        <v>0</v>
      </c>
      <c r="AD83" s="75">
        <v>1</v>
      </c>
      <c r="AE83" s="75">
        <v>0</v>
      </c>
      <c r="AF83" s="84">
        <v>0</v>
      </c>
      <c r="AG83" s="75">
        <v>1</v>
      </c>
      <c r="AH83" s="74">
        <v>1981</v>
      </c>
      <c r="AI83" t="s">
        <v>61</v>
      </c>
      <c r="AJ83" t="s">
        <v>61</v>
      </c>
      <c r="AK83" t="s">
        <v>61</v>
      </c>
      <c r="AL83" t="s">
        <v>61</v>
      </c>
      <c r="AM83" s="29" t="s">
        <v>61</v>
      </c>
      <c r="AN83" t="s">
        <v>61</v>
      </c>
      <c r="AO83" s="29">
        <v>0.505</v>
      </c>
      <c r="AP83">
        <f>1-AO83</f>
        <v>0.495</v>
      </c>
      <c r="AQ83" s="29" t="s">
        <v>61</v>
      </c>
      <c r="AR83" t="s">
        <v>61</v>
      </c>
      <c r="AU83" s="29">
        <v>0.72199999999999998</v>
      </c>
      <c r="AV83" s="12">
        <f t="shared" si="14"/>
        <v>0.27800000000000002</v>
      </c>
      <c r="AW83">
        <v>0</v>
      </c>
      <c r="AX83">
        <v>1</v>
      </c>
      <c r="AY83">
        <v>0</v>
      </c>
      <c r="AZ83" s="65" t="s">
        <v>376</v>
      </c>
      <c r="BN83" s="67">
        <v>35.338000000000001</v>
      </c>
      <c r="BO83">
        <v>0</v>
      </c>
      <c r="BP83">
        <v>0</v>
      </c>
      <c r="BQ83">
        <v>1</v>
      </c>
      <c r="BR83">
        <v>0</v>
      </c>
      <c r="BS83">
        <v>0</v>
      </c>
      <c r="BT83">
        <v>0</v>
      </c>
      <c r="BY83">
        <v>0</v>
      </c>
      <c r="BZ83" s="29">
        <v>0</v>
      </c>
      <c r="CA83">
        <v>0</v>
      </c>
      <c r="CB83">
        <v>0</v>
      </c>
      <c r="CC83" s="29">
        <v>1</v>
      </c>
      <c r="CD83">
        <v>0</v>
      </c>
      <c r="CE83">
        <v>0</v>
      </c>
      <c r="CF83">
        <v>0</v>
      </c>
      <c r="CG83">
        <v>0</v>
      </c>
      <c r="CH83">
        <v>0</v>
      </c>
      <c r="CI83">
        <v>1</v>
      </c>
      <c r="CJ83">
        <v>1</v>
      </c>
      <c r="CK83">
        <v>0</v>
      </c>
      <c r="CL83">
        <v>0</v>
      </c>
      <c r="CM83">
        <v>0</v>
      </c>
      <c r="CN83" s="17">
        <v>0</v>
      </c>
      <c r="CT83" t="s">
        <v>48</v>
      </c>
    </row>
    <row r="84" spans="1:98" x14ac:dyDescent="0.25">
      <c r="A84">
        <v>83</v>
      </c>
      <c r="B84">
        <v>6</v>
      </c>
      <c r="C84" t="s">
        <v>298</v>
      </c>
      <c r="D84" s="10">
        <v>4.5</v>
      </c>
      <c r="E84" s="6">
        <f t="shared" si="15"/>
        <v>0.48335123523093443</v>
      </c>
      <c r="F84" s="6">
        <v>9.31</v>
      </c>
      <c r="L84" s="84">
        <v>0</v>
      </c>
      <c r="M84" s="75">
        <v>0</v>
      </c>
      <c r="N84" s="75">
        <v>0</v>
      </c>
      <c r="O84" s="75">
        <v>1</v>
      </c>
      <c r="P84" s="75">
        <v>0</v>
      </c>
      <c r="Q84" s="84">
        <v>568</v>
      </c>
      <c r="R84" s="75">
        <v>3</v>
      </c>
      <c r="S84" s="75">
        <f t="shared" si="7"/>
        <v>564</v>
      </c>
      <c r="U84" s="75">
        <v>12.695</v>
      </c>
      <c r="V84" s="75">
        <f t="shared" si="16"/>
        <v>16.643000000000001</v>
      </c>
      <c r="W84" s="84">
        <v>1</v>
      </c>
      <c r="X84" s="75">
        <v>0</v>
      </c>
      <c r="Y84" s="84">
        <v>0</v>
      </c>
      <c r="Z84" s="75">
        <v>0</v>
      </c>
      <c r="AA84" s="75">
        <v>0</v>
      </c>
      <c r="AB84" s="75">
        <v>1</v>
      </c>
      <c r="AC84" s="84">
        <v>0</v>
      </c>
      <c r="AD84" s="75">
        <v>1</v>
      </c>
      <c r="AE84" s="75">
        <v>0</v>
      </c>
      <c r="AF84" s="84">
        <v>0</v>
      </c>
      <c r="AG84" s="75">
        <v>1</v>
      </c>
      <c r="AH84" s="74">
        <v>1981</v>
      </c>
      <c r="AI84" t="s">
        <v>61</v>
      </c>
      <c r="AJ84" t="s">
        <v>61</v>
      </c>
      <c r="AK84" t="s">
        <v>61</v>
      </c>
      <c r="AL84" t="s">
        <v>61</v>
      </c>
      <c r="AM84" s="29" t="s">
        <v>61</v>
      </c>
      <c r="AN84" t="s">
        <v>61</v>
      </c>
      <c r="AO84" s="29">
        <v>0.505</v>
      </c>
      <c r="AP84">
        <f>1-AO84</f>
        <v>0.495</v>
      </c>
      <c r="AQ84" s="29" t="s">
        <v>61</v>
      </c>
      <c r="AR84" t="s">
        <v>61</v>
      </c>
      <c r="AU84" s="29">
        <v>0.72199999999999998</v>
      </c>
      <c r="AV84" s="12">
        <f t="shared" si="14"/>
        <v>0.27800000000000002</v>
      </c>
      <c r="AW84">
        <v>0</v>
      </c>
      <c r="AX84">
        <v>1</v>
      </c>
      <c r="AY84">
        <v>0</v>
      </c>
      <c r="AZ84" s="65" t="s">
        <v>376</v>
      </c>
      <c r="BN84" s="67">
        <v>35.338000000000001</v>
      </c>
      <c r="BO84">
        <v>0</v>
      </c>
      <c r="BP84">
        <v>0</v>
      </c>
      <c r="BQ84">
        <v>1</v>
      </c>
      <c r="BR84">
        <v>0</v>
      </c>
      <c r="BS84">
        <v>0</v>
      </c>
      <c r="BT84">
        <v>0</v>
      </c>
      <c r="BY84">
        <v>0</v>
      </c>
      <c r="BZ84" s="29">
        <v>0</v>
      </c>
      <c r="CA84">
        <v>0</v>
      </c>
      <c r="CB84">
        <v>0</v>
      </c>
      <c r="CC84" s="29">
        <v>0</v>
      </c>
      <c r="CD84">
        <v>0</v>
      </c>
      <c r="CE84">
        <v>0</v>
      </c>
      <c r="CF84">
        <v>0</v>
      </c>
      <c r="CG84">
        <v>0</v>
      </c>
      <c r="CH84">
        <v>0</v>
      </c>
      <c r="CI84">
        <v>0</v>
      </c>
      <c r="CJ84">
        <v>1</v>
      </c>
      <c r="CK84">
        <v>0</v>
      </c>
      <c r="CL84">
        <v>0</v>
      </c>
      <c r="CM84">
        <v>0</v>
      </c>
      <c r="CN84" s="17">
        <v>0</v>
      </c>
      <c r="CT84" t="s">
        <v>48</v>
      </c>
    </row>
    <row r="85" spans="1:98" x14ac:dyDescent="0.25">
      <c r="A85">
        <v>84</v>
      </c>
      <c r="B85">
        <v>6</v>
      </c>
      <c r="C85" t="s">
        <v>298</v>
      </c>
      <c r="D85" s="85">
        <v>6.4</v>
      </c>
      <c r="E85" s="6">
        <f t="shared" si="15"/>
        <v>0.24024024024024024</v>
      </c>
      <c r="F85" s="6">
        <v>26.64</v>
      </c>
      <c r="L85" s="84">
        <v>0</v>
      </c>
      <c r="M85" s="75">
        <v>0</v>
      </c>
      <c r="N85" s="75">
        <v>0</v>
      </c>
      <c r="O85" s="75">
        <v>1</v>
      </c>
      <c r="P85" s="75">
        <v>0</v>
      </c>
      <c r="Q85" s="84">
        <v>1204</v>
      </c>
      <c r="R85" s="75">
        <v>4</v>
      </c>
      <c r="S85" s="75">
        <f t="shared" si="7"/>
        <v>1199</v>
      </c>
      <c r="U85" s="75">
        <v>12.513999999999999</v>
      </c>
      <c r="V85" s="75">
        <f t="shared" si="16"/>
        <v>18.317000000000004</v>
      </c>
      <c r="W85" s="84">
        <v>1</v>
      </c>
      <c r="X85" s="75">
        <v>0</v>
      </c>
      <c r="Y85" s="84">
        <v>0</v>
      </c>
      <c r="Z85" s="75">
        <v>0</v>
      </c>
      <c r="AA85" s="75">
        <v>0</v>
      </c>
      <c r="AB85" s="75">
        <v>1</v>
      </c>
      <c r="AC85" s="84">
        <v>0</v>
      </c>
      <c r="AD85" s="75">
        <v>1</v>
      </c>
      <c r="AE85" s="75">
        <v>0</v>
      </c>
      <c r="AF85" s="84">
        <v>0</v>
      </c>
      <c r="AG85" s="75">
        <v>1</v>
      </c>
      <c r="AH85" s="74">
        <v>1981</v>
      </c>
      <c r="AI85" t="s">
        <v>61</v>
      </c>
      <c r="AJ85" t="s">
        <v>61</v>
      </c>
      <c r="AK85" t="s">
        <v>61</v>
      </c>
      <c r="AL85" t="s">
        <v>61</v>
      </c>
      <c r="AM85" s="29" t="s">
        <v>61</v>
      </c>
      <c r="AN85" t="s">
        <v>61</v>
      </c>
      <c r="AO85" s="29">
        <v>0.46800000000000003</v>
      </c>
      <c r="AP85">
        <f t="shared" ref="AP85:AP91" si="17">1-AO85</f>
        <v>0.53200000000000003</v>
      </c>
      <c r="AQ85" s="29" t="s">
        <v>61</v>
      </c>
      <c r="AR85" t="s">
        <v>61</v>
      </c>
      <c r="AU85" s="29">
        <v>0.75900000000000001</v>
      </c>
      <c r="AV85" s="12">
        <f t="shared" si="14"/>
        <v>0.24099999999999999</v>
      </c>
      <c r="AW85">
        <v>1</v>
      </c>
      <c r="AX85">
        <v>0</v>
      </c>
      <c r="AY85">
        <v>0</v>
      </c>
      <c r="AZ85" s="65" t="s">
        <v>376</v>
      </c>
      <c r="BN85" s="67">
        <v>36.831000000000003</v>
      </c>
      <c r="BO85">
        <v>1</v>
      </c>
      <c r="BP85">
        <v>0</v>
      </c>
      <c r="BQ85">
        <v>0</v>
      </c>
      <c r="BR85">
        <v>0</v>
      </c>
      <c r="BS85">
        <v>0</v>
      </c>
      <c r="BT85">
        <v>0</v>
      </c>
      <c r="BY85">
        <v>0</v>
      </c>
      <c r="BZ85" s="29">
        <v>0</v>
      </c>
      <c r="CA85">
        <v>0</v>
      </c>
      <c r="CB85">
        <v>0</v>
      </c>
      <c r="CC85" s="29">
        <v>1</v>
      </c>
      <c r="CD85">
        <v>0</v>
      </c>
      <c r="CE85">
        <v>0</v>
      </c>
      <c r="CF85">
        <v>0</v>
      </c>
      <c r="CG85">
        <v>0</v>
      </c>
      <c r="CH85">
        <v>0</v>
      </c>
      <c r="CI85">
        <v>1</v>
      </c>
      <c r="CJ85">
        <v>1</v>
      </c>
      <c r="CK85">
        <v>0</v>
      </c>
      <c r="CL85">
        <v>0</v>
      </c>
      <c r="CM85">
        <v>0</v>
      </c>
      <c r="CN85" s="17">
        <v>0</v>
      </c>
      <c r="CT85" t="s">
        <v>48</v>
      </c>
    </row>
    <row r="86" spans="1:98" x14ac:dyDescent="0.25">
      <c r="A86">
        <v>85</v>
      </c>
      <c r="B86">
        <v>6</v>
      </c>
      <c r="C86" t="s">
        <v>298</v>
      </c>
      <c r="D86" s="85">
        <v>2.5</v>
      </c>
      <c r="E86" s="6">
        <f t="shared" si="15"/>
        <v>0.50813008130081305</v>
      </c>
      <c r="F86" s="6">
        <v>4.92</v>
      </c>
      <c r="L86" s="84">
        <v>0</v>
      </c>
      <c r="M86" s="75">
        <v>0</v>
      </c>
      <c r="N86" s="75">
        <v>0</v>
      </c>
      <c r="O86" s="75">
        <v>1</v>
      </c>
      <c r="P86" s="75">
        <v>0</v>
      </c>
      <c r="Q86" s="84">
        <v>602</v>
      </c>
      <c r="R86" s="75">
        <v>2</v>
      </c>
      <c r="S86" s="75">
        <f t="shared" si="7"/>
        <v>599</v>
      </c>
      <c r="U86" s="75">
        <v>12.513999999999999</v>
      </c>
      <c r="V86" s="75">
        <f t="shared" si="16"/>
        <v>18.317000000000004</v>
      </c>
      <c r="W86" s="84">
        <v>1</v>
      </c>
      <c r="X86" s="75">
        <v>0</v>
      </c>
      <c r="Y86" s="84">
        <v>0</v>
      </c>
      <c r="Z86" s="75">
        <v>0</v>
      </c>
      <c r="AA86" s="75">
        <v>0</v>
      </c>
      <c r="AB86" s="75">
        <v>1</v>
      </c>
      <c r="AC86" s="84">
        <v>0</v>
      </c>
      <c r="AD86" s="75">
        <v>1</v>
      </c>
      <c r="AE86" s="75">
        <v>0</v>
      </c>
      <c r="AF86" s="84">
        <v>0</v>
      </c>
      <c r="AG86" s="75">
        <v>1</v>
      </c>
      <c r="AH86" s="74">
        <v>1981</v>
      </c>
      <c r="AI86" t="s">
        <v>61</v>
      </c>
      <c r="AJ86" t="s">
        <v>61</v>
      </c>
      <c r="AK86" t="s">
        <v>61</v>
      </c>
      <c r="AL86" t="s">
        <v>61</v>
      </c>
      <c r="AM86" s="29" t="s">
        <v>61</v>
      </c>
      <c r="AN86" t="s">
        <v>61</v>
      </c>
      <c r="AO86" s="29">
        <v>0.46800000000000003</v>
      </c>
      <c r="AP86">
        <f t="shared" si="17"/>
        <v>0.53200000000000003</v>
      </c>
      <c r="AQ86" s="29" t="s">
        <v>61</v>
      </c>
      <c r="AR86" t="s">
        <v>61</v>
      </c>
      <c r="AU86" s="29">
        <v>0.75900000000000001</v>
      </c>
      <c r="AV86" s="12">
        <f t="shared" si="14"/>
        <v>0.24099999999999999</v>
      </c>
      <c r="AW86">
        <v>1</v>
      </c>
      <c r="AX86">
        <v>0</v>
      </c>
      <c r="AY86">
        <v>0</v>
      </c>
      <c r="AZ86" s="65" t="s">
        <v>376</v>
      </c>
      <c r="BN86" s="67">
        <v>36.831000000000003</v>
      </c>
      <c r="BO86">
        <v>0</v>
      </c>
      <c r="BP86">
        <v>0</v>
      </c>
      <c r="BQ86">
        <v>1</v>
      </c>
      <c r="BR86">
        <v>0</v>
      </c>
      <c r="BS86">
        <v>0</v>
      </c>
      <c r="BT86">
        <v>0</v>
      </c>
      <c r="BY86">
        <v>0</v>
      </c>
      <c r="BZ86" s="29">
        <v>0</v>
      </c>
      <c r="CA86">
        <v>0</v>
      </c>
      <c r="CB86">
        <v>0</v>
      </c>
      <c r="CC86" s="29">
        <v>0</v>
      </c>
      <c r="CD86">
        <v>0</v>
      </c>
      <c r="CE86">
        <v>0</v>
      </c>
      <c r="CF86">
        <v>0</v>
      </c>
      <c r="CG86">
        <v>0</v>
      </c>
      <c r="CH86">
        <v>0</v>
      </c>
      <c r="CI86">
        <v>0</v>
      </c>
      <c r="CJ86">
        <v>1</v>
      </c>
      <c r="CK86">
        <v>0</v>
      </c>
      <c r="CL86">
        <v>0</v>
      </c>
      <c r="CM86">
        <v>0</v>
      </c>
      <c r="CN86" s="17">
        <v>0</v>
      </c>
      <c r="CT86" t="s">
        <v>48</v>
      </c>
    </row>
    <row r="87" spans="1:98" x14ac:dyDescent="0.25">
      <c r="A87">
        <v>86</v>
      </c>
      <c r="B87">
        <v>6</v>
      </c>
      <c r="C87" t="s">
        <v>298</v>
      </c>
      <c r="D87" s="85">
        <v>4.8</v>
      </c>
      <c r="E87" s="6">
        <f t="shared" si="15"/>
        <v>0.28828828828828829</v>
      </c>
      <c r="F87" s="6">
        <v>16.649999999999999</v>
      </c>
      <c r="L87" s="84">
        <v>0</v>
      </c>
      <c r="M87" s="75">
        <v>0</v>
      </c>
      <c r="N87" s="75">
        <v>0</v>
      </c>
      <c r="O87" s="75">
        <v>1</v>
      </c>
      <c r="P87" s="75">
        <v>0</v>
      </c>
      <c r="Q87" s="84">
        <v>1204</v>
      </c>
      <c r="R87" s="75">
        <v>5</v>
      </c>
      <c r="S87" s="75">
        <f t="shared" si="7"/>
        <v>1198</v>
      </c>
      <c r="U87" s="75">
        <v>12.513999999999999</v>
      </c>
      <c r="V87" s="75">
        <f t="shared" si="16"/>
        <v>18.317000000000004</v>
      </c>
      <c r="W87" s="84">
        <v>1</v>
      </c>
      <c r="X87" s="75">
        <v>0</v>
      </c>
      <c r="Y87" s="84">
        <v>0</v>
      </c>
      <c r="Z87" s="75">
        <v>0</v>
      </c>
      <c r="AA87" s="75">
        <v>0</v>
      </c>
      <c r="AB87" s="75">
        <v>1</v>
      </c>
      <c r="AC87" s="84">
        <v>0</v>
      </c>
      <c r="AD87" s="75">
        <v>1</v>
      </c>
      <c r="AE87" s="75">
        <v>0</v>
      </c>
      <c r="AF87" s="84">
        <v>0</v>
      </c>
      <c r="AG87" s="75">
        <v>1</v>
      </c>
      <c r="AH87" s="74">
        <v>1981</v>
      </c>
      <c r="AI87" t="s">
        <v>61</v>
      </c>
      <c r="AJ87" t="s">
        <v>61</v>
      </c>
      <c r="AK87" t="s">
        <v>61</v>
      </c>
      <c r="AL87" t="s">
        <v>61</v>
      </c>
      <c r="AM87" s="29" t="s">
        <v>61</v>
      </c>
      <c r="AN87" t="s">
        <v>61</v>
      </c>
      <c r="AO87" s="29">
        <v>0.46800000000000003</v>
      </c>
      <c r="AP87">
        <f t="shared" si="17"/>
        <v>0.53200000000000003</v>
      </c>
      <c r="AQ87" s="29" t="s">
        <v>61</v>
      </c>
      <c r="AR87" t="s">
        <v>61</v>
      </c>
      <c r="AU87" s="29">
        <v>0.75900000000000001</v>
      </c>
      <c r="AV87" s="12">
        <f t="shared" si="14"/>
        <v>0.24099999999999999</v>
      </c>
      <c r="AW87">
        <v>1</v>
      </c>
      <c r="AX87">
        <v>0</v>
      </c>
      <c r="AY87">
        <v>0</v>
      </c>
      <c r="AZ87" s="65" t="s">
        <v>376</v>
      </c>
      <c r="BN87" s="67">
        <v>36.831000000000003</v>
      </c>
      <c r="BO87">
        <v>0</v>
      </c>
      <c r="BP87">
        <v>0</v>
      </c>
      <c r="BQ87">
        <v>1</v>
      </c>
      <c r="BR87">
        <v>0</v>
      </c>
      <c r="BS87">
        <v>0</v>
      </c>
      <c r="BT87">
        <v>0</v>
      </c>
      <c r="BY87">
        <v>0</v>
      </c>
      <c r="BZ87" s="29">
        <v>0</v>
      </c>
      <c r="CA87">
        <v>0</v>
      </c>
      <c r="CB87">
        <v>0</v>
      </c>
      <c r="CC87" s="29">
        <v>1</v>
      </c>
      <c r="CD87">
        <v>0</v>
      </c>
      <c r="CE87">
        <v>0</v>
      </c>
      <c r="CF87">
        <v>0</v>
      </c>
      <c r="CG87">
        <v>0</v>
      </c>
      <c r="CH87">
        <v>0</v>
      </c>
      <c r="CI87">
        <v>1</v>
      </c>
      <c r="CJ87">
        <v>1</v>
      </c>
      <c r="CK87">
        <v>0</v>
      </c>
      <c r="CL87">
        <v>0</v>
      </c>
      <c r="CM87">
        <v>0</v>
      </c>
      <c r="CN87" s="17">
        <v>0</v>
      </c>
      <c r="CT87" t="s">
        <v>48</v>
      </c>
    </row>
    <row r="88" spans="1:98" x14ac:dyDescent="0.25">
      <c r="A88">
        <v>87</v>
      </c>
      <c r="B88">
        <v>6</v>
      </c>
      <c r="C88" t="s">
        <v>298</v>
      </c>
      <c r="D88" s="85">
        <v>7.3</v>
      </c>
      <c r="E88" s="6">
        <f t="shared" si="15"/>
        <v>0.28250773993808048</v>
      </c>
      <c r="F88" s="6">
        <v>25.84</v>
      </c>
      <c r="L88" s="84">
        <v>0</v>
      </c>
      <c r="M88" s="75">
        <v>0</v>
      </c>
      <c r="N88" s="75">
        <v>0</v>
      </c>
      <c r="O88" s="75">
        <v>1</v>
      </c>
      <c r="P88" s="75">
        <v>0</v>
      </c>
      <c r="Q88" s="84">
        <v>1204</v>
      </c>
      <c r="R88" s="75">
        <v>5</v>
      </c>
      <c r="S88" s="75">
        <f t="shared" si="7"/>
        <v>1198</v>
      </c>
      <c r="U88" s="75">
        <v>12.513999999999999</v>
      </c>
      <c r="V88" s="75">
        <f t="shared" si="16"/>
        <v>18.317000000000004</v>
      </c>
      <c r="W88" s="84">
        <v>1</v>
      </c>
      <c r="X88" s="75">
        <v>0</v>
      </c>
      <c r="Y88" s="84">
        <v>0</v>
      </c>
      <c r="Z88" s="75">
        <v>0</v>
      </c>
      <c r="AA88" s="75">
        <v>0</v>
      </c>
      <c r="AB88" s="75">
        <v>1</v>
      </c>
      <c r="AC88" s="84">
        <v>0</v>
      </c>
      <c r="AD88" s="75">
        <v>1</v>
      </c>
      <c r="AE88" s="75">
        <v>0</v>
      </c>
      <c r="AF88" s="84">
        <v>0</v>
      </c>
      <c r="AG88" s="75">
        <v>1</v>
      </c>
      <c r="AH88" s="74">
        <v>1981</v>
      </c>
      <c r="AI88" t="s">
        <v>61</v>
      </c>
      <c r="AJ88" t="s">
        <v>61</v>
      </c>
      <c r="AK88" t="s">
        <v>61</v>
      </c>
      <c r="AL88" t="s">
        <v>61</v>
      </c>
      <c r="AM88" s="29" t="s">
        <v>61</v>
      </c>
      <c r="AN88" t="s">
        <v>61</v>
      </c>
      <c r="AO88" s="29">
        <v>0.46800000000000003</v>
      </c>
      <c r="AP88">
        <f t="shared" si="17"/>
        <v>0.53200000000000003</v>
      </c>
      <c r="AQ88" s="29" t="s">
        <v>61</v>
      </c>
      <c r="AR88" t="s">
        <v>61</v>
      </c>
      <c r="AU88" s="29">
        <v>0.75900000000000001</v>
      </c>
      <c r="AV88" s="12">
        <f t="shared" si="14"/>
        <v>0.24099999999999999</v>
      </c>
      <c r="AW88">
        <v>1</v>
      </c>
      <c r="AX88">
        <v>0</v>
      </c>
      <c r="AY88">
        <v>0</v>
      </c>
      <c r="AZ88" s="65" t="s">
        <v>376</v>
      </c>
      <c r="BN88" s="67">
        <v>36.831000000000003</v>
      </c>
      <c r="BO88">
        <v>0</v>
      </c>
      <c r="BP88">
        <v>0</v>
      </c>
      <c r="BQ88">
        <v>1</v>
      </c>
      <c r="BR88">
        <v>0</v>
      </c>
      <c r="BS88">
        <v>0</v>
      </c>
      <c r="BT88">
        <v>0</v>
      </c>
      <c r="BY88">
        <v>0</v>
      </c>
      <c r="BZ88" s="29">
        <v>0</v>
      </c>
      <c r="CA88">
        <v>0</v>
      </c>
      <c r="CB88">
        <v>0</v>
      </c>
      <c r="CC88" s="29">
        <v>1</v>
      </c>
      <c r="CD88">
        <v>0</v>
      </c>
      <c r="CE88">
        <v>0</v>
      </c>
      <c r="CF88">
        <v>0</v>
      </c>
      <c r="CG88">
        <v>0</v>
      </c>
      <c r="CH88">
        <v>0</v>
      </c>
      <c r="CI88">
        <v>1</v>
      </c>
      <c r="CJ88">
        <v>1</v>
      </c>
      <c r="CK88">
        <v>0</v>
      </c>
      <c r="CL88">
        <v>0</v>
      </c>
      <c r="CM88">
        <v>0</v>
      </c>
      <c r="CN88" s="17">
        <v>0</v>
      </c>
      <c r="CT88" t="s">
        <v>48</v>
      </c>
    </row>
    <row r="89" spans="1:98" x14ac:dyDescent="0.25">
      <c r="A89">
        <v>88</v>
      </c>
      <c r="B89">
        <v>6</v>
      </c>
      <c r="C89" t="s">
        <v>298</v>
      </c>
      <c r="D89" s="85">
        <v>7.8</v>
      </c>
      <c r="E89" s="6">
        <f t="shared" si="15"/>
        <v>0.92746730083234241</v>
      </c>
      <c r="F89" s="6">
        <v>8.41</v>
      </c>
      <c r="L89" s="84">
        <v>0</v>
      </c>
      <c r="M89" s="75">
        <v>0</v>
      </c>
      <c r="N89" s="75">
        <v>0</v>
      </c>
      <c r="O89" s="75">
        <v>1</v>
      </c>
      <c r="P89" s="75">
        <v>0</v>
      </c>
      <c r="Q89" s="84">
        <v>1204</v>
      </c>
      <c r="R89" s="75">
        <v>6</v>
      </c>
      <c r="S89" s="75">
        <f t="shared" si="7"/>
        <v>1197</v>
      </c>
      <c r="U89" s="75">
        <v>12.513999999999999</v>
      </c>
      <c r="V89" s="75">
        <f t="shared" si="16"/>
        <v>18.317000000000004</v>
      </c>
      <c r="W89" s="84">
        <v>1</v>
      </c>
      <c r="X89" s="75">
        <v>0</v>
      </c>
      <c r="Y89" s="84">
        <v>0</v>
      </c>
      <c r="Z89" s="75">
        <v>0</v>
      </c>
      <c r="AA89" s="75">
        <v>0</v>
      </c>
      <c r="AB89" s="75">
        <v>1</v>
      </c>
      <c r="AC89" s="84">
        <v>0</v>
      </c>
      <c r="AD89" s="75">
        <v>1</v>
      </c>
      <c r="AE89" s="75">
        <v>0</v>
      </c>
      <c r="AF89" s="84">
        <v>0</v>
      </c>
      <c r="AG89" s="75">
        <v>1</v>
      </c>
      <c r="AH89" s="74">
        <v>1981</v>
      </c>
      <c r="AI89" t="s">
        <v>61</v>
      </c>
      <c r="AJ89" t="s">
        <v>61</v>
      </c>
      <c r="AK89" t="s">
        <v>61</v>
      </c>
      <c r="AL89" t="s">
        <v>61</v>
      </c>
      <c r="AM89" s="29" t="s">
        <v>61</v>
      </c>
      <c r="AN89" t="s">
        <v>61</v>
      </c>
      <c r="AO89" s="29">
        <v>0.46800000000000003</v>
      </c>
      <c r="AP89">
        <f t="shared" si="17"/>
        <v>0.53200000000000003</v>
      </c>
      <c r="AQ89" s="29" t="s">
        <v>61</v>
      </c>
      <c r="AR89" t="s">
        <v>61</v>
      </c>
      <c r="AU89" s="29">
        <v>0.75900000000000001</v>
      </c>
      <c r="AV89" s="12">
        <f t="shared" si="14"/>
        <v>0.24099999999999999</v>
      </c>
      <c r="AW89">
        <v>1</v>
      </c>
      <c r="AX89">
        <v>0</v>
      </c>
      <c r="AY89">
        <v>0</v>
      </c>
      <c r="AZ89" s="65" t="s">
        <v>376</v>
      </c>
      <c r="BN89" s="67">
        <v>36.831000000000003</v>
      </c>
      <c r="BO89">
        <v>0</v>
      </c>
      <c r="BP89">
        <v>0</v>
      </c>
      <c r="BQ89">
        <v>1</v>
      </c>
      <c r="BR89">
        <v>0</v>
      </c>
      <c r="BS89">
        <v>0</v>
      </c>
      <c r="BT89">
        <v>0</v>
      </c>
      <c r="BY89">
        <v>0</v>
      </c>
      <c r="BZ89" s="29">
        <v>0</v>
      </c>
      <c r="CA89">
        <v>0</v>
      </c>
      <c r="CB89">
        <v>0</v>
      </c>
      <c r="CC89" s="29">
        <v>1</v>
      </c>
      <c r="CD89">
        <v>0</v>
      </c>
      <c r="CE89">
        <v>0</v>
      </c>
      <c r="CF89">
        <v>0</v>
      </c>
      <c r="CG89">
        <v>0</v>
      </c>
      <c r="CH89">
        <v>0</v>
      </c>
      <c r="CI89">
        <v>1</v>
      </c>
      <c r="CJ89">
        <v>1</v>
      </c>
      <c r="CK89">
        <v>0</v>
      </c>
      <c r="CL89">
        <v>0</v>
      </c>
      <c r="CM89">
        <v>0</v>
      </c>
      <c r="CN89" s="17">
        <v>0</v>
      </c>
      <c r="CT89" t="s">
        <v>48</v>
      </c>
    </row>
    <row r="90" spans="1:98" x14ac:dyDescent="0.25">
      <c r="A90">
        <v>89</v>
      </c>
      <c r="B90">
        <v>6</v>
      </c>
      <c r="C90" t="s">
        <v>298</v>
      </c>
      <c r="D90" s="85">
        <v>8.3000000000000007</v>
      </c>
      <c r="E90" s="6">
        <f t="shared" si="15"/>
        <v>1.9856459330143543</v>
      </c>
      <c r="F90" s="6">
        <v>4.18</v>
      </c>
      <c r="L90" s="84">
        <v>0</v>
      </c>
      <c r="M90" s="75">
        <v>0</v>
      </c>
      <c r="N90" s="75">
        <v>0</v>
      </c>
      <c r="O90" s="75">
        <v>1</v>
      </c>
      <c r="P90" s="75">
        <v>0</v>
      </c>
      <c r="Q90" s="84">
        <v>602</v>
      </c>
      <c r="R90" s="75">
        <v>3</v>
      </c>
      <c r="S90" s="75">
        <f t="shared" si="7"/>
        <v>598</v>
      </c>
      <c r="U90" s="75">
        <v>12.513999999999999</v>
      </c>
      <c r="V90" s="75">
        <f t="shared" si="16"/>
        <v>18.317000000000004</v>
      </c>
      <c r="W90" s="84">
        <v>1</v>
      </c>
      <c r="X90" s="75">
        <v>0</v>
      </c>
      <c r="Y90" s="84">
        <v>0</v>
      </c>
      <c r="Z90" s="75">
        <v>0</v>
      </c>
      <c r="AA90" s="75">
        <v>0</v>
      </c>
      <c r="AB90" s="75">
        <v>1</v>
      </c>
      <c r="AC90" s="84">
        <v>0</v>
      </c>
      <c r="AD90" s="75">
        <v>1</v>
      </c>
      <c r="AE90" s="75">
        <v>0</v>
      </c>
      <c r="AF90" s="84">
        <v>0</v>
      </c>
      <c r="AG90" s="75">
        <v>1</v>
      </c>
      <c r="AH90" s="74">
        <v>1981</v>
      </c>
      <c r="AI90" t="s">
        <v>61</v>
      </c>
      <c r="AJ90" t="s">
        <v>61</v>
      </c>
      <c r="AK90" t="s">
        <v>61</v>
      </c>
      <c r="AL90" t="s">
        <v>61</v>
      </c>
      <c r="AM90" s="29" t="s">
        <v>61</v>
      </c>
      <c r="AN90" t="s">
        <v>61</v>
      </c>
      <c r="AO90" s="29">
        <v>0.46800000000000003</v>
      </c>
      <c r="AP90">
        <f t="shared" si="17"/>
        <v>0.53200000000000003</v>
      </c>
      <c r="AQ90" s="29" t="s">
        <v>61</v>
      </c>
      <c r="AR90" t="s">
        <v>61</v>
      </c>
      <c r="AU90" s="29">
        <v>0.75900000000000001</v>
      </c>
      <c r="AV90" s="12">
        <f t="shared" si="14"/>
        <v>0.24099999999999999</v>
      </c>
      <c r="AW90">
        <v>1</v>
      </c>
      <c r="AX90">
        <v>0</v>
      </c>
      <c r="AY90">
        <v>0</v>
      </c>
      <c r="AZ90" s="65" t="s">
        <v>376</v>
      </c>
      <c r="BN90" s="67">
        <v>36.831000000000003</v>
      </c>
      <c r="BO90">
        <v>0</v>
      </c>
      <c r="BP90">
        <v>0</v>
      </c>
      <c r="BQ90">
        <v>1</v>
      </c>
      <c r="BR90">
        <v>0</v>
      </c>
      <c r="BS90">
        <v>0</v>
      </c>
      <c r="BT90">
        <v>0</v>
      </c>
      <c r="BY90">
        <v>0</v>
      </c>
      <c r="BZ90" s="29">
        <v>0</v>
      </c>
      <c r="CA90">
        <v>0</v>
      </c>
      <c r="CB90">
        <v>0</v>
      </c>
      <c r="CC90" s="29">
        <v>0</v>
      </c>
      <c r="CD90">
        <v>0</v>
      </c>
      <c r="CE90">
        <v>0</v>
      </c>
      <c r="CF90">
        <v>0</v>
      </c>
      <c r="CG90">
        <v>0</v>
      </c>
      <c r="CH90">
        <v>0</v>
      </c>
      <c r="CI90">
        <v>0</v>
      </c>
      <c r="CJ90">
        <v>1</v>
      </c>
      <c r="CK90">
        <v>0</v>
      </c>
      <c r="CL90">
        <v>0</v>
      </c>
      <c r="CM90">
        <v>0</v>
      </c>
      <c r="CN90" s="17">
        <v>0</v>
      </c>
      <c r="CT90" t="s">
        <v>48</v>
      </c>
    </row>
    <row r="91" spans="1:98" x14ac:dyDescent="0.25">
      <c r="A91">
        <v>90</v>
      </c>
      <c r="B91">
        <v>6</v>
      </c>
      <c r="C91" t="s">
        <v>298</v>
      </c>
      <c r="D91" s="85">
        <v>4.5</v>
      </c>
      <c r="E91" s="6">
        <f t="shared" si="15"/>
        <v>0.92402464065708412</v>
      </c>
      <c r="F91" s="6">
        <v>4.87</v>
      </c>
      <c r="L91" s="84">
        <v>0</v>
      </c>
      <c r="M91" s="75">
        <v>0</v>
      </c>
      <c r="N91" s="75">
        <v>0</v>
      </c>
      <c r="O91" s="75">
        <v>1</v>
      </c>
      <c r="P91" s="75">
        <v>0</v>
      </c>
      <c r="Q91" s="84">
        <v>602</v>
      </c>
      <c r="R91" s="75">
        <v>3</v>
      </c>
      <c r="S91" s="75">
        <f t="shared" si="7"/>
        <v>598</v>
      </c>
      <c r="U91" s="75">
        <v>12.513999999999999</v>
      </c>
      <c r="V91" s="75">
        <f t="shared" si="16"/>
        <v>18.317000000000004</v>
      </c>
      <c r="W91" s="84">
        <v>1</v>
      </c>
      <c r="X91" s="75">
        <v>0</v>
      </c>
      <c r="Y91" s="84">
        <v>0</v>
      </c>
      <c r="Z91" s="75">
        <v>0</v>
      </c>
      <c r="AA91" s="75">
        <v>0</v>
      </c>
      <c r="AB91" s="75">
        <v>1</v>
      </c>
      <c r="AC91" s="84">
        <v>0</v>
      </c>
      <c r="AD91" s="75">
        <v>1</v>
      </c>
      <c r="AE91" s="75">
        <v>0</v>
      </c>
      <c r="AF91" s="84">
        <v>0</v>
      </c>
      <c r="AG91" s="75">
        <v>1</v>
      </c>
      <c r="AH91" s="74">
        <v>1981</v>
      </c>
      <c r="AI91" t="s">
        <v>61</v>
      </c>
      <c r="AJ91" t="s">
        <v>61</v>
      </c>
      <c r="AK91" t="s">
        <v>61</v>
      </c>
      <c r="AL91" t="s">
        <v>61</v>
      </c>
      <c r="AM91" s="29" t="s">
        <v>61</v>
      </c>
      <c r="AN91" t="s">
        <v>61</v>
      </c>
      <c r="AO91" s="29">
        <v>0.46800000000000003</v>
      </c>
      <c r="AP91">
        <f t="shared" si="17"/>
        <v>0.53200000000000003</v>
      </c>
      <c r="AQ91" s="29" t="s">
        <v>61</v>
      </c>
      <c r="AR91" t="s">
        <v>61</v>
      </c>
      <c r="AU91" s="29">
        <v>0.75900000000000001</v>
      </c>
      <c r="AV91" s="12">
        <f t="shared" si="14"/>
        <v>0.24099999999999999</v>
      </c>
      <c r="AW91">
        <v>1</v>
      </c>
      <c r="AX91">
        <v>0</v>
      </c>
      <c r="AY91">
        <v>0</v>
      </c>
      <c r="AZ91" s="65" t="s">
        <v>376</v>
      </c>
      <c r="BN91" s="67">
        <v>36.831000000000003</v>
      </c>
      <c r="BO91">
        <v>0</v>
      </c>
      <c r="BP91">
        <v>0</v>
      </c>
      <c r="BQ91">
        <v>1</v>
      </c>
      <c r="BR91">
        <v>0</v>
      </c>
      <c r="BS91">
        <v>0</v>
      </c>
      <c r="BT91">
        <v>0</v>
      </c>
      <c r="BY91">
        <v>0</v>
      </c>
      <c r="BZ91" s="29">
        <v>0</v>
      </c>
      <c r="CA91">
        <v>0</v>
      </c>
      <c r="CB91">
        <v>0</v>
      </c>
      <c r="CC91" s="29">
        <v>0</v>
      </c>
      <c r="CD91">
        <v>0</v>
      </c>
      <c r="CE91">
        <v>0</v>
      </c>
      <c r="CF91">
        <v>0</v>
      </c>
      <c r="CG91">
        <v>0</v>
      </c>
      <c r="CH91">
        <v>0</v>
      </c>
      <c r="CI91">
        <v>0</v>
      </c>
      <c r="CJ91">
        <v>1</v>
      </c>
      <c r="CK91">
        <v>0</v>
      </c>
      <c r="CL91">
        <v>0</v>
      </c>
      <c r="CM91">
        <v>0</v>
      </c>
      <c r="CN91" s="17">
        <v>0</v>
      </c>
      <c r="CT91" t="s">
        <v>48</v>
      </c>
    </row>
    <row r="92" spans="1:98" x14ac:dyDescent="0.25">
      <c r="A92">
        <v>91</v>
      </c>
      <c r="B92">
        <v>6</v>
      </c>
      <c r="C92" t="s">
        <v>298</v>
      </c>
      <c r="D92" s="85">
        <v>7.9</v>
      </c>
      <c r="E92" s="6">
        <f t="shared" si="15"/>
        <v>0.32510288065843623</v>
      </c>
      <c r="F92" s="6">
        <v>24.3</v>
      </c>
      <c r="L92" s="84">
        <v>0</v>
      </c>
      <c r="M92" s="75">
        <v>0</v>
      </c>
      <c r="N92" s="75">
        <v>0</v>
      </c>
      <c r="O92" s="75">
        <v>1</v>
      </c>
      <c r="P92" s="75">
        <v>0</v>
      </c>
      <c r="Q92" s="84">
        <v>1136</v>
      </c>
      <c r="R92" s="75">
        <v>5</v>
      </c>
      <c r="S92" s="75">
        <f t="shared" si="7"/>
        <v>1130</v>
      </c>
      <c r="U92" s="75">
        <v>12.695</v>
      </c>
      <c r="V92" s="75">
        <f t="shared" si="16"/>
        <v>16.643000000000001</v>
      </c>
      <c r="W92" s="84">
        <v>1</v>
      </c>
      <c r="X92" s="75">
        <v>0</v>
      </c>
      <c r="Y92" s="84">
        <v>0</v>
      </c>
      <c r="Z92" s="75">
        <v>0</v>
      </c>
      <c r="AA92" s="75">
        <v>0</v>
      </c>
      <c r="AB92" s="75">
        <v>1</v>
      </c>
      <c r="AC92" s="84">
        <v>0</v>
      </c>
      <c r="AD92" s="75">
        <v>1</v>
      </c>
      <c r="AE92" s="75">
        <v>0</v>
      </c>
      <c r="AF92" s="84">
        <v>0</v>
      </c>
      <c r="AG92" s="75">
        <v>1</v>
      </c>
      <c r="AH92" s="74">
        <v>1981</v>
      </c>
      <c r="AI92" t="s">
        <v>61</v>
      </c>
      <c r="AJ92" t="s">
        <v>61</v>
      </c>
      <c r="AK92" t="s">
        <v>61</v>
      </c>
      <c r="AL92" t="s">
        <v>61</v>
      </c>
      <c r="AM92" s="29" t="s">
        <v>61</v>
      </c>
      <c r="AN92" t="s">
        <v>61</v>
      </c>
      <c r="AO92" s="29">
        <v>0.505</v>
      </c>
      <c r="AP92">
        <f>1-AO92</f>
        <v>0.495</v>
      </c>
      <c r="AQ92" s="29" t="s">
        <v>61</v>
      </c>
      <c r="AR92" t="s">
        <v>61</v>
      </c>
      <c r="AU92" s="29">
        <v>0.72199999999999998</v>
      </c>
      <c r="AV92" s="12">
        <f t="shared" si="14"/>
        <v>0.27800000000000002</v>
      </c>
      <c r="AW92">
        <v>0</v>
      </c>
      <c r="AX92">
        <v>1</v>
      </c>
      <c r="AY92">
        <v>0</v>
      </c>
      <c r="AZ92" s="65" t="s">
        <v>376</v>
      </c>
      <c r="BN92" s="67">
        <v>35.338000000000001</v>
      </c>
      <c r="BO92">
        <v>0</v>
      </c>
      <c r="BP92">
        <v>0</v>
      </c>
      <c r="BQ92">
        <v>1</v>
      </c>
      <c r="BR92">
        <v>0</v>
      </c>
      <c r="BS92">
        <v>0</v>
      </c>
      <c r="BT92">
        <v>0</v>
      </c>
      <c r="BY92">
        <v>0</v>
      </c>
      <c r="BZ92" s="29">
        <v>0</v>
      </c>
      <c r="CA92">
        <v>0</v>
      </c>
      <c r="CB92">
        <v>0</v>
      </c>
      <c r="CC92" s="29">
        <v>1</v>
      </c>
      <c r="CD92">
        <v>0</v>
      </c>
      <c r="CE92">
        <v>0</v>
      </c>
      <c r="CF92">
        <v>0</v>
      </c>
      <c r="CG92">
        <v>0</v>
      </c>
      <c r="CH92">
        <v>0</v>
      </c>
      <c r="CI92">
        <v>1</v>
      </c>
      <c r="CJ92">
        <v>1</v>
      </c>
      <c r="CK92">
        <v>0</v>
      </c>
      <c r="CL92">
        <v>0</v>
      </c>
      <c r="CM92">
        <v>0</v>
      </c>
      <c r="CN92" s="17">
        <v>0</v>
      </c>
      <c r="CT92" t="s">
        <v>48</v>
      </c>
    </row>
    <row r="93" spans="1:98" x14ac:dyDescent="0.25">
      <c r="A93">
        <v>92</v>
      </c>
      <c r="B93">
        <v>6</v>
      </c>
      <c r="C93" t="s">
        <v>298</v>
      </c>
      <c r="D93" s="85">
        <v>7.9</v>
      </c>
      <c r="E93" s="6">
        <f t="shared" si="15"/>
        <v>0.4376731301939058</v>
      </c>
      <c r="F93" s="6">
        <v>18.05</v>
      </c>
      <c r="L93" s="84">
        <v>0</v>
      </c>
      <c r="M93" s="75">
        <v>0</v>
      </c>
      <c r="N93" s="75">
        <v>0</v>
      </c>
      <c r="O93" s="75">
        <v>1</v>
      </c>
      <c r="P93" s="75">
        <v>0</v>
      </c>
      <c r="Q93" s="84">
        <v>1136</v>
      </c>
      <c r="R93" s="75">
        <v>6</v>
      </c>
      <c r="S93" s="75">
        <f t="shared" si="7"/>
        <v>1129</v>
      </c>
      <c r="U93" s="75">
        <v>12.695</v>
      </c>
      <c r="V93" s="75">
        <f t="shared" si="16"/>
        <v>16.643000000000001</v>
      </c>
      <c r="W93" s="84">
        <v>1</v>
      </c>
      <c r="X93" s="75">
        <v>0</v>
      </c>
      <c r="Y93" s="84">
        <v>0</v>
      </c>
      <c r="Z93" s="75">
        <v>0</v>
      </c>
      <c r="AA93" s="75">
        <v>0</v>
      </c>
      <c r="AB93" s="75">
        <v>1</v>
      </c>
      <c r="AC93" s="84">
        <v>0</v>
      </c>
      <c r="AD93" s="75">
        <v>1</v>
      </c>
      <c r="AE93" s="75">
        <v>0</v>
      </c>
      <c r="AF93" s="84">
        <v>0</v>
      </c>
      <c r="AG93" s="75">
        <v>1</v>
      </c>
      <c r="AH93" s="74">
        <v>1981</v>
      </c>
      <c r="AI93" t="s">
        <v>61</v>
      </c>
      <c r="AJ93" t="s">
        <v>61</v>
      </c>
      <c r="AK93" t="s">
        <v>61</v>
      </c>
      <c r="AL93" t="s">
        <v>61</v>
      </c>
      <c r="AM93" s="29" t="s">
        <v>61</v>
      </c>
      <c r="AN93" t="s">
        <v>61</v>
      </c>
      <c r="AO93" s="29">
        <v>0.505</v>
      </c>
      <c r="AP93">
        <f t="shared" ref="AP93:AP95" si="18">1-AO93</f>
        <v>0.495</v>
      </c>
      <c r="AQ93" s="29" t="s">
        <v>61</v>
      </c>
      <c r="AR93" t="s">
        <v>61</v>
      </c>
      <c r="AU93" s="29">
        <v>0.72199999999999998</v>
      </c>
      <c r="AV93" s="12">
        <f t="shared" si="14"/>
        <v>0.27800000000000002</v>
      </c>
      <c r="AW93">
        <v>0</v>
      </c>
      <c r="AX93">
        <v>1</v>
      </c>
      <c r="AY93">
        <v>0</v>
      </c>
      <c r="AZ93" s="65" t="s">
        <v>376</v>
      </c>
      <c r="BN93" s="67">
        <v>35.338000000000001</v>
      </c>
      <c r="BO93">
        <v>0</v>
      </c>
      <c r="BP93">
        <v>0</v>
      </c>
      <c r="BQ93">
        <v>1</v>
      </c>
      <c r="BR93">
        <v>0</v>
      </c>
      <c r="BS93">
        <v>0</v>
      </c>
      <c r="BT93">
        <v>0</v>
      </c>
      <c r="BY93">
        <v>0</v>
      </c>
      <c r="BZ93" s="29">
        <v>0</v>
      </c>
      <c r="CA93">
        <v>0</v>
      </c>
      <c r="CB93">
        <v>0</v>
      </c>
      <c r="CC93" s="29">
        <v>1</v>
      </c>
      <c r="CD93">
        <v>0</v>
      </c>
      <c r="CE93">
        <v>0</v>
      </c>
      <c r="CF93">
        <v>0</v>
      </c>
      <c r="CG93">
        <v>0</v>
      </c>
      <c r="CH93">
        <v>0</v>
      </c>
      <c r="CI93">
        <v>1</v>
      </c>
      <c r="CJ93">
        <v>1</v>
      </c>
      <c r="CK93">
        <v>0</v>
      </c>
      <c r="CL93">
        <v>0</v>
      </c>
      <c r="CM93">
        <v>0</v>
      </c>
      <c r="CN93" s="17">
        <v>0</v>
      </c>
      <c r="CT93" t="s">
        <v>48</v>
      </c>
    </row>
    <row r="94" spans="1:98" x14ac:dyDescent="0.25">
      <c r="A94">
        <v>93</v>
      </c>
      <c r="B94">
        <v>6</v>
      </c>
      <c r="C94" t="s">
        <v>298</v>
      </c>
      <c r="D94" s="85">
        <v>7.8</v>
      </c>
      <c r="E94" s="6">
        <f t="shared" si="15"/>
        <v>0.87346024636058228</v>
      </c>
      <c r="F94" s="6">
        <v>8.93</v>
      </c>
      <c r="L94" s="84">
        <v>0</v>
      </c>
      <c r="M94" s="75">
        <v>0</v>
      </c>
      <c r="N94" s="75">
        <v>0</v>
      </c>
      <c r="O94" s="75">
        <v>1</v>
      </c>
      <c r="P94" s="75">
        <v>0</v>
      </c>
      <c r="Q94" s="84">
        <v>568</v>
      </c>
      <c r="R94" s="75">
        <v>3</v>
      </c>
      <c r="S94" s="75">
        <f t="shared" si="7"/>
        <v>564</v>
      </c>
      <c r="U94" s="75">
        <v>12.695</v>
      </c>
      <c r="V94" s="75">
        <f t="shared" si="16"/>
        <v>16.643000000000001</v>
      </c>
      <c r="W94" s="84">
        <v>1</v>
      </c>
      <c r="X94" s="75">
        <v>0</v>
      </c>
      <c r="Y94" s="84">
        <v>0</v>
      </c>
      <c r="Z94" s="75">
        <v>0</v>
      </c>
      <c r="AA94" s="75">
        <v>0</v>
      </c>
      <c r="AB94" s="75">
        <v>1</v>
      </c>
      <c r="AC94" s="84">
        <v>0</v>
      </c>
      <c r="AD94" s="75">
        <v>1</v>
      </c>
      <c r="AE94" s="75">
        <v>0</v>
      </c>
      <c r="AF94" s="84">
        <v>0</v>
      </c>
      <c r="AG94" s="75">
        <v>1</v>
      </c>
      <c r="AH94" s="74">
        <v>1981</v>
      </c>
      <c r="AI94" t="s">
        <v>61</v>
      </c>
      <c r="AJ94" t="s">
        <v>61</v>
      </c>
      <c r="AK94" t="s">
        <v>61</v>
      </c>
      <c r="AL94" t="s">
        <v>61</v>
      </c>
      <c r="AM94" s="29" t="s">
        <v>61</v>
      </c>
      <c r="AN94" t="s">
        <v>61</v>
      </c>
      <c r="AO94" s="29">
        <v>0.505</v>
      </c>
      <c r="AP94">
        <f t="shared" si="18"/>
        <v>0.495</v>
      </c>
      <c r="AQ94" s="29" t="s">
        <v>61</v>
      </c>
      <c r="AR94" t="s">
        <v>61</v>
      </c>
      <c r="AU94" s="29">
        <v>0.72199999999999998</v>
      </c>
      <c r="AV94" s="12">
        <f t="shared" si="14"/>
        <v>0.27800000000000002</v>
      </c>
      <c r="AW94">
        <v>0</v>
      </c>
      <c r="AX94">
        <v>1</v>
      </c>
      <c r="AY94">
        <v>0</v>
      </c>
      <c r="AZ94" s="65" t="s">
        <v>376</v>
      </c>
      <c r="BN94" s="67">
        <v>35.338000000000001</v>
      </c>
      <c r="BO94">
        <v>0</v>
      </c>
      <c r="BP94">
        <v>0</v>
      </c>
      <c r="BQ94">
        <v>1</v>
      </c>
      <c r="BR94">
        <v>0</v>
      </c>
      <c r="BS94">
        <v>0</v>
      </c>
      <c r="BT94">
        <v>0</v>
      </c>
      <c r="BY94">
        <v>0</v>
      </c>
      <c r="BZ94" s="29">
        <v>0</v>
      </c>
      <c r="CA94">
        <v>0</v>
      </c>
      <c r="CB94">
        <v>0</v>
      </c>
      <c r="CC94" s="29">
        <v>0</v>
      </c>
      <c r="CD94">
        <v>0</v>
      </c>
      <c r="CE94">
        <v>0</v>
      </c>
      <c r="CF94">
        <v>0</v>
      </c>
      <c r="CG94">
        <v>0</v>
      </c>
      <c r="CH94">
        <v>0</v>
      </c>
      <c r="CI94">
        <v>0</v>
      </c>
      <c r="CJ94">
        <v>1</v>
      </c>
      <c r="CK94">
        <v>0</v>
      </c>
      <c r="CL94">
        <v>0</v>
      </c>
      <c r="CM94">
        <v>0</v>
      </c>
      <c r="CN94" s="17">
        <v>0</v>
      </c>
      <c r="CT94" t="s">
        <v>48</v>
      </c>
    </row>
    <row r="95" spans="1:98" x14ac:dyDescent="0.25">
      <c r="A95">
        <v>94</v>
      </c>
      <c r="B95">
        <v>6</v>
      </c>
      <c r="C95" t="s">
        <v>298</v>
      </c>
      <c r="D95" s="85">
        <v>7.4</v>
      </c>
      <c r="E95" s="6">
        <f t="shared" si="15"/>
        <v>0.79059829059829068</v>
      </c>
      <c r="F95" s="6">
        <v>9.36</v>
      </c>
      <c r="L95" s="84">
        <v>0</v>
      </c>
      <c r="M95" s="75">
        <v>0</v>
      </c>
      <c r="N95" s="75">
        <v>0</v>
      </c>
      <c r="O95" s="75">
        <v>1</v>
      </c>
      <c r="P95" s="75">
        <v>0</v>
      </c>
      <c r="Q95" s="84">
        <v>568</v>
      </c>
      <c r="R95" s="75">
        <v>3</v>
      </c>
      <c r="S95" s="75">
        <f t="shared" si="7"/>
        <v>564</v>
      </c>
      <c r="U95" s="75">
        <v>12.695</v>
      </c>
      <c r="V95" s="75">
        <f t="shared" si="16"/>
        <v>16.643000000000001</v>
      </c>
      <c r="W95" s="84">
        <v>1</v>
      </c>
      <c r="X95" s="75">
        <v>0</v>
      </c>
      <c r="Y95" s="84">
        <v>0</v>
      </c>
      <c r="Z95" s="75">
        <v>0</v>
      </c>
      <c r="AA95" s="75">
        <v>0</v>
      </c>
      <c r="AB95" s="75">
        <v>1</v>
      </c>
      <c r="AC95" s="84">
        <v>0</v>
      </c>
      <c r="AD95" s="75">
        <v>1</v>
      </c>
      <c r="AE95" s="75">
        <v>0</v>
      </c>
      <c r="AF95" s="84">
        <v>0</v>
      </c>
      <c r="AG95" s="75">
        <v>1</v>
      </c>
      <c r="AH95" s="74">
        <v>1981</v>
      </c>
      <c r="AI95" t="s">
        <v>61</v>
      </c>
      <c r="AJ95" t="s">
        <v>61</v>
      </c>
      <c r="AK95" t="s">
        <v>61</v>
      </c>
      <c r="AL95" t="s">
        <v>61</v>
      </c>
      <c r="AM95" s="29" t="s">
        <v>61</v>
      </c>
      <c r="AN95" t="s">
        <v>61</v>
      </c>
      <c r="AO95" s="29">
        <v>0.505</v>
      </c>
      <c r="AP95">
        <f t="shared" si="18"/>
        <v>0.495</v>
      </c>
      <c r="AQ95" s="29" t="s">
        <v>61</v>
      </c>
      <c r="AR95" t="s">
        <v>61</v>
      </c>
      <c r="AU95" s="29">
        <v>0.72199999999999998</v>
      </c>
      <c r="AV95" s="12">
        <f t="shared" si="14"/>
        <v>0.27800000000000002</v>
      </c>
      <c r="AW95">
        <v>0</v>
      </c>
      <c r="AX95">
        <v>1</v>
      </c>
      <c r="AY95">
        <v>0</v>
      </c>
      <c r="AZ95" s="65" t="s">
        <v>376</v>
      </c>
      <c r="BN95" s="67">
        <v>35.338000000000001</v>
      </c>
      <c r="BO95">
        <v>0</v>
      </c>
      <c r="BP95">
        <v>0</v>
      </c>
      <c r="BQ95">
        <v>1</v>
      </c>
      <c r="BR95">
        <v>0</v>
      </c>
      <c r="BS95">
        <v>0</v>
      </c>
      <c r="BT95">
        <v>0</v>
      </c>
      <c r="BY95">
        <v>0</v>
      </c>
      <c r="BZ95" s="29">
        <v>0</v>
      </c>
      <c r="CA95">
        <v>0</v>
      </c>
      <c r="CB95">
        <v>0</v>
      </c>
      <c r="CC95" s="29">
        <v>0</v>
      </c>
      <c r="CD95">
        <v>0</v>
      </c>
      <c r="CE95">
        <v>0</v>
      </c>
      <c r="CF95">
        <v>0</v>
      </c>
      <c r="CG95">
        <v>0</v>
      </c>
      <c r="CH95">
        <v>0</v>
      </c>
      <c r="CI95">
        <v>0</v>
      </c>
      <c r="CJ95">
        <v>1</v>
      </c>
      <c r="CK95">
        <v>0</v>
      </c>
      <c r="CL95">
        <v>0</v>
      </c>
      <c r="CM95">
        <v>0</v>
      </c>
      <c r="CN95" s="17">
        <v>0</v>
      </c>
      <c r="CT95" t="s">
        <v>48</v>
      </c>
    </row>
    <row r="96" spans="1:98" x14ac:dyDescent="0.25">
      <c r="A96">
        <v>95</v>
      </c>
      <c r="B96">
        <v>7</v>
      </c>
      <c r="C96" t="s">
        <v>304</v>
      </c>
      <c r="D96" s="85">
        <v>5.5</v>
      </c>
      <c r="E96" s="6">
        <f t="shared" si="15"/>
        <v>0.20446096654275095</v>
      </c>
      <c r="F96" s="6">
        <v>26.9</v>
      </c>
      <c r="L96" s="84">
        <v>0</v>
      </c>
      <c r="M96" s="75">
        <v>0</v>
      </c>
      <c r="N96" s="75">
        <v>0</v>
      </c>
      <c r="O96" s="75">
        <v>1</v>
      </c>
      <c r="P96" s="75">
        <v>0</v>
      </c>
      <c r="Q96" s="84">
        <v>3048</v>
      </c>
      <c r="R96" s="75">
        <v>1</v>
      </c>
      <c r="S96" s="75">
        <f t="shared" si="7"/>
        <v>3046</v>
      </c>
      <c r="U96" s="75">
        <v>14.5</v>
      </c>
      <c r="V96" s="75">
        <f t="shared" si="16"/>
        <v>30.5</v>
      </c>
      <c r="W96" s="84">
        <v>1</v>
      </c>
      <c r="X96" s="75">
        <v>0</v>
      </c>
      <c r="Y96" s="75">
        <v>0</v>
      </c>
      <c r="Z96" s="75">
        <v>0</v>
      </c>
      <c r="AA96" s="75">
        <v>0</v>
      </c>
      <c r="AB96" s="75">
        <v>1</v>
      </c>
      <c r="AC96" s="84">
        <v>0</v>
      </c>
      <c r="AD96" s="75">
        <v>1</v>
      </c>
      <c r="AE96" s="75">
        <v>0</v>
      </c>
      <c r="AF96" s="84">
        <v>0</v>
      </c>
      <c r="AG96" s="75">
        <v>1</v>
      </c>
      <c r="AH96" s="74">
        <v>1986</v>
      </c>
      <c r="AI96" t="s">
        <v>61</v>
      </c>
      <c r="AJ96" t="s">
        <v>61</v>
      </c>
      <c r="AK96" t="s">
        <v>61</v>
      </c>
      <c r="AL96" t="s">
        <v>61</v>
      </c>
      <c r="AM96" s="29" t="s">
        <v>61</v>
      </c>
      <c r="AN96" t="s">
        <v>61</v>
      </c>
      <c r="AO96" s="29">
        <v>1</v>
      </c>
      <c r="AP96">
        <v>0</v>
      </c>
      <c r="AQ96" s="29">
        <v>1</v>
      </c>
      <c r="AR96">
        <v>0</v>
      </c>
      <c r="AU96" s="29">
        <f>1-AV96</f>
        <v>0.84599999999999997</v>
      </c>
      <c r="AV96" s="12">
        <v>0.154</v>
      </c>
      <c r="AW96">
        <v>0.55969999999999998</v>
      </c>
      <c r="AX96">
        <f t="shared" ref="AX96:AX105" si="19">1-AW96</f>
        <v>0.44030000000000002</v>
      </c>
      <c r="AY96">
        <v>0</v>
      </c>
      <c r="AZ96" s="65" t="s">
        <v>95</v>
      </c>
      <c r="BN96" s="67">
        <v>51</v>
      </c>
      <c r="BO96">
        <v>0</v>
      </c>
      <c r="BP96">
        <v>1</v>
      </c>
      <c r="BQ96">
        <v>0</v>
      </c>
      <c r="BR96">
        <v>0</v>
      </c>
      <c r="BS96">
        <v>0</v>
      </c>
      <c r="BT96">
        <v>0</v>
      </c>
      <c r="BY96">
        <v>0</v>
      </c>
      <c r="BZ96" s="29">
        <v>0</v>
      </c>
      <c r="CA96">
        <v>0</v>
      </c>
      <c r="CB96">
        <v>0</v>
      </c>
      <c r="CC96" s="29">
        <v>0</v>
      </c>
      <c r="CD96">
        <v>0</v>
      </c>
      <c r="CE96">
        <v>0</v>
      </c>
      <c r="CF96">
        <v>0</v>
      </c>
      <c r="CG96">
        <v>0</v>
      </c>
      <c r="CH96">
        <v>0</v>
      </c>
      <c r="CI96">
        <v>0</v>
      </c>
      <c r="CJ96">
        <v>0</v>
      </c>
      <c r="CK96">
        <v>0</v>
      </c>
      <c r="CL96">
        <v>0</v>
      </c>
      <c r="CM96">
        <v>0</v>
      </c>
      <c r="CN96" s="17">
        <v>0</v>
      </c>
      <c r="CT96" t="s">
        <v>48</v>
      </c>
    </row>
    <row r="97" spans="1:98" x14ac:dyDescent="0.25">
      <c r="A97">
        <v>96</v>
      </c>
      <c r="B97">
        <v>7</v>
      </c>
      <c r="C97" t="s">
        <v>304</v>
      </c>
      <c r="D97" s="85">
        <v>5.0999999999999996</v>
      </c>
      <c r="E97" s="6">
        <f t="shared" si="15"/>
        <v>0.23611111111111108</v>
      </c>
      <c r="F97" s="6">
        <v>21.6</v>
      </c>
      <c r="L97" s="84">
        <v>0</v>
      </c>
      <c r="M97" s="75">
        <v>0</v>
      </c>
      <c r="N97" s="75">
        <v>0</v>
      </c>
      <c r="O97" s="75">
        <v>1</v>
      </c>
      <c r="P97" s="75">
        <v>0</v>
      </c>
      <c r="Q97" s="84">
        <v>2588</v>
      </c>
      <c r="R97" s="75">
        <v>1</v>
      </c>
      <c r="S97" s="75">
        <f t="shared" si="7"/>
        <v>2586</v>
      </c>
      <c r="U97" s="75">
        <v>13.6</v>
      </c>
      <c r="V97" s="75">
        <f t="shared" ref="V97:V105" si="20">BN97-U97-6</f>
        <v>31.4</v>
      </c>
      <c r="W97" s="84">
        <v>1</v>
      </c>
      <c r="X97" s="75">
        <v>0</v>
      </c>
      <c r="Y97" s="75">
        <v>0</v>
      </c>
      <c r="Z97" s="75">
        <v>0</v>
      </c>
      <c r="AA97" s="75">
        <v>0</v>
      </c>
      <c r="AB97" s="75">
        <v>1</v>
      </c>
      <c r="AC97" s="84">
        <v>0</v>
      </c>
      <c r="AD97" s="75">
        <v>1</v>
      </c>
      <c r="AE97" s="75">
        <v>0</v>
      </c>
      <c r="AF97" s="84">
        <v>0</v>
      </c>
      <c r="AG97" s="75">
        <v>1</v>
      </c>
      <c r="AH97" s="74">
        <v>1986</v>
      </c>
      <c r="AI97" t="s">
        <v>61</v>
      </c>
      <c r="AJ97" t="s">
        <v>61</v>
      </c>
      <c r="AK97" t="s">
        <v>61</v>
      </c>
      <c r="AL97" t="s">
        <v>61</v>
      </c>
      <c r="AM97" s="29" t="s">
        <v>61</v>
      </c>
      <c r="AN97" t="s">
        <v>61</v>
      </c>
      <c r="AO97" s="29">
        <v>1</v>
      </c>
      <c r="AP97">
        <v>0</v>
      </c>
      <c r="AQ97" s="29">
        <v>1</v>
      </c>
      <c r="AR97">
        <v>0</v>
      </c>
      <c r="AU97" s="29">
        <f>1-AV97</f>
        <v>0.84599999999999997</v>
      </c>
      <c r="AV97" s="12">
        <v>0.154</v>
      </c>
      <c r="AW97">
        <v>0.53700000000000003</v>
      </c>
      <c r="AX97">
        <f t="shared" si="19"/>
        <v>0.46299999999999997</v>
      </c>
      <c r="AY97">
        <v>0</v>
      </c>
      <c r="AZ97" s="65" t="s">
        <v>95</v>
      </c>
      <c r="BN97" s="67">
        <v>51</v>
      </c>
      <c r="BO97">
        <v>0</v>
      </c>
      <c r="BP97">
        <v>1</v>
      </c>
      <c r="BQ97">
        <v>0</v>
      </c>
      <c r="BR97">
        <v>0</v>
      </c>
      <c r="BS97">
        <v>0</v>
      </c>
      <c r="BT97">
        <v>0</v>
      </c>
      <c r="BY97">
        <v>0</v>
      </c>
      <c r="BZ97" s="29">
        <v>0</v>
      </c>
      <c r="CA97">
        <v>0</v>
      </c>
      <c r="CB97">
        <v>0</v>
      </c>
      <c r="CC97" s="29">
        <v>0</v>
      </c>
      <c r="CD97">
        <v>0</v>
      </c>
      <c r="CE97">
        <v>0</v>
      </c>
      <c r="CF97">
        <v>0</v>
      </c>
      <c r="CG97">
        <v>0</v>
      </c>
      <c r="CH97">
        <v>0</v>
      </c>
      <c r="CI97">
        <v>0</v>
      </c>
      <c r="CJ97">
        <v>0</v>
      </c>
      <c r="CK97">
        <v>0</v>
      </c>
      <c r="CL97">
        <v>0</v>
      </c>
      <c r="CM97">
        <v>0</v>
      </c>
      <c r="CN97" s="17">
        <v>0</v>
      </c>
      <c r="CT97" t="s">
        <v>48</v>
      </c>
    </row>
    <row r="98" spans="1:98" x14ac:dyDescent="0.25">
      <c r="A98">
        <v>97</v>
      </c>
      <c r="B98">
        <v>7</v>
      </c>
      <c r="C98" t="s">
        <v>304</v>
      </c>
      <c r="D98" s="85">
        <v>4.0999999999999996</v>
      </c>
      <c r="E98" s="6">
        <f t="shared" si="15"/>
        <v>0.41836734693877542</v>
      </c>
      <c r="F98" s="6">
        <v>9.8000000000000007</v>
      </c>
      <c r="L98" s="84">
        <v>0</v>
      </c>
      <c r="M98" s="75">
        <v>0</v>
      </c>
      <c r="N98" s="75">
        <v>0</v>
      </c>
      <c r="O98" s="75">
        <v>1</v>
      </c>
      <c r="P98" s="75">
        <v>0</v>
      </c>
      <c r="Q98" s="84">
        <v>3048</v>
      </c>
      <c r="R98" s="75">
        <v>1</v>
      </c>
      <c r="S98" s="75">
        <f t="shared" si="7"/>
        <v>3046</v>
      </c>
      <c r="U98" s="75">
        <v>14.5</v>
      </c>
      <c r="V98" s="75">
        <f t="shared" si="20"/>
        <v>30.5</v>
      </c>
      <c r="W98" s="84">
        <v>1</v>
      </c>
      <c r="X98" s="75">
        <v>0</v>
      </c>
      <c r="Y98" s="75">
        <v>0</v>
      </c>
      <c r="Z98" s="75">
        <v>0</v>
      </c>
      <c r="AA98" s="75">
        <v>0</v>
      </c>
      <c r="AB98" s="75">
        <v>1</v>
      </c>
      <c r="AC98" s="84">
        <v>0</v>
      </c>
      <c r="AD98" s="75">
        <v>1</v>
      </c>
      <c r="AE98" s="75">
        <v>0</v>
      </c>
      <c r="AF98" s="84">
        <v>0</v>
      </c>
      <c r="AG98" s="75">
        <v>1</v>
      </c>
      <c r="AH98" s="74">
        <v>1986</v>
      </c>
      <c r="AI98" t="s">
        <v>61</v>
      </c>
      <c r="AJ98" t="s">
        <v>61</v>
      </c>
      <c r="AK98" t="s">
        <v>61</v>
      </c>
      <c r="AL98" t="s">
        <v>61</v>
      </c>
      <c r="AM98" s="29" t="s">
        <v>61</v>
      </c>
      <c r="AN98" t="s">
        <v>61</v>
      </c>
      <c r="AO98" s="29">
        <v>1</v>
      </c>
      <c r="AP98">
        <v>0</v>
      </c>
      <c r="AQ98" s="29">
        <v>1</v>
      </c>
      <c r="AR98">
        <v>0</v>
      </c>
      <c r="AU98" s="29">
        <f t="shared" ref="AU98:AU109" si="21">1-AV98</f>
        <v>0.84599999999999997</v>
      </c>
      <c r="AV98" s="12">
        <v>0.154</v>
      </c>
      <c r="AW98">
        <v>0.55969999999999998</v>
      </c>
      <c r="AX98">
        <f t="shared" si="19"/>
        <v>0.44030000000000002</v>
      </c>
      <c r="AY98">
        <v>0</v>
      </c>
      <c r="AZ98" s="65" t="s">
        <v>95</v>
      </c>
      <c r="BN98" s="67">
        <v>51</v>
      </c>
      <c r="BO98">
        <v>0</v>
      </c>
      <c r="BP98">
        <v>0</v>
      </c>
      <c r="BQ98">
        <v>1</v>
      </c>
      <c r="BR98">
        <v>0</v>
      </c>
      <c r="BS98">
        <v>0</v>
      </c>
      <c r="BT98">
        <v>0</v>
      </c>
      <c r="BY98">
        <v>0</v>
      </c>
      <c r="BZ98" s="29">
        <v>0</v>
      </c>
      <c r="CA98">
        <v>0</v>
      </c>
      <c r="CB98">
        <v>0</v>
      </c>
      <c r="CC98" s="29">
        <v>0</v>
      </c>
      <c r="CD98">
        <v>0</v>
      </c>
      <c r="CE98">
        <v>0</v>
      </c>
      <c r="CF98">
        <v>0</v>
      </c>
      <c r="CG98">
        <v>0</v>
      </c>
      <c r="CH98">
        <v>0</v>
      </c>
      <c r="CI98">
        <v>0</v>
      </c>
      <c r="CJ98">
        <v>0</v>
      </c>
      <c r="CK98">
        <v>0</v>
      </c>
      <c r="CL98">
        <v>0</v>
      </c>
      <c r="CM98">
        <v>0</v>
      </c>
      <c r="CN98" s="17">
        <v>0</v>
      </c>
      <c r="CT98" t="s">
        <v>48</v>
      </c>
    </row>
    <row r="99" spans="1:98" x14ac:dyDescent="0.25">
      <c r="A99">
        <v>98</v>
      </c>
      <c r="B99">
        <v>7</v>
      </c>
      <c r="C99" t="s">
        <v>304</v>
      </c>
      <c r="D99" s="85">
        <v>4.3</v>
      </c>
      <c r="E99" s="6">
        <f t="shared" si="15"/>
        <v>0.40186915887850466</v>
      </c>
      <c r="F99" s="6">
        <v>10.7</v>
      </c>
      <c r="L99" s="84">
        <v>0</v>
      </c>
      <c r="M99" s="75">
        <v>0</v>
      </c>
      <c r="N99" s="75">
        <v>0</v>
      </c>
      <c r="O99" s="75">
        <v>1</v>
      </c>
      <c r="P99" s="75">
        <v>0</v>
      </c>
      <c r="Q99" s="84">
        <v>2588</v>
      </c>
      <c r="R99" s="75">
        <v>1</v>
      </c>
      <c r="S99" s="75">
        <f t="shared" si="7"/>
        <v>2586</v>
      </c>
      <c r="U99" s="75">
        <v>13.6</v>
      </c>
      <c r="V99" s="75">
        <f t="shared" si="20"/>
        <v>31.4</v>
      </c>
      <c r="W99" s="84">
        <v>1</v>
      </c>
      <c r="X99" s="75">
        <v>0</v>
      </c>
      <c r="Y99" s="75">
        <v>0</v>
      </c>
      <c r="Z99" s="75">
        <v>0</v>
      </c>
      <c r="AA99" s="75">
        <v>0</v>
      </c>
      <c r="AB99" s="75">
        <v>1</v>
      </c>
      <c r="AC99" s="84">
        <v>0</v>
      </c>
      <c r="AD99" s="75">
        <v>1</v>
      </c>
      <c r="AE99" s="75">
        <v>0</v>
      </c>
      <c r="AF99" s="84">
        <v>0</v>
      </c>
      <c r="AG99" s="75">
        <v>1</v>
      </c>
      <c r="AH99" s="74">
        <v>1986</v>
      </c>
      <c r="AI99" t="s">
        <v>61</v>
      </c>
      <c r="AJ99" t="s">
        <v>61</v>
      </c>
      <c r="AK99" t="s">
        <v>61</v>
      </c>
      <c r="AL99" t="s">
        <v>61</v>
      </c>
      <c r="AM99" s="29" t="s">
        <v>61</v>
      </c>
      <c r="AN99" t="s">
        <v>61</v>
      </c>
      <c r="AO99" s="29">
        <v>1</v>
      </c>
      <c r="AP99">
        <v>0</v>
      </c>
      <c r="AQ99" s="29">
        <v>1</v>
      </c>
      <c r="AR99">
        <v>0</v>
      </c>
      <c r="AU99" s="29">
        <f t="shared" si="21"/>
        <v>0.84599999999999997</v>
      </c>
      <c r="AV99" s="12">
        <v>0.154</v>
      </c>
      <c r="AW99">
        <v>0.53700000000000003</v>
      </c>
      <c r="AX99">
        <f t="shared" si="19"/>
        <v>0.46299999999999997</v>
      </c>
      <c r="AY99">
        <v>0</v>
      </c>
      <c r="AZ99" s="65" t="s">
        <v>95</v>
      </c>
      <c r="BN99" s="67">
        <v>51</v>
      </c>
      <c r="BO99">
        <v>0</v>
      </c>
      <c r="BP99">
        <v>0</v>
      </c>
      <c r="BQ99">
        <v>1</v>
      </c>
      <c r="BR99">
        <v>0</v>
      </c>
      <c r="BS99">
        <v>0</v>
      </c>
      <c r="BT99">
        <v>0</v>
      </c>
      <c r="BY99">
        <v>0</v>
      </c>
      <c r="BZ99" s="29">
        <v>0</v>
      </c>
      <c r="CA99">
        <v>0</v>
      </c>
      <c r="CB99">
        <v>0</v>
      </c>
      <c r="CC99" s="29">
        <v>0</v>
      </c>
      <c r="CD99">
        <v>0</v>
      </c>
      <c r="CE99">
        <v>0</v>
      </c>
      <c r="CF99">
        <v>0</v>
      </c>
      <c r="CG99">
        <v>0</v>
      </c>
      <c r="CH99">
        <v>0</v>
      </c>
      <c r="CI99">
        <v>0</v>
      </c>
      <c r="CJ99">
        <v>0</v>
      </c>
      <c r="CK99">
        <v>0</v>
      </c>
      <c r="CL99">
        <v>0</v>
      </c>
      <c r="CM99">
        <v>0</v>
      </c>
      <c r="CN99" s="17">
        <v>0</v>
      </c>
      <c r="CT99" t="s">
        <v>48</v>
      </c>
    </row>
    <row r="100" spans="1:98" x14ac:dyDescent="0.25">
      <c r="A100">
        <v>99</v>
      </c>
      <c r="B100">
        <v>7</v>
      </c>
      <c r="C100" t="s">
        <v>304</v>
      </c>
      <c r="D100" s="85">
        <v>7.6</v>
      </c>
      <c r="E100" s="6">
        <f t="shared" si="15"/>
        <v>0.44970414201183434</v>
      </c>
      <c r="F100" s="6">
        <v>16.899999999999999</v>
      </c>
      <c r="L100" s="84">
        <v>0</v>
      </c>
      <c r="M100" s="75">
        <v>0</v>
      </c>
      <c r="N100" s="75">
        <v>0</v>
      </c>
      <c r="O100" s="75">
        <v>1</v>
      </c>
      <c r="P100" s="75">
        <v>0</v>
      </c>
      <c r="Q100" s="84">
        <v>3048</v>
      </c>
      <c r="R100" s="75">
        <v>1</v>
      </c>
      <c r="S100" s="75">
        <f t="shared" si="7"/>
        <v>3046</v>
      </c>
      <c r="U100" s="75">
        <v>14.5</v>
      </c>
      <c r="V100" s="75">
        <f t="shared" si="20"/>
        <v>30.5</v>
      </c>
      <c r="W100" s="84">
        <v>1</v>
      </c>
      <c r="X100" s="75">
        <v>0</v>
      </c>
      <c r="Y100" s="75">
        <v>0</v>
      </c>
      <c r="Z100" s="75">
        <v>0</v>
      </c>
      <c r="AA100" s="75">
        <v>0</v>
      </c>
      <c r="AB100" s="75">
        <v>1</v>
      </c>
      <c r="AC100" s="84">
        <v>0</v>
      </c>
      <c r="AD100" s="75">
        <v>1</v>
      </c>
      <c r="AE100" s="75">
        <v>0</v>
      </c>
      <c r="AF100" s="84">
        <v>0</v>
      </c>
      <c r="AG100" s="75">
        <v>1</v>
      </c>
      <c r="AH100" s="74">
        <v>1986</v>
      </c>
      <c r="AI100" t="s">
        <v>61</v>
      </c>
      <c r="AJ100" t="s">
        <v>61</v>
      </c>
      <c r="AK100" t="s">
        <v>61</v>
      </c>
      <c r="AL100" t="s">
        <v>61</v>
      </c>
      <c r="AM100" s="29" t="s">
        <v>61</v>
      </c>
      <c r="AN100" t="s">
        <v>61</v>
      </c>
      <c r="AO100" s="29">
        <v>1</v>
      </c>
      <c r="AP100">
        <v>0</v>
      </c>
      <c r="AQ100" s="29">
        <v>1</v>
      </c>
      <c r="AR100">
        <v>0</v>
      </c>
      <c r="AU100" s="29">
        <f t="shared" si="21"/>
        <v>0.84599999999999997</v>
      </c>
      <c r="AV100" s="12">
        <v>0.154</v>
      </c>
      <c r="AW100">
        <v>0.55969999999999998</v>
      </c>
      <c r="AX100">
        <f t="shared" si="19"/>
        <v>0.44030000000000002</v>
      </c>
      <c r="AY100">
        <v>0</v>
      </c>
      <c r="AZ100" s="65" t="s">
        <v>95</v>
      </c>
      <c r="BN100" s="67">
        <v>51</v>
      </c>
      <c r="BO100">
        <v>0</v>
      </c>
      <c r="BP100">
        <v>1</v>
      </c>
      <c r="BQ100">
        <v>0</v>
      </c>
      <c r="BR100">
        <v>0</v>
      </c>
      <c r="BS100">
        <v>0</v>
      </c>
      <c r="BT100">
        <v>0</v>
      </c>
      <c r="BY100">
        <v>0</v>
      </c>
      <c r="BZ100" s="29">
        <v>0</v>
      </c>
      <c r="CA100">
        <v>0</v>
      </c>
      <c r="CB100">
        <v>0</v>
      </c>
      <c r="CC100" s="29">
        <v>0</v>
      </c>
      <c r="CD100">
        <v>0</v>
      </c>
      <c r="CE100">
        <v>0</v>
      </c>
      <c r="CF100">
        <v>0</v>
      </c>
      <c r="CG100">
        <v>0</v>
      </c>
      <c r="CH100">
        <v>0</v>
      </c>
      <c r="CI100">
        <v>0</v>
      </c>
      <c r="CJ100">
        <v>0</v>
      </c>
      <c r="CK100">
        <v>0</v>
      </c>
      <c r="CL100">
        <v>0</v>
      </c>
      <c r="CM100">
        <v>0</v>
      </c>
      <c r="CN100" s="17">
        <v>0</v>
      </c>
      <c r="CT100" t="s">
        <v>48</v>
      </c>
    </row>
    <row r="101" spans="1:98" x14ac:dyDescent="0.25">
      <c r="A101">
        <v>100</v>
      </c>
      <c r="B101">
        <v>7</v>
      </c>
      <c r="C101" t="s">
        <v>304</v>
      </c>
      <c r="D101" s="85">
        <v>8</v>
      </c>
      <c r="E101" s="6">
        <f t="shared" si="15"/>
        <v>0.48192771084337344</v>
      </c>
      <c r="F101" s="6">
        <v>16.600000000000001</v>
      </c>
      <c r="L101" s="84">
        <v>0</v>
      </c>
      <c r="M101" s="75">
        <v>0</v>
      </c>
      <c r="N101" s="75">
        <v>0</v>
      </c>
      <c r="O101" s="75">
        <v>1</v>
      </c>
      <c r="P101" s="75">
        <v>0</v>
      </c>
      <c r="Q101" s="84">
        <v>2588</v>
      </c>
      <c r="R101" s="75">
        <v>1</v>
      </c>
      <c r="S101" s="75">
        <f t="shared" si="7"/>
        <v>2586</v>
      </c>
      <c r="U101" s="75">
        <v>13.6</v>
      </c>
      <c r="V101" s="75">
        <f t="shared" si="20"/>
        <v>31.4</v>
      </c>
      <c r="W101" s="84">
        <v>1</v>
      </c>
      <c r="X101" s="75">
        <v>0</v>
      </c>
      <c r="Y101" s="75">
        <v>0</v>
      </c>
      <c r="Z101" s="75">
        <v>0</v>
      </c>
      <c r="AA101" s="75">
        <v>0</v>
      </c>
      <c r="AB101" s="75">
        <v>1</v>
      </c>
      <c r="AC101" s="84">
        <v>0</v>
      </c>
      <c r="AD101" s="75">
        <v>1</v>
      </c>
      <c r="AE101" s="75">
        <v>0</v>
      </c>
      <c r="AF101" s="84">
        <v>0</v>
      </c>
      <c r="AG101" s="75">
        <v>1</v>
      </c>
      <c r="AH101" s="74">
        <v>1986</v>
      </c>
      <c r="AI101" t="s">
        <v>61</v>
      </c>
      <c r="AJ101" t="s">
        <v>61</v>
      </c>
      <c r="AK101" t="s">
        <v>61</v>
      </c>
      <c r="AL101" t="s">
        <v>61</v>
      </c>
      <c r="AM101" s="29" t="s">
        <v>61</v>
      </c>
      <c r="AN101" t="s">
        <v>61</v>
      </c>
      <c r="AO101" s="29">
        <v>1</v>
      </c>
      <c r="AP101">
        <v>0</v>
      </c>
      <c r="AQ101" s="29">
        <v>1</v>
      </c>
      <c r="AR101">
        <v>0</v>
      </c>
      <c r="AU101" s="29">
        <f t="shared" si="21"/>
        <v>0.84599999999999997</v>
      </c>
      <c r="AV101" s="12">
        <v>0.154</v>
      </c>
      <c r="AW101">
        <v>0.53700000000000003</v>
      </c>
      <c r="AX101">
        <f t="shared" si="19"/>
        <v>0.46299999999999997</v>
      </c>
      <c r="AY101">
        <v>0</v>
      </c>
      <c r="AZ101" s="65" t="s">
        <v>95</v>
      </c>
      <c r="BN101" s="67">
        <v>51</v>
      </c>
      <c r="BO101">
        <v>0</v>
      </c>
      <c r="BP101">
        <v>1</v>
      </c>
      <c r="BQ101">
        <v>0</v>
      </c>
      <c r="BR101">
        <v>0</v>
      </c>
      <c r="BS101">
        <v>0</v>
      </c>
      <c r="BT101">
        <v>0</v>
      </c>
      <c r="BY101">
        <v>0</v>
      </c>
      <c r="BZ101" s="29">
        <v>0</v>
      </c>
      <c r="CA101">
        <v>0</v>
      </c>
      <c r="CB101">
        <v>0</v>
      </c>
      <c r="CC101" s="29">
        <v>0</v>
      </c>
      <c r="CD101">
        <v>0</v>
      </c>
      <c r="CE101">
        <v>0</v>
      </c>
      <c r="CF101">
        <v>0</v>
      </c>
      <c r="CG101">
        <v>0</v>
      </c>
      <c r="CH101">
        <v>0</v>
      </c>
      <c r="CI101">
        <v>0</v>
      </c>
      <c r="CJ101">
        <v>0</v>
      </c>
      <c r="CK101">
        <v>0</v>
      </c>
      <c r="CL101">
        <v>0</v>
      </c>
      <c r="CM101">
        <v>0</v>
      </c>
      <c r="CN101" s="17">
        <v>0</v>
      </c>
      <c r="CT101" t="s">
        <v>48</v>
      </c>
    </row>
    <row r="102" spans="1:98" x14ac:dyDescent="0.25">
      <c r="A102">
        <v>101</v>
      </c>
      <c r="B102">
        <v>7</v>
      </c>
      <c r="C102" t="s">
        <v>304</v>
      </c>
      <c r="D102" s="85">
        <v>3.1</v>
      </c>
      <c r="E102" s="6">
        <f t="shared" si="15"/>
        <v>0.70454545454545447</v>
      </c>
      <c r="F102" s="6">
        <v>4.4000000000000004</v>
      </c>
      <c r="L102" s="84">
        <v>0</v>
      </c>
      <c r="M102" s="75">
        <v>0</v>
      </c>
      <c r="N102" s="75">
        <v>0</v>
      </c>
      <c r="O102" s="75">
        <v>1</v>
      </c>
      <c r="P102" s="75">
        <v>0</v>
      </c>
      <c r="Q102" s="84">
        <v>3048</v>
      </c>
      <c r="R102" s="75">
        <v>1</v>
      </c>
      <c r="S102" s="75">
        <f t="shared" si="7"/>
        <v>3046</v>
      </c>
      <c r="U102" s="75">
        <v>14.5</v>
      </c>
      <c r="V102" s="75">
        <f t="shared" si="20"/>
        <v>30.5</v>
      </c>
      <c r="W102" s="84">
        <v>1</v>
      </c>
      <c r="X102" s="75">
        <v>0</v>
      </c>
      <c r="Y102" s="75">
        <v>0</v>
      </c>
      <c r="Z102" s="75">
        <v>0</v>
      </c>
      <c r="AA102" s="75">
        <v>0</v>
      </c>
      <c r="AB102" s="75">
        <v>1</v>
      </c>
      <c r="AC102" s="84">
        <v>0</v>
      </c>
      <c r="AD102" s="75">
        <v>1</v>
      </c>
      <c r="AE102" s="75">
        <v>0</v>
      </c>
      <c r="AF102" s="84">
        <v>0</v>
      </c>
      <c r="AG102" s="75">
        <v>1</v>
      </c>
      <c r="AH102" s="74">
        <v>1986</v>
      </c>
      <c r="AI102" t="s">
        <v>61</v>
      </c>
      <c r="AJ102" t="s">
        <v>61</v>
      </c>
      <c r="AK102" t="s">
        <v>61</v>
      </c>
      <c r="AL102" t="s">
        <v>61</v>
      </c>
      <c r="AM102" s="29" t="s">
        <v>61</v>
      </c>
      <c r="AN102" t="s">
        <v>61</v>
      </c>
      <c r="AO102" s="29">
        <v>1</v>
      </c>
      <c r="AP102">
        <v>0</v>
      </c>
      <c r="AQ102" s="29">
        <v>1</v>
      </c>
      <c r="AR102">
        <v>0</v>
      </c>
      <c r="AU102" s="29">
        <f t="shared" si="21"/>
        <v>0.84599999999999997</v>
      </c>
      <c r="AV102" s="12">
        <v>0.154</v>
      </c>
      <c r="AW102">
        <v>0.55969999999999998</v>
      </c>
      <c r="AX102">
        <f t="shared" si="19"/>
        <v>0.44030000000000002</v>
      </c>
      <c r="AY102">
        <v>0</v>
      </c>
      <c r="AZ102" s="65" t="s">
        <v>95</v>
      </c>
      <c r="BN102" s="67">
        <v>51</v>
      </c>
      <c r="BO102">
        <v>0</v>
      </c>
      <c r="BP102">
        <v>0</v>
      </c>
      <c r="BQ102">
        <v>1</v>
      </c>
      <c r="BR102">
        <v>0</v>
      </c>
      <c r="BS102">
        <v>0</v>
      </c>
      <c r="BT102">
        <v>0</v>
      </c>
      <c r="BY102">
        <v>0</v>
      </c>
      <c r="BZ102" s="29">
        <v>0</v>
      </c>
      <c r="CA102">
        <v>0</v>
      </c>
      <c r="CB102">
        <v>0</v>
      </c>
      <c r="CC102" s="29">
        <v>0</v>
      </c>
      <c r="CD102">
        <v>0</v>
      </c>
      <c r="CE102">
        <v>0</v>
      </c>
      <c r="CF102">
        <v>0</v>
      </c>
      <c r="CG102">
        <v>0</v>
      </c>
      <c r="CH102">
        <v>0</v>
      </c>
      <c r="CI102">
        <v>0</v>
      </c>
      <c r="CJ102">
        <v>0</v>
      </c>
      <c r="CK102">
        <v>0</v>
      </c>
      <c r="CL102">
        <v>0</v>
      </c>
      <c r="CM102">
        <v>0</v>
      </c>
      <c r="CN102" s="17">
        <v>0</v>
      </c>
      <c r="CT102" t="s">
        <v>48</v>
      </c>
    </row>
    <row r="103" spans="1:98" x14ac:dyDescent="0.25">
      <c r="A103">
        <v>102</v>
      </c>
      <c r="B103">
        <v>7</v>
      </c>
      <c r="C103" t="s">
        <v>304</v>
      </c>
      <c r="D103" s="85">
        <v>6.3</v>
      </c>
      <c r="E103" s="6">
        <f t="shared" si="15"/>
        <v>0.7078651685393258</v>
      </c>
      <c r="F103" s="6">
        <v>8.9</v>
      </c>
      <c r="L103" s="84">
        <v>0</v>
      </c>
      <c r="M103" s="75">
        <v>0</v>
      </c>
      <c r="N103" s="75">
        <v>0</v>
      </c>
      <c r="O103" s="75">
        <v>1</v>
      </c>
      <c r="P103" s="75">
        <v>0</v>
      </c>
      <c r="Q103" s="84">
        <v>2588</v>
      </c>
      <c r="R103" s="75">
        <v>1</v>
      </c>
      <c r="S103" s="75">
        <f t="shared" si="7"/>
        <v>2586</v>
      </c>
      <c r="U103" s="75">
        <v>13.6</v>
      </c>
      <c r="V103" s="75">
        <f t="shared" si="20"/>
        <v>31.4</v>
      </c>
      <c r="W103" s="84">
        <v>1</v>
      </c>
      <c r="X103" s="75">
        <v>0</v>
      </c>
      <c r="Y103" s="75">
        <v>0</v>
      </c>
      <c r="Z103" s="75">
        <v>0</v>
      </c>
      <c r="AA103" s="75">
        <v>0</v>
      </c>
      <c r="AB103" s="75">
        <v>1</v>
      </c>
      <c r="AC103" s="84">
        <v>0</v>
      </c>
      <c r="AD103" s="75">
        <v>1</v>
      </c>
      <c r="AE103" s="75">
        <v>0</v>
      </c>
      <c r="AF103" s="84">
        <v>0</v>
      </c>
      <c r="AG103" s="75">
        <v>1</v>
      </c>
      <c r="AH103" s="74">
        <v>1986</v>
      </c>
      <c r="AI103" t="s">
        <v>61</v>
      </c>
      <c r="AJ103" t="s">
        <v>61</v>
      </c>
      <c r="AK103" t="s">
        <v>61</v>
      </c>
      <c r="AL103" t="s">
        <v>61</v>
      </c>
      <c r="AM103" s="29" t="s">
        <v>61</v>
      </c>
      <c r="AN103" t="s">
        <v>61</v>
      </c>
      <c r="AO103" s="29">
        <v>1</v>
      </c>
      <c r="AP103">
        <v>0</v>
      </c>
      <c r="AQ103" s="29">
        <v>1</v>
      </c>
      <c r="AR103">
        <v>0</v>
      </c>
      <c r="AU103" s="29">
        <f t="shared" si="21"/>
        <v>0.84599999999999997</v>
      </c>
      <c r="AV103" s="12">
        <v>0.154</v>
      </c>
      <c r="AW103">
        <v>0.53700000000000003</v>
      </c>
      <c r="AX103">
        <f t="shared" si="19"/>
        <v>0.46299999999999997</v>
      </c>
      <c r="AY103">
        <v>0</v>
      </c>
      <c r="AZ103" s="65" t="s">
        <v>95</v>
      </c>
      <c r="BN103" s="67">
        <v>51</v>
      </c>
      <c r="BO103">
        <v>0</v>
      </c>
      <c r="BP103">
        <v>0</v>
      </c>
      <c r="BQ103">
        <v>1</v>
      </c>
      <c r="BR103">
        <v>0</v>
      </c>
      <c r="BS103">
        <v>0</v>
      </c>
      <c r="BT103">
        <v>0</v>
      </c>
      <c r="BY103">
        <v>0</v>
      </c>
      <c r="BZ103" s="29">
        <v>0</v>
      </c>
      <c r="CA103">
        <v>0</v>
      </c>
      <c r="CB103">
        <v>0</v>
      </c>
      <c r="CC103" s="29">
        <v>0</v>
      </c>
      <c r="CD103">
        <v>0</v>
      </c>
      <c r="CE103">
        <v>0</v>
      </c>
      <c r="CF103">
        <v>0</v>
      </c>
      <c r="CG103">
        <v>0</v>
      </c>
      <c r="CH103">
        <v>0</v>
      </c>
      <c r="CI103">
        <v>0</v>
      </c>
      <c r="CJ103">
        <v>0</v>
      </c>
      <c r="CK103">
        <v>0</v>
      </c>
      <c r="CL103">
        <v>0</v>
      </c>
      <c r="CM103">
        <v>0</v>
      </c>
      <c r="CN103" s="17">
        <v>0</v>
      </c>
      <c r="CT103" t="s">
        <v>48</v>
      </c>
    </row>
    <row r="104" spans="1:98" x14ac:dyDescent="0.25">
      <c r="A104">
        <v>103</v>
      </c>
      <c r="B104">
        <v>7</v>
      </c>
      <c r="C104" t="s">
        <v>304</v>
      </c>
      <c r="D104" s="85">
        <v>7.1</v>
      </c>
      <c r="E104" s="6">
        <f t="shared" si="15"/>
        <v>0.23666666666666666</v>
      </c>
      <c r="F104" s="6">
        <v>30</v>
      </c>
      <c r="L104" s="84">
        <v>0</v>
      </c>
      <c r="M104" s="75">
        <v>0</v>
      </c>
      <c r="N104" s="75">
        <v>0</v>
      </c>
      <c r="O104" s="75">
        <v>1</v>
      </c>
      <c r="P104" s="75">
        <v>0</v>
      </c>
      <c r="Q104" s="84">
        <v>3048</v>
      </c>
      <c r="R104" s="75">
        <v>1</v>
      </c>
      <c r="S104" s="75">
        <f t="shared" si="7"/>
        <v>3046</v>
      </c>
      <c r="U104" s="75">
        <v>14.5</v>
      </c>
      <c r="V104" s="75">
        <f t="shared" si="20"/>
        <v>30.5</v>
      </c>
      <c r="W104" s="84">
        <v>1</v>
      </c>
      <c r="X104" s="75">
        <v>0</v>
      </c>
      <c r="Y104" s="75">
        <v>0</v>
      </c>
      <c r="Z104" s="75">
        <v>0</v>
      </c>
      <c r="AA104" s="75">
        <v>0</v>
      </c>
      <c r="AB104" s="75">
        <v>1</v>
      </c>
      <c r="AC104" s="84">
        <v>0</v>
      </c>
      <c r="AD104" s="75">
        <v>1</v>
      </c>
      <c r="AE104" s="75">
        <v>0</v>
      </c>
      <c r="AF104" s="84">
        <v>0</v>
      </c>
      <c r="AG104" s="75">
        <v>1</v>
      </c>
      <c r="AH104" s="74">
        <v>1986</v>
      </c>
      <c r="AI104" t="s">
        <v>61</v>
      </c>
      <c r="AJ104" t="s">
        <v>61</v>
      </c>
      <c r="AK104" t="s">
        <v>61</v>
      </c>
      <c r="AL104" t="s">
        <v>61</v>
      </c>
      <c r="AM104" s="29" t="s">
        <v>61</v>
      </c>
      <c r="AN104" t="s">
        <v>61</v>
      </c>
      <c r="AO104" s="29">
        <v>1</v>
      </c>
      <c r="AP104">
        <v>0</v>
      </c>
      <c r="AQ104" s="29">
        <v>1</v>
      </c>
      <c r="AR104">
        <v>0</v>
      </c>
      <c r="AU104" s="29">
        <f t="shared" si="21"/>
        <v>0.84599999999999997</v>
      </c>
      <c r="AV104" s="12">
        <v>0.154</v>
      </c>
      <c r="AW104">
        <v>0.55969999999999998</v>
      </c>
      <c r="AX104">
        <f t="shared" si="19"/>
        <v>0.44030000000000002</v>
      </c>
      <c r="AY104">
        <v>0</v>
      </c>
      <c r="AZ104" s="65" t="s">
        <v>95</v>
      </c>
      <c r="BN104" s="67">
        <v>51</v>
      </c>
      <c r="BO104">
        <v>0</v>
      </c>
      <c r="BP104">
        <v>1</v>
      </c>
      <c r="BQ104">
        <v>0</v>
      </c>
      <c r="BR104">
        <v>0</v>
      </c>
      <c r="BS104">
        <v>0</v>
      </c>
      <c r="BT104">
        <v>0</v>
      </c>
      <c r="BY104">
        <v>0</v>
      </c>
      <c r="BZ104" s="29">
        <v>0</v>
      </c>
      <c r="CA104">
        <v>0</v>
      </c>
      <c r="CB104">
        <v>0</v>
      </c>
      <c r="CC104" s="29">
        <v>0</v>
      </c>
      <c r="CD104">
        <v>0</v>
      </c>
      <c r="CE104">
        <v>0</v>
      </c>
      <c r="CF104">
        <v>0</v>
      </c>
      <c r="CG104">
        <v>0</v>
      </c>
      <c r="CH104">
        <v>0</v>
      </c>
      <c r="CI104">
        <v>0</v>
      </c>
      <c r="CJ104">
        <v>0</v>
      </c>
      <c r="CK104">
        <v>0</v>
      </c>
      <c r="CL104">
        <v>0</v>
      </c>
      <c r="CM104">
        <v>0</v>
      </c>
      <c r="CN104" s="17">
        <v>0</v>
      </c>
      <c r="CT104" t="s">
        <v>48</v>
      </c>
    </row>
    <row r="105" spans="1:98" x14ac:dyDescent="0.25">
      <c r="A105">
        <v>104</v>
      </c>
      <c r="B105">
        <v>7</v>
      </c>
      <c r="C105" t="s">
        <v>304</v>
      </c>
      <c r="D105" s="85">
        <v>7.3</v>
      </c>
      <c r="E105" s="6">
        <f t="shared" si="15"/>
        <v>0.2786259541984733</v>
      </c>
      <c r="F105" s="6">
        <v>26.2</v>
      </c>
      <c r="L105" s="84">
        <v>0</v>
      </c>
      <c r="M105" s="75">
        <v>0</v>
      </c>
      <c r="N105" s="75">
        <v>0</v>
      </c>
      <c r="O105" s="75">
        <v>1</v>
      </c>
      <c r="P105" s="75">
        <v>0</v>
      </c>
      <c r="Q105" s="84">
        <v>2588</v>
      </c>
      <c r="R105" s="75">
        <v>1</v>
      </c>
      <c r="S105" s="75">
        <f t="shared" si="7"/>
        <v>2586</v>
      </c>
      <c r="U105" s="75">
        <v>13.6</v>
      </c>
      <c r="V105" s="75">
        <f t="shared" si="20"/>
        <v>31.4</v>
      </c>
      <c r="W105" s="84">
        <v>1</v>
      </c>
      <c r="X105" s="75">
        <v>0</v>
      </c>
      <c r="Y105" s="75">
        <v>0</v>
      </c>
      <c r="Z105" s="75">
        <v>0</v>
      </c>
      <c r="AA105" s="75">
        <v>0</v>
      </c>
      <c r="AB105" s="75">
        <v>1</v>
      </c>
      <c r="AC105" s="84">
        <v>0</v>
      </c>
      <c r="AD105" s="75">
        <v>1</v>
      </c>
      <c r="AE105" s="75">
        <v>0</v>
      </c>
      <c r="AF105" s="84">
        <v>0</v>
      </c>
      <c r="AG105" s="75">
        <v>1</v>
      </c>
      <c r="AH105" s="74">
        <v>1986</v>
      </c>
      <c r="AI105" t="s">
        <v>61</v>
      </c>
      <c r="AJ105" t="s">
        <v>61</v>
      </c>
      <c r="AK105" t="s">
        <v>61</v>
      </c>
      <c r="AL105" t="s">
        <v>61</v>
      </c>
      <c r="AM105" s="29" t="s">
        <v>61</v>
      </c>
      <c r="AN105" t="s">
        <v>61</v>
      </c>
      <c r="AO105" s="29">
        <v>1</v>
      </c>
      <c r="AP105">
        <v>0</v>
      </c>
      <c r="AQ105" s="29">
        <v>1</v>
      </c>
      <c r="AR105">
        <v>0</v>
      </c>
      <c r="AU105" s="29">
        <f t="shared" si="21"/>
        <v>0.84599999999999997</v>
      </c>
      <c r="AV105" s="12">
        <v>0.154</v>
      </c>
      <c r="AW105">
        <v>0.53700000000000003</v>
      </c>
      <c r="AX105">
        <f t="shared" si="19"/>
        <v>0.46299999999999997</v>
      </c>
      <c r="AY105">
        <v>0</v>
      </c>
      <c r="AZ105" s="65" t="s">
        <v>95</v>
      </c>
      <c r="BN105" s="67">
        <v>51</v>
      </c>
      <c r="BO105">
        <v>0</v>
      </c>
      <c r="BP105">
        <v>0</v>
      </c>
      <c r="BQ105">
        <v>1</v>
      </c>
      <c r="BR105">
        <v>0</v>
      </c>
      <c r="BS105">
        <v>0</v>
      </c>
      <c r="BT105">
        <v>0</v>
      </c>
      <c r="BY105">
        <v>0</v>
      </c>
      <c r="BZ105" s="29">
        <v>0</v>
      </c>
      <c r="CA105">
        <v>0</v>
      </c>
      <c r="CB105">
        <v>0</v>
      </c>
      <c r="CC105" s="29">
        <v>0</v>
      </c>
      <c r="CD105">
        <v>0</v>
      </c>
      <c r="CE105">
        <v>0</v>
      </c>
      <c r="CF105">
        <v>0</v>
      </c>
      <c r="CG105">
        <v>0</v>
      </c>
      <c r="CH105">
        <v>0</v>
      </c>
      <c r="CI105">
        <v>0</v>
      </c>
      <c r="CJ105">
        <v>0</v>
      </c>
      <c r="CK105">
        <v>0</v>
      </c>
      <c r="CL105">
        <v>0</v>
      </c>
      <c r="CM105">
        <v>0</v>
      </c>
      <c r="CN105" s="17">
        <v>0</v>
      </c>
      <c r="CT105" t="s">
        <v>48</v>
      </c>
    </row>
    <row r="106" spans="1:98" x14ac:dyDescent="0.25">
      <c r="A106">
        <v>105</v>
      </c>
      <c r="B106">
        <v>7</v>
      </c>
      <c r="C106" t="s">
        <v>304</v>
      </c>
      <c r="D106" s="85">
        <v>9.4</v>
      </c>
      <c r="E106" s="6">
        <f t="shared" si="15"/>
        <v>1.0930232558139537</v>
      </c>
      <c r="F106" s="6">
        <v>8.6</v>
      </c>
      <c r="L106" s="84">
        <v>0</v>
      </c>
      <c r="M106" s="75">
        <v>0</v>
      </c>
      <c r="N106" s="75">
        <v>0</v>
      </c>
      <c r="O106" s="75">
        <v>1</v>
      </c>
      <c r="P106" s="75">
        <v>0</v>
      </c>
      <c r="Q106" s="84">
        <v>282</v>
      </c>
      <c r="R106" s="75">
        <v>1</v>
      </c>
      <c r="S106" s="75">
        <f t="shared" si="7"/>
        <v>280</v>
      </c>
      <c r="U106" s="75">
        <v>13.6</v>
      </c>
      <c r="V106" s="75">
        <f t="shared" ref="V106:V109" si="22">BN106-U106-6</f>
        <v>31.4</v>
      </c>
      <c r="W106" s="84">
        <v>1</v>
      </c>
      <c r="X106" s="75">
        <v>0</v>
      </c>
      <c r="Y106" s="75">
        <v>0</v>
      </c>
      <c r="Z106" s="75">
        <v>0</v>
      </c>
      <c r="AA106" s="75">
        <v>0</v>
      </c>
      <c r="AB106" s="75">
        <v>1</v>
      </c>
      <c r="AC106" s="84">
        <v>0</v>
      </c>
      <c r="AD106" s="75">
        <v>1</v>
      </c>
      <c r="AE106" s="75">
        <v>0</v>
      </c>
      <c r="AF106" s="84">
        <v>0</v>
      </c>
      <c r="AG106" s="75">
        <v>1</v>
      </c>
      <c r="AH106" s="74">
        <v>1986</v>
      </c>
      <c r="AI106" t="s">
        <v>61</v>
      </c>
      <c r="AJ106" t="s">
        <v>61</v>
      </c>
      <c r="AK106" t="s">
        <v>61</v>
      </c>
      <c r="AL106" t="s">
        <v>61</v>
      </c>
      <c r="AM106" s="29" t="s">
        <v>61</v>
      </c>
      <c r="AN106" t="s">
        <v>61</v>
      </c>
      <c r="AO106" s="29">
        <v>1</v>
      </c>
      <c r="AP106">
        <v>0</v>
      </c>
      <c r="AQ106" s="29">
        <v>1</v>
      </c>
      <c r="AR106">
        <v>0</v>
      </c>
      <c r="AU106" s="29">
        <f t="shared" si="21"/>
        <v>0.84599999999999997</v>
      </c>
      <c r="AV106" s="12">
        <v>0.154</v>
      </c>
      <c r="AW106">
        <v>0.53700000000000003</v>
      </c>
      <c r="AX106">
        <f t="shared" ref="AX106:AX109" si="23">1-AW106</f>
        <v>0.46299999999999997</v>
      </c>
      <c r="AY106">
        <v>0</v>
      </c>
      <c r="AZ106" s="65" t="s">
        <v>95</v>
      </c>
      <c r="BN106" s="67">
        <v>51</v>
      </c>
      <c r="BO106">
        <v>0</v>
      </c>
      <c r="BP106">
        <v>1</v>
      </c>
      <c r="BQ106">
        <v>0</v>
      </c>
      <c r="BR106">
        <v>0</v>
      </c>
      <c r="BS106">
        <v>0</v>
      </c>
      <c r="BT106">
        <v>0</v>
      </c>
      <c r="BY106">
        <v>0</v>
      </c>
      <c r="BZ106" s="29">
        <v>0</v>
      </c>
      <c r="CA106">
        <v>0</v>
      </c>
      <c r="CB106">
        <v>0</v>
      </c>
      <c r="CC106" s="29">
        <v>0</v>
      </c>
      <c r="CD106">
        <v>0</v>
      </c>
      <c r="CE106">
        <v>0</v>
      </c>
      <c r="CF106">
        <v>0</v>
      </c>
      <c r="CG106">
        <v>0</v>
      </c>
      <c r="CH106">
        <v>0</v>
      </c>
      <c r="CI106">
        <v>0</v>
      </c>
      <c r="CJ106">
        <v>0</v>
      </c>
      <c r="CK106">
        <v>0</v>
      </c>
      <c r="CL106">
        <v>0</v>
      </c>
      <c r="CM106">
        <v>0</v>
      </c>
      <c r="CN106" s="17">
        <v>0</v>
      </c>
      <c r="CT106" t="s">
        <v>48</v>
      </c>
    </row>
    <row r="107" spans="1:98" x14ac:dyDescent="0.25">
      <c r="A107">
        <v>106</v>
      </c>
      <c r="B107">
        <v>7</v>
      </c>
      <c r="C107" t="s">
        <v>304</v>
      </c>
      <c r="D107" s="85">
        <v>10.1</v>
      </c>
      <c r="E107" s="6">
        <f t="shared" si="15"/>
        <v>1.2023809523809523</v>
      </c>
      <c r="F107" s="6">
        <v>8.4</v>
      </c>
      <c r="L107" s="84">
        <v>0</v>
      </c>
      <c r="M107" s="75">
        <v>0</v>
      </c>
      <c r="N107" s="75">
        <v>0</v>
      </c>
      <c r="O107" s="75">
        <v>1</v>
      </c>
      <c r="P107" s="75">
        <v>0</v>
      </c>
      <c r="Q107" s="84">
        <v>282</v>
      </c>
      <c r="R107" s="75">
        <v>1</v>
      </c>
      <c r="S107" s="75">
        <f t="shared" si="7"/>
        <v>280</v>
      </c>
      <c r="U107" s="75">
        <v>13.6</v>
      </c>
      <c r="V107" s="75">
        <f t="shared" si="22"/>
        <v>31.4</v>
      </c>
      <c r="W107" s="84">
        <v>1</v>
      </c>
      <c r="X107" s="75">
        <v>0</v>
      </c>
      <c r="Y107" s="75">
        <v>0</v>
      </c>
      <c r="Z107" s="75">
        <v>0</v>
      </c>
      <c r="AA107" s="75">
        <v>0</v>
      </c>
      <c r="AB107" s="75">
        <v>1</v>
      </c>
      <c r="AC107" s="84">
        <v>0</v>
      </c>
      <c r="AD107" s="75">
        <v>1</v>
      </c>
      <c r="AE107" s="75">
        <v>0</v>
      </c>
      <c r="AF107" s="84">
        <v>0</v>
      </c>
      <c r="AG107" s="75">
        <v>1</v>
      </c>
      <c r="AH107" s="74">
        <v>1986</v>
      </c>
      <c r="AI107" t="s">
        <v>61</v>
      </c>
      <c r="AJ107" t="s">
        <v>61</v>
      </c>
      <c r="AK107" t="s">
        <v>61</v>
      </c>
      <c r="AL107" t="s">
        <v>61</v>
      </c>
      <c r="AM107" s="29" t="s">
        <v>61</v>
      </c>
      <c r="AN107" t="s">
        <v>61</v>
      </c>
      <c r="AO107" s="29">
        <v>1</v>
      </c>
      <c r="AP107">
        <v>0</v>
      </c>
      <c r="AQ107" s="29">
        <v>1</v>
      </c>
      <c r="AR107">
        <v>0</v>
      </c>
      <c r="AU107" s="29">
        <f t="shared" si="21"/>
        <v>0.84599999999999997</v>
      </c>
      <c r="AV107" s="12">
        <v>0.154</v>
      </c>
      <c r="AW107">
        <v>0.53700000000000003</v>
      </c>
      <c r="AX107">
        <f t="shared" si="23"/>
        <v>0.46299999999999997</v>
      </c>
      <c r="AY107">
        <v>0</v>
      </c>
      <c r="AZ107" s="65" t="s">
        <v>95</v>
      </c>
      <c r="BN107" s="67">
        <v>51</v>
      </c>
      <c r="BO107">
        <v>0</v>
      </c>
      <c r="BP107">
        <v>0</v>
      </c>
      <c r="BQ107">
        <v>0</v>
      </c>
      <c r="BR107">
        <v>1</v>
      </c>
      <c r="BS107">
        <v>0</v>
      </c>
      <c r="BT107">
        <v>0</v>
      </c>
      <c r="BY107">
        <v>0</v>
      </c>
      <c r="BZ107" s="29">
        <v>0</v>
      </c>
      <c r="CA107">
        <v>0</v>
      </c>
      <c r="CB107">
        <v>0</v>
      </c>
      <c r="CC107" s="29">
        <v>0</v>
      </c>
      <c r="CD107">
        <v>0</v>
      </c>
      <c r="CE107">
        <v>0</v>
      </c>
      <c r="CF107">
        <v>0</v>
      </c>
      <c r="CG107">
        <v>0</v>
      </c>
      <c r="CH107">
        <v>0</v>
      </c>
      <c r="CI107">
        <v>0</v>
      </c>
      <c r="CJ107">
        <v>0</v>
      </c>
      <c r="CK107">
        <v>0</v>
      </c>
      <c r="CL107">
        <v>0</v>
      </c>
      <c r="CM107">
        <v>0</v>
      </c>
      <c r="CN107" s="17">
        <v>0</v>
      </c>
      <c r="CT107" t="s">
        <v>48</v>
      </c>
    </row>
    <row r="108" spans="1:98" x14ac:dyDescent="0.25">
      <c r="A108">
        <v>107</v>
      </c>
      <c r="B108">
        <v>7</v>
      </c>
      <c r="C108" t="s">
        <v>304</v>
      </c>
      <c r="D108" s="85">
        <v>3.5</v>
      </c>
      <c r="E108" s="6">
        <f t="shared" si="15"/>
        <v>0.44871794871794873</v>
      </c>
      <c r="F108" s="6">
        <v>7.8</v>
      </c>
      <c r="L108" s="84">
        <v>0</v>
      </c>
      <c r="M108" s="75">
        <v>0</v>
      </c>
      <c r="N108" s="75">
        <v>0</v>
      </c>
      <c r="O108" s="75">
        <v>1</v>
      </c>
      <c r="P108" s="75">
        <v>0</v>
      </c>
      <c r="Q108" s="84">
        <v>282</v>
      </c>
      <c r="R108" s="75">
        <v>1</v>
      </c>
      <c r="S108" s="75">
        <f t="shared" si="7"/>
        <v>280</v>
      </c>
      <c r="U108" s="75">
        <v>13.6</v>
      </c>
      <c r="V108" s="75">
        <f t="shared" si="22"/>
        <v>31.4</v>
      </c>
      <c r="W108" s="84">
        <v>1</v>
      </c>
      <c r="X108" s="75">
        <v>0</v>
      </c>
      <c r="Y108" s="75">
        <v>0</v>
      </c>
      <c r="Z108" s="75">
        <v>0</v>
      </c>
      <c r="AA108" s="75">
        <v>0</v>
      </c>
      <c r="AB108" s="75">
        <v>1</v>
      </c>
      <c r="AC108" s="84">
        <v>0</v>
      </c>
      <c r="AD108" s="75">
        <v>1</v>
      </c>
      <c r="AE108" s="75">
        <v>0</v>
      </c>
      <c r="AF108" s="84">
        <v>0</v>
      </c>
      <c r="AG108" s="75">
        <v>1</v>
      </c>
      <c r="AH108" s="74">
        <v>1986</v>
      </c>
      <c r="AI108" t="s">
        <v>61</v>
      </c>
      <c r="AJ108" t="s">
        <v>61</v>
      </c>
      <c r="AK108" t="s">
        <v>61</v>
      </c>
      <c r="AL108" t="s">
        <v>61</v>
      </c>
      <c r="AM108" s="29" t="s">
        <v>61</v>
      </c>
      <c r="AN108" t="s">
        <v>61</v>
      </c>
      <c r="AO108" s="29">
        <v>1</v>
      </c>
      <c r="AP108">
        <v>0</v>
      </c>
      <c r="AQ108" s="29">
        <v>1</v>
      </c>
      <c r="AR108">
        <v>0</v>
      </c>
      <c r="AU108" s="29">
        <f t="shared" si="21"/>
        <v>0.84599999999999997</v>
      </c>
      <c r="AV108" s="12">
        <v>0.154</v>
      </c>
      <c r="AW108">
        <v>0.53700000000000003</v>
      </c>
      <c r="AX108">
        <f t="shared" si="23"/>
        <v>0.46299999999999997</v>
      </c>
      <c r="AY108">
        <v>0</v>
      </c>
      <c r="AZ108" s="65" t="s">
        <v>95</v>
      </c>
      <c r="BN108" s="67">
        <v>51</v>
      </c>
      <c r="BO108">
        <v>0</v>
      </c>
      <c r="BP108">
        <v>0</v>
      </c>
      <c r="BQ108">
        <v>1</v>
      </c>
      <c r="BR108">
        <v>0</v>
      </c>
      <c r="BS108">
        <v>0</v>
      </c>
      <c r="BT108">
        <v>0</v>
      </c>
      <c r="BY108">
        <v>0</v>
      </c>
      <c r="BZ108" s="29">
        <v>0</v>
      </c>
      <c r="CA108">
        <v>0</v>
      </c>
      <c r="CB108">
        <v>0</v>
      </c>
      <c r="CC108" s="29">
        <v>0</v>
      </c>
      <c r="CD108">
        <v>0</v>
      </c>
      <c r="CE108">
        <v>0</v>
      </c>
      <c r="CF108">
        <v>0</v>
      </c>
      <c r="CG108">
        <v>0</v>
      </c>
      <c r="CH108">
        <v>0</v>
      </c>
      <c r="CI108">
        <v>0</v>
      </c>
      <c r="CJ108">
        <v>0</v>
      </c>
      <c r="CK108">
        <v>0</v>
      </c>
      <c r="CL108">
        <v>0</v>
      </c>
      <c r="CM108">
        <v>0</v>
      </c>
      <c r="CN108" s="17">
        <v>0</v>
      </c>
      <c r="CT108" t="s">
        <v>48</v>
      </c>
    </row>
    <row r="109" spans="1:98" x14ac:dyDescent="0.25">
      <c r="A109">
        <v>108</v>
      </c>
      <c r="B109">
        <v>7</v>
      </c>
      <c r="C109" t="s">
        <v>304</v>
      </c>
      <c r="D109" s="85">
        <v>5</v>
      </c>
      <c r="E109" s="6">
        <f t="shared" si="15"/>
        <v>2.9411764705882355</v>
      </c>
      <c r="F109" s="6">
        <v>1.7</v>
      </c>
      <c r="L109" s="84">
        <v>0</v>
      </c>
      <c r="M109" s="75">
        <v>0</v>
      </c>
      <c r="N109" s="75">
        <v>0</v>
      </c>
      <c r="O109" s="75">
        <v>1</v>
      </c>
      <c r="P109" s="75">
        <v>0</v>
      </c>
      <c r="Q109" s="84">
        <v>282</v>
      </c>
      <c r="R109" s="75">
        <v>1</v>
      </c>
      <c r="S109" s="75">
        <f t="shared" si="7"/>
        <v>280</v>
      </c>
      <c r="U109" s="75">
        <v>13.6</v>
      </c>
      <c r="V109" s="75">
        <f t="shared" si="22"/>
        <v>31.4</v>
      </c>
      <c r="W109" s="84">
        <v>1</v>
      </c>
      <c r="X109" s="75">
        <v>0</v>
      </c>
      <c r="Y109" s="75">
        <v>0</v>
      </c>
      <c r="Z109" s="75">
        <v>0</v>
      </c>
      <c r="AA109" s="75">
        <v>0</v>
      </c>
      <c r="AB109" s="75">
        <v>1</v>
      </c>
      <c r="AC109" s="84">
        <v>0</v>
      </c>
      <c r="AD109" s="75">
        <v>1</v>
      </c>
      <c r="AE109" s="75">
        <v>0</v>
      </c>
      <c r="AF109" s="84">
        <v>0</v>
      </c>
      <c r="AG109" s="75">
        <v>1</v>
      </c>
      <c r="AH109" s="74">
        <v>1986</v>
      </c>
      <c r="AI109" t="s">
        <v>61</v>
      </c>
      <c r="AJ109" t="s">
        <v>61</v>
      </c>
      <c r="AK109" t="s">
        <v>61</v>
      </c>
      <c r="AL109" t="s">
        <v>61</v>
      </c>
      <c r="AM109" s="29" t="s">
        <v>61</v>
      </c>
      <c r="AN109" t="s">
        <v>61</v>
      </c>
      <c r="AO109" s="29">
        <v>1</v>
      </c>
      <c r="AP109">
        <v>0</v>
      </c>
      <c r="AQ109" s="29">
        <v>1</v>
      </c>
      <c r="AR109">
        <v>0</v>
      </c>
      <c r="AU109" s="29">
        <f t="shared" si="21"/>
        <v>0.84599999999999997</v>
      </c>
      <c r="AV109" s="12">
        <v>0.154</v>
      </c>
      <c r="AW109">
        <v>0.53700000000000003</v>
      </c>
      <c r="AX109">
        <f t="shared" si="23"/>
        <v>0.46299999999999997</v>
      </c>
      <c r="AY109">
        <v>0</v>
      </c>
      <c r="AZ109" s="65" t="s">
        <v>95</v>
      </c>
      <c r="BN109" s="67">
        <v>51</v>
      </c>
      <c r="BO109">
        <v>0</v>
      </c>
      <c r="BP109">
        <v>0</v>
      </c>
      <c r="BQ109">
        <v>1</v>
      </c>
      <c r="BR109">
        <v>0</v>
      </c>
      <c r="BS109">
        <v>0</v>
      </c>
      <c r="BT109">
        <v>0</v>
      </c>
      <c r="BY109">
        <v>0</v>
      </c>
      <c r="BZ109" s="29">
        <v>0</v>
      </c>
      <c r="CA109">
        <v>0</v>
      </c>
      <c r="CB109">
        <v>0</v>
      </c>
      <c r="CC109" s="29">
        <v>0</v>
      </c>
      <c r="CD109">
        <v>0</v>
      </c>
      <c r="CE109">
        <v>0</v>
      </c>
      <c r="CF109">
        <v>0</v>
      </c>
      <c r="CG109">
        <v>0</v>
      </c>
      <c r="CH109">
        <v>0</v>
      </c>
      <c r="CI109">
        <v>0</v>
      </c>
      <c r="CJ109">
        <v>0</v>
      </c>
      <c r="CK109">
        <v>0</v>
      </c>
      <c r="CL109">
        <v>0</v>
      </c>
      <c r="CM109">
        <v>0</v>
      </c>
      <c r="CN109" s="17">
        <v>0</v>
      </c>
      <c r="CT109" t="s">
        <v>48</v>
      </c>
    </row>
    <row r="110" spans="1:98" x14ac:dyDescent="0.25">
      <c r="A110">
        <v>109</v>
      </c>
      <c r="B110">
        <v>8</v>
      </c>
      <c r="C110" t="s">
        <v>310</v>
      </c>
      <c r="D110" s="85">
        <v>11.3</v>
      </c>
      <c r="E110" s="6">
        <f t="shared" si="15"/>
        <v>0.51598173515981738</v>
      </c>
      <c r="F110" s="6">
        <v>21.9</v>
      </c>
      <c r="L110" s="84">
        <v>0</v>
      </c>
      <c r="M110" s="75">
        <v>0</v>
      </c>
      <c r="N110" s="75">
        <v>0</v>
      </c>
      <c r="O110" s="75">
        <v>1</v>
      </c>
      <c r="P110" s="75">
        <v>0</v>
      </c>
      <c r="Q110" s="84">
        <v>1440</v>
      </c>
      <c r="R110" s="75">
        <v>3</v>
      </c>
      <c r="S110" s="75">
        <f t="shared" si="7"/>
        <v>1436</v>
      </c>
      <c r="U110" s="75">
        <v>14.1</v>
      </c>
      <c r="V110" s="75">
        <v>20.2</v>
      </c>
      <c r="W110" s="84">
        <v>1</v>
      </c>
      <c r="X110" s="75">
        <v>0</v>
      </c>
      <c r="Y110" s="75">
        <v>0</v>
      </c>
      <c r="Z110" s="75">
        <v>0</v>
      </c>
      <c r="AA110" s="75">
        <v>0</v>
      </c>
      <c r="AB110" s="75">
        <v>1</v>
      </c>
      <c r="AC110" s="84">
        <v>0</v>
      </c>
      <c r="AD110" s="75">
        <v>1</v>
      </c>
      <c r="AE110" s="75">
        <v>0</v>
      </c>
      <c r="AF110" s="84">
        <v>1</v>
      </c>
      <c r="AG110" s="75">
        <v>0</v>
      </c>
      <c r="AH110" s="74">
        <v>1994</v>
      </c>
      <c r="AI110" t="s">
        <v>61</v>
      </c>
      <c r="AJ110" t="s">
        <v>61</v>
      </c>
      <c r="AK110" t="s">
        <v>61</v>
      </c>
      <c r="AL110" t="s">
        <v>61</v>
      </c>
      <c r="AM110" s="29" t="s">
        <v>61</v>
      </c>
      <c r="AN110" t="s">
        <v>61</v>
      </c>
      <c r="AO110" s="29">
        <v>0.34399999999999997</v>
      </c>
      <c r="AP110">
        <v>0.65600000000000003</v>
      </c>
      <c r="AQ110" s="29">
        <v>1</v>
      </c>
      <c r="AR110">
        <v>0</v>
      </c>
      <c r="AU110" s="29" t="s">
        <v>61</v>
      </c>
      <c r="AV110" s="12" t="s">
        <v>61</v>
      </c>
      <c r="AW110">
        <v>1</v>
      </c>
      <c r="AX110">
        <v>0</v>
      </c>
      <c r="AY110">
        <v>0</v>
      </c>
      <c r="AZ110" s="65" t="s">
        <v>95</v>
      </c>
      <c r="BN110" s="67">
        <v>46.8</v>
      </c>
      <c r="BO110">
        <v>0</v>
      </c>
      <c r="BP110">
        <v>1</v>
      </c>
      <c r="BQ110">
        <v>0</v>
      </c>
      <c r="BR110">
        <v>0</v>
      </c>
      <c r="BS110">
        <v>0</v>
      </c>
      <c r="BT110">
        <v>0</v>
      </c>
      <c r="BY110">
        <v>0</v>
      </c>
      <c r="BZ110" s="29">
        <v>0</v>
      </c>
      <c r="CA110">
        <v>0</v>
      </c>
      <c r="CB110">
        <v>0</v>
      </c>
      <c r="CC110" s="29">
        <v>1</v>
      </c>
      <c r="CD110">
        <v>0</v>
      </c>
      <c r="CE110">
        <v>0</v>
      </c>
      <c r="CF110">
        <v>0</v>
      </c>
      <c r="CG110">
        <v>0</v>
      </c>
      <c r="CH110">
        <v>0</v>
      </c>
      <c r="CI110">
        <v>1</v>
      </c>
      <c r="CJ110">
        <v>0</v>
      </c>
      <c r="CK110">
        <v>0</v>
      </c>
      <c r="CL110">
        <v>0</v>
      </c>
      <c r="CM110">
        <v>0</v>
      </c>
      <c r="CN110" s="17">
        <v>0</v>
      </c>
      <c r="CT110" t="s">
        <v>48</v>
      </c>
    </row>
    <row r="111" spans="1:98" x14ac:dyDescent="0.25">
      <c r="A111">
        <v>110</v>
      </c>
      <c r="B111">
        <v>8</v>
      </c>
      <c r="C111" t="s">
        <v>310</v>
      </c>
      <c r="D111" s="85">
        <v>11.8</v>
      </c>
      <c r="E111" s="6">
        <f t="shared" si="15"/>
        <v>0.50212765957446814</v>
      </c>
      <c r="F111" s="6">
        <v>23.5</v>
      </c>
      <c r="L111" s="84">
        <v>0</v>
      </c>
      <c r="M111" s="75">
        <v>0</v>
      </c>
      <c r="N111" s="75">
        <v>0</v>
      </c>
      <c r="O111" s="75">
        <v>1</v>
      </c>
      <c r="P111" s="75">
        <v>0</v>
      </c>
      <c r="Q111" s="84">
        <v>1440</v>
      </c>
      <c r="R111" s="75">
        <v>4</v>
      </c>
      <c r="S111" s="75">
        <f t="shared" si="7"/>
        <v>1435</v>
      </c>
      <c r="U111" s="75">
        <v>14.1</v>
      </c>
      <c r="V111" s="75">
        <v>20.2</v>
      </c>
      <c r="W111" s="84">
        <v>1</v>
      </c>
      <c r="X111" s="75">
        <v>0</v>
      </c>
      <c r="Y111" s="75">
        <v>0</v>
      </c>
      <c r="Z111" s="75">
        <v>0</v>
      </c>
      <c r="AA111" s="75">
        <v>0</v>
      </c>
      <c r="AB111" s="75">
        <v>1</v>
      </c>
      <c r="AC111" s="84">
        <v>0</v>
      </c>
      <c r="AD111" s="75">
        <v>1</v>
      </c>
      <c r="AE111" s="75">
        <v>0</v>
      </c>
      <c r="AF111" s="84">
        <v>0</v>
      </c>
      <c r="AG111" s="75">
        <v>1</v>
      </c>
      <c r="AH111" s="74">
        <v>1994</v>
      </c>
      <c r="AI111" t="s">
        <v>61</v>
      </c>
      <c r="AJ111" t="s">
        <v>61</v>
      </c>
      <c r="AK111" t="s">
        <v>61</v>
      </c>
      <c r="AL111" t="s">
        <v>61</v>
      </c>
      <c r="AM111" s="29" t="s">
        <v>61</v>
      </c>
      <c r="AN111" t="s">
        <v>61</v>
      </c>
      <c r="AO111" s="29">
        <v>0.34399999999999997</v>
      </c>
      <c r="AP111">
        <v>0.65600000000000003</v>
      </c>
      <c r="AQ111" s="29">
        <v>1</v>
      </c>
      <c r="AR111">
        <v>0</v>
      </c>
      <c r="AU111" s="29" t="s">
        <v>61</v>
      </c>
      <c r="AV111" s="12" t="s">
        <v>61</v>
      </c>
      <c r="AW111">
        <v>1</v>
      </c>
      <c r="AX111">
        <v>0</v>
      </c>
      <c r="AY111">
        <v>0</v>
      </c>
      <c r="AZ111" s="65" t="s">
        <v>95</v>
      </c>
      <c r="BN111" s="67">
        <v>46.8</v>
      </c>
      <c r="BO111">
        <v>0</v>
      </c>
      <c r="BP111">
        <v>1</v>
      </c>
      <c r="BQ111">
        <v>0</v>
      </c>
      <c r="BR111">
        <v>0</v>
      </c>
      <c r="BS111">
        <v>0</v>
      </c>
      <c r="BT111">
        <v>0</v>
      </c>
      <c r="BY111">
        <v>0</v>
      </c>
      <c r="BZ111" s="29">
        <v>0</v>
      </c>
      <c r="CA111">
        <v>0</v>
      </c>
      <c r="CB111">
        <v>0</v>
      </c>
      <c r="CC111" s="29">
        <v>0</v>
      </c>
      <c r="CD111">
        <v>0</v>
      </c>
      <c r="CE111">
        <v>1</v>
      </c>
      <c r="CF111">
        <v>0</v>
      </c>
      <c r="CG111">
        <v>0</v>
      </c>
      <c r="CH111">
        <v>0</v>
      </c>
      <c r="CI111">
        <v>1</v>
      </c>
      <c r="CJ111">
        <v>0</v>
      </c>
      <c r="CK111">
        <v>0</v>
      </c>
      <c r="CL111">
        <v>0</v>
      </c>
      <c r="CM111">
        <v>0</v>
      </c>
      <c r="CN111" s="17">
        <v>0</v>
      </c>
      <c r="CT111" t="s">
        <v>48</v>
      </c>
    </row>
    <row r="112" spans="1:98" x14ac:dyDescent="0.25">
      <c r="A112">
        <v>111</v>
      </c>
      <c r="B112">
        <v>8</v>
      </c>
      <c r="C112" t="s">
        <v>310</v>
      </c>
      <c r="D112" s="85">
        <v>10.5</v>
      </c>
      <c r="E112" s="6">
        <f t="shared" si="15"/>
        <v>1.8584070796460175</v>
      </c>
      <c r="F112" s="6">
        <v>5.65</v>
      </c>
      <c r="L112" s="84">
        <v>0</v>
      </c>
      <c r="M112" s="75">
        <v>0</v>
      </c>
      <c r="N112" s="75">
        <v>0</v>
      </c>
      <c r="O112" s="75">
        <v>1</v>
      </c>
      <c r="P112" s="75">
        <v>0</v>
      </c>
      <c r="Q112" s="84">
        <v>720</v>
      </c>
      <c r="R112" s="75">
        <v>1</v>
      </c>
      <c r="S112" s="75">
        <f t="shared" si="7"/>
        <v>718</v>
      </c>
      <c r="U112" s="75">
        <v>14.1</v>
      </c>
      <c r="V112" s="75">
        <v>20.2</v>
      </c>
      <c r="W112" s="84">
        <v>1</v>
      </c>
      <c r="X112" s="75">
        <v>0</v>
      </c>
      <c r="Y112" s="75">
        <v>0</v>
      </c>
      <c r="Z112" s="75">
        <v>0</v>
      </c>
      <c r="AA112" s="75">
        <v>0</v>
      </c>
      <c r="AB112" s="75">
        <v>1</v>
      </c>
      <c r="AC112" s="84">
        <v>0</v>
      </c>
      <c r="AD112" s="75">
        <v>1</v>
      </c>
      <c r="AE112" s="75">
        <v>0</v>
      </c>
      <c r="AF112" s="84">
        <v>0</v>
      </c>
      <c r="AG112" s="75">
        <v>1</v>
      </c>
      <c r="AH112" s="74">
        <v>1994</v>
      </c>
      <c r="AI112" t="s">
        <v>61</v>
      </c>
      <c r="AJ112" t="s">
        <v>61</v>
      </c>
      <c r="AK112" t="s">
        <v>61</v>
      </c>
      <c r="AL112" t="s">
        <v>61</v>
      </c>
      <c r="AM112" s="29" t="s">
        <v>61</v>
      </c>
      <c r="AN112" t="s">
        <v>61</v>
      </c>
      <c r="AO112" s="29">
        <v>0.34399999999999997</v>
      </c>
      <c r="AP112">
        <v>0.65600000000000003</v>
      </c>
      <c r="AQ112" s="29">
        <v>1</v>
      </c>
      <c r="AR112">
        <v>0</v>
      </c>
      <c r="AU112" s="29" t="s">
        <v>61</v>
      </c>
      <c r="AV112" s="12" t="s">
        <v>61</v>
      </c>
      <c r="AW112">
        <v>1</v>
      </c>
      <c r="AX112">
        <v>0</v>
      </c>
      <c r="AY112">
        <v>0</v>
      </c>
      <c r="AZ112" s="65" t="s">
        <v>95</v>
      </c>
      <c r="BN112" s="67">
        <v>46.8</v>
      </c>
      <c r="BO112">
        <v>0</v>
      </c>
      <c r="BP112">
        <v>0</v>
      </c>
      <c r="BQ112">
        <v>1</v>
      </c>
      <c r="BR112">
        <v>0</v>
      </c>
      <c r="BS112">
        <v>0</v>
      </c>
      <c r="BT112">
        <v>0</v>
      </c>
      <c r="BY112">
        <v>0</v>
      </c>
      <c r="BZ112" s="29">
        <v>0</v>
      </c>
      <c r="CA112">
        <v>0</v>
      </c>
      <c r="CB112">
        <v>0</v>
      </c>
      <c r="CC112" s="29">
        <v>0</v>
      </c>
      <c r="CD112">
        <v>0</v>
      </c>
      <c r="CE112">
        <v>0</v>
      </c>
      <c r="CF112">
        <v>0</v>
      </c>
      <c r="CG112">
        <v>0</v>
      </c>
      <c r="CH112">
        <v>0</v>
      </c>
      <c r="CI112">
        <v>0</v>
      </c>
      <c r="CJ112">
        <v>0</v>
      </c>
      <c r="CK112">
        <v>0</v>
      </c>
      <c r="CL112">
        <v>0</v>
      </c>
      <c r="CM112">
        <v>0</v>
      </c>
      <c r="CN112" s="17">
        <v>0</v>
      </c>
      <c r="CT112" t="s">
        <v>48</v>
      </c>
    </row>
    <row r="113" spans="1:98" x14ac:dyDescent="0.25">
      <c r="A113">
        <v>112</v>
      </c>
      <c r="B113">
        <v>8</v>
      </c>
      <c r="C113" t="s">
        <v>310</v>
      </c>
      <c r="D113" s="85">
        <v>10.4</v>
      </c>
      <c r="E113" s="6">
        <f t="shared" si="15"/>
        <v>1.6965742251223492</v>
      </c>
      <c r="F113" s="6">
        <v>6.13</v>
      </c>
      <c r="L113" s="84">
        <v>0</v>
      </c>
      <c r="M113" s="75">
        <v>0</v>
      </c>
      <c r="N113" s="75">
        <v>0</v>
      </c>
      <c r="O113" s="75">
        <v>1</v>
      </c>
      <c r="P113" s="75">
        <v>0</v>
      </c>
      <c r="Q113" s="84">
        <v>720</v>
      </c>
      <c r="R113" s="75">
        <v>3</v>
      </c>
      <c r="S113" s="75">
        <f t="shared" si="7"/>
        <v>716</v>
      </c>
      <c r="U113" s="75">
        <v>14.1</v>
      </c>
      <c r="V113" s="75">
        <v>20.2</v>
      </c>
      <c r="W113" s="84">
        <v>1</v>
      </c>
      <c r="X113" s="75">
        <v>0</v>
      </c>
      <c r="Y113" s="75">
        <v>0</v>
      </c>
      <c r="Z113" s="75">
        <v>0</v>
      </c>
      <c r="AA113" s="75">
        <v>0</v>
      </c>
      <c r="AB113" s="75">
        <v>1</v>
      </c>
      <c r="AC113" s="84">
        <v>0</v>
      </c>
      <c r="AD113" s="75">
        <v>1</v>
      </c>
      <c r="AE113" s="75">
        <v>0</v>
      </c>
      <c r="AF113" s="84">
        <v>0</v>
      </c>
      <c r="AG113" s="75">
        <v>1</v>
      </c>
      <c r="AH113" s="74">
        <v>1994</v>
      </c>
      <c r="AI113" t="s">
        <v>61</v>
      </c>
      <c r="AJ113" t="s">
        <v>61</v>
      </c>
      <c r="AK113" t="s">
        <v>61</v>
      </c>
      <c r="AL113" t="s">
        <v>61</v>
      </c>
      <c r="AM113" s="29" t="s">
        <v>61</v>
      </c>
      <c r="AN113" t="s">
        <v>61</v>
      </c>
      <c r="AO113" s="29">
        <v>0.34399999999999997</v>
      </c>
      <c r="AP113">
        <v>0.65600000000000003</v>
      </c>
      <c r="AQ113" s="29">
        <v>1</v>
      </c>
      <c r="AR113">
        <v>0</v>
      </c>
      <c r="AU113" s="29" t="s">
        <v>61</v>
      </c>
      <c r="AV113" s="12" t="s">
        <v>61</v>
      </c>
      <c r="AW113">
        <v>1</v>
      </c>
      <c r="AX113">
        <v>0</v>
      </c>
      <c r="AY113">
        <v>0</v>
      </c>
      <c r="AZ113" s="65" t="s">
        <v>95</v>
      </c>
      <c r="BN113" s="67">
        <v>46.8</v>
      </c>
      <c r="BO113">
        <v>0</v>
      </c>
      <c r="BP113">
        <v>0</v>
      </c>
      <c r="BQ113">
        <v>1</v>
      </c>
      <c r="BR113">
        <v>0</v>
      </c>
      <c r="BS113">
        <v>0</v>
      </c>
      <c r="BT113">
        <v>0</v>
      </c>
      <c r="BY113">
        <v>0</v>
      </c>
      <c r="BZ113" s="29">
        <v>0</v>
      </c>
      <c r="CA113">
        <v>0</v>
      </c>
      <c r="CB113">
        <v>0</v>
      </c>
      <c r="CC113" s="29">
        <v>0</v>
      </c>
      <c r="CD113">
        <v>0</v>
      </c>
      <c r="CE113">
        <v>1</v>
      </c>
      <c r="CF113">
        <v>0</v>
      </c>
      <c r="CG113">
        <v>0</v>
      </c>
      <c r="CH113">
        <v>0</v>
      </c>
      <c r="CI113">
        <v>0</v>
      </c>
      <c r="CJ113">
        <v>0</v>
      </c>
      <c r="CK113">
        <v>0</v>
      </c>
      <c r="CL113">
        <v>0</v>
      </c>
      <c r="CM113">
        <v>0</v>
      </c>
      <c r="CN113" s="17">
        <v>0</v>
      </c>
      <c r="CT113" t="s">
        <v>48</v>
      </c>
    </row>
    <row r="114" spans="1:98" x14ac:dyDescent="0.25">
      <c r="A114">
        <v>113</v>
      </c>
      <c r="B114">
        <v>8</v>
      </c>
      <c r="C114" t="s">
        <v>310</v>
      </c>
      <c r="D114" s="85">
        <v>10.4</v>
      </c>
      <c r="E114" s="6">
        <f t="shared" si="15"/>
        <v>1.7449664429530203</v>
      </c>
      <c r="F114" s="6">
        <v>5.96</v>
      </c>
      <c r="L114" s="84">
        <v>0</v>
      </c>
      <c r="M114" s="75">
        <v>0</v>
      </c>
      <c r="N114" s="75">
        <v>0</v>
      </c>
      <c r="O114" s="75">
        <v>1</v>
      </c>
      <c r="P114" s="75">
        <v>0</v>
      </c>
      <c r="Q114" s="84">
        <v>720</v>
      </c>
      <c r="R114" s="75">
        <v>3</v>
      </c>
      <c r="S114" s="75">
        <f t="shared" si="7"/>
        <v>716</v>
      </c>
      <c r="U114" s="75">
        <v>14.1</v>
      </c>
      <c r="V114" s="75">
        <v>20.2</v>
      </c>
      <c r="W114" s="84">
        <v>1</v>
      </c>
      <c r="X114" s="75">
        <v>0</v>
      </c>
      <c r="Y114" s="75">
        <v>0</v>
      </c>
      <c r="Z114" s="75">
        <v>0</v>
      </c>
      <c r="AA114" s="75">
        <v>0</v>
      </c>
      <c r="AB114" s="75">
        <v>1</v>
      </c>
      <c r="AC114" s="84">
        <v>0</v>
      </c>
      <c r="AD114" s="75">
        <v>1</v>
      </c>
      <c r="AE114" s="75">
        <v>0</v>
      </c>
      <c r="AF114" s="84">
        <v>0</v>
      </c>
      <c r="AG114" s="75">
        <v>1</v>
      </c>
      <c r="AH114" s="74">
        <v>1994</v>
      </c>
      <c r="AI114" t="s">
        <v>61</v>
      </c>
      <c r="AJ114" t="s">
        <v>61</v>
      </c>
      <c r="AK114" t="s">
        <v>61</v>
      </c>
      <c r="AL114" t="s">
        <v>61</v>
      </c>
      <c r="AM114" s="29" t="s">
        <v>61</v>
      </c>
      <c r="AN114" t="s">
        <v>61</v>
      </c>
      <c r="AO114" s="29">
        <v>0.34399999999999997</v>
      </c>
      <c r="AP114">
        <v>0.65600000000000003</v>
      </c>
      <c r="AQ114" s="29">
        <v>1</v>
      </c>
      <c r="AR114">
        <v>0</v>
      </c>
      <c r="AU114" s="29" t="s">
        <v>61</v>
      </c>
      <c r="AV114" s="12" t="s">
        <v>61</v>
      </c>
      <c r="AW114">
        <v>1</v>
      </c>
      <c r="AX114">
        <v>0</v>
      </c>
      <c r="AY114">
        <v>0</v>
      </c>
      <c r="AZ114" s="65" t="s">
        <v>95</v>
      </c>
      <c r="BN114" s="67">
        <v>46.8</v>
      </c>
      <c r="BO114">
        <v>0</v>
      </c>
      <c r="BP114">
        <v>0</v>
      </c>
      <c r="BQ114">
        <v>1</v>
      </c>
      <c r="BR114">
        <v>0</v>
      </c>
      <c r="BS114">
        <v>0</v>
      </c>
      <c r="BT114">
        <v>0</v>
      </c>
      <c r="BY114">
        <v>0</v>
      </c>
      <c r="BZ114" s="29">
        <v>0</v>
      </c>
      <c r="CA114">
        <v>0</v>
      </c>
      <c r="CB114">
        <v>0</v>
      </c>
      <c r="CC114" s="29">
        <v>0</v>
      </c>
      <c r="CD114">
        <v>0</v>
      </c>
      <c r="CE114">
        <v>1</v>
      </c>
      <c r="CF114">
        <v>0</v>
      </c>
      <c r="CG114">
        <v>0</v>
      </c>
      <c r="CH114">
        <v>0</v>
      </c>
      <c r="CI114">
        <v>0</v>
      </c>
      <c r="CJ114">
        <v>0</v>
      </c>
      <c r="CK114">
        <v>0</v>
      </c>
      <c r="CL114">
        <v>0</v>
      </c>
      <c r="CM114">
        <v>0</v>
      </c>
      <c r="CN114" s="17">
        <v>0</v>
      </c>
      <c r="CT114" t="s">
        <v>48</v>
      </c>
    </row>
    <row r="115" spans="1:98" x14ac:dyDescent="0.25">
      <c r="A115">
        <v>114</v>
      </c>
      <c r="B115">
        <v>9</v>
      </c>
      <c r="C115" t="s">
        <v>316</v>
      </c>
      <c r="D115" s="85">
        <v>10</v>
      </c>
      <c r="E115" s="6">
        <v>0.7</v>
      </c>
      <c r="F115" s="6">
        <f>D115/E115</f>
        <v>14.285714285714286</v>
      </c>
      <c r="L115" s="84">
        <v>0</v>
      </c>
      <c r="M115" s="75">
        <v>0</v>
      </c>
      <c r="N115" s="75">
        <v>0</v>
      </c>
      <c r="O115" s="75">
        <v>1</v>
      </c>
      <c r="P115" s="75">
        <v>0</v>
      </c>
      <c r="Q115" s="84">
        <v>2257</v>
      </c>
      <c r="R115" s="75">
        <v>7</v>
      </c>
      <c r="S115" s="75">
        <f t="shared" si="7"/>
        <v>2249</v>
      </c>
      <c r="U115" s="75">
        <v>14.64</v>
      </c>
      <c r="V115" s="75">
        <v>10.18</v>
      </c>
      <c r="W115" s="84">
        <v>1</v>
      </c>
      <c r="X115" s="75">
        <v>0</v>
      </c>
      <c r="Y115" s="75">
        <v>0</v>
      </c>
      <c r="Z115" s="75">
        <v>0</v>
      </c>
      <c r="AA115" s="75">
        <v>0</v>
      </c>
      <c r="AB115" s="75">
        <v>1</v>
      </c>
      <c r="AC115" s="84">
        <v>0</v>
      </c>
      <c r="AD115" s="75">
        <v>1</v>
      </c>
      <c r="AE115" s="75">
        <v>0</v>
      </c>
      <c r="AF115" s="84">
        <v>1</v>
      </c>
      <c r="AG115" s="75">
        <v>0</v>
      </c>
      <c r="AH115" s="74">
        <v>2012</v>
      </c>
      <c r="AI115" t="s">
        <v>61</v>
      </c>
      <c r="AJ115" t="s">
        <v>61</v>
      </c>
      <c r="AK115" t="s">
        <v>61</v>
      </c>
      <c r="AL115" t="s">
        <v>61</v>
      </c>
      <c r="AM115" s="29" t="s">
        <v>61</v>
      </c>
      <c r="AN115" t="s">
        <v>61</v>
      </c>
      <c r="AO115" s="29">
        <v>0.55000000000000004</v>
      </c>
      <c r="AP115">
        <f>1-AO115</f>
        <v>0.44999999999999996</v>
      </c>
      <c r="AQ115" s="29">
        <v>0</v>
      </c>
      <c r="AR115">
        <v>1</v>
      </c>
      <c r="AU115" s="29">
        <v>0.67</v>
      </c>
      <c r="AV115" s="12">
        <f>1-AU115</f>
        <v>0.32999999999999996</v>
      </c>
      <c r="AW115">
        <v>1</v>
      </c>
      <c r="AX115">
        <f>1-AW115</f>
        <v>0</v>
      </c>
      <c r="AY115">
        <v>0</v>
      </c>
      <c r="AZ115" s="65" t="s">
        <v>391</v>
      </c>
      <c r="BN115" s="67">
        <v>39.43</v>
      </c>
      <c r="BO115">
        <v>1</v>
      </c>
      <c r="BP115">
        <v>0</v>
      </c>
      <c r="BQ115">
        <v>0</v>
      </c>
      <c r="BR115">
        <v>0</v>
      </c>
      <c r="BS115">
        <v>0</v>
      </c>
      <c r="BT115">
        <v>0</v>
      </c>
      <c r="BY115">
        <v>0</v>
      </c>
      <c r="BZ115" s="29">
        <v>0</v>
      </c>
      <c r="CA115">
        <v>0</v>
      </c>
      <c r="CB115">
        <v>0</v>
      </c>
      <c r="CC115" s="29">
        <v>1</v>
      </c>
      <c r="CD115">
        <v>1</v>
      </c>
      <c r="CE115">
        <v>1</v>
      </c>
      <c r="CF115">
        <v>0</v>
      </c>
      <c r="CG115">
        <v>0</v>
      </c>
      <c r="CH115">
        <v>0</v>
      </c>
      <c r="CI115">
        <v>1</v>
      </c>
      <c r="CJ115">
        <v>1</v>
      </c>
      <c r="CK115">
        <v>0</v>
      </c>
      <c r="CL115">
        <v>0</v>
      </c>
      <c r="CM115">
        <v>0</v>
      </c>
      <c r="CN115" s="17">
        <v>0</v>
      </c>
      <c r="CT115" t="s">
        <v>48</v>
      </c>
    </row>
    <row r="116" spans="1:98" x14ac:dyDescent="0.25">
      <c r="A116">
        <v>115</v>
      </c>
      <c r="B116">
        <v>9</v>
      </c>
      <c r="C116" t="s">
        <v>316</v>
      </c>
      <c r="D116" s="85">
        <v>4.5</v>
      </c>
      <c r="E116" s="6">
        <v>1.2</v>
      </c>
      <c r="F116" s="6">
        <f t="shared" ref="F116:F166" si="24">D116/E116</f>
        <v>3.75</v>
      </c>
      <c r="L116" s="84">
        <v>0</v>
      </c>
      <c r="M116" s="75">
        <v>0</v>
      </c>
      <c r="N116" s="75">
        <v>0</v>
      </c>
      <c r="O116" s="75">
        <v>1</v>
      </c>
      <c r="P116" s="75">
        <v>0</v>
      </c>
      <c r="Q116" s="84">
        <v>2257</v>
      </c>
      <c r="R116" s="75">
        <v>4</v>
      </c>
      <c r="S116" s="75">
        <f t="shared" si="7"/>
        <v>2252</v>
      </c>
      <c r="U116" s="75">
        <v>14.64</v>
      </c>
      <c r="V116" s="75">
        <v>10.18</v>
      </c>
      <c r="W116" s="84">
        <v>1</v>
      </c>
      <c r="X116" s="75">
        <v>0</v>
      </c>
      <c r="Y116" s="75">
        <v>0</v>
      </c>
      <c r="Z116" s="75">
        <v>0</v>
      </c>
      <c r="AA116" s="75">
        <v>0</v>
      </c>
      <c r="AB116" s="75">
        <v>1</v>
      </c>
      <c r="AC116" s="84">
        <v>0</v>
      </c>
      <c r="AD116" s="75">
        <v>1</v>
      </c>
      <c r="AE116" s="75">
        <v>0</v>
      </c>
      <c r="AF116" s="84">
        <v>1</v>
      </c>
      <c r="AG116" s="75">
        <v>0</v>
      </c>
      <c r="AH116" s="74">
        <v>2012</v>
      </c>
      <c r="AI116" t="s">
        <v>61</v>
      </c>
      <c r="AJ116" t="s">
        <v>61</v>
      </c>
      <c r="AK116" t="s">
        <v>61</v>
      </c>
      <c r="AL116" t="s">
        <v>61</v>
      </c>
      <c r="AM116" s="29" t="s">
        <v>61</v>
      </c>
      <c r="AN116" t="s">
        <v>61</v>
      </c>
      <c r="AO116" s="29">
        <v>0.55000000000000004</v>
      </c>
      <c r="AP116">
        <f t="shared" ref="AP116:AP128" si="25">1-AO116</f>
        <v>0.44999999999999996</v>
      </c>
      <c r="AQ116" s="29">
        <v>0</v>
      </c>
      <c r="AR116">
        <v>1</v>
      </c>
      <c r="AU116" s="29">
        <v>0.67</v>
      </c>
      <c r="AV116" s="12">
        <f t="shared" ref="AV116:AV132" si="26">1-AU116</f>
        <v>0.32999999999999996</v>
      </c>
      <c r="AW116">
        <v>1</v>
      </c>
      <c r="AX116">
        <f t="shared" ref="AX116:AX128" si="27">1-AW116</f>
        <v>0</v>
      </c>
      <c r="AY116">
        <v>0</v>
      </c>
      <c r="AZ116" s="65" t="s">
        <v>391</v>
      </c>
      <c r="BN116" s="67">
        <v>39.43</v>
      </c>
      <c r="BO116">
        <v>0</v>
      </c>
      <c r="BP116">
        <v>0</v>
      </c>
      <c r="BQ116">
        <v>1</v>
      </c>
      <c r="BR116">
        <v>0</v>
      </c>
      <c r="BS116">
        <v>0</v>
      </c>
      <c r="BT116">
        <v>0</v>
      </c>
      <c r="BY116">
        <v>0</v>
      </c>
      <c r="BZ116" s="29">
        <v>0</v>
      </c>
      <c r="CA116">
        <v>0</v>
      </c>
      <c r="CB116">
        <v>0</v>
      </c>
      <c r="CC116" s="29">
        <v>0</v>
      </c>
      <c r="CD116">
        <v>0</v>
      </c>
      <c r="CE116">
        <v>1</v>
      </c>
      <c r="CF116">
        <v>0</v>
      </c>
      <c r="CG116">
        <v>0</v>
      </c>
      <c r="CH116">
        <v>0</v>
      </c>
      <c r="CI116">
        <v>0</v>
      </c>
      <c r="CJ116">
        <v>1</v>
      </c>
      <c r="CK116">
        <v>0</v>
      </c>
      <c r="CL116">
        <v>0</v>
      </c>
      <c r="CM116">
        <v>0</v>
      </c>
      <c r="CN116" s="17">
        <v>0</v>
      </c>
      <c r="CT116" t="s">
        <v>48</v>
      </c>
    </row>
    <row r="117" spans="1:98" x14ac:dyDescent="0.25">
      <c r="A117">
        <v>116</v>
      </c>
      <c r="B117">
        <v>9</v>
      </c>
      <c r="C117" t="s">
        <v>316</v>
      </c>
      <c r="D117" s="85">
        <v>4.5999999999999996</v>
      </c>
      <c r="E117" s="6">
        <v>1.2</v>
      </c>
      <c r="F117" s="6">
        <f t="shared" si="24"/>
        <v>3.833333333333333</v>
      </c>
      <c r="L117" s="84">
        <v>0</v>
      </c>
      <c r="M117" s="75">
        <v>0</v>
      </c>
      <c r="N117" s="75">
        <v>0</v>
      </c>
      <c r="O117" s="75">
        <v>1</v>
      </c>
      <c r="P117" s="75">
        <v>0</v>
      </c>
      <c r="Q117" s="84">
        <v>2257</v>
      </c>
      <c r="R117" s="75">
        <v>8</v>
      </c>
      <c r="S117" s="75">
        <f t="shared" si="7"/>
        <v>2248</v>
      </c>
      <c r="U117" s="75">
        <v>14.64</v>
      </c>
      <c r="V117" s="75">
        <v>10.18</v>
      </c>
      <c r="W117" s="84">
        <v>1</v>
      </c>
      <c r="X117" s="75">
        <v>0</v>
      </c>
      <c r="Y117" s="75">
        <v>0</v>
      </c>
      <c r="Z117" s="75">
        <v>0</v>
      </c>
      <c r="AA117" s="75">
        <v>0</v>
      </c>
      <c r="AB117" s="75">
        <v>1</v>
      </c>
      <c r="AC117" s="84">
        <v>0</v>
      </c>
      <c r="AD117" s="75">
        <v>1</v>
      </c>
      <c r="AE117" s="75">
        <v>0</v>
      </c>
      <c r="AF117" s="84">
        <v>1</v>
      </c>
      <c r="AG117" s="75">
        <v>0</v>
      </c>
      <c r="AH117" s="74">
        <v>2012</v>
      </c>
      <c r="AI117" t="s">
        <v>61</v>
      </c>
      <c r="AJ117" t="s">
        <v>61</v>
      </c>
      <c r="AK117" t="s">
        <v>61</v>
      </c>
      <c r="AL117" t="s">
        <v>61</v>
      </c>
      <c r="AM117" s="29" t="s">
        <v>61</v>
      </c>
      <c r="AN117" t="s">
        <v>61</v>
      </c>
      <c r="AO117" s="29">
        <v>0.55000000000000004</v>
      </c>
      <c r="AP117">
        <f t="shared" si="25"/>
        <v>0.44999999999999996</v>
      </c>
      <c r="AQ117" s="29">
        <v>0</v>
      </c>
      <c r="AR117">
        <v>1</v>
      </c>
      <c r="AU117" s="29">
        <v>0.67</v>
      </c>
      <c r="AV117" s="12">
        <f t="shared" si="26"/>
        <v>0.32999999999999996</v>
      </c>
      <c r="AW117">
        <v>1</v>
      </c>
      <c r="AX117">
        <f t="shared" si="27"/>
        <v>0</v>
      </c>
      <c r="AY117">
        <v>0</v>
      </c>
      <c r="AZ117" s="65" t="s">
        <v>391</v>
      </c>
      <c r="BN117" s="67">
        <v>39.43</v>
      </c>
      <c r="BO117">
        <v>0</v>
      </c>
      <c r="BP117">
        <v>1</v>
      </c>
      <c r="BQ117">
        <v>0</v>
      </c>
      <c r="BR117">
        <v>0</v>
      </c>
      <c r="BS117">
        <v>0</v>
      </c>
      <c r="BT117">
        <v>0</v>
      </c>
      <c r="BY117">
        <v>0</v>
      </c>
      <c r="BZ117" s="29">
        <v>0</v>
      </c>
      <c r="CA117">
        <v>0</v>
      </c>
      <c r="CB117">
        <v>0</v>
      </c>
      <c r="CC117" s="29">
        <v>1</v>
      </c>
      <c r="CD117">
        <v>1</v>
      </c>
      <c r="CE117">
        <v>1</v>
      </c>
      <c r="CF117">
        <v>0</v>
      </c>
      <c r="CG117">
        <v>0</v>
      </c>
      <c r="CH117">
        <v>0</v>
      </c>
      <c r="CI117">
        <v>1</v>
      </c>
      <c r="CJ117">
        <v>1</v>
      </c>
      <c r="CK117">
        <v>0</v>
      </c>
      <c r="CL117">
        <v>0</v>
      </c>
      <c r="CM117">
        <v>0</v>
      </c>
      <c r="CN117" s="17">
        <v>0</v>
      </c>
      <c r="CT117" t="s">
        <v>48</v>
      </c>
    </row>
    <row r="118" spans="1:98" x14ac:dyDescent="0.25">
      <c r="A118">
        <v>117</v>
      </c>
      <c r="B118">
        <v>9</v>
      </c>
      <c r="C118" t="s">
        <v>316</v>
      </c>
      <c r="D118" s="85">
        <v>9.3000000000000007</v>
      </c>
      <c r="E118" s="6">
        <v>4.5</v>
      </c>
      <c r="F118" s="6">
        <f t="shared" si="24"/>
        <v>2.0666666666666669</v>
      </c>
      <c r="L118" s="84">
        <v>0</v>
      </c>
      <c r="M118" s="75">
        <v>0</v>
      </c>
      <c r="N118" s="75">
        <v>0</v>
      </c>
      <c r="O118" s="75">
        <v>1</v>
      </c>
      <c r="P118" s="75">
        <v>0</v>
      </c>
      <c r="Q118" s="84">
        <v>1320</v>
      </c>
      <c r="R118" s="75">
        <v>4</v>
      </c>
      <c r="S118" s="75">
        <f t="shared" si="7"/>
        <v>1315</v>
      </c>
      <c r="U118" s="75">
        <v>14.64</v>
      </c>
      <c r="V118" s="75">
        <v>10.18</v>
      </c>
      <c r="W118" s="84">
        <v>1</v>
      </c>
      <c r="X118" s="75">
        <v>0</v>
      </c>
      <c r="Y118" s="75">
        <v>0</v>
      </c>
      <c r="Z118" s="75">
        <v>0</v>
      </c>
      <c r="AA118" s="75">
        <v>0</v>
      </c>
      <c r="AB118" s="75">
        <v>1</v>
      </c>
      <c r="AC118" s="84">
        <v>0</v>
      </c>
      <c r="AD118" s="75">
        <v>1</v>
      </c>
      <c r="AE118" s="75">
        <v>0</v>
      </c>
      <c r="AF118" s="84">
        <v>1</v>
      </c>
      <c r="AG118" s="75">
        <v>0</v>
      </c>
      <c r="AH118" s="74">
        <v>2012</v>
      </c>
      <c r="AI118" t="s">
        <v>61</v>
      </c>
      <c r="AJ118" t="s">
        <v>61</v>
      </c>
      <c r="AK118" t="s">
        <v>61</v>
      </c>
      <c r="AL118" t="s">
        <v>61</v>
      </c>
      <c r="AM118" s="29" t="s">
        <v>61</v>
      </c>
      <c r="AN118" t="s">
        <v>61</v>
      </c>
      <c r="AO118" s="29">
        <v>0.55000000000000004</v>
      </c>
      <c r="AP118">
        <f t="shared" si="25"/>
        <v>0.44999999999999996</v>
      </c>
      <c r="AQ118" s="29">
        <v>0</v>
      </c>
      <c r="AR118">
        <v>1</v>
      </c>
      <c r="AU118" s="29">
        <v>0.67</v>
      </c>
      <c r="AV118" s="12">
        <f t="shared" si="26"/>
        <v>0.32999999999999996</v>
      </c>
      <c r="AW118">
        <v>1</v>
      </c>
      <c r="AX118">
        <f t="shared" si="27"/>
        <v>0</v>
      </c>
      <c r="AY118">
        <v>0</v>
      </c>
      <c r="AZ118" s="65" t="s">
        <v>391</v>
      </c>
      <c r="BN118" s="67">
        <v>39.43</v>
      </c>
      <c r="BO118">
        <v>0</v>
      </c>
      <c r="BP118">
        <v>0</v>
      </c>
      <c r="BQ118">
        <v>0</v>
      </c>
      <c r="BR118">
        <v>0</v>
      </c>
      <c r="BS118">
        <v>0</v>
      </c>
      <c r="BT118">
        <v>1</v>
      </c>
      <c r="BY118">
        <v>0</v>
      </c>
      <c r="BZ118" s="29">
        <v>0</v>
      </c>
      <c r="CA118">
        <v>0</v>
      </c>
      <c r="CB118">
        <v>1</v>
      </c>
      <c r="CC118" s="29">
        <v>0</v>
      </c>
      <c r="CD118">
        <v>0</v>
      </c>
      <c r="CE118">
        <v>1</v>
      </c>
      <c r="CF118">
        <v>0</v>
      </c>
      <c r="CG118">
        <v>0</v>
      </c>
      <c r="CH118">
        <v>0</v>
      </c>
      <c r="CI118">
        <v>0</v>
      </c>
      <c r="CJ118">
        <v>1</v>
      </c>
      <c r="CK118">
        <v>0</v>
      </c>
      <c r="CL118">
        <v>0</v>
      </c>
      <c r="CM118">
        <v>0</v>
      </c>
      <c r="CN118" s="17">
        <v>0</v>
      </c>
      <c r="CT118" t="s">
        <v>48</v>
      </c>
    </row>
    <row r="119" spans="1:98" x14ac:dyDescent="0.25">
      <c r="A119">
        <v>118</v>
      </c>
      <c r="B119">
        <v>9</v>
      </c>
      <c r="C119" t="s">
        <v>316</v>
      </c>
      <c r="D119" s="85">
        <v>5.4</v>
      </c>
      <c r="E119" s="6">
        <v>1.9</v>
      </c>
      <c r="F119" s="6">
        <f t="shared" si="24"/>
        <v>2.8421052631578951</v>
      </c>
      <c r="L119" s="84">
        <v>0</v>
      </c>
      <c r="M119" s="75">
        <v>0</v>
      </c>
      <c r="N119" s="75">
        <v>0</v>
      </c>
      <c r="O119" s="75">
        <v>1</v>
      </c>
      <c r="P119" s="75">
        <v>0</v>
      </c>
      <c r="Q119" s="84">
        <v>1390</v>
      </c>
      <c r="R119" s="75">
        <v>5</v>
      </c>
      <c r="S119" s="75">
        <f t="shared" si="7"/>
        <v>1384</v>
      </c>
      <c r="U119" s="75">
        <v>14.61</v>
      </c>
      <c r="V119" s="75">
        <v>9.7799999999999994</v>
      </c>
      <c r="W119" s="84">
        <v>1</v>
      </c>
      <c r="X119" s="75">
        <v>0</v>
      </c>
      <c r="Y119" s="75">
        <v>0</v>
      </c>
      <c r="Z119" s="75">
        <v>0</v>
      </c>
      <c r="AA119" s="75">
        <v>0</v>
      </c>
      <c r="AB119" s="75">
        <v>1</v>
      </c>
      <c r="AC119" s="84">
        <v>0</v>
      </c>
      <c r="AD119" s="75">
        <v>1</v>
      </c>
      <c r="AE119" s="75">
        <v>0</v>
      </c>
      <c r="AF119" s="84">
        <v>1</v>
      </c>
      <c r="AG119" s="75">
        <v>0</v>
      </c>
      <c r="AH119" s="74">
        <v>2012</v>
      </c>
      <c r="AI119" t="s">
        <v>61</v>
      </c>
      <c r="AJ119" t="s">
        <v>61</v>
      </c>
      <c r="AK119" t="s">
        <v>61</v>
      </c>
      <c r="AL119" t="s">
        <v>61</v>
      </c>
      <c r="AM119" s="29" t="s">
        <v>61</v>
      </c>
      <c r="AN119" t="s">
        <v>61</v>
      </c>
      <c r="AO119" s="29">
        <v>0.5</v>
      </c>
      <c r="AP119">
        <f t="shared" si="25"/>
        <v>0.5</v>
      </c>
      <c r="AQ119" s="29">
        <v>0</v>
      </c>
      <c r="AR119">
        <v>1</v>
      </c>
      <c r="AU119" s="29">
        <v>0.64</v>
      </c>
      <c r="AV119" s="12">
        <f t="shared" si="26"/>
        <v>0.36</v>
      </c>
      <c r="AW119">
        <v>0</v>
      </c>
      <c r="AX119">
        <f t="shared" si="27"/>
        <v>1</v>
      </c>
      <c r="AY119">
        <v>0</v>
      </c>
      <c r="AZ119" s="65" t="s">
        <v>391</v>
      </c>
      <c r="BN119" s="67">
        <v>39.36</v>
      </c>
      <c r="BO119">
        <v>0</v>
      </c>
      <c r="BP119">
        <v>0</v>
      </c>
      <c r="BQ119">
        <v>1</v>
      </c>
      <c r="BR119">
        <v>0</v>
      </c>
      <c r="BS119">
        <v>0</v>
      </c>
      <c r="BT119">
        <v>0</v>
      </c>
      <c r="BY119">
        <v>0</v>
      </c>
      <c r="BZ119" s="29">
        <v>0</v>
      </c>
      <c r="CA119">
        <v>0</v>
      </c>
      <c r="CB119">
        <v>0</v>
      </c>
      <c r="CC119" s="29">
        <v>0</v>
      </c>
      <c r="CD119">
        <v>0</v>
      </c>
      <c r="CE119">
        <v>1</v>
      </c>
      <c r="CF119">
        <v>0</v>
      </c>
      <c r="CG119">
        <v>0</v>
      </c>
      <c r="CH119">
        <v>0</v>
      </c>
      <c r="CI119">
        <v>1</v>
      </c>
      <c r="CJ119">
        <v>1</v>
      </c>
      <c r="CK119">
        <v>0</v>
      </c>
      <c r="CL119">
        <v>0</v>
      </c>
      <c r="CM119">
        <v>0</v>
      </c>
      <c r="CN119" s="17">
        <v>0</v>
      </c>
      <c r="CT119" t="s">
        <v>48</v>
      </c>
    </row>
    <row r="120" spans="1:98" x14ac:dyDescent="0.25">
      <c r="A120">
        <v>119</v>
      </c>
      <c r="B120">
        <v>9</v>
      </c>
      <c r="C120" t="s">
        <v>316</v>
      </c>
      <c r="D120" s="85">
        <v>5.0999999999999996</v>
      </c>
      <c r="E120" s="6">
        <v>1.8</v>
      </c>
      <c r="F120" s="6">
        <f t="shared" si="24"/>
        <v>2.833333333333333</v>
      </c>
      <c r="L120" s="84">
        <v>0</v>
      </c>
      <c r="M120" s="75">
        <v>0</v>
      </c>
      <c r="N120" s="75">
        <v>0</v>
      </c>
      <c r="O120" s="75">
        <v>1</v>
      </c>
      <c r="P120" s="75">
        <v>0</v>
      </c>
      <c r="Q120" s="84">
        <v>1390</v>
      </c>
      <c r="R120" s="75">
        <v>8</v>
      </c>
      <c r="S120" s="75">
        <f t="shared" si="7"/>
        <v>1381</v>
      </c>
      <c r="U120" s="75">
        <v>14.61</v>
      </c>
      <c r="V120" s="75">
        <v>9.7799999999999994</v>
      </c>
      <c r="W120" s="84">
        <v>1</v>
      </c>
      <c r="X120" s="75">
        <v>0</v>
      </c>
      <c r="Y120" s="75">
        <v>0</v>
      </c>
      <c r="Z120" s="75">
        <v>0</v>
      </c>
      <c r="AA120" s="75">
        <v>0</v>
      </c>
      <c r="AB120" s="75">
        <v>1</v>
      </c>
      <c r="AC120" s="84">
        <v>0</v>
      </c>
      <c r="AD120" s="75">
        <v>1</v>
      </c>
      <c r="AE120" s="75">
        <v>0</v>
      </c>
      <c r="AF120" s="84">
        <v>1</v>
      </c>
      <c r="AG120" s="75">
        <v>0</v>
      </c>
      <c r="AH120" s="74">
        <v>2012</v>
      </c>
      <c r="AI120" t="s">
        <v>61</v>
      </c>
      <c r="AJ120" t="s">
        <v>61</v>
      </c>
      <c r="AK120" t="s">
        <v>61</v>
      </c>
      <c r="AL120" t="s">
        <v>61</v>
      </c>
      <c r="AM120" s="29" t="s">
        <v>61</v>
      </c>
      <c r="AN120" t="s">
        <v>61</v>
      </c>
      <c r="AO120" s="29">
        <v>0.5</v>
      </c>
      <c r="AP120">
        <f t="shared" si="25"/>
        <v>0.5</v>
      </c>
      <c r="AQ120" s="29">
        <v>0</v>
      </c>
      <c r="AR120">
        <v>1</v>
      </c>
      <c r="AU120" s="29">
        <v>0.64</v>
      </c>
      <c r="AV120" s="12">
        <f t="shared" si="26"/>
        <v>0.36</v>
      </c>
      <c r="AW120">
        <v>0</v>
      </c>
      <c r="AX120">
        <f t="shared" si="27"/>
        <v>1</v>
      </c>
      <c r="AY120">
        <v>0</v>
      </c>
      <c r="AZ120" s="65" t="s">
        <v>391</v>
      </c>
      <c r="BN120" s="67">
        <v>39.36</v>
      </c>
      <c r="BO120">
        <v>0</v>
      </c>
      <c r="BP120">
        <v>1</v>
      </c>
      <c r="BQ120">
        <v>0</v>
      </c>
      <c r="BR120">
        <v>0</v>
      </c>
      <c r="BS120">
        <v>0</v>
      </c>
      <c r="BT120">
        <v>0</v>
      </c>
      <c r="BY120">
        <v>0</v>
      </c>
      <c r="BZ120" s="29">
        <v>0</v>
      </c>
      <c r="CA120">
        <v>0</v>
      </c>
      <c r="CB120">
        <v>0</v>
      </c>
      <c r="CC120" s="29">
        <v>1</v>
      </c>
      <c r="CD120">
        <v>1</v>
      </c>
      <c r="CE120">
        <v>1</v>
      </c>
      <c r="CF120">
        <v>0</v>
      </c>
      <c r="CG120">
        <v>0</v>
      </c>
      <c r="CH120">
        <v>0</v>
      </c>
      <c r="CI120">
        <v>1</v>
      </c>
      <c r="CJ120">
        <v>1</v>
      </c>
      <c r="CK120">
        <v>0</v>
      </c>
      <c r="CL120">
        <v>0</v>
      </c>
      <c r="CM120">
        <v>0</v>
      </c>
      <c r="CN120" s="17">
        <v>0</v>
      </c>
      <c r="CT120" t="s">
        <v>48</v>
      </c>
    </row>
    <row r="121" spans="1:98" x14ac:dyDescent="0.25">
      <c r="A121">
        <v>120</v>
      </c>
      <c r="B121">
        <v>9</v>
      </c>
      <c r="C121" t="s">
        <v>316</v>
      </c>
      <c r="D121" s="85">
        <v>14.1</v>
      </c>
      <c r="E121" s="6">
        <v>4.7</v>
      </c>
      <c r="F121" s="6">
        <f t="shared" si="24"/>
        <v>3</v>
      </c>
      <c r="L121" s="84">
        <v>0</v>
      </c>
      <c r="M121" s="75">
        <v>0</v>
      </c>
      <c r="N121" s="75">
        <v>0</v>
      </c>
      <c r="O121" s="75">
        <v>1</v>
      </c>
      <c r="P121" s="75">
        <v>0</v>
      </c>
      <c r="Q121" s="84">
        <v>712</v>
      </c>
      <c r="R121" s="75">
        <v>5</v>
      </c>
      <c r="S121" s="75">
        <f t="shared" si="7"/>
        <v>706</v>
      </c>
      <c r="U121" s="75">
        <v>14.61</v>
      </c>
      <c r="V121" s="75">
        <v>9.7799999999999994</v>
      </c>
      <c r="W121" s="84">
        <v>1</v>
      </c>
      <c r="X121" s="75">
        <v>0</v>
      </c>
      <c r="Y121" s="75">
        <v>0</v>
      </c>
      <c r="Z121" s="75">
        <v>0</v>
      </c>
      <c r="AA121" s="75">
        <v>0</v>
      </c>
      <c r="AB121" s="75">
        <v>1</v>
      </c>
      <c r="AC121" s="84">
        <v>0</v>
      </c>
      <c r="AD121" s="75">
        <v>1</v>
      </c>
      <c r="AE121" s="75">
        <v>0</v>
      </c>
      <c r="AF121" s="84">
        <v>1</v>
      </c>
      <c r="AG121" s="75">
        <v>0</v>
      </c>
      <c r="AH121" s="74">
        <v>2012</v>
      </c>
      <c r="AI121" t="s">
        <v>61</v>
      </c>
      <c r="AJ121" t="s">
        <v>61</v>
      </c>
      <c r="AK121" t="s">
        <v>61</v>
      </c>
      <c r="AL121" t="s">
        <v>61</v>
      </c>
      <c r="AM121" s="29" t="s">
        <v>61</v>
      </c>
      <c r="AN121" t="s">
        <v>61</v>
      </c>
      <c r="AO121" s="29">
        <v>0.5</v>
      </c>
      <c r="AP121">
        <f t="shared" si="25"/>
        <v>0.5</v>
      </c>
      <c r="AQ121" s="29">
        <v>0</v>
      </c>
      <c r="AR121">
        <v>1</v>
      </c>
      <c r="AU121" s="29">
        <v>0.64</v>
      </c>
      <c r="AV121" s="12">
        <f t="shared" si="26"/>
        <v>0.36</v>
      </c>
      <c r="AW121">
        <v>0</v>
      </c>
      <c r="AX121">
        <f t="shared" si="27"/>
        <v>1</v>
      </c>
      <c r="AY121">
        <v>0</v>
      </c>
      <c r="AZ121" s="65" t="s">
        <v>391</v>
      </c>
      <c r="BN121" s="67">
        <v>39.36</v>
      </c>
      <c r="BO121">
        <v>0</v>
      </c>
      <c r="BP121">
        <v>0</v>
      </c>
      <c r="BQ121">
        <v>0</v>
      </c>
      <c r="BR121">
        <v>0</v>
      </c>
      <c r="BS121">
        <v>0</v>
      </c>
      <c r="BT121">
        <v>1</v>
      </c>
      <c r="BY121">
        <v>0</v>
      </c>
      <c r="BZ121" s="29">
        <v>0</v>
      </c>
      <c r="CA121">
        <v>0</v>
      </c>
      <c r="CB121">
        <v>1</v>
      </c>
      <c r="CC121" s="29">
        <v>0</v>
      </c>
      <c r="CD121">
        <v>0</v>
      </c>
      <c r="CE121">
        <v>1</v>
      </c>
      <c r="CF121">
        <v>0</v>
      </c>
      <c r="CG121">
        <v>0</v>
      </c>
      <c r="CH121">
        <v>0</v>
      </c>
      <c r="CI121">
        <v>1</v>
      </c>
      <c r="CJ121">
        <v>1</v>
      </c>
      <c r="CK121">
        <v>0</v>
      </c>
      <c r="CL121">
        <v>0</v>
      </c>
      <c r="CM121">
        <v>0</v>
      </c>
      <c r="CN121" s="17">
        <v>0</v>
      </c>
      <c r="CT121" t="s">
        <v>48</v>
      </c>
    </row>
    <row r="122" spans="1:98" x14ac:dyDescent="0.25">
      <c r="A122">
        <v>121</v>
      </c>
      <c r="B122">
        <v>9</v>
      </c>
      <c r="C122" t="s">
        <v>316</v>
      </c>
      <c r="D122" s="85">
        <v>8.8000000000000007</v>
      </c>
      <c r="E122" s="6">
        <v>0.7</v>
      </c>
      <c r="F122" s="6">
        <f t="shared" si="24"/>
        <v>12.571428571428573</v>
      </c>
      <c r="L122" s="84">
        <v>0</v>
      </c>
      <c r="M122" s="75">
        <v>0</v>
      </c>
      <c r="N122" s="75">
        <v>0</v>
      </c>
      <c r="O122" s="75">
        <v>1</v>
      </c>
      <c r="P122" s="75">
        <v>0</v>
      </c>
      <c r="Q122" s="84">
        <v>2160</v>
      </c>
      <c r="R122" s="75">
        <v>7</v>
      </c>
      <c r="S122" s="75">
        <f t="shared" si="7"/>
        <v>2152</v>
      </c>
      <c r="U122" s="75">
        <v>14.64</v>
      </c>
      <c r="V122" s="75">
        <v>10.18</v>
      </c>
      <c r="W122" s="84">
        <v>1</v>
      </c>
      <c r="X122" s="75">
        <v>0</v>
      </c>
      <c r="Y122" s="75">
        <v>0</v>
      </c>
      <c r="Z122" s="75">
        <v>0</v>
      </c>
      <c r="AA122" s="75">
        <v>0</v>
      </c>
      <c r="AB122" s="75">
        <v>1</v>
      </c>
      <c r="AC122" s="84">
        <v>0</v>
      </c>
      <c r="AD122" s="75">
        <v>1</v>
      </c>
      <c r="AE122" s="75">
        <v>0</v>
      </c>
      <c r="AF122" s="84">
        <v>1</v>
      </c>
      <c r="AG122" s="75">
        <v>0</v>
      </c>
      <c r="AH122" s="74">
        <v>2012</v>
      </c>
      <c r="AI122" t="s">
        <v>61</v>
      </c>
      <c r="AJ122" t="s">
        <v>61</v>
      </c>
      <c r="AK122" t="s">
        <v>61</v>
      </c>
      <c r="AL122" t="s">
        <v>61</v>
      </c>
      <c r="AM122" s="29" t="s">
        <v>61</v>
      </c>
      <c r="AN122" t="s">
        <v>61</v>
      </c>
      <c r="AO122" s="29">
        <v>0.55000000000000004</v>
      </c>
      <c r="AP122">
        <f t="shared" si="25"/>
        <v>0.44999999999999996</v>
      </c>
      <c r="AQ122" s="29">
        <v>0</v>
      </c>
      <c r="AR122">
        <v>1</v>
      </c>
      <c r="AU122" s="29">
        <v>0.67</v>
      </c>
      <c r="AV122" s="12">
        <f>1-AU122</f>
        <v>0.32999999999999996</v>
      </c>
      <c r="AW122">
        <v>1</v>
      </c>
      <c r="AX122">
        <f t="shared" si="27"/>
        <v>0</v>
      </c>
      <c r="AY122">
        <v>0</v>
      </c>
      <c r="AZ122" s="65" t="s">
        <v>391</v>
      </c>
      <c r="BN122" s="67">
        <v>39.43</v>
      </c>
      <c r="BO122">
        <v>1</v>
      </c>
      <c r="BP122">
        <v>0</v>
      </c>
      <c r="BQ122">
        <v>0</v>
      </c>
      <c r="BR122">
        <v>0</v>
      </c>
      <c r="BS122">
        <v>0</v>
      </c>
      <c r="BT122">
        <v>0</v>
      </c>
      <c r="BY122">
        <v>0</v>
      </c>
      <c r="BZ122" s="29">
        <v>0</v>
      </c>
      <c r="CA122">
        <v>0</v>
      </c>
      <c r="CB122">
        <v>0</v>
      </c>
      <c r="CC122" s="29">
        <v>1</v>
      </c>
      <c r="CD122">
        <v>1</v>
      </c>
      <c r="CE122">
        <v>1</v>
      </c>
      <c r="CF122">
        <v>0</v>
      </c>
      <c r="CG122">
        <v>0</v>
      </c>
      <c r="CH122">
        <v>0</v>
      </c>
      <c r="CI122">
        <v>1</v>
      </c>
      <c r="CJ122">
        <v>1</v>
      </c>
      <c r="CK122">
        <v>0</v>
      </c>
      <c r="CL122">
        <v>0</v>
      </c>
      <c r="CM122">
        <v>0</v>
      </c>
      <c r="CN122" s="17">
        <v>0</v>
      </c>
      <c r="CT122" t="s">
        <v>48</v>
      </c>
    </row>
    <row r="123" spans="1:98" x14ac:dyDescent="0.25">
      <c r="A123">
        <v>122</v>
      </c>
      <c r="B123">
        <v>9</v>
      </c>
      <c r="C123" t="s">
        <v>316</v>
      </c>
      <c r="D123" s="85">
        <v>4.5</v>
      </c>
      <c r="E123" s="6">
        <v>1.2</v>
      </c>
      <c r="F123" s="6">
        <f t="shared" si="24"/>
        <v>3.75</v>
      </c>
      <c r="L123" s="84">
        <v>0</v>
      </c>
      <c r="M123" s="75">
        <v>0</v>
      </c>
      <c r="N123" s="75">
        <v>0</v>
      </c>
      <c r="O123" s="75">
        <v>1</v>
      </c>
      <c r="P123" s="75">
        <v>0</v>
      </c>
      <c r="Q123" s="84">
        <v>2160</v>
      </c>
      <c r="R123" s="75">
        <v>4</v>
      </c>
      <c r="S123" s="75">
        <f t="shared" si="7"/>
        <v>2155</v>
      </c>
      <c r="U123" s="75">
        <v>14.64</v>
      </c>
      <c r="V123" s="75">
        <v>10.18</v>
      </c>
      <c r="W123" s="84">
        <v>1</v>
      </c>
      <c r="X123" s="75">
        <v>0</v>
      </c>
      <c r="Y123" s="75">
        <v>0</v>
      </c>
      <c r="Z123" s="75">
        <v>0</v>
      </c>
      <c r="AA123" s="75">
        <v>0</v>
      </c>
      <c r="AB123" s="75">
        <v>1</v>
      </c>
      <c r="AC123" s="84">
        <v>0</v>
      </c>
      <c r="AD123" s="75">
        <v>1</v>
      </c>
      <c r="AE123" s="75">
        <v>0</v>
      </c>
      <c r="AF123" s="84">
        <v>1</v>
      </c>
      <c r="AG123" s="75">
        <v>0</v>
      </c>
      <c r="AH123" s="74">
        <v>2012</v>
      </c>
      <c r="AI123" t="s">
        <v>61</v>
      </c>
      <c r="AJ123" t="s">
        <v>61</v>
      </c>
      <c r="AK123" t="s">
        <v>61</v>
      </c>
      <c r="AL123" t="s">
        <v>61</v>
      </c>
      <c r="AM123" s="29" t="s">
        <v>61</v>
      </c>
      <c r="AN123" t="s">
        <v>61</v>
      </c>
      <c r="AO123" s="29">
        <v>0.55000000000000004</v>
      </c>
      <c r="AP123">
        <f t="shared" si="25"/>
        <v>0.44999999999999996</v>
      </c>
      <c r="AQ123" s="29">
        <v>0</v>
      </c>
      <c r="AR123">
        <v>1</v>
      </c>
      <c r="AU123" s="29">
        <v>0.67</v>
      </c>
      <c r="AV123" s="12">
        <f t="shared" si="26"/>
        <v>0.32999999999999996</v>
      </c>
      <c r="AW123">
        <v>1</v>
      </c>
      <c r="AX123">
        <f t="shared" si="27"/>
        <v>0</v>
      </c>
      <c r="AY123">
        <v>0</v>
      </c>
      <c r="AZ123" s="65" t="s">
        <v>391</v>
      </c>
      <c r="BN123" s="67">
        <v>39.43</v>
      </c>
      <c r="BO123">
        <v>0</v>
      </c>
      <c r="BP123">
        <v>0</v>
      </c>
      <c r="BQ123">
        <v>1</v>
      </c>
      <c r="BR123">
        <v>0</v>
      </c>
      <c r="BS123">
        <v>0</v>
      </c>
      <c r="BT123">
        <v>0</v>
      </c>
      <c r="BY123">
        <v>0</v>
      </c>
      <c r="BZ123" s="29">
        <v>0</v>
      </c>
      <c r="CA123">
        <v>0</v>
      </c>
      <c r="CB123">
        <v>0</v>
      </c>
      <c r="CC123" s="29">
        <v>0</v>
      </c>
      <c r="CD123">
        <v>0</v>
      </c>
      <c r="CE123">
        <v>1</v>
      </c>
      <c r="CF123">
        <v>0</v>
      </c>
      <c r="CG123">
        <v>0</v>
      </c>
      <c r="CH123">
        <v>0</v>
      </c>
      <c r="CI123">
        <v>0</v>
      </c>
      <c r="CJ123">
        <v>1</v>
      </c>
      <c r="CK123">
        <v>0</v>
      </c>
      <c r="CL123">
        <v>0</v>
      </c>
      <c r="CM123">
        <v>0</v>
      </c>
      <c r="CN123" s="17">
        <v>0</v>
      </c>
      <c r="CT123" t="s">
        <v>48</v>
      </c>
    </row>
    <row r="124" spans="1:98" x14ac:dyDescent="0.25">
      <c r="A124">
        <v>123</v>
      </c>
      <c r="B124">
        <v>9</v>
      </c>
      <c r="C124" t="s">
        <v>316</v>
      </c>
      <c r="D124" s="85">
        <v>4.3</v>
      </c>
      <c r="E124" s="6">
        <v>1.1000000000000001</v>
      </c>
      <c r="F124" s="6">
        <f t="shared" si="24"/>
        <v>3.9090909090909087</v>
      </c>
      <c r="L124" s="84">
        <v>0</v>
      </c>
      <c r="M124" s="75">
        <v>0</v>
      </c>
      <c r="N124" s="75">
        <v>0</v>
      </c>
      <c r="O124" s="75">
        <v>1</v>
      </c>
      <c r="P124" s="75">
        <v>0</v>
      </c>
      <c r="Q124" s="84">
        <v>2160</v>
      </c>
      <c r="R124" s="75">
        <v>8</v>
      </c>
      <c r="S124" s="75">
        <f t="shared" si="7"/>
        <v>2151</v>
      </c>
      <c r="U124" s="75">
        <v>14.64</v>
      </c>
      <c r="V124" s="75">
        <v>10.18</v>
      </c>
      <c r="W124" s="84">
        <v>1</v>
      </c>
      <c r="X124" s="75">
        <v>0</v>
      </c>
      <c r="Y124" s="75">
        <v>0</v>
      </c>
      <c r="Z124" s="75">
        <v>0</v>
      </c>
      <c r="AA124" s="75">
        <v>0</v>
      </c>
      <c r="AB124" s="75">
        <v>1</v>
      </c>
      <c r="AC124" s="84">
        <v>0</v>
      </c>
      <c r="AD124" s="75">
        <v>1</v>
      </c>
      <c r="AE124" s="75">
        <v>0</v>
      </c>
      <c r="AF124" s="84">
        <v>1</v>
      </c>
      <c r="AG124" s="75">
        <v>0</v>
      </c>
      <c r="AH124" s="74">
        <v>2012</v>
      </c>
      <c r="AI124" t="s">
        <v>61</v>
      </c>
      <c r="AJ124" t="s">
        <v>61</v>
      </c>
      <c r="AK124" t="s">
        <v>61</v>
      </c>
      <c r="AL124" t="s">
        <v>61</v>
      </c>
      <c r="AM124" s="29" t="s">
        <v>61</v>
      </c>
      <c r="AN124" t="s">
        <v>61</v>
      </c>
      <c r="AO124" s="29">
        <v>0.55000000000000004</v>
      </c>
      <c r="AP124">
        <f t="shared" si="25"/>
        <v>0.44999999999999996</v>
      </c>
      <c r="AQ124" s="29">
        <v>0</v>
      </c>
      <c r="AR124">
        <v>1</v>
      </c>
      <c r="AU124" s="29">
        <v>0.67</v>
      </c>
      <c r="AV124" s="12">
        <f t="shared" si="26"/>
        <v>0.32999999999999996</v>
      </c>
      <c r="AW124">
        <v>1</v>
      </c>
      <c r="AX124">
        <f t="shared" si="27"/>
        <v>0</v>
      </c>
      <c r="AY124">
        <v>0</v>
      </c>
      <c r="AZ124" s="65" t="s">
        <v>391</v>
      </c>
      <c r="BN124" s="67">
        <v>39.43</v>
      </c>
      <c r="BO124">
        <v>0</v>
      </c>
      <c r="BP124">
        <v>1</v>
      </c>
      <c r="BQ124">
        <v>0</v>
      </c>
      <c r="BR124">
        <v>0</v>
      </c>
      <c r="BS124">
        <v>0</v>
      </c>
      <c r="BT124">
        <v>0</v>
      </c>
      <c r="BY124">
        <v>0</v>
      </c>
      <c r="BZ124" s="29">
        <v>0</v>
      </c>
      <c r="CA124">
        <v>0</v>
      </c>
      <c r="CB124">
        <v>0</v>
      </c>
      <c r="CC124" s="29">
        <v>1</v>
      </c>
      <c r="CD124">
        <v>1</v>
      </c>
      <c r="CE124">
        <v>1</v>
      </c>
      <c r="CF124">
        <v>0</v>
      </c>
      <c r="CG124">
        <v>0</v>
      </c>
      <c r="CH124">
        <v>0</v>
      </c>
      <c r="CI124">
        <v>1</v>
      </c>
      <c r="CJ124">
        <v>1</v>
      </c>
      <c r="CK124">
        <v>0</v>
      </c>
      <c r="CL124">
        <v>0</v>
      </c>
      <c r="CM124">
        <v>0</v>
      </c>
      <c r="CN124" s="17">
        <v>0</v>
      </c>
      <c r="CT124" t="s">
        <v>48</v>
      </c>
    </row>
    <row r="125" spans="1:98" x14ac:dyDescent="0.25">
      <c r="A125">
        <v>124</v>
      </c>
      <c r="B125">
        <v>9</v>
      </c>
      <c r="C125" t="s">
        <v>316</v>
      </c>
      <c r="D125" s="85">
        <v>8.3000000000000007</v>
      </c>
      <c r="E125" s="6">
        <v>4</v>
      </c>
      <c r="F125" s="6">
        <f t="shared" si="24"/>
        <v>2.0750000000000002</v>
      </c>
      <c r="L125" s="84">
        <v>0</v>
      </c>
      <c r="M125" s="75">
        <v>0</v>
      </c>
      <c r="N125" s="75">
        <v>0</v>
      </c>
      <c r="O125" s="75">
        <v>1</v>
      </c>
      <c r="P125" s="75">
        <v>0</v>
      </c>
      <c r="Q125" s="84">
        <v>1320</v>
      </c>
      <c r="R125" s="75">
        <v>4</v>
      </c>
      <c r="S125" s="75">
        <f t="shared" si="7"/>
        <v>1315</v>
      </c>
      <c r="U125" s="75">
        <v>14.64</v>
      </c>
      <c r="V125" s="75">
        <v>10.18</v>
      </c>
      <c r="W125" s="84">
        <v>1</v>
      </c>
      <c r="X125" s="75">
        <v>0</v>
      </c>
      <c r="Y125" s="75">
        <v>0</v>
      </c>
      <c r="Z125" s="75">
        <v>0</v>
      </c>
      <c r="AA125" s="75">
        <v>0</v>
      </c>
      <c r="AB125" s="75">
        <v>1</v>
      </c>
      <c r="AC125" s="84">
        <v>0</v>
      </c>
      <c r="AD125" s="75">
        <v>1</v>
      </c>
      <c r="AE125" s="75">
        <v>0</v>
      </c>
      <c r="AF125" s="84">
        <v>1</v>
      </c>
      <c r="AG125" s="75">
        <v>0</v>
      </c>
      <c r="AH125" s="74">
        <v>2012</v>
      </c>
      <c r="AI125" t="s">
        <v>61</v>
      </c>
      <c r="AJ125" t="s">
        <v>61</v>
      </c>
      <c r="AK125" t="s">
        <v>61</v>
      </c>
      <c r="AL125" t="s">
        <v>61</v>
      </c>
      <c r="AM125" s="29" t="s">
        <v>61</v>
      </c>
      <c r="AN125" t="s">
        <v>61</v>
      </c>
      <c r="AO125" s="29">
        <v>0.55000000000000004</v>
      </c>
      <c r="AP125">
        <f t="shared" si="25"/>
        <v>0.44999999999999996</v>
      </c>
      <c r="AQ125" s="29">
        <v>0</v>
      </c>
      <c r="AR125">
        <v>1</v>
      </c>
      <c r="AU125" s="29">
        <v>0.67</v>
      </c>
      <c r="AV125" s="12">
        <f t="shared" si="26"/>
        <v>0.32999999999999996</v>
      </c>
      <c r="AW125">
        <v>1</v>
      </c>
      <c r="AX125">
        <f t="shared" si="27"/>
        <v>0</v>
      </c>
      <c r="AY125">
        <v>0</v>
      </c>
      <c r="AZ125" s="65" t="s">
        <v>391</v>
      </c>
      <c r="BN125" s="67">
        <v>39.43</v>
      </c>
      <c r="BO125">
        <v>0</v>
      </c>
      <c r="BP125">
        <v>0</v>
      </c>
      <c r="BQ125">
        <v>0</v>
      </c>
      <c r="BR125">
        <v>0</v>
      </c>
      <c r="BS125">
        <v>0</v>
      </c>
      <c r="BT125">
        <v>1</v>
      </c>
      <c r="BY125">
        <v>0</v>
      </c>
      <c r="BZ125" s="29">
        <v>0</v>
      </c>
      <c r="CA125">
        <v>0</v>
      </c>
      <c r="CB125">
        <v>1</v>
      </c>
      <c r="CC125" s="29">
        <v>0</v>
      </c>
      <c r="CD125">
        <v>0</v>
      </c>
      <c r="CE125">
        <v>1</v>
      </c>
      <c r="CF125">
        <v>0</v>
      </c>
      <c r="CG125">
        <v>0</v>
      </c>
      <c r="CH125">
        <v>0</v>
      </c>
      <c r="CI125">
        <v>0</v>
      </c>
      <c r="CJ125">
        <v>1</v>
      </c>
      <c r="CK125">
        <v>0</v>
      </c>
      <c r="CL125">
        <v>0</v>
      </c>
      <c r="CM125">
        <v>0</v>
      </c>
      <c r="CN125" s="17">
        <v>0</v>
      </c>
      <c r="CT125" t="s">
        <v>48</v>
      </c>
    </row>
    <row r="126" spans="1:98" x14ac:dyDescent="0.25">
      <c r="A126">
        <v>125</v>
      </c>
      <c r="B126">
        <v>9</v>
      </c>
      <c r="C126" t="s">
        <v>316</v>
      </c>
      <c r="D126" s="85">
        <v>4.5</v>
      </c>
      <c r="E126" s="6">
        <v>1.9</v>
      </c>
      <c r="F126" s="6">
        <f t="shared" si="24"/>
        <v>2.3684210526315792</v>
      </c>
      <c r="L126" s="84">
        <v>0</v>
      </c>
      <c r="M126" s="75">
        <v>0</v>
      </c>
      <c r="N126" s="75">
        <v>0</v>
      </c>
      <c r="O126" s="75">
        <v>1</v>
      </c>
      <c r="P126" s="75">
        <v>0</v>
      </c>
      <c r="Q126" s="84">
        <v>1331</v>
      </c>
      <c r="R126" s="75">
        <v>5</v>
      </c>
      <c r="S126" s="75">
        <f t="shared" si="7"/>
        <v>1325</v>
      </c>
      <c r="U126" s="75">
        <v>14.61</v>
      </c>
      <c r="V126" s="75">
        <v>9.7799999999999994</v>
      </c>
      <c r="W126" s="84">
        <v>1</v>
      </c>
      <c r="X126" s="75">
        <v>0</v>
      </c>
      <c r="Y126" s="75">
        <v>0</v>
      </c>
      <c r="Z126" s="75">
        <v>0</v>
      </c>
      <c r="AA126" s="75">
        <v>0</v>
      </c>
      <c r="AB126" s="75">
        <v>1</v>
      </c>
      <c r="AC126" s="84">
        <v>0</v>
      </c>
      <c r="AD126" s="75">
        <v>1</v>
      </c>
      <c r="AE126" s="75">
        <v>0</v>
      </c>
      <c r="AF126" s="84">
        <v>1</v>
      </c>
      <c r="AG126" s="75">
        <v>0</v>
      </c>
      <c r="AH126" s="74">
        <v>2012</v>
      </c>
      <c r="AI126" t="s">
        <v>61</v>
      </c>
      <c r="AJ126" t="s">
        <v>61</v>
      </c>
      <c r="AK126" t="s">
        <v>61</v>
      </c>
      <c r="AL126" t="s">
        <v>61</v>
      </c>
      <c r="AM126" s="29" t="s">
        <v>61</v>
      </c>
      <c r="AN126" t="s">
        <v>61</v>
      </c>
      <c r="AO126" s="29">
        <v>0.5</v>
      </c>
      <c r="AP126">
        <f t="shared" si="25"/>
        <v>0.5</v>
      </c>
      <c r="AQ126" s="29">
        <v>0</v>
      </c>
      <c r="AR126">
        <v>1</v>
      </c>
      <c r="AU126" s="29">
        <v>0.64</v>
      </c>
      <c r="AV126" s="12">
        <f t="shared" si="26"/>
        <v>0.36</v>
      </c>
      <c r="AW126">
        <v>0</v>
      </c>
      <c r="AX126">
        <f t="shared" si="27"/>
        <v>1</v>
      </c>
      <c r="AY126">
        <v>0</v>
      </c>
      <c r="AZ126" s="65" t="s">
        <v>391</v>
      </c>
      <c r="BN126" s="67">
        <v>39.36</v>
      </c>
      <c r="BO126">
        <v>0</v>
      </c>
      <c r="BP126">
        <v>0</v>
      </c>
      <c r="BQ126">
        <v>1</v>
      </c>
      <c r="BR126">
        <v>0</v>
      </c>
      <c r="BS126">
        <v>0</v>
      </c>
      <c r="BT126">
        <v>0</v>
      </c>
      <c r="BY126">
        <v>0</v>
      </c>
      <c r="BZ126" s="29">
        <v>0</v>
      </c>
      <c r="CA126">
        <v>0</v>
      </c>
      <c r="CB126">
        <v>0</v>
      </c>
      <c r="CC126" s="29">
        <v>0</v>
      </c>
      <c r="CD126">
        <v>0</v>
      </c>
      <c r="CE126">
        <v>1</v>
      </c>
      <c r="CF126">
        <v>0</v>
      </c>
      <c r="CG126">
        <v>0</v>
      </c>
      <c r="CH126">
        <v>0</v>
      </c>
      <c r="CI126">
        <v>1</v>
      </c>
      <c r="CJ126">
        <v>1</v>
      </c>
      <c r="CK126">
        <v>0</v>
      </c>
      <c r="CL126">
        <v>0</v>
      </c>
      <c r="CM126">
        <v>0</v>
      </c>
      <c r="CN126" s="17">
        <v>0</v>
      </c>
      <c r="CT126" t="s">
        <v>48</v>
      </c>
    </row>
    <row r="127" spans="1:98" x14ac:dyDescent="0.25">
      <c r="A127">
        <v>126</v>
      </c>
      <c r="B127">
        <v>9</v>
      </c>
      <c r="C127" t="s">
        <v>316</v>
      </c>
      <c r="D127" s="85">
        <v>5.2</v>
      </c>
      <c r="E127" s="6">
        <v>1.7</v>
      </c>
      <c r="F127" s="6">
        <f t="shared" si="24"/>
        <v>3.0588235294117649</v>
      </c>
      <c r="L127" s="84">
        <v>0</v>
      </c>
      <c r="M127" s="75">
        <v>0</v>
      </c>
      <c r="N127" s="75">
        <v>0</v>
      </c>
      <c r="O127" s="75">
        <v>1</v>
      </c>
      <c r="P127" s="75">
        <v>0</v>
      </c>
      <c r="Q127" s="84">
        <v>1331</v>
      </c>
      <c r="R127" s="75">
        <v>8</v>
      </c>
      <c r="S127" s="75">
        <f t="shared" si="7"/>
        <v>1322</v>
      </c>
      <c r="U127" s="75">
        <v>14.61</v>
      </c>
      <c r="V127" s="75">
        <v>9.7799999999999994</v>
      </c>
      <c r="W127" s="84">
        <v>1</v>
      </c>
      <c r="X127" s="75">
        <v>0</v>
      </c>
      <c r="Y127" s="75">
        <v>0</v>
      </c>
      <c r="Z127" s="75">
        <v>0</v>
      </c>
      <c r="AA127" s="75">
        <v>0</v>
      </c>
      <c r="AB127" s="75">
        <v>1</v>
      </c>
      <c r="AC127" s="84">
        <v>0</v>
      </c>
      <c r="AD127" s="75">
        <v>1</v>
      </c>
      <c r="AE127" s="75">
        <v>0</v>
      </c>
      <c r="AF127" s="84">
        <v>1</v>
      </c>
      <c r="AG127" s="75">
        <v>0</v>
      </c>
      <c r="AH127" s="74">
        <v>2012</v>
      </c>
      <c r="AI127" t="s">
        <v>61</v>
      </c>
      <c r="AJ127" t="s">
        <v>61</v>
      </c>
      <c r="AK127" t="s">
        <v>61</v>
      </c>
      <c r="AL127" t="s">
        <v>61</v>
      </c>
      <c r="AM127" s="29" t="s">
        <v>61</v>
      </c>
      <c r="AN127" t="s">
        <v>61</v>
      </c>
      <c r="AO127" s="29">
        <v>0.5</v>
      </c>
      <c r="AP127">
        <f t="shared" si="25"/>
        <v>0.5</v>
      </c>
      <c r="AQ127" s="29">
        <v>0</v>
      </c>
      <c r="AR127">
        <v>1</v>
      </c>
      <c r="AU127" s="29">
        <v>0.64</v>
      </c>
      <c r="AV127" s="12">
        <f t="shared" si="26"/>
        <v>0.36</v>
      </c>
      <c r="AW127">
        <v>0</v>
      </c>
      <c r="AX127">
        <f t="shared" si="27"/>
        <v>1</v>
      </c>
      <c r="AY127">
        <v>0</v>
      </c>
      <c r="AZ127" s="65" t="s">
        <v>391</v>
      </c>
      <c r="BN127" s="67">
        <v>39.36</v>
      </c>
      <c r="BO127">
        <v>0</v>
      </c>
      <c r="BP127">
        <v>1</v>
      </c>
      <c r="BQ127">
        <v>0</v>
      </c>
      <c r="BR127">
        <v>0</v>
      </c>
      <c r="BS127">
        <v>0</v>
      </c>
      <c r="BT127">
        <v>0</v>
      </c>
      <c r="BY127">
        <v>0</v>
      </c>
      <c r="BZ127" s="29">
        <v>0</v>
      </c>
      <c r="CA127">
        <v>0</v>
      </c>
      <c r="CB127">
        <v>0</v>
      </c>
      <c r="CC127" s="29">
        <v>1</v>
      </c>
      <c r="CD127">
        <v>1</v>
      </c>
      <c r="CE127">
        <v>1</v>
      </c>
      <c r="CF127">
        <v>0</v>
      </c>
      <c r="CG127">
        <v>0</v>
      </c>
      <c r="CH127">
        <v>0</v>
      </c>
      <c r="CI127">
        <v>1</v>
      </c>
      <c r="CJ127">
        <v>1</v>
      </c>
      <c r="CK127">
        <v>0</v>
      </c>
      <c r="CL127">
        <v>0</v>
      </c>
      <c r="CM127">
        <v>0</v>
      </c>
      <c r="CN127" s="17">
        <v>0</v>
      </c>
      <c r="CT127" t="s">
        <v>48</v>
      </c>
    </row>
    <row r="128" spans="1:98" x14ac:dyDescent="0.25">
      <c r="A128">
        <v>127</v>
      </c>
      <c r="B128">
        <v>9</v>
      </c>
      <c r="C128" t="s">
        <v>316</v>
      </c>
      <c r="D128" s="85">
        <v>12.5</v>
      </c>
      <c r="E128" s="6">
        <v>4.0999999999999996</v>
      </c>
      <c r="F128" s="6">
        <f t="shared" si="24"/>
        <v>3.0487804878048781</v>
      </c>
      <c r="L128" s="84">
        <v>0</v>
      </c>
      <c r="M128" s="75">
        <v>0</v>
      </c>
      <c r="N128" s="75">
        <v>0</v>
      </c>
      <c r="O128" s="75">
        <v>1</v>
      </c>
      <c r="P128" s="75">
        <v>0</v>
      </c>
      <c r="Q128" s="84">
        <v>712</v>
      </c>
      <c r="R128" s="75">
        <v>5</v>
      </c>
      <c r="S128" s="75">
        <f t="shared" si="7"/>
        <v>706</v>
      </c>
      <c r="U128" s="75">
        <v>14.61</v>
      </c>
      <c r="V128" s="75">
        <v>9.7799999999999994</v>
      </c>
      <c r="W128" s="84">
        <v>1</v>
      </c>
      <c r="X128" s="75">
        <v>0</v>
      </c>
      <c r="Y128" s="75">
        <v>0</v>
      </c>
      <c r="Z128" s="75">
        <v>0</v>
      </c>
      <c r="AA128" s="75">
        <v>0</v>
      </c>
      <c r="AB128" s="75">
        <v>1</v>
      </c>
      <c r="AC128" s="84">
        <v>0</v>
      </c>
      <c r="AD128" s="75">
        <v>1</v>
      </c>
      <c r="AE128" s="75">
        <v>0</v>
      </c>
      <c r="AF128" s="84">
        <v>1</v>
      </c>
      <c r="AG128" s="75">
        <v>0</v>
      </c>
      <c r="AH128" s="74">
        <v>2012</v>
      </c>
      <c r="AI128" t="s">
        <v>61</v>
      </c>
      <c r="AJ128" t="s">
        <v>61</v>
      </c>
      <c r="AK128" t="s">
        <v>61</v>
      </c>
      <c r="AL128" t="s">
        <v>61</v>
      </c>
      <c r="AM128" s="29" t="s">
        <v>61</v>
      </c>
      <c r="AN128" t="s">
        <v>61</v>
      </c>
      <c r="AO128" s="29">
        <v>0.5</v>
      </c>
      <c r="AP128">
        <f t="shared" si="25"/>
        <v>0.5</v>
      </c>
      <c r="AQ128" s="29">
        <v>0</v>
      </c>
      <c r="AR128">
        <v>1</v>
      </c>
      <c r="AU128" s="29">
        <v>0.64</v>
      </c>
      <c r="AV128" s="12">
        <f t="shared" si="26"/>
        <v>0.36</v>
      </c>
      <c r="AW128">
        <v>0</v>
      </c>
      <c r="AX128">
        <f t="shared" si="27"/>
        <v>1</v>
      </c>
      <c r="AY128">
        <v>0</v>
      </c>
      <c r="AZ128" s="65" t="s">
        <v>391</v>
      </c>
      <c r="BN128" s="67">
        <v>39.36</v>
      </c>
      <c r="BO128">
        <v>0</v>
      </c>
      <c r="BP128">
        <v>0</v>
      </c>
      <c r="BQ128">
        <v>0</v>
      </c>
      <c r="BR128">
        <v>0</v>
      </c>
      <c r="BS128">
        <v>0</v>
      </c>
      <c r="BT128">
        <v>1</v>
      </c>
      <c r="BY128">
        <v>0</v>
      </c>
      <c r="BZ128" s="29">
        <v>0</v>
      </c>
      <c r="CA128">
        <v>0</v>
      </c>
      <c r="CB128">
        <v>1</v>
      </c>
      <c r="CC128" s="29">
        <v>0</v>
      </c>
      <c r="CD128">
        <v>0</v>
      </c>
      <c r="CE128">
        <v>1</v>
      </c>
      <c r="CF128">
        <v>0</v>
      </c>
      <c r="CG128">
        <v>0</v>
      </c>
      <c r="CH128">
        <v>0</v>
      </c>
      <c r="CI128">
        <v>1</v>
      </c>
      <c r="CJ128">
        <v>1</v>
      </c>
      <c r="CK128">
        <v>0</v>
      </c>
      <c r="CL128">
        <v>0</v>
      </c>
      <c r="CM128">
        <v>0</v>
      </c>
      <c r="CN128" s="17">
        <v>0</v>
      </c>
      <c r="CT128" t="s">
        <v>48</v>
      </c>
    </row>
    <row r="129" spans="1:98" x14ac:dyDescent="0.25">
      <c r="A129">
        <v>128</v>
      </c>
      <c r="B129">
        <v>10</v>
      </c>
      <c r="C129" t="s">
        <v>322</v>
      </c>
      <c r="D129" s="85">
        <v>4.5999999999999996</v>
      </c>
      <c r="E129" s="6">
        <v>0.05</v>
      </c>
      <c r="F129" s="6">
        <f t="shared" si="24"/>
        <v>91.999999999999986</v>
      </c>
      <c r="L129" s="84">
        <v>0</v>
      </c>
      <c r="M129" s="75">
        <v>0</v>
      </c>
      <c r="N129" s="75">
        <v>0</v>
      </c>
      <c r="O129" s="75">
        <v>1</v>
      </c>
      <c r="P129" s="75">
        <v>0</v>
      </c>
      <c r="Q129" s="84">
        <v>191110</v>
      </c>
      <c r="R129" s="75">
        <v>1</v>
      </c>
      <c r="S129" s="75">
        <f t="shared" si="7"/>
        <v>191108</v>
      </c>
      <c r="U129" s="75">
        <v>9.18</v>
      </c>
      <c r="V129" s="75">
        <v>19.5</v>
      </c>
      <c r="W129" s="84">
        <v>1</v>
      </c>
      <c r="X129" s="75">
        <v>0</v>
      </c>
      <c r="Y129" s="84">
        <v>0</v>
      </c>
      <c r="Z129" s="75">
        <v>1</v>
      </c>
      <c r="AA129" s="75">
        <v>0</v>
      </c>
      <c r="AB129" s="75">
        <v>0</v>
      </c>
      <c r="AC129" s="84">
        <v>0</v>
      </c>
      <c r="AD129" s="75">
        <v>0</v>
      </c>
      <c r="AE129" s="75">
        <v>1</v>
      </c>
      <c r="AF129" s="84">
        <v>1</v>
      </c>
      <c r="AG129" s="75">
        <v>0</v>
      </c>
      <c r="AH129" s="74">
        <v>1940</v>
      </c>
      <c r="AI129">
        <f>(1-$AK129-$AL129)/2</f>
        <v>0.33749999999999997</v>
      </c>
      <c r="AJ129">
        <f>(1-$AK129-$AL129)/2</f>
        <v>0.33749999999999997</v>
      </c>
      <c r="AK129" s="75">
        <v>0.28199999999999997</v>
      </c>
      <c r="AL129" s="75">
        <v>4.2999999999999997E-2</v>
      </c>
      <c r="AM129" s="29">
        <v>1</v>
      </c>
      <c r="AN129">
        <v>0</v>
      </c>
      <c r="AO129" s="29">
        <v>1</v>
      </c>
      <c r="AP129">
        <v>0</v>
      </c>
      <c r="AQ129" s="29">
        <v>0.93</v>
      </c>
      <c r="AR129">
        <f>1-AQ129</f>
        <v>6.9999999999999951E-2</v>
      </c>
      <c r="AU129" s="29">
        <v>0.75</v>
      </c>
      <c r="AV129" s="12">
        <f t="shared" si="26"/>
        <v>0.25</v>
      </c>
      <c r="AW129">
        <v>0.10100000000000001</v>
      </c>
      <c r="AX129">
        <v>0.10100000000000001</v>
      </c>
      <c r="AY129">
        <v>0.79800000000000004</v>
      </c>
      <c r="AZ129" s="65" t="s">
        <v>95</v>
      </c>
      <c r="BN129" s="67">
        <v>37.5</v>
      </c>
      <c r="BO129">
        <v>1</v>
      </c>
      <c r="BP129">
        <v>0</v>
      </c>
      <c r="BQ129">
        <v>0</v>
      </c>
      <c r="BR129">
        <v>0</v>
      </c>
      <c r="BS129">
        <v>0</v>
      </c>
      <c r="BT129">
        <v>0</v>
      </c>
      <c r="BY129">
        <v>0</v>
      </c>
      <c r="BZ129" s="29">
        <v>0</v>
      </c>
      <c r="CA129">
        <v>0</v>
      </c>
      <c r="CB129">
        <v>0</v>
      </c>
      <c r="CC129" s="29">
        <v>0</v>
      </c>
      <c r="CD129">
        <v>0</v>
      </c>
      <c r="CE129">
        <v>0</v>
      </c>
      <c r="CF129">
        <v>0</v>
      </c>
      <c r="CG129">
        <v>0</v>
      </c>
      <c r="CH129">
        <v>0</v>
      </c>
      <c r="CI129">
        <v>0</v>
      </c>
      <c r="CJ129">
        <v>0</v>
      </c>
      <c r="CK129">
        <v>0</v>
      </c>
      <c r="CL129">
        <v>0</v>
      </c>
      <c r="CM129">
        <v>0</v>
      </c>
      <c r="CN129" s="17">
        <v>0</v>
      </c>
      <c r="CT129" t="s">
        <v>48</v>
      </c>
    </row>
    <row r="130" spans="1:98" x14ac:dyDescent="0.25">
      <c r="A130">
        <v>129</v>
      </c>
      <c r="B130">
        <v>10</v>
      </c>
      <c r="C130" t="s">
        <v>322</v>
      </c>
      <c r="D130" s="85">
        <v>5.5</v>
      </c>
      <c r="E130" s="6">
        <v>0.05</v>
      </c>
      <c r="F130" s="6">
        <f t="shared" si="24"/>
        <v>110</v>
      </c>
      <c r="L130" s="84">
        <v>0</v>
      </c>
      <c r="M130" s="75">
        <v>0</v>
      </c>
      <c r="N130" s="75">
        <v>0</v>
      </c>
      <c r="O130" s="75">
        <v>1</v>
      </c>
      <c r="P130" s="75">
        <v>0</v>
      </c>
      <c r="Q130" s="84">
        <v>191110</v>
      </c>
      <c r="R130" s="75">
        <v>4</v>
      </c>
      <c r="S130" s="75">
        <f t="shared" si="7"/>
        <v>191105</v>
      </c>
      <c r="U130" s="75">
        <v>9.18</v>
      </c>
      <c r="V130" s="75">
        <v>19.5</v>
      </c>
      <c r="W130" s="84">
        <v>1</v>
      </c>
      <c r="X130" s="75">
        <v>0</v>
      </c>
      <c r="Y130" s="84">
        <v>0</v>
      </c>
      <c r="Z130" s="75">
        <v>1</v>
      </c>
      <c r="AA130" s="75">
        <v>0</v>
      </c>
      <c r="AB130" s="75">
        <v>0</v>
      </c>
      <c r="AC130" s="84">
        <v>0</v>
      </c>
      <c r="AD130" s="75">
        <v>0</v>
      </c>
      <c r="AE130" s="75">
        <v>1</v>
      </c>
      <c r="AF130" s="84">
        <v>1</v>
      </c>
      <c r="AG130" s="75">
        <v>0</v>
      </c>
      <c r="AH130" s="74">
        <v>1940</v>
      </c>
      <c r="AI130">
        <f t="shared" ref="AI130:AJ166" si="28">(1-$AK130-$AL130)/2</f>
        <v>0.33749999999999997</v>
      </c>
      <c r="AJ130">
        <f t="shared" si="28"/>
        <v>0.33749999999999997</v>
      </c>
      <c r="AK130" s="75">
        <v>0.28199999999999997</v>
      </c>
      <c r="AL130" s="75">
        <v>4.2999999999999997E-2</v>
      </c>
      <c r="AM130" s="29">
        <v>1</v>
      </c>
      <c r="AN130">
        <v>0</v>
      </c>
      <c r="AO130" s="29">
        <v>1</v>
      </c>
      <c r="AP130">
        <v>0</v>
      </c>
      <c r="AQ130" s="29">
        <v>0.93</v>
      </c>
      <c r="AR130">
        <f>1-AQ130</f>
        <v>6.9999999999999951E-2</v>
      </c>
      <c r="AU130" s="29">
        <v>0.75</v>
      </c>
      <c r="AV130" s="12">
        <f t="shared" si="26"/>
        <v>0.25</v>
      </c>
      <c r="AW130">
        <v>0.10100000000000001</v>
      </c>
      <c r="AX130">
        <v>0.10100000000000001</v>
      </c>
      <c r="AY130">
        <v>0.79800000000000004</v>
      </c>
      <c r="AZ130" s="65" t="s">
        <v>95</v>
      </c>
      <c r="BN130" s="67">
        <v>37.5</v>
      </c>
      <c r="BO130">
        <v>1</v>
      </c>
      <c r="BP130">
        <v>0</v>
      </c>
      <c r="BQ130">
        <v>0</v>
      </c>
      <c r="BR130">
        <v>0</v>
      </c>
      <c r="BS130">
        <v>0</v>
      </c>
      <c r="BT130">
        <v>0</v>
      </c>
      <c r="BY130">
        <v>0</v>
      </c>
      <c r="BZ130" s="29">
        <v>0</v>
      </c>
      <c r="CA130">
        <v>0</v>
      </c>
      <c r="CB130">
        <v>0</v>
      </c>
      <c r="CC130" s="29">
        <v>1</v>
      </c>
      <c r="CD130">
        <v>1</v>
      </c>
      <c r="CE130">
        <v>0</v>
      </c>
      <c r="CF130">
        <v>0</v>
      </c>
      <c r="CG130">
        <v>1</v>
      </c>
      <c r="CH130">
        <v>0</v>
      </c>
      <c r="CI130">
        <v>0</v>
      </c>
      <c r="CJ130">
        <v>0</v>
      </c>
      <c r="CK130">
        <v>0</v>
      </c>
      <c r="CL130">
        <v>0</v>
      </c>
      <c r="CM130">
        <v>0</v>
      </c>
      <c r="CN130" s="17">
        <v>0</v>
      </c>
      <c r="CT130">
        <v>0</v>
      </c>
    </row>
    <row r="131" spans="1:98" x14ac:dyDescent="0.25">
      <c r="A131">
        <v>130</v>
      </c>
      <c r="B131">
        <v>10</v>
      </c>
      <c r="C131" t="s">
        <v>322</v>
      </c>
      <c r="D131" s="85">
        <v>3.8</v>
      </c>
      <c r="E131" s="6">
        <v>0.1</v>
      </c>
      <c r="F131" s="6">
        <f t="shared" si="24"/>
        <v>37.999999999999993</v>
      </c>
      <c r="L131" s="84">
        <v>0</v>
      </c>
      <c r="M131" s="75">
        <v>0</v>
      </c>
      <c r="N131" s="75">
        <v>0</v>
      </c>
      <c r="O131" s="75">
        <v>1</v>
      </c>
      <c r="P131" s="75">
        <v>0</v>
      </c>
      <c r="Q131" s="84">
        <v>191110</v>
      </c>
      <c r="R131" s="75">
        <v>4</v>
      </c>
      <c r="S131" s="75">
        <f t="shared" si="7"/>
        <v>191105</v>
      </c>
      <c r="U131" s="75">
        <v>9.18</v>
      </c>
      <c r="V131" s="75">
        <v>19.5</v>
      </c>
      <c r="W131" s="84">
        <v>1</v>
      </c>
      <c r="X131" s="75">
        <v>0</v>
      </c>
      <c r="Y131" s="84">
        <v>0</v>
      </c>
      <c r="Z131" s="75">
        <v>1</v>
      </c>
      <c r="AA131" s="75">
        <v>0</v>
      </c>
      <c r="AB131" s="75">
        <v>0</v>
      </c>
      <c r="AC131" s="84">
        <v>0</v>
      </c>
      <c r="AD131" s="75">
        <v>0</v>
      </c>
      <c r="AE131" s="75">
        <v>1</v>
      </c>
      <c r="AF131" s="84">
        <v>1</v>
      </c>
      <c r="AG131" s="75">
        <v>0</v>
      </c>
      <c r="AH131" s="74">
        <v>1940</v>
      </c>
      <c r="AI131">
        <f t="shared" si="28"/>
        <v>0.33749999999999997</v>
      </c>
      <c r="AJ131">
        <f t="shared" si="28"/>
        <v>0.33749999999999997</v>
      </c>
      <c r="AK131" s="75">
        <v>0.28199999999999997</v>
      </c>
      <c r="AL131" s="75">
        <v>4.2999999999999997E-2</v>
      </c>
      <c r="AM131" s="29">
        <v>1</v>
      </c>
      <c r="AN131">
        <v>0</v>
      </c>
      <c r="AO131" s="29">
        <v>1</v>
      </c>
      <c r="AP131">
        <v>0</v>
      </c>
      <c r="AQ131" s="29">
        <v>0.93</v>
      </c>
      <c r="AR131">
        <f>1-AQ131</f>
        <v>6.9999999999999951E-2</v>
      </c>
      <c r="AU131" s="29">
        <v>0.75</v>
      </c>
      <c r="AV131" s="12">
        <f t="shared" si="26"/>
        <v>0.25</v>
      </c>
      <c r="AW131">
        <v>0.10100000000000001</v>
      </c>
      <c r="AX131">
        <v>0.10100000000000001</v>
      </c>
      <c r="AY131">
        <v>0.79800000000000004</v>
      </c>
      <c r="AZ131" s="65" t="s">
        <v>95</v>
      </c>
      <c r="BN131" s="67">
        <v>37.5</v>
      </c>
      <c r="BO131">
        <v>1</v>
      </c>
      <c r="BP131">
        <v>0</v>
      </c>
      <c r="BQ131">
        <v>0</v>
      </c>
      <c r="BR131">
        <v>0</v>
      </c>
      <c r="BS131">
        <v>0</v>
      </c>
      <c r="BT131">
        <v>0</v>
      </c>
      <c r="BY131">
        <v>0</v>
      </c>
      <c r="BZ131" s="29">
        <v>0</v>
      </c>
      <c r="CA131">
        <v>0</v>
      </c>
      <c r="CB131">
        <v>0</v>
      </c>
      <c r="CC131" s="29">
        <v>1</v>
      </c>
      <c r="CD131">
        <v>1</v>
      </c>
      <c r="CE131">
        <v>0</v>
      </c>
      <c r="CF131">
        <v>0</v>
      </c>
      <c r="CG131">
        <v>1</v>
      </c>
      <c r="CH131">
        <v>0</v>
      </c>
      <c r="CI131">
        <v>0</v>
      </c>
      <c r="CJ131">
        <v>0</v>
      </c>
      <c r="CK131">
        <v>0</v>
      </c>
      <c r="CL131">
        <v>0</v>
      </c>
      <c r="CM131">
        <v>0</v>
      </c>
      <c r="CN131" s="17">
        <v>0</v>
      </c>
      <c r="CT131" t="s">
        <v>48</v>
      </c>
    </row>
    <row r="132" spans="1:98" x14ac:dyDescent="0.25">
      <c r="A132">
        <v>131</v>
      </c>
      <c r="B132">
        <v>10</v>
      </c>
      <c r="C132" t="s">
        <v>322</v>
      </c>
      <c r="D132" s="85">
        <v>5</v>
      </c>
      <c r="E132" s="6">
        <v>0.1</v>
      </c>
      <c r="F132" s="6">
        <f t="shared" si="24"/>
        <v>50</v>
      </c>
      <c r="L132" s="84">
        <v>0</v>
      </c>
      <c r="M132" s="75">
        <v>0</v>
      </c>
      <c r="N132" s="75">
        <v>0</v>
      </c>
      <c r="O132" s="75">
        <v>1</v>
      </c>
      <c r="P132" s="75">
        <v>0</v>
      </c>
      <c r="Q132" s="84">
        <v>38652</v>
      </c>
      <c r="R132" s="75">
        <v>1</v>
      </c>
      <c r="S132" s="75">
        <f t="shared" si="7"/>
        <v>38650</v>
      </c>
      <c r="U132" s="75">
        <v>9.6300000000000008</v>
      </c>
      <c r="V132" s="75">
        <v>18.5</v>
      </c>
      <c r="W132" s="84">
        <v>1</v>
      </c>
      <c r="X132" s="75">
        <v>0</v>
      </c>
      <c r="Y132" s="84">
        <v>0</v>
      </c>
      <c r="Z132" s="75">
        <v>1</v>
      </c>
      <c r="AA132" s="75">
        <v>0</v>
      </c>
      <c r="AB132" s="75">
        <v>0</v>
      </c>
      <c r="AC132" s="84">
        <v>0</v>
      </c>
      <c r="AD132" s="75">
        <v>0</v>
      </c>
      <c r="AE132" s="75">
        <v>1</v>
      </c>
      <c r="AF132" s="84">
        <v>1</v>
      </c>
      <c r="AG132" s="75">
        <v>0</v>
      </c>
      <c r="AH132" s="74">
        <v>1940</v>
      </c>
      <c r="AI132">
        <f t="shared" si="28"/>
        <v>0.33749999999999997</v>
      </c>
      <c r="AJ132">
        <f t="shared" si="28"/>
        <v>0.33749999999999997</v>
      </c>
      <c r="AK132" s="75">
        <v>0.28199999999999997</v>
      </c>
      <c r="AL132" s="75">
        <v>4.2999999999999997E-2</v>
      </c>
      <c r="AM132" s="29">
        <v>1</v>
      </c>
      <c r="AN132">
        <v>0</v>
      </c>
      <c r="AO132" s="29">
        <v>1</v>
      </c>
      <c r="AP132">
        <v>0</v>
      </c>
      <c r="AQ132" s="29">
        <v>0.96</v>
      </c>
      <c r="AR132">
        <f>1-AQ132</f>
        <v>4.0000000000000036E-2</v>
      </c>
      <c r="AU132" s="29">
        <v>0.75</v>
      </c>
      <c r="AV132" s="12">
        <f t="shared" si="26"/>
        <v>0.25</v>
      </c>
      <c r="AW132">
        <v>0.5</v>
      </c>
      <c r="AX132">
        <v>0.5</v>
      </c>
      <c r="AY132">
        <v>0</v>
      </c>
      <c r="AZ132" s="65" t="s">
        <v>95</v>
      </c>
      <c r="BN132" s="67">
        <v>36.6</v>
      </c>
      <c r="BO132">
        <v>1</v>
      </c>
      <c r="BP132">
        <v>0</v>
      </c>
      <c r="BQ132">
        <v>0</v>
      </c>
      <c r="BR132">
        <v>0</v>
      </c>
      <c r="BS132">
        <v>0</v>
      </c>
      <c r="BT132">
        <v>0</v>
      </c>
      <c r="BY132">
        <v>0</v>
      </c>
      <c r="BZ132" s="29">
        <v>0</v>
      </c>
      <c r="CA132">
        <v>0</v>
      </c>
      <c r="CB132">
        <v>0</v>
      </c>
      <c r="CC132" s="29">
        <v>0</v>
      </c>
      <c r="CD132">
        <v>0</v>
      </c>
      <c r="CE132">
        <v>0</v>
      </c>
      <c r="CF132">
        <v>0</v>
      </c>
      <c r="CG132">
        <v>0</v>
      </c>
      <c r="CH132">
        <v>0</v>
      </c>
      <c r="CI132">
        <v>0</v>
      </c>
      <c r="CJ132">
        <v>0</v>
      </c>
      <c r="CK132">
        <v>0</v>
      </c>
      <c r="CL132">
        <v>0</v>
      </c>
      <c r="CM132">
        <v>0</v>
      </c>
      <c r="CN132" s="17">
        <v>0</v>
      </c>
      <c r="CT132" t="s">
        <v>48</v>
      </c>
    </row>
    <row r="133" spans="1:98" x14ac:dyDescent="0.25">
      <c r="A133">
        <v>132</v>
      </c>
      <c r="B133">
        <v>10</v>
      </c>
      <c r="C133" t="s">
        <v>322</v>
      </c>
      <c r="D133" s="85">
        <v>5.6</v>
      </c>
      <c r="E133" s="6">
        <v>0.1</v>
      </c>
      <c r="F133" s="6">
        <f t="shared" si="24"/>
        <v>55.999999999999993</v>
      </c>
      <c r="L133" s="84">
        <v>0</v>
      </c>
      <c r="M133" s="75">
        <v>0</v>
      </c>
      <c r="N133" s="75">
        <v>0</v>
      </c>
      <c r="O133" s="75">
        <v>1</v>
      </c>
      <c r="P133" s="75">
        <v>0</v>
      </c>
      <c r="Q133" s="84">
        <v>38652</v>
      </c>
      <c r="R133" s="75">
        <v>4</v>
      </c>
      <c r="S133" s="75">
        <f t="shared" si="7"/>
        <v>38647</v>
      </c>
      <c r="U133" s="75">
        <v>9.6300000000000008</v>
      </c>
      <c r="V133" s="75">
        <v>18.5</v>
      </c>
      <c r="W133" s="84">
        <v>1</v>
      </c>
      <c r="X133" s="75">
        <v>0</v>
      </c>
      <c r="Y133" s="84">
        <v>0</v>
      </c>
      <c r="Z133" s="75">
        <v>1</v>
      </c>
      <c r="AA133" s="75">
        <v>0</v>
      </c>
      <c r="AB133" s="75">
        <v>0</v>
      </c>
      <c r="AC133" s="84">
        <v>0</v>
      </c>
      <c r="AD133" s="75">
        <v>0</v>
      </c>
      <c r="AE133" s="75">
        <v>1</v>
      </c>
      <c r="AF133" s="84">
        <v>1</v>
      </c>
      <c r="AG133" s="75">
        <v>0</v>
      </c>
      <c r="AH133" s="74">
        <v>1940</v>
      </c>
      <c r="AI133">
        <f t="shared" si="28"/>
        <v>0.33749999999999997</v>
      </c>
      <c r="AJ133">
        <f t="shared" si="28"/>
        <v>0.33749999999999997</v>
      </c>
      <c r="AK133" s="75">
        <v>0.28199999999999997</v>
      </c>
      <c r="AL133" s="75">
        <v>4.2999999999999997E-2</v>
      </c>
      <c r="AM133" s="29">
        <v>1</v>
      </c>
      <c r="AN133">
        <v>0</v>
      </c>
      <c r="AO133" s="29">
        <v>1</v>
      </c>
      <c r="AP133">
        <v>0</v>
      </c>
      <c r="AQ133" s="29">
        <v>0.96</v>
      </c>
      <c r="AR133">
        <f t="shared" ref="AR133:AR136" si="29">1-AQ133</f>
        <v>4.0000000000000036E-2</v>
      </c>
      <c r="AU133" s="29">
        <v>0.75</v>
      </c>
      <c r="AV133" s="12">
        <f t="shared" ref="AV133:AV138" si="30">1-AU133</f>
        <v>0.25</v>
      </c>
      <c r="AW133">
        <v>0.5</v>
      </c>
      <c r="AX133">
        <v>0.5</v>
      </c>
      <c r="AY133">
        <v>0</v>
      </c>
      <c r="AZ133" s="65" t="s">
        <v>95</v>
      </c>
      <c r="BN133" s="67">
        <v>36.6</v>
      </c>
      <c r="BO133">
        <v>1</v>
      </c>
      <c r="BP133">
        <v>0</v>
      </c>
      <c r="BQ133">
        <v>0</v>
      </c>
      <c r="BR133">
        <v>0</v>
      </c>
      <c r="BS133">
        <v>0</v>
      </c>
      <c r="BT133">
        <v>0</v>
      </c>
      <c r="BY133">
        <v>0</v>
      </c>
      <c r="BZ133" s="29">
        <v>0</v>
      </c>
      <c r="CA133">
        <v>0</v>
      </c>
      <c r="CB133">
        <v>0</v>
      </c>
      <c r="CC133" s="29">
        <v>1</v>
      </c>
      <c r="CD133">
        <v>1</v>
      </c>
      <c r="CE133">
        <v>0</v>
      </c>
      <c r="CF133">
        <v>0</v>
      </c>
      <c r="CG133">
        <v>1</v>
      </c>
      <c r="CH133">
        <v>0</v>
      </c>
      <c r="CI133">
        <v>0</v>
      </c>
      <c r="CJ133">
        <v>0</v>
      </c>
      <c r="CK133">
        <v>0</v>
      </c>
      <c r="CL133">
        <v>0</v>
      </c>
      <c r="CM133">
        <v>0</v>
      </c>
      <c r="CN133" s="17">
        <v>0</v>
      </c>
      <c r="CT133" t="s">
        <v>48</v>
      </c>
    </row>
    <row r="134" spans="1:98" x14ac:dyDescent="0.25">
      <c r="A134">
        <v>133</v>
      </c>
      <c r="B134">
        <v>10</v>
      </c>
      <c r="C134" t="s">
        <v>322</v>
      </c>
      <c r="D134" s="85">
        <v>3.6</v>
      </c>
      <c r="E134" s="6">
        <v>0.2</v>
      </c>
      <c r="F134" s="6">
        <f t="shared" si="24"/>
        <v>18</v>
      </c>
      <c r="L134" s="84">
        <v>0</v>
      </c>
      <c r="M134" s="75">
        <v>0</v>
      </c>
      <c r="N134" s="75">
        <v>0</v>
      </c>
      <c r="O134" s="75">
        <v>1</v>
      </c>
      <c r="P134" s="75">
        <v>0</v>
      </c>
      <c r="Q134" s="84">
        <v>38652</v>
      </c>
      <c r="R134" s="75">
        <v>4</v>
      </c>
      <c r="S134" s="75">
        <f t="shared" si="7"/>
        <v>38647</v>
      </c>
      <c r="U134" s="75">
        <v>9.6300000000000008</v>
      </c>
      <c r="V134" s="75">
        <v>18.5</v>
      </c>
      <c r="W134" s="84">
        <v>1</v>
      </c>
      <c r="X134" s="75">
        <v>0</v>
      </c>
      <c r="Y134" s="84">
        <v>0</v>
      </c>
      <c r="Z134" s="75">
        <v>1</v>
      </c>
      <c r="AA134" s="75">
        <v>0</v>
      </c>
      <c r="AB134" s="75">
        <v>0</v>
      </c>
      <c r="AC134" s="84">
        <v>0</v>
      </c>
      <c r="AD134" s="75">
        <v>0</v>
      </c>
      <c r="AE134" s="75">
        <v>1</v>
      </c>
      <c r="AF134" s="84">
        <v>1</v>
      </c>
      <c r="AG134" s="75">
        <v>0</v>
      </c>
      <c r="AH134" s="74">
        <v>1940</v>
      </c>
      <c r="AI134">
        <f t="shared" si="28"/>
        <v>0.33749999999999997</v>
      </c>
      <c r="AJ134">
        <f t="shared" si="28"/>
        <v>0.33749999999999997</v>
      </c>
      <c r="AK134" s="75">
        <v>0.28199999999999997</v>
      </c>
      <c r="AL134" s="75">
        <v>4.2999999999999997E-2</v>
      </c>
      <c r="AM134" s="29">
        <v>1</v>
      </c>
      <c r="AN134">
        <v>0</v>
      </c>
      <c r="AO134" s="29">
        <v>1</v>
      </c>
      <c r="AP134">
        <v>0</v>
      </c>
      <c r="AQ134" s="29">
        <v>0.96</v>
      </c>
      <c r="AR134">
        <f t="shared" si="29"/>
        <v>4.0000000000000036E-2</v>
      </c>
      <c r="AU134" s="29">
        <v>0.75</v>
      </c>
      <c r="AV134" s="12">
        <f t="shared" si="30"/>
        <v>0.25</v>
      </c>
      <c r="AW134">
        <v>0.5</v>
      </c>
      <c r="AX134">
        <v>0.5</v>
      </c>
      <c r="AY134">
        <v>0</v>
      </c>
      <c r="AZ134" s="65" t="s">
        <v>95</v>
      </c>
      <c r="BN134" s="67">
        <v>36.6</v>
      </c>
      <c r="BO134">
        <v>1</v>
      </c>
      <c r="BP134">
        <v>0</v>
      </c>
      <c r="BQ134">
        <v>0</v>
      </c>
      <c r="BR134">
        <v>0</v>
      </c>
      <c r="BS134">
        <v>0</v>
      </c>
      <c r="BT134">
        <v>0</v>
      </c>
      <c r="BY134">
        <v>0</v>
      </c>
      <c r="BZ134" s="29">
        <v>0</v>
      </c>
      <c r="CA134">
        <v>0</v>
      </c>
      <c r="CB134">
        <v>0</v>
      </c>
      <c r="CC134" s="29">
        <v>1</v>
      </c>
      <c r="CD134">
        <v>1</v>
      </c>
      <c r="CE134">
        <v>0</v>
      </c>
      <c r="CF134">
        <v>0</v>
      </c>
      <c r="CG134">
        <v>1</v>
      </c>
      <c r="CH134">
        <v>0</v>
      </c>
      <c r="CI134">
        <v>0</v>
      </c>
      <c r="CJ134">
        <v>0</v>
      </c>
      <c r="CK134">
        <v>0</v>
      </c>
      <c r="CL134">
        <v>0</v>
      </c>
      <c r="CM134">
        <v>0</v>
      </c>
      <c r="CN134" s="17">
        <v>0</v>
      </c>
      <c r="CT134" t="s">
        <v>48</v>
      </c>
    </row>
    <row r="135" spans="1:98" x14ac:dyDescent="0.25">
      <c r="A135">
        <v>134</v>
      </c>
      <c r="B135">
        <v>10</v>
      </c>
      <c r="C135" t="s">
        <v>322</v>
      </c>
      <c r="D135" s="85">
        <v>4.4000000000000004</v>
      </c>
      <c r="E135" s="6">
        <v>0.2</v>
      </c>
      <c r="F135" s="6">
        <f t="shared" si="24"/>
        <v>22</v>
      </c>
      <c r="L135" s="84">
        <v>0</v>
      </c>
      <c r="M135" s="75">
        <v>0</v>
      </c>
      <c r="N135" s="75">
        <v>0</v>
      </c>
      <c r="O135" s="75">
        <v>1</v>
      </c>
      <c r="P135" s="75">
        <v>0</v>
      </c>
      <c r="Q135" s="84">
        <v>38652</v>
      </c>
      <c r="R135" s="75">
        <v>1</v>
      </c>
      <c r="S135" s="75">
        <f t="shared" si="7"/>
        <v>38650</v>
      </c>
      <c r="U135" s="75">
        <v>9.6300000000000008</v>
      </c>
      <c r="V135" s="75">
        <v>18.5</v>
      </c>
      <c r="W135" s="84">
        <v>1</v>
      </c>
      <c r="X135" s="75">
        <v>0</v>
      </c>
      <c r="Y135" s="84">
        <v>0</v>
      </c>
      <c r="Z135" s="75">
        <v>1</v>
      </c>
      <c r="AA135" s="75">
        <v>0</v>
      </c>
      <c r="AB135" s="75">
        <v>0</v>
      </c>
      <c r="AC135" s="84">
        <v>0</v>
      </c>
      <c r="AD135" s="75">
        <v>0</v>
      </c>
      <c r="AE135" s="75">
        <v>1</v>
      </c>
      <c r="AF135" s="84">
        <v>1</v>
      </c>
      <c r="AG135" s="75">
        <v>0</v>
      </c>
      <c r="AH135" s="74">
        <v>1940</v>
      </c>
      <c r="AI135">
        <f t="shared" si="28"/>
        <v>0.33749999999999997</v>
      </c>
      <c r="AJ135">
        <f t="shared" si="28"/>
        <v>0.33749999999999997</v>
      </c>
      <c r="AK135" s="75">
        <v>0.28199999999999997</v>
      </c>
      <c r="AL135" s="75">
        <v>4.2999999999999997E-2</v>
      </c>
      <c r="AM135" s="29">
        <v>1</v>
      </c>
      <c r="AN135">
        <v>0</v>
      </c>
      <c r="AO135" s="29">
        <v>1</v>
      </c>
      <c r="AP135">
        <v>0</v>
      </c>
      <c r="AQ135" s="29">
        <v>0.96</v>
      </c>
      <c r="AR135">
        <f t="shared" si="29"/>
        <v>4.0000000000000036E-2</v>
      </c>
      <c r="AU135" s="29">
        <v>0.75</v>
      </c>
      <c r="AV135" s="12">
        <f t="shared" si="30"/>
        <v>0.25</v>
      </c>
      <c r="AW135">
        <v>0.5</v>
      </c>
      <c r="AX135">
        <v>0.5</v>
      </c>
      <c r="AY135">
        <v>0</v>
      </c>
      <c r="AZ135" s="65" t="s">
        <v>95</v>
      </c>
      <c r="BN135" s="67">
        <v>36.6</v>
      </c>
      <c r="BO135">
        <v>1</v>
      </c>
      <c r="BP135">
        <v>0</v>
      </c>
      <c r="BQ135">
        <v>0</v>
      </c>
      <c r="BR135">
        <v>0</v>
      </c>
      <c r="BS135">
        <v>0</v>
      </c>
      <c r="BT135">
        <v>0</v>
      </c>
      <c r="BY135">
        <v>0</v>
      </c>
      <c r="BZ135" s="29">
        <v>0</v>
      </c>
      <c r="CA135">
        <v>0</v>
      </c>
      <c r="CB135">
        <v>0</v>
      </c>
      <c r="CC135" s="29">
        <v>0</v>
      </c>
      <c r="CD135">
        <v>0</v>
      </c>
      <c r="CE135">
        <v>0</v>
      </c>
      <c r="CF135">
        <v>0</v>
      </c>
      <c r="CG135">
        <v>0</v>
      </c>
      <c r="CH135">
        <v>0</v>
      </c>
      <c r="CI135">
        <v>0</v>
      </c>
      <c r="CJ135">
        <v>0</v>
      </c>
      <c r="CK135">
        <v>0</v>
      </c>
      <c r="CL135">
        <v>0</v>
      </c>
      <c r="CM135">
        <v>0</v>
      </c>
      <c r="CN135" s="17">
        <v>0</v>
      </c>
      <c r="CT135" t="s">
        <v>48</v>
      </c>
    </row>
    <row r="136" spans="1:98" x14ac:dyDescent="0.25">
      <c r="A136">
        <v>135</v>
      </c>
      <c r="B136">
        <v>10</v>
      </c>
      <c r="C136" t="s">
        <v>322</v>
      </c>
      <c r="D136" s="85">
        <v>3.5</v>
      </c>
      <c r="E136" s="6">
        <v>0.3</v>
      </c>
      <c r="F136" s="6">
        <f t="shared" si="24"/>
        <v>11.666666666666668</v>
      </c>
      <c r="L136" s="84">
        <v>0</v>
      </c>
      <c r="M136" s="75">
        <v>0</v>
      </c>
      <c r="N136" s="75">
        <v>0</v>
      </c>
      <c r="O136" s="75">
        <v>1</v>
      </c>
      <c r="P136" s="75">
        <v>0</v>
      </c>
      <c r="Q136" s="84">
        <v>38652</v>
      </c>
      <c r="R136" s="75">
        <v>1</v>
      </c>
      <c r="S136" s="75">
        <f t="shared" si="7"/>
        <v>38650</v>
      </c>
      <c r="U136" s="75">
        <v>9.6300000000000008</v>
      </c>
      <c r="V136" s="75">
        <v>18.5</v>
      </c>
      <c r="W136" s="84">
        <v>1</v>
      </c>
      <c r="X136" s="75">
        <v>0</v>
      </c>
      <c r="Y136" s="84">
        <v>0</v>
      </c>
      <c r="Z136" s="75">
        <v>1</v>
      </c>
      <c r="AA136" s="75">
        <v>0</v>
      </c>
      <c r="AB136" s="75">
        <v>0</v>
      </c>
      <c r="AC136" s="84">
        <v>0</v>
      </c>
      <c r="AD136" s="75">
        <v>0</v>
      </c>
      <c r="AE136" s="75">
        <v>1</v>
      </c>
      <c r="AF136" s="84">
        <v>1</v>
      </c>
      <c r="AG136" s="75">
        <v>0</v>
      </c>
      <c r="AH136" s="74">
        <v>1940</v>
      </c>
      <c r="AI136">
        <f t="shared" si="28"/>
        <v>0.33749999999999997</v>
      </c>
      <c r="AJ136">
        <f t="shared" si="28"/>
        <v>0.33749999999999997</v>
      </c>
      <c r="AK136" s="75">
        <v>0.28199999999999997</v>
      </c>
      <c r="AL136" s="75">
        <v>4.2999999999999997E-2</v>
      </c>
      <c r="AM136" s="29">
        <v>1</v>
      </c>
      <c r="AN136">
        <v>0</v>
      </c>
      <c r="AO136" s="29">
        <v>1</v>
      </c>
      <c r="AP136">
        <v>0</v>
      </c>
      <c r="AQ136" s="29">
        <v>0.96</v>
      </c>
      <c r="AR136">
        <f t="shared" si="29"/>
        <v>4.0000000000000036E-2</v>
      </c>
      <c r="AU136" s="29">
        <v>0.75</v>
      </c>
      <c r="AV136" s="12">
        <f t="shared" si="30"/>
        <v>0.25</v>
      </c>
      <c r="AW136">
        <v>0.5</v>
      </c>
      <c r="AX136">
        <v>0.5</v>
      </c>
      <c r="AY136">
        <v>0</v>
      </c>
      <c r="AZ136" s="65" t="s">
        <v>95</v>
      </c>
      <c r="BN136" s="67">
        <v>36.6</v>
      </c>
      <c r="BO136">
        <v>1</v>
      </c>
      <c r="BP136">
        <v>0</v>
      </c>
      <c r="BQ136">
        <v>0</v>
      </c>
      <c r="BR136">
        <v>0</v>
      </c>
      <c r="BS136">
        <v>0</v>
      </c>
      <c r="BT136">
        <v>0</v>
      </c>
      <c r="BY136">
        <v>0</v>
      </c>
      <c r="BZ136" s="29">
        <v>0</v>
      </c>
      <c r="CA136">
        <v>0</v>
      </c>
      <c r="CB136">
        <v>0</v>
      </c>
      <c r="CC136" s="29">
        <v>0</v>
      </c>
      <c r="CD136">
        <v>0</v>
      </c>
      <c r="CE136">
        <v>0</v>
      </c>
      <c r="CF136">
        <v>0</v>
      </c>
      <c r="CG136">
        <v>0</v>
      </c>
      <c r="CH136">
        <v>0</v>
      </c>
      <c r="CI136">
        <v>0</v>
      </c>
      <c r="CJ136">
        <v>0</v>
      </c>
      <c r="CK136">
        <v>0</v>
      </c>
      <c r="CL136">
        <v>0</v>
      </c>
      <c r="CM136">
        <v>0</v>
      </c>
      <c r="CN136" s="17">
        <v>0</v>
      </c>
      <c r="CT136" t="s">
        <v>48</v>
      </c>
    </row>
    <row r="137" spans="1:98" x14ac:dyDescent="0.25">
      <c r="A137">
        <v>136</v>
      </c>
      <c r="B137">
        <v>10</v>
      </c>
      <c r="C137" t="s">
        <v>322</v>
      </c>
      <c r="D137" s="85">
        <v>4.4000000000000004</v>
      </c>
      <c r="E137" s="6">
        <v>0.1</v>
      </c>
      <c r="F137" s="6">
        <f t="shared" si="24"/>
        <v>44</v>
      </c>
      <c r="L137" s="84">
        <v>0</v>
      </c>
      <c r="M137" s="75">
        <v>0</v>
      </c>
      <c r="N137" s="75">
        <v>0</v>
      </c>
      <c r="O137" s="75">
        <v>1</v>
      </c>
      <c r="P137" s="75">
        <v>0</v>
      </c>
      <c r="Q137" s="84">
        <v>97100</v>
      </c>
      <c r="R137" s="75">
        <v>1</v>
      </c>
      <c r="S137" s="75">
        <f t="shared" si="7"/>
        <v>97098</v>
      </c>
      <c r="U137" s="75">
        <v>9.18</v>
      </c>
      <c r="V137" s="75">
        <v>19.5</v>
      </c>
      <c r="W137" s="84">
        <v>1</v>
      </c>
      <c r="X137" s="75">
        <v>0</v>
      </c>
      <c r="Y137" s="84">
        <v>0</v>
      </c>
      <c r="Z137" s="75">
        <v>1</v>
      </c>
      <c r="AA137" s="75">
        <v>0</v>
      </c>
      <c r="AB137" s="75">
        <v>0</v>
      </c>
      <c r="AC137" s="84">
        <v>0</v>
      </c>
      <c r="AD137" s="75">
        <v>0</v>
      </c>
      <c r="AE137" s="75">
        <v>1</v>
      </c>
      <c r="AF137" s="84">
        <v>1</v>
      </c>
      <c r="AG137" s="75">
        <v>0</v>
      </c>
      <c r="AH137" s="74">
        <v>1940</v>
      </c>
      <c r="AI137">
        <f t="shared" si="28"/>
        <v>0.33749999999999997</v>
      </c>
      <c r="AJ137">
        <f t="shared" si="28"/>
        <v>0.33749999999999997</v>
      </c>
      <c r="AK137" s="75">
        <v>0.28199999999999997</v>
      </c>
      <c r="AL137" s="75">
        <v>4.2999999999999997E-2</v>
      </c>
      <c r="AM137" s="29">
        <v>1</v>
      </c>
      <c r="AN137">
        <v>0</v>
      </c>
      <c r="AO137" s="29">
        <v>1</v>
      </c>
      <c r="AP137">
        <v>0</v>
      </c>
      <c r="AQ137" s="29">
        <v>0.93</v>
      </c>
      <c r="AR137">
        <f>1-AQ137</f>
        <v>6.9999999999999951E-2</v>
      </c>
      <c r="AU137" s="29">
        <v>0.75</v>
      </c>
      <c r="AV137" s="12">
        <f t="shared" si="30"/>
        <v>0.25</v>
      </c>
      <c r="AW137">
        <v>0.10100000000000001</v>
      </c>
      <c r="AX137">
        <v>0.10100000000000001</v>
      </c>
      <c r="AY137">
        <v>0.79800000000000004</v>
      </c>
      <c r="AZ137" s="65" t="s">
        <v>95</v>
      </c>
      <c r="BN137" s="67">
        <v>36.6</v>
      </c>
      <c r="BO137">
        <v>1</v>
      </c>
      <c r="BP137">
        <v>0</v>
      </c>
      <c r="BQ137">
        <v>0</v>
      </c>
      <c r="BR137">
        <v>0</v>
      </c>
      <c r="BS137">
        <v>0</v>
      </c>
      <c r="BT137">
        <v>0</v>
      </c>
      <c r="BY137">
        <v>0</v>
      </c>
      <c r="BZ137" s="29">
        <v>0</v>
      </c>
      <c r="CA137">
        <v>0</v>
      </c>
      <c r="CB137">
        <v>0</v>
      </c>
      <c r="CC137" s="29">
        <v>0</v>
      </c>
      <c r="CD137">
        <v>0</v>
      </c>
      <c r="CE137">
        <v>0</v>
      </c>
      <c r="CF137">
        <v>0</v>
      </c>
      <c r="CG137">
        <v>0</v>
      </c>
      <c r="CH137">
        <v>0</v>
      </c>
      <c r="CI137">
        <v>0</v>
      </c>
      <c r="CJ137">
        <v>0</v>
      </c>
      <c r="CK137">
        <v>0</v>
      </c>
      <c r="CL137">
        <v>0</v>
      </c>
      <c r="CM137">
        <v>0</v>
      </c>
      <c r="CN137" s="17">
        <v>0</v>
      </c>
      <c r="CT137" t="s">
        <v>48</v>
      </c>
    </row>
    <row r="138" spans="1:98" x14ac:dyDescent="0.25">
      <c r="A138">
        <v>137</v>
      </c>
      <c r="B138">
        <v>10</v>
      </c>
      <c r="C138" t="s">
        <v>322</v>
      </c>
      <c r="D138" s="85">
        <v>6.1</v>
      </c>
      <c r="E138" s="6">
        <v>0.1</v>
      </c>
      <c r="F138" s="6">
        <f t="shared" si="24"/>
        <v>60.999999999999993</v>
      </c>
      <c r="L138" s="84">
        <v>0</v>
      </c>
      <c r="M138" s="75">
        <v>0</v>
      </c>
      <c r="N138" s="75">
        <v>0</v>
      </c>
      <c r="O138" s="75">
        <v>1</v>
      </c>
      <c r="P138" s="75">
        <v>0</v>
      </c>
      <c r="Q138" s="84">
        <v>97100</v>
      </c>
      <c r="R138" s="75">
        <v>4</v>
      </c>
      <c r="S138" s="75">
        <f t="shared" si="7"/>
        <v>97095</v>
      </c>
      <c r="U138" s="75">
        <v>9.18</v>
      </c>
      <c r="V138" s="75">
        <v>19.5</v>
      </c>
      <c r="W138" s="84">
        <v>1</v>
      </c>
      <c r="X138" s="75">
        <v>0</v>
      </c>
      <c r="Y138" s="84">
        <v>0</v>
      </c>
      <c r="Z138" s="75">
        <v>1</v>
      </c>
      <c r="AA138" s="75">
        <v>0</v>
      </c>
      <c r="AB138" s="75">
        <v>0</v>
      </c>
      <c r="AC138" s="84">
        <v>0</v>
      </c>
      <c r="AD138" s="75">
        <v>0</v>
      </c>
      <c r="AE138" s="75">
        <v>1</v>
      </c>
      <c r="AF138" s="84">
        <v>1</v>
      </c>
      <c r="AG138" s="75">
        <v>0</v>
      </c>
      <c r="AH138" s="74">
        <v>1940</v>
      </c>
      <c r="AI138">
        <f t="shared" si="28"/>
        <v>0.33749999999999997</v>
      </c>
      <c r="AJ138">
        <f t="shared" si="28"/>
        <v>0.33749999999999997</v>
      </c>
      <c r="AK138" s="75">
        <v>0.28199999999999997</v>
      </c>
      <c r="AL138" s="75">
        <v>4.2999999999999997E-2</v>
      </c>
      <c r="AM138" s="29">
        <v>1</v>
      </c>
      <c r="AN138">
        <v>0</v>
      </c>
      <c r="AO138" s="29">
        <v>1</v>
      </c>
      <c r="AP138">
        <v>0</v>
      </c>
      <c r="AQ138" s="29">
        <v>0.93</v>
      </c>
      <c r="AR138">
        <f>1-AQ138</f>
        <v>6.9999999999999951E-2</v>
      </c>
      <c r="AU138" s="29">
        <v>0.75</v>
      </c>
      <c r="AV138" s="12">
        <f t="shared" si="30"/>
        <v>0.25</v>
      </c>
      <c r="AW138">
        <v>0.10100000000000001</v>
      </c>
      <c r="AX138">
        <v>0.10100000000000001</v>
      </c>
      <c r="AY138">
        <v>0.79800000000000004</v>
      </c>
      <c r="AZ138" s="65" t="s">
        <v>95</v>
      </c>
      <c r="BN138" s="67">
        <v>36.6</v>
      </c>
      <c r="BO138">
        <v>1</v>
      </c>
      <c r="BP138">
        <v>0</v>
      </c>
      <c r="BQ138">
        <v>0</v>
      </c>
      <c r="BR138">
        <v>0</v>
      </c>
      <c r="BS138">
        <v>0</v>
      </c>
      <c r="BT138">
        <v>0</v>
      </c>
      <c r="BY138">
        <v>0</v>
      </c>
      <c r="BZ138" s="29">
        <v>0</v>
      </c>
      <c r="CA138">
        <v>0</v>
      </c>
      <c r="CB138">
        <v>0</v>
      </c>
      <c r="CC138" s="29">
        <v>1</v>
      </c>
      <c r="CD138">
        <v>1</v>
      </c>
      <c r="CE138">
        <v>0</v>
      </c>
      <c r="CF138">
        <v>0</v>
      </c>
      <c r="CG138">
        <v>1</v>
      </c>
      <c r="CH138">
        <v>0</v>
      </c>
      <c r="CI138">
        <v>0</v>
      </c>
      <c r="CJ138">
        <v>0</v>
      </c>
      <c r="CK138">
        <v>0</v>
      </c>
      <c r="CL138">
        <v>0</v>
      </c>
      <c r="CM138">
        <v>0</v>
      </c>
      <c r="CN138" s="17">
        <v>0</v>
      </c>
      <c r="CT138" t="s">
        <v>48</v>
      </c>
    </row>
    <row r="139" spans="1:98" x14ac:dyDescent="0.25">
      <c r="A139">
        <v>138</v>
      </c>
      <c r="B139">
        <v>10</v>
      </c>
      <c r="C139" t="s">
        <v>322</v>
      </c>
      <c r="D139" s="85">
        <v>4.7</v>
      </c>
      <c r="E139" s="6">
        <v>0.2</v>
      </c>
      <c r="F139" s="6">
        <f t="shared" si="24"/>
        <v>23.5</v>
      </c>
      <c r="L139" s="84">
        <v>0</v>
      </c>
      <c r="M139" s="75">
        <v>0</v>
      </c>
      <c r="N139" s="75">
        <v>0</v>
      </c>
      <c r="O139" s="75">
        <v>1</v>
      </c>
      <c r="P139" s="75">
        <v>0</v>
      </c>
      <c r="Q139" s="84">
        <v>13094</v>
      </c>
      <c r="R139" s="75">
        <v>1</v>
      </c>
      <c r="S139" s="75">
        <f t="shared" si="7"/>
        <v>13092</v>
      </c>
      <c r="U139" s="75">
        <v>9.6300000000000008</v>
      </c>
      <c r="V139" s="75">
        <v>18.5</v>
      </c>
      <c r="W139" s="84">
        <v>1</v>
      </c>
      <c r="X139" s="75">
        <v>0</v>
      </c>
      <c r="Y139" s="84">
        <v>0</v>
      </c>
      <c r="Z139" s="75">
        <v>1</v>
      </c>
      <c r="AA139" s="75">
        <v>0</v>
      </c>
      <c r="AB139" s="75">
        <v>0</v>
      </c>
      <c r="AC139" s="84">
        <v>0</v>
      </c>
      <c r="AD139" s="75">
        <v>0</v>
      </c>
      <c r="AE139" s="75">
        <v>1</v>
      </c>
      <c r="AF139" s="84">
        <v>1</v>
      </c>
      <c r="AG139" s="75">
        <v>0</v>
      </c>
      <c r="AH139" s="74">
        <v>1940</v>
      </c>
      <c r="AI139">
        <f t="shared" si="28"/>
        <v>0.33749999999999997</v>
      </c>
      <c r="AJ139">
        <f t="shared" si="28"/>
        <v>0.33749999999999997</v>
      </c>
      <c r="AK139" s="75">
        <v>0.28199999999999997</v>
      </c>
      <c r="AL139" s="75">
        <v>4.2999999999999997E-2</v>
      </c>
      <c r="AM139" s="29">
        <v>1</v>
      </c>
      <c r="AN139">
        <v>0</v>
      </c>
      <c r="AO139" s="29">
        <v>1</v>
      </c>
      <c r="AP139">
        <v>0</v>
      </c>
      <c r="AQ139" s="29">
        <v>0.96</v>
      </c>
      <c r="AR139">
        <f t="shared" ref="AR139:AR166" si="31">1-AQ139</f>
        <v>4.0000000000000036E-2</v>
      </c>
      <c r="AU139" s="29">
        <v>0.75</v>
      </c>
      <c r="AV139" s="12">
        <f t="shared" ref="AV139" si="32">1-AU139</f>
        <v>0.25</v>
      </c>
      <c r="AW139">
        <v>0.5</v>
      </c>
      <c r="AX139">
        <v>0.5</v>
      </c>
      <c r="AY139">
        <v>0</v>
      </c>
      <c r="AZ139" s="65" t="s">
        <v>95</v>
      </c>
      <c r="BN139" s="67">
        <v>37.5</v>
      </c>
      <c r="BO139">
        <v>1</v>
      </c>
      <c r="BP139">
        <v>0</v>
      </c>
      <c r="BQ139">
        <v>0</v>
      </c>
      <c r="BR139">
        <v>0</v>
      </c>
      <c r="BS139">
        <v>0</v>
      </c>
      <c r="BT139">
        <v>0</v>
      </c>
      <c r="BY139">
        <v>0</v>
      </c>
      <c r="BZ139" s="29">
        <v>0</v>
      </c>
      <c r="CA139">
        <v>0</v>
      </c>
      <c r="CB139">
        <v>0</v>
      </c>
      <c r="CC139" s="29">
        <v>0</v>
      </c>
      <c r="CD139">
        <v>0</v>
      </c>
      <c r="CE139">
        <v>0</v>
      </c>
      <c r="CF139">
        <v>0</v>
      </c>
      <c r="CG139">
        <v>0</v>
      </c>
      <c r="CH139">
        <v>0</v>
      </c>
      <c r="CI139">
        <v>0</v>
      </c>
      <c r="CJ139">
        <v>0</v>
      </c>
      <c r="CK139">
        <v>0</v>
      </c>
      <c r="CL139">
        <v>0</v>
      </c>
      <c r="CM139">
        <v>0</v>
      </c>
      <c r="CN139" s="17">
        <v>0</v>
      </c>
      <c r="CT139" t="s">
        <v>48</v>
      </c>
    </row>
    <row r="140" spans="1:98" x14ac:dyDescent="0.25">
      <c r="A140">
        <v>139</v>
      </c>
      <c r="B140">
        <v>10</v>
      </c>
      <c r="C140" t="s">
        <v>322</v>
      </c>
      <c r="D140" s="85">
        <v>6.2</v>
      </c>
      <c r="E140" s="6">
        <v>0.2</v>
      </c>
      <c r="F140" s="6">
        <f t="shared" si="24"/>
        <v>31</v>
      </c>
      <c r="L140" s="84">
        <v>0</v>
      </c>
      <c r="M140" s="75">
        <v>0</v>
      </c>
      <c r="N140" s="75">
        <v>0</v>
      </c>
      <c r="O140" s="75">
        <v>1</v>
      </c>
      <c r="P140" s="75">
        <v>0</v>
      </c>
      <c r="Q140" s="84">
        <v>13094</v>
      </c>
      <c r="R140" s="75">
        <v>4</v>
      </c>
      <c r="S140" s="75">
        <f t="shared" si="7"/>
        <v>13089</v>
      </c>
      <c r="U140" s="75">
        <v>9.6300000000000008</v>
      </c>
      <c r="V140" s="75">
        <v>18.5</v>
      </c>
      <c r="W140" s="84">
        <v>1</v>
      </c>
      <c r="X140" s="75">
        <v>0</v>
      </c>
      <c r="Y140" s="84">
        <v>0</v>
      </c>
      <c r="Z140" s="75">
        <v>1</v>
      </c>
      <c r="AA140" s="75">
        <v>0</v>
      </c>
      <c r="AB140" s="75">
        <v>0</v>
      </c>
      <c r="AC140" s="84">
        <v>0</v>
      </c>
      <c r="AD140" s="75">
        <v>0</v>
      </c>
      <c r="AE140" s="75">
        <v>1</v>
      </c>
      <c r="AF140" s="84">
        <v>1</v>
      </c>
      <c r="AG140" s="75">
        <v>0</v>
      </c>
      <c r="AH140" s="74">
        <v>1940</v>
      </c>
      <c r="AI140">
        <f t="shared" si="28"/>
        <v>0.33749999999999997</v>
      </c>
      <c r="AJ140">
        <f t="shared" si="28"/>
        <v>0.33749999999999997</v>
      </c>
      <c r="AK140" s="75">
        <v>0.28199999999999997</v>
      </c>
      <c r="AL140" s="75">
        <v>4.2999999999999997E-2</v>
      </c>
      <c r="AM140" s="29">
        <v>1</v>
      </c>
      <c r="AN140">
        <v>0</v>
      </c>
      <c r="AO140" s="29">
        <v>1</v>
      </c>
      <c r="AP140">
        <v>0</v>
      </c>
      <c r="AQ140" s="29">
        <v>0.96</v>
      </c>
      <c r="AR140">
        <f t="shared" si="31"/>
        <v>4.0000000000000036E-2</v>
      </c>
      <c r="AU140" s="29">
        <v>0.75</v>
      </c>
      <c r="AV140" s="12">
        <f t="shared" ref="AV140:AV166" si="33">1-AU140</f>
        <v>0.25</v>
      </c>
      <c r="AW140">
        <v>0.5</v>
      </c>
      <c r="AX140">
        <v>0.5</v>
      </c>
      <c r="AY140">
        <v>0</v>
      </c>
      <c r="AZ140" s="65" t="s">
        <v>95</v>
      </c>
      <c r="BN140" s="67">
        <v>37.5</v>
      </c>
      <c r="BO140">
        <v>1</v>
      </c>
      <c r="BP140">
        <v>0</v>
      </c>
      <c r="BQ140">
        <v>0</v>
      </c>
      <c r="BR140">
        <v>0</v>
      </c>
      <c r="BS140">
        <v>0</v>
      </c>
      <c r="BT140">
        <v>0</v>
      </c>
      <c r="BY140">
        <v>0</v>
      </c>
      <c r="BZ140" s="29">
        <v>0</v>
      </c>
      <c r="CA140">
        <v>0</v>
      </c>
      <c r="CB140">
        <v>0</v>
      </c>
      <c r="CC140" s="29">
        <v>1</v>
      </c>
      <c r="CD140">
        <v>1</v>
      </c>
      <c r="CE140">
        <v>0</v>
      </c>
      <c r="CF140">
        <v>0</v>
      </c>
      <c r="CG140">
        <v>1</v>
      </c>
      <c r="CH140">
        <v>0</v>
      </c>
      <c r="CI140">
        <v>0</v>
      </c>
      <c r="CJ140">
        <v>0</v>
      </c>
      <c r="CK140">
        <v>0</v>
      </c>
      <c r="CL140">
        <v>0</v>
      </c>
      <c r="CM140">
        <v>0</v>
      </c>
      <c r="CN140" s="17">
        <v>0</v>
      </c>
      <c r="CT140" t="s">
        <v>48</v>
      </c>
    </row>
    <row r="141" spans="1:98" x14ac:dyDescent="0.25">
      <c r="A141">
        <v>140</v>
      </c>
      <c r="B141">
        <v>10</v>
      </c>
      <c r="C141" t="s">
        <v>322</v>
      </c>
      <c r="D141" s="85">
        <v>5.6</v>
      </c>
      <c r="E141" s="6">
        <v>0.4</v>
      </c>
      <c r="F141" s="6">
        <f t="shared" si="24"/>
        <v>13.999999999999998</v>
      </c>
      <c r="L141" s="84">
        <v>0</v>
      </c>
      <c r="M141" s="75">
        <v>0</v>
      </c>
      <c r="N141" s="75">
        <v>0</v>
      </c>
      <c r="O141" s="75">
        <v>1</v>
      </c>
      <c r="P141" s="75">
        <v>0</v>
      </c>
      <c r="Q141" s="84">
        <v>13094</v>
      </c>
      <c r="R141" s="75">
        <v>1</v>
      </c>
      <c r="S141" s="75">
        <f t="shared" si="7"/>
        <v>13092</v>
      </c>
      <c r="U141" s="75">
        <v>9.6300000000000008</v>
      </c>
      <c r="V141" s="75">
        <v>18.5</v>
      </c>
      <c r="W141" s="84">
        <v>1</v>
      </c>
      <c r="X141" s="75">
        <v>0</v>
      </c>
      <c r="Y141" s="84">
        <v>0</v>
      </c>
      <c r="Z141" s="75">
        <v>1</v>
      </c>
      <c r="AA141" s="75">
        <v>0</v>
      </c>
      <c r="AB141" s="75">
        <v>0</v>
      </c>
      <c r="AC141" s="84">
        <v>0</v>
      </c>
      <c r="AD141" s="75">
        <v>0</v>
      </c>
      <c r="AE141" s="75">
        <v>1</v>
      </c>
      <c r="AF141" s="84">
        <v>1</v>
      </c>
      <c r="AG141" s="75">
        <v>0</v>
      </c>
      <c r="AH141" s="74">
        <v>1940</v>
      </c>
      <c r="AI141">
        <f t="shared" si="28"/>
        <v>0.33749999999999997</v>
      </c>
      <c r="AJ141">
        <f t="shared" si="28"/>
        <v>0.33749999999999997</v>
      </c>
      <c r="AK141" s="75">
        <v>0.28199999999999997</v>
      </c>
      <c r="AL141" s="75">
        <v>4.2999999999999997E-2</v>
      </c>
      <c r="AM141" s="29">
        <v>1</v>
      </c>
      <c r="AN141">
        <v>0</v>
      </c>
      <c r="AO141" s="29">
        <v>1</v>
      </c>
      <c r="AP141">
        <v>0</v>
      </c>
      <c r="AQ141" s="29">
        <v>0.96</v>
      </c>
      <c r="AR141">
        <f t="shared" si="31"/>
        <v>4.0000000000000036E-2</v>
      </c>
      <c r="AU141" s="29">
        <v>0.75</v>
      </c>
      <c r="AV141" s="12">
        <f t="shared" si="33"/>
        <v>0.25</v>
      </c>
      <c r="AW141">
        <v>0.5</v>
      </c>
      <c r="AX141">
        <v>0.5</v>
      </c>
      <c r="AY141">
        <v>0</v>
      </c>
      <c r="AZ141" s="65" t="s">
        <v>95</v>
      </c>
      <c r="BN141" s="67">
        <v>37.5</v>
      </c>
      <c r="BO141">
        <v>0</v>
      </c>
      <c r="BP141">
        <v>0</v>
      </c>
      <c r="BQ141">
        <v>1</v>
      </c>
      <c r="BR141">
        <v>0</v>
      </c>
      <c r="BS141">
        <v>0</v>
      </c>
      <c r="BT141">
        <v>0</v>
      </c>
      <c r="BY141">
        <v>0</v>
      </c>
      <c r="BZ141" s="29">
        <v>0</v>
      </c>
      <c r="CA141">
        <v>0</v>
      </c>
      <c r="CB141">
        <v>0</v>
      </c>
      <c r="CC141" s="29">
        <v>0</v>
      </c>
      <c r="CD141">
        <v>0</v>
      </c>
      <c r="CE141">
        <v>0</v>
      </c>
      <c r="CF141">
        <v>0</v>
      </c>
      <c r="CG141">
        <v>0</v>
      </c>
      <c r="CH141">
        <v>0</v>
      </c>
      <c r="CI141">
        <v>0</v>
      </c>
      <c r="CJ141">
        <v>0</v>
      </c>
      <c r="CK141">
        <v>0</v>
      </c>
      <c r="CL141">
        <v>0</v>
      </c>
      <c r="CM141">
        <v>0</v>
      </c>
      <c r="CN141" s="17">
        <v>0</v>
      </c>
      <c r="CT141" t="s">
        <v>48</v>
      </c>
    </row>
    <row r="142" spans="1:98" x14ac:dyDescent="0.25">
      <c r="A142">
        <v>141</v>
      </c>
      <c r="B142">
        <v>10</v>
      </c>
      <c r="C142" t="s">
        <v>322</v>
      </c>
      <c r="D142" s="85">
        <v>5.3</v>
      </c>
      <c r="E142" s="6">
        <v>0.2</v>
      </c>
      <c r="F142" s="6">
        <f t="shared" si="24"/>
        <v>26.499999999999996</v>
      </c>
      <c r="L142" s="84">
        <v>0</v>
      </c>
      <c r="M142" s="75">
        <v>0</v>
      </c>
      <c r="N142" s="75">
        <v>0</v>
      </c>
      <c r="O142" s="75">
        <v>1</v>
      </c>
      <c r="P142" s="75">
        <v>0</v>
      </c>
      <c r="Q142" s="84">
        <v>8262</v>
      </c>
      <c r="R142" s="75">
        <v>4</v>
      </c>
      <c r="S142" s="75">
        <f t="shared" si="7"/>
        <v>8257</v>
      </c>
      <c r="U142" s="75">
        <v>9.6300000000000008</v>
      </c>
      <c r="V142" s="75">
        <v>18.5</v>
      </c>
      <c r="W142" s="84">
        <v>1</v>
      </c>
      <c r="X142" s="75">
        <v>0</v>
      </c>
      <c r="Y142" s="84">
        <v>0</v>
      </c>
      <c r="Z142" s="75">
        <v>1</v>
      </c>
      <c r="AA142" s="75">
        <v>0</v>
      </c>
      <c r="AB142" s="75">
        <v>0</v>
      </c>
      <c r="AC142" s="84">
        <v>0</v>
      </c>
      <c r="AD142" s="75">
        <v>0</v>
      </c>
      <c r="AE142" s="75">
        <v>1</v>
      </c>
      <c r="AF142" s="84">
        <v>1</v>
      </c>
      <c r="AG142" s="75">
        <v>0</v>
      </c>
      <c r="AH142" s="74">
        <v>1940</v>
      </c>
      <c r="AI142">
        <f t="shared" si="28"/>
        <v>0.33749999999999997</v>
      </c>
      <c r="AJ142">
        <f t="shared" si="28"/>
        <v>0.33749999999999997</v>
      </c>
      <c r="AK142" s="75">
        <v>0.28199999999999997</v>
      </c>
      <c r="AL142" s="75">
        <v>4.2999999999999997E-2</v>
      </c>
      <c r="AM142" s="29">
        <v>1</v>
      </c>
      <c r="AN142">
        <v>0</v>
      </c>
      <c r="AO142" s="29">
        <v>1</v>
      </c>
      <c r="AP142">
        <v>0</v>
      </c>
      <c r="AQ142" s="29">
        <v>0.96</v>
      </c>
      <c r="AR142">
        <f t="shared" si="31"/>
        <v>4.0000000000000036E-2</v>
      </c>
      <c r="AU142" s="29">
        <v>0.75</v>
      </c>
      <c r="AV142" s="12">
        <f t="shared" si="33"/>
        <v>0.25</v>
      </c>
      <c r="AW142">
        <v>0.5</v>
      </c>
      <c r="AX142">
        <v>0.5</v>
      </c>
      <c r="AY142">
        <v>0</v>
      </c>
      <c r="AZ142" s="65" t="s">
        <v>95</v>
      </c>
      <c r="BN142" s="67">
        <v>37.5</v>
      </c>
      <c r="BO142">
        <v>1</v>
      </c>
      <c r="BP142">
        <v>0</v>
      </c>
      <c r="BQ142">
        <v>0</v>
      </c>
      <c r="BR142">
        <v>0</v>
      </c>
      <c r="BS142">
        <v>0</v>
      </c>
      <c r="BT142">
        <v>0</v>
      </c>
      <c r="BY142">
        <v>0</v>
      </c>
      <c r="BZ142" s="29">
        <v>0</v>
      </c>
      <c r="CA142">
        <v>0</v>
      </c>
      <c r="CB142">
        <v>0</v>
      </c>
      <c r="CC142" s="29">
        <v>1</v>
      </c>
      <c r="CD142">
        <v>1</v>
      </c>
      <c r="CE142">
        <v>0</v>
      </c>
      <c r="CF142">
        <v>0</v>
      </c>
      <c r="CG142">
        <v>1</v>
      </c>
      <c r="CH142">
        <v>0</v>
      </c>
      <c r="CI142">
        <v>0</v>
      </c>
      <c r="CJ142">
        <v>0</v>
      </c>
      <c r="CK142">
        <v>0</v>
      </c>
      <c r="CL142">
        <v>0</v>
      </c>
      <c r="CM142">
        <v>0</v>
      </c>
      <c r="CN142" s="17">
        <v>0</v>
      </c>
      <c r="CT142" t="s">
        <v>48</v>
      </c>
    </row>
    <row r="143" spans="1:98" x14ac:dyDescent="0.25">
      <c r="A143">
        <v>142</v>
      </c>
      <c r="B143">
        <v>10</v>
      </c>
      <c r="C143" t="s">
        <v>322</v>
      </c>
      <c r="D143" s="85">
        <v>4.0999999999999996</v>
      </c>
      <c r="E143" s="6">
        <v>0.5</v>
      </c>
      <c r="F143" s="6">
        <f t="shared" si="24"/>
        <v>8.1999999999999993</v>
      </c>
      <c r="L143" s="84">
        <v>0</v>
      </c>
      <c r="M143" s="75">
        <v>0</v>
      </c>
      <c r="N143" s="75">
        <v>0</v>
      </c>
      <c r="O143" s="75">
        <v>1</v>
      </c>
      <c r="P143" s="75">
        <v>0</v>
      </c>
      <c r="Q143" s="84">
        <v>8262</v>
      </c>
      <c r="R143" s="75">
        <v>1</v>
      </c>
      <c r="S143" s="75">
        <f t="shared" si="7"/>
        <v>8260</v>
      </c>
      <c r="U143" s="75">
        <v>9.6300000000000008</v>
      </c>
      <c r="V143" s="75">
        <v>18.5</v>
      </c>
      <c r="W143" s="84">
        <v>1</v>
      </c>
      <c r="X143" s="75">
        <v>0</v>
      </c>
      <c r="Y143" s="84">
        <v>0</v>
      </c>
      <c r="Z143" s="75">
        <v>1</v>
      </c>
      <c r="AA143" s="75">
        <v>0</v>
      </c>
      <c r="AB143" s="75">
        <v>0</v>
      </c>
      <c r="AC143" s="84">
        <v>0</v>
      </c>
      <c r="AD143" s="75">
        <v>0</v>
      </c>
      <c r="AE143" s="75">
        <v>1</v>
      </c>
      <c r="AF143" s="84">
        <v>1</v>
      </c>
      <c r="AG143" s="75">
        <v>0</v>
      </c>
      <c r="AH143" s="74">
        <v>1940</v>
      </c>
      <c r="AI143">
        <f t="shared" si="28"/>
        <v>0.33749999999999997</v>
      </c>
      <c r="AJ143">
        <f t="shared" si="28"/>
        <v>0.33749999999999997</v>
      </c>
      <c r="AK143" s="75">
        <v>0.28199999999999997</v>
      </c>
      <c r="AL143" s="75">
        <v>4.2999999999999997E-2</v>
      </c>
      <c r="AM143" s="29">
        <v>1</v>
      </c>
      <c r="AN143">
        <v>0</v>
      </c>
      <c r="AO143" s="29">
        <v>1</v>
      </c>
      <c r="AP143">
        <v>0</v>
      </c>
      <c r="AQ143" s="29">
        <v>0.96</v>
      </c>
      <c r="AR143">
        <f t="shared" si="31"/>
        <v>4.0000000000000036E-2</v>
      </c>
      <c r="AU143" s="29">
        <v>0.75</v>
      </c>
      <c r="AV143" s="12">
        <f t="shared" si="33"/>
        <v>0.25</v>
      </c>
      <c r="AW143">
        <v>0.5</v>
      </c>
      <c r="AX143">
        <v>0.5</v>
      </c>
      <c r="AY143">
        <v>0</v>
      </c>
      <c r="AZ143" s="65" t="s">
        <v>95</v>
      </c>
      <c r="BN143" s="67">
        <v>37.5</v>
      </c>
      <c r="BO143">
        <v>0</v>
      </c>
      <c r="BP143">
        <v>0</v>
      </c>
      <c r="BQ143">
        <v>1</v>
      </c>
      <c r="BR143">
        <v>0</v>
      </c>
      <c r="BS143">
        <v>0</v>
      </c>
      <c r="BT143">
        <v>0</v>
      </c>
      <c r="BY143">
        <v>0</v>
      </c>
      <c r="BZ143" s="29">
        <v>0</v>
      </c>
      <c r="CA143">
        <v>0</v>
      </c>
      <c r="CB143">
        <v>0</v>
      </c>
      <c r="CC143" s="29">
        <v>0</v>
      </c>
      <c r="CD143">
        <v>0</v>
      </c>
      <c r="CE143">
        <v>0</v>
      </c>
      <c r="CF143">
        <v>0</v>
      </c>
      <c r="CG143">
        <v>0</v>
      </c>
      <c r="CH143">
        <v>0</v>
      </c>
      <c r="CI143">
        <v>0</v>
      </c>
      <c r="CJ143">
        <v>0</v>
      </c>
      <c r="CK143">
        <v>0</v>
      </c>
      <c r="CL143">
        <v>0</v>
      </c>
      <c r="CM143">
        <v>0</v>
      </c>
      <c r="CN143" s="17">
        <v>0</v>
      </c>
      <c r="CT143" t="s">
        <v>48</v>
      </c>
    </row>
    <row r="144" spans="1:98" x14ac:dyDescent="0.25">
      <c r="A144">
        <v>143</v>
      </c>
      <c r="B144">
        <v>10</v>
      </c>
      <c r="C144" t="s">
        <v>322</v>
      </c>
      <c r="D144" s="85">
        <v>6.3</v>
      </c>
      <c r="E144" s="6">
        <v>0.5</v>
      </c>
      <c r="F144" s="6">
        <f t="shared" si="24"/>
        <v>12.6</v>
      </c>
      <c r="L144" s="84">
        <v>0</v>
      </c>
      <c r="M144" s="75">
        <v>0</v>
      </c>
      <c r="N144" s="75">
        <v>0</v>
      </c>
      <c r="O144" s="75">
        <v>1</v>
      </c>
      <c r="P144" s="75">
        <v>0</v>
      </c>
      <c r="Q144" s="84">
        <v>1644</v>
      </c>
      <c r="R144" s="75">
        <v>4</v>
      </c>
      <c r="S144" s="75">
        <f t="shared" si="7"/>
        <v>1639</v>
      </c>
      <c r="U144" s="75">
        <v>9.6300000000000008</v>
      </c>
      <c r="V144" s="75">
        <v>18.5</v>
      </c>
      <c r="W144" s="84">
        <v>1</v>
      </c>
      <c r="X144" s="75">
        <v>0</v>
      </c>
      <c r="Y144" s="84">
        <v>0</v>
      </c>
      <c r="Z144" s="75">
        <v>1</v>
      </c>
      <c r="AA144" s="75">
        <v>0</v>
      </c>
      <c r="AB144" s="75">
        <v>0</v>
      </c>
      <c r="AC144" s="84">
        <v>0</v>
      </c>
      <c r="AD144" s="75">
        <v>0</v>
      </c>
      <c r="AE144" s="75">
        <v>1</v>
      </c>
      <c r="AF144" s="84">
        <v>1</v>
      </c>
      <c r="AG144" s="75">
        <v>0</v>
      </c>
      <c r="AH144" s="74">
        <v>1940</v>
      </c>
      <c r="AI144">
        <f t="shared" si="28"/>
        <v>0.33749999999999997</v>
      </c>
      <c r="AJ144">
        <f t="shared" si="28"/>
        <v>0.33749999999999997</v>
      </c>
      <c r="AK144" s="75">
        <v>0.28199999999999997</v>
      </c>
      <c r="AL144" s="75">
        <v>4.2999999999999997E-2</v>
      </c>
      <c r="AM144" s="29">
        <v>1</v>
      </c>
      <c r="AN144">
        <v>0</v>
      </c>
      <c r="AO144" s="29">
        <v>1</v>
      </c>
      <c r="AP144">
        <v>0</v>
      </c>
      <c r="AQ144" s="29">
        <v>0.96</v>
      </c>
      <c r="AR144">
        <f t="shared" si="31"/>
        <v>4.0000000000000036E-2</v>
      </c>
      <c r="AU144" s="29">
        <v>0.75</v>
      </c>
      <c r="AV144" s="12">
        <f t="shared" si="33"/>
        <v>0.25</v>
      </c>
      <c r="AW144">
        <v>0.5</v>
      </c>
      <c r="AX144">
        <v>0.5</v>
      </c>
      <c r="AY144">
        <v>0</v>
      </c>
      <c r="AZ144" s="65" t="s">
        <v>95</v>
      </c>
      <c r="BN144" s="67">
        <v>37.5</v>
      </c>
      <c r="BO144">
        <v>1</v>
      </c>
      <c r="BP144">
        <v>0</v>
      </c>
      <c r="BQ144">
        <v>0</v>
      </c>
      <c r="BR144">
        <v>0</v>
      </c>
      <c r="BS144">
        <v>0</v>
      </c>
      <c r="BT144">
        <v>0</v>
      </c>
      <c r="BY144">
        <v>0</v>
      </c>
      <c r="BZ144" s="29">
        <v>0</v>
      </c>
      <c r="CA144">
        <v>0</v>
      </c>
      <c r="CB144">
        <v>0</v>
      </c>
      <c r="CC144" s="29">
        <v>1</v>
      </c>
      <c r="CD144">
        <v>1</v>
      </c>
      <c r="CE144">
        <v>0</v>
      </c>
      <c r="CF144">
        <v>0</v>
      </c>
      <c r="CG144">
        <v>1</v>
      </c>
      <c r="CH144">
        <v>0</v>
      </c>
      <c r="CI144">
        <v>0</v>
      </c>
      <c r="CJ144">
        <v>0</v>
      </c>
      <c r="CK144">
        <v>0</v>
      </c>
      <c r="CL144">
        <v>0</v>
      </c>
      <c r="CM144">
        <v>0</v>
      </c>
      <c r="CN144" s="17">
        <v>0</v>
      </c>
      <c r="CT144" t="s">
        <v>48</v>
      </c>
    </row>
    <row r="145" spans="1:98" x14ac:dyDescent="0.25">
      <c r="A145">
        <v>144</v>
      </c>
      <c r="B145">
        <v>10</v>
      </c>
      <c r="C145" t="s">
        <v>322</v>
      </c>
      <c r="D145" s="85">
        <v>4.5</v>
      </c>
      <c r="E145" s="6">
        <v>1</v>
      </c>
      <c r="F145" s="6">
        <f t="shared" si="24"/>
        <v>4.5</v>
      </c>
      <c r="L145" s="84">
        <v>0</v>
      </c>
      <c r="M145" s="75">
        <v>0</v>
      </c>
      <c r="N145" s="75">
        <v>0</v>
      </c>
      <c r="O145" s="75">
        <v>1</v>
      </c>
      <c r="P145" s="75">
        <v>0</v>
      </c>
      <c r="Q145" s="84">
        <v>1644</v>
      </c>
      <c r="R145" s="75">
        <v>1</v>
      </c>
      <c r="S145" s="75">
        <f t="shared" si="7"/>
        <v>1642</v>
      </c>
      <c r="U145" s="75">
        <v>9.6300000000000008</v>
      </c>
      <c r="V145" s="75">
        <v>18.5</v>
      </c>
      <c r="W145" s="84">
        <v>1</v>
      </c>
      <c r="X145" s="75">
        <v>0</v>
      </c>
      <c r="Y145" s="84">
        <v>0</v>
      </c>
      <c r="Z145" s="75">
        <v>1</v>
      </c>
      <c r="AA145" s="75">
        <v>0</v>
      </c>
      <c r="AB145" s="75">
        <v>0</v>
      </c>
      <c r="AC145" s="84">
        <v>0</v>
      </c>
      <c r="AD145" s="75">
        <v>0</v>
      </c>
      <c r="AE145" s="75">
        <v>1</v>
      </c>
      <c r="AF145" s="84">
        <v>1</v>
      </c>
      <c r="AG145" s="75">
        <v>0</v>
      </c>
      <c r="AH145" s="74">
        <v>1940</v>
      </c>
      <c r="AI145">
        <f t="shared" si="28"/>
        <v>0.33749999999999997</v>
      </c>
      <c r="AJ145">
        <f t="shared" si="28"/>
        <v>0.33749999999999997</v>
      </c>
      <c r="AK145" s="75">
        <v>0.28199999999999997</v>
      </c>
      <c r="AL145" s="75">
        <v>4.2999999999999997E-2</v>
      </c>
      <c r="AM145" s="29">
        <v>1</v>
      </c>
      <c r="AN145">
        <v>0</v>
      </c>
      <c r="AO145" s="29">
        <v>1</v>
      </c>
      <c r="AP145">
        <v>0</v>
      </c>
      <c r="AQ145" s="29">
        <v>0.96</v>
      </c>
      <c r="AR145">
        <f t="shared" si="31"/>
        <v>4.0000000000000036E-2</v>
      </c>
      <c r="AU145" s="29">
        <v>0.75</v>
      </c>
      <c r="AV145" s="12">
        <f t="shared" si="33"/>
        <v>0.25</v>
      </c>
      <c r="AW145">
        <v>0.5</v>
      </c>
      <c r="AX145">
        <v>0.5</v>
      </c>
      <c r="AY145">
        <v>0</v>
      </c>
      <c r="AZ145" s="65" t="s">
        <v>95</v>
      </c>
      <c r="BN145" s="67">
        <v>37.5</v>
      </c>
      <c r="BO145">
        <v>0</v>
      </c>
      <c r="BP145">
        <v>0</v>
      </c>
      <c r="BQ145">
        <v>1</v>
      </c>
      <c r="BR145">
        <v>0</v>
      </c>
      <c r="BS145">
        <v>0</v>
      </c>
      <c r="BT145">
        <v>0</v>
      </c>
      <c r="BY145">
        <v>0</v>
      </c>
      <c r="BZ145" s="29">
        <v>0</v>
      </c>
      <c r="CA145">
        <v>0</v>
      </c>
      <c r="CB145">
        <v>0</v>
      </c>
      <c r="CC145" s="29">
        <v>0</v>
      </c>
      <c r="CD145">
        <v>0</v>
      </c>
      <c r="CE145">
        <v>0</v>
      </c>
      <c r="CF145">
        <v>0</v>
      </c>
      <c r="CG145">
        <v>0</v>
      </c>
      <c r="CH145">
        <v>0</v>
      </c>
      <c r="CI145">
        <v>0</v>
      </c>
      <c r="CJ145">
        <v>0</v>
      </c>
      <c r="CK145">
        <v>0</v>
      </c>
      <c r="CL145">
        <v>0</v>
      </c>
      <c r="CM145">
        <v>0</v>
      </c>
      <c r="CN145" s="17">
        <v>0</v>
      </c>
      <c r="CT145" t="s">
        <v>48</v>
      </c>
    </row>
    <row r="146" spans="1:98" x14ac:dyDescent="0.25">
      <c r="A146">
        <v>145</v>
      </c>
      <c r="B146">
        <v>10</v>
      </c>
      <c r="C146" t="s">
        <v>322</v>
      </c>
      <c r="D146" s="85">
        <v>5.7</v>
      </c>
      <c r="E146" s="6">
        <v>0.9</v>
      </c>
      <c r="F146" s="6">
        <f t="shared" si="24"/>
        <v>6.333333333333333</v>
      </c>
      <c r="L146" s="84">
        <v>0</v>
      </c>
      <c r="M146" s="75">
        <v>0</v>
      </c>
      <c r="N146" s="75">
        <v>0</v>
      </c>
      <c r="O146" s="75">
        <v>1</v>
      </c>
      <c r="P146" s="75">
        <v>0</v>
      </c>
      <c r="Q146" s="84">
        <v>312</v>
      </c>
      <c r="R146" s="75">
        <v>4</v>
      </c>
      <c r="S146" s="75">
        <f t="shared" si="7"/>
        <v>307</v>
      </c>
      <c r="U146" s="75">
        <v>9.6300000000000008</v>
      </c>
      <c r="V146" s="75">
        <v>18.5</v>
      </c>
      <c r="W146" s="84">
        <v>1</v>
      </c>
      <c r="X146" s="75">
        <v>0</v>
      </c>
      <c r="Y146" s="84">
        <v>0</v>
      </c>
      <c r="Z146" s="75">
        <v>1</v>
      </c>
      <c r="AA146" s="75">
        <v>0</v>
      </c>
      <c r="AB146" s="75">
        <v>0</v>
      </c>
      <c r="AC146" s="84">
        <v>0</v>
      </c>
      <c r="AD146" s="75">
        <v>0</v>
      </c>
      <c r="AE146" s="75">
        <v>1</v>
      </c>
      <c r="AF146" s="84">
        <v>1</v>
      </c>
      <c r="AG146" s="75">
        <v>0</v>
      </c>
      <c r="AH146" s="74">
        <v>1940</v>
      </c>
      <c r="AI146">
        <f t="shared" si="28"/>
        <v>0.33749999999999997</v>
      </c>
      <c r="AJ146">
        <f t="shared" si="28"/>
        <v>0.33749999999999997</v>
      </c>
      <c r="AK146" s="75">
        <v>0.28199999999999997</v>
      </c>
      <c r="AL146" s="75">
        <v>4.2999999999999997E-2</v>
      </c>
      <c r="AM146" s="29">
        <v>1</v>
      </c>
      <c r="AN146">
        <v>0</v>
      </c>
      <c r="AO146" s="29">
        <v>1</v>
      </c>
      <c r="AP146">
        <v>0</v>
      </c>
      <c r="AQ146" s="29">
        <v>0.96</v>
      </c>
      <c r="AR146">
        <f t="shared" si="31"/>
        <v>4.0000000000000036E-2</v>
      </c>
      <c r="AU146" s="29">
        <v>0.75</v>
      </c>
      <c r="AV146" s="12">
        <f t="shared" si="33"/>
        <v>0.25</v>
      </c>
      <c r="AW146">
        <v>0.5</v>
      </c>
      <c r="AX146">
        <v>0.5</v>
      </c>
      <c r="AY146">
        <v>0</v>
      </c>
      <c r="AZ146" s="65" t="s">
        <v>95</v>
      </c>
      <c r="BN146" s="67">
        <v>37.5</v>
      </c>
      <c r="BO146">
        <v>1</v>
      </c>
      <c r="BP146">
        <v>0</v>
      </c>
      <c r="BQ146">
        <v>0</v>
      </c>
      <c r="BR146">
        <v>0</v>
      </c>
      <c r="BS146">
        <v>0</v>
      </c>
      <c r="BT146">
        <v>0</v>
      </c>
      <c r="BY146">
        <v>0</v>
      </c>
      <c r="BZ146" s="29">
        <v>0</v>
      </c>
      <c r="CA146">
        <v>0</v>
      </c>
      <c r="CB146">
        <v>0</v>
      </c>
      <c r="CC146" s="29">
        <v>1</v>
      </c>
      <c r="CD146">
        <v>1</v>
      </c>
      <c r="CE146">
        <v>0</v>
      </c>
      <c r="CF146">
        <v>0</v>
      </c>
      <c r="CG146">
        <v>1</v>
      </c>
      <c r="CH146">
        <v>0</v>
      </c>
      <c r="CI146">
        <v>0</v>
      </c>
      <c r="CJ146">
        <v>0</v>
      </c>
      <c r="CK146">
        <v>0</v>
      </c>
      <c r="CL146">
        <v>0</v>
      </c>
      <c r="CM146">
        <v>0</v>
      </c>
      <c r="CN146" s="17">
        <v>0</v>
      </c>
      <c r="CT146" t="s">
        <v>48</v>
      </c>
    </row>
    <row r="147" spans="1:98" x14ac:dyDescent="0.25">
      <c r="A147">
        <v>146</v>
      </c>
      <c r="B147">
        <v>10</v>
      </c>
      <c r="C147" t="s">
        <v>322</v>
      </c>
      <c r="D147" s="85">
        <v>5.3</v>
      </c>
      <c r="E147" s="6">
        <v>2.6</v>
      </c>
      <c r="F147" s="6">
        <f t="shared" si="24"/>
        <v>2.0384615384615383</v>
      </c>
      <c r="L147" s="84">
        <v>0</v>
      </c>
      <c r="M147" s="75">
        <v>0</v>
      </c>
      <c r="N147" s="75">
        <v>0</v>
      </c>
      <c r="O147" s="75">
        <v>1</v>
      </c>
      <c r="P147" s="75">
        <v>0</v>
      </c>
      <c r="Q147" s="84">
        <v>312</v>
      </c>
      <c r="R147" s="75">
        <v>1</v>
      </c>
      <c r="S147" s="75">
        <f t="shared" si="7"/>
        <v>310</v>
      </c>
      <c r="U147" s="75">
        <v>9.6300000000000008</v>
      </c>
      <c r="V147" s="75">
        <v>18.5</v>
      </c>
      <c r="W147" s="84">
        <v>1</v>
      </c>
      <c r="X147" s="75">
        <v>0</v>
      </c>
      <c r="Y147" s="84">
        <v>0</v>
      </c>
      <c r="Z147" s="75">
        <v>1</v>
      </c>
      <c r="AA147" s="75">
        <v>0</v>
      </c>
      <c r="AB147" s="75">
        <v>0</v>
      </c>
      <c r="AC147" s="84">
        <v>0</v>
      </c>
      <c r="AD147" s="75">
        <v>0</v>
      </c>
      <c r="AE147" s="75">
        <v>1</v>
      </c>
      <c r="AF147" s="84">
        <v>1</v>
      </c>
      <c r="AG147" s="75">
        <v>0</v>
      </c>
      <c r="AH147" s="74">
        <v>1940</v>
      </c>
      <c r="AI147">
        <f t="shared" si="28"/>
        <v>0.33749999999999997</v>
      </c>
      <c r="AJ147">
        <f t="shared" si="28"/>
        <v>0.33749999999999997</v>
      </c>
      <c r="AK147" s="75">
        <v>0.28199999999999997</v>
      </c>
      <c r="AL147" s="75">
        <v>4.2999999999999997E-2</v>
      </c>
      <c r="AM147" s="29">
        <v>1</v>
      </c>
      <c r="AN147">
        <v>0</v>
      </c>
      <c r="AO147" s="29">
        <v>1</v>
      </c>
      <c r="AP147">
        <v>0</v>
      </c>
      <c r="AQ147" s="29">
        <v>0.96</v>
      </c>
      <c r="AR147">
        <f t="shared" si="31"/>
        <v>4.0000000000000036E-2</v>
      </c>
      <c r="AU147" s="29">
        <v>0.75</v>
      </c>
      <c r="AV147" s="12">
        <f t="shared" si="33"/>
        <v>0.25</v>
      </c>
      <c r="AW147">
        <v>0.5</v>
      </c>
      <c r="AX147">
        <v>0.5</v>
      </c>
      <c r="AY147">
        <v>0</v>
      </c>
      <c r="AZ147" s="65" t="s">
        <v>95</v>
      </c>
      <c r="BN147" s="67">
        <v>37.5</v>
      </c>
      <c r="BO147">
        <v>0</v>
      </c>
      <c r="BP147">
        <v>0</v>
      </c>
      <c r="BQ147">
        <v>1</v>
      </c>
      <c r="BR147">
        <v>0</v>
      </c>
      <c r="BS147">
        <v>0</v>
      </c>
      <c r="BT147">
        <v>0</v>
      </c>
      <c r="BY147">
        <v>0</v>
      </c>
      <c r="BZ147" s="29">
        <v>0</v>
      </c>
      <c r="CA147">
        <v>0</v>
      </c>
      <c r="CB147">
        <v>0</v>
      </c>
      <c r="CC147" s="29">
        <v>0</v>
      </c>
      <c r="CD147">
        <v>0</v>
      </c>
      <c r="CE147">
        <v>0</v>
      </c>
      <c r="CF147">
        <v>0</v>
      </c>
      <c r="CG147">
        <v>0</v>
      </c>
      <c r="CH147">
        <v>0</v>
      </c>
      <c r="CI147">
        <v>0</v>
      </c>
      <c r="CJ147">
        <v>0</v>
      </c>
      <c r="CK147">
        <v>0</v>
      </c>
      <c r="CL147">
        <v>0</v>
      </c>
      <c r="CM147">
        <v>0</v>
      </c>
      <c r="CN147" s="17">
        <v>0</v>
      </c>
      <c r="CT147" t="s">
        <v>48</v>
      </c>
    </row>
    <row r="148" spans="1:98" x14ac:dyDescent="0.25">
      <c r="A148">
        <v>147</v>
      </c>
      <c r="B148">
        <v>10</v>
      </c>
      <c r="C148" t="s">
        <v>322</v>
      </c>
      <c r="D148" s="85">
        <v>4.4000000000000004</v>
      </c>
      <c r="E148" s="6">
        <v>0.2</v>
      </c>
      <c r="F148" s="6">
        <f t="shared" si="24"/>
        <v>22</v>
      </c>
      <c r="L148" s="84">
        <v>0</v>
      </c>
      <c r="M148" s="75">
        <v>0</v>
      </c>
      <c r="N148" s="75">
        <v>0</v>
      </c>
      <c r="O148" s="75">
        <v>1</v>
      </c>
      <c r="P148" s="75">
        <v>0</v>
      </c>
      <c r="Q148" s="84">
        <v>38652</v>
      </c>
      <c r="R148" s="75">
        <v>1</v>
      </c>
      <c r="S148" s="75">
        <f t="shared" si="7"/>
        <v>38650</v>
      </c>
      <c r="U148" s="75">
        <v>9.6300000000000008</v>
      </c>
      <c r="V148" s="75">
        <v>18.5</v>
      </c>
      <c r="W148" s="84">
        <v>1</v>
      </c>
      <c r="X148" s="75">
        <v>0</v>
      </c>
      <c r="Y148" s="84">
        <v>0</v>
      </c>
      <c r="Z148" s="75">
        <v>1</v>
      </c>
      <c r="AA148" s="75">
        <v>0</v>
      </c>
      <c r="AB148" s="75">
        <v>0</v>
      </c>
      <c r="AC148" s="84">
        <v>0</v>
      </c>
      <c r="AD148" s="75">
        <v>0</v>
      </c>
      <c r="AE148" s="75">
        <v>1</v>
      </c>
      <c r="AF148" s="84">
        <v>1</v>
      </c>
      <c r="AG148" s="75">
        <v>0</v>
      </c>
      <c r="AH148" s="74">
        <v>1940</v>
      </c>
      <c r="AI148">
        <f t="shared" si="28"/>
        <v>0.33749999999999997</v>
      </c>
      <c r="AJ148">
        <f t="shared" si="28"/>
        <v>0.33749999999999997</v>
      </c>
      <c r="AK148" s="75">
        <v>0.28199999999999997</v>
      </c>
      <c r="AL148" s="75">
        <v>4.2999999999999997E-2</v>
      </c>
      <c r="AM148" s="29">
        <v>1</v>
      </c>
      <c r="AN148">
        <v>0</v>
      </c>
      <c r="AO148" s="29">
        <v>1</v>
      </c>
      <c r="AP148">
        <v>0</v>
      </c>
      <c r="AQ148" s="29">
        <v>0.96</v>
      </c>
      <c r="AR148">
        <f t="shared" si="31"/>
        <v>4.0000000000000036E-2</v>
      </c>
      <c r="AU148" s="29">
        <v>0.75</v>
      </c>
      <c r="AV148" s="12">
        <f t="shared" si="33"/>
        <v>0.25</v>
      </c>
      <c r="AW148">
        <v>0.5</v>
      </c>
      <c r="AX148">
        <v>0.5</v>
      </c>
      <c r="AY148">
        <v>0</v>
      </c>
      <c r="AZ148" s="65" t="s">
        <v>95</v>
      </c>
      <c r="BN148" s="67">
        <v>37.5</v>
      </c>
      <c r="BO148">
        <v>0</v>
      </c>
      <c r="BP148">
        <v>0</v>
      </c>
      <c r="BQ148">
        <v>1</v>
      </c>
      <c r="BR148">
        <v>0</v>
      </c>
      <c r="BS148">
        <v>0</v>
      </c>
      <c r="BT148">
        <v>0</v>
      </c>
      <c r="BY148">
        <v>0</v>
      </c>
      <c r="BZ148" s="29">
        <v>0</v>
      </c>
      <c r="CA148">
        <v>0</v>
      </c>
      <c r="CB148">
        <v>0</v>
      </c>
      <c r="CC148" s="29">
        <v>1</v>
      </c>
      <c r="CD148">
        <v>1</v>
      </c>
      <c r="CE148">
        <v>0</v>
      </c>
      <c r="CF148">
        <v>0</v>
      </c>
      <c r="CG148">
        <v>1</v>
      </c>
      <c r="CH148">
        <v>0</v>
      </c>
      <c r="CI148">
        <v>0</v>
      </c>
      <c r="CJ148">
        <v>0</v>
      </c>
      <c r="CK148">
        <v>1</v>
      </c>
      <c r="CL148">
        <v>0</v>
      </c>
      <c r="CM148">
        <v>0</v>
      </c>
      <c r="CN148" s="17">
        <v>0</v>
      </c>
      <c r="CT148" t="s">
        <v>48</v>
      </c>
    </row>
    <row r="149" spans="1:98" x14ac:dyDescent="0.25">
      <c r="A149">
        <v>148</v>
      </c>
      <c r="B149">
        <v>10</v>
      </c>
      <c r="C149" t="s">
        <v>322</v>
      </c>
      <c r="D149" s="85">
        <v>3</v>
      </c>
      <c r="E149" s="6">
        <v>0.2</v>
      </c>
      <c r="F149" s="6">
        <f t="shared" si="24"/>
        <v>15</v>
      </c>
      <c r="L149" s="84">
        <v>0</v>
      </c>
      <c r="M149" s="75">
        <v>0</v>
      </c>
      <c r="N149" s="75">
        <v>0</v>
      </c>
      <c r="O149" s="75">
        <v>1</v>
      </c>
      <c r="P149" s="75">
        <v>0</v>
      </c>
      <c r="Q149" s="84">
        <v>38652</v>
      </c>
      <c r="R149" s="75">
        <v>1</v>
      </c>
      <c r="S149" s="75">
        <f t="shared" si="7"/>
        <v>38650</v>
      </c>
      <c r="U149" s="75">
        <v>9.6300000000000008</v>
      </c>
      <c r="V149" s="75">
        <v>18.5</v>
      </c>
      <c r="W149" s="84">
        <v>1</v>
      </c>
      <c r="X149" s="75">
        <v>0</v>
      </c>
      <c r="Y149" s="84">
        <v>0</v>
      </c>
      <c r="Z149" s="75">
        <v>1</v>
      </c>
      <c r="AA149" s="75">
        <v>0</v>
      </c>
      <c r="AB149" s="75">
        <v>0</v>
      </c>
      <c r="AC149" s="84">
        <v>0</v>
      </c>
      <c r="AD149" s="75">
        <v>0</v>
      </c>
      <c r="AE149" s="75">
        <v>1</v>
      </c>
      <c r="AF149" s="84">
        <v>1</v>
      </c>
      <c r="AG149" s="75">
        <v>0</v>
      </c>
      <c r="AH149" s="74">
        <v>1940</v>
      </c>
      <c r="AI149">
        <f t="shared" si="28"/>
        <v>0.33749999999999997</v>
      </c>
      <c r="AJ149">
        <f t="shared" si="28"/>
        <v>0.33749999999999997</v>
      </c>
      <c r="AK149" s="75">
        <v>0.28199999999999997</v>
      </c>
      <c r="AL149" s="75">
        <v>4.2999999999999997E-2</v>
      </c>
      <c r="AM149" s="29">
        <v>1</v>
      </c>
      <c r="AN149">
        <v>0</v>
      </c>
      <c r="AO149" s="29">
        <v>1</v>
      </c>
      <c r="AP149">
        <v>0</v>
      </c>
      <c r="AQ149" s="29">
        <v>0.96</v>
      </c>
      <c r="AR149">
        <f t="shared" si="31"/>
        <v>4.0000000000000036E-2</v>
      </c>
      <c r="AU149" s="29">
        <v>0.75</v>
      </c>
      <c r="AV149" s="12">
        <f t="shared" si="33"/>
        <v>0.25</v>
      </c>
      <c r="AW149">
        <v>0.5</v>
      </c>
      <c r="AX149">
        <v>0.5</v>
      </c>
      <c r="AY149">
        <v>0</v>
      </c>
      <c r="AZ149" s="65" t="s">
        <v>95</v>
      </c>
      <c r="BN149" s="67">
        <v>37.5</v>
      </c>
      <c r="BO149">
        <v>0</v>
      </c>
      <c r="BP149">
        <v>0</v>
      </c>
      <c r="BQ149">
        <v>1</v>
      </c>
      <c r="BR149">
        <v>0</v>
      </c>
      <c r="BS149">
        <v>0</v>
      </c>
      <c r="BT149">
        <v>0</v>
      </c>
      <c r="BY149">
        <v>0</v>
      </c>
      <c r="BZ149" s="29">
        <v>0</v>
      </c>
      <c r="CA149">
        <v>0</v>
      </c>
      <c r="CB149">
        <v>0</v>
      </c>
      <c r="CC149" s="29">
        <v>1</v>
      </c>
      <c r="CD149">
        <v>1</v>
      </c>
      <c r="CE149">
        <v>0</v>
      </c>
      <c r="CF149">
        <v>0</v>
      </c>
      <c r="CG149">
        <v>1</v>
      </c>
      <c r="CH149">
        <v>0</v>
      </c>
      <c r="CI149">
        <v>0</v>
      </c>
      <c r="CJ149">
        <v>0</v>
      </c>
      <c r="CK149">
        <v>1</v>
      </c>
      <c r="CL149">
        <v>0</v>
      </c>
      <c r="CM149">
        <v>0</v>
      </c>
      <c r="CN149" s="17">
        <v>0</v>
      </c>
      <c r="CT149" t="s">
        <v>48</v>
      </c>
    </row>
    <row r="150" spans="1:98" x14ac:dyDescent="0.25">
      <c r="A150">
        <v>149</v>
      </c>
      <c r="B150">
        <v>10</v>
      </c>
      <c r="C150" t="s">
        <v>322</v>
      </c>
      <c r="D150" s="85">
        <v>2.9</v>
      </c>
      <c r="E150" s="6">
        <v>0.2</v>
      </c>
      <c r="F150" s="6">
        <f t="shared" si="24"/>
        <v>14.499999999999998</v>
      </c>
      <c r="L150" s="84">
        <v>0</v>
      </c>
      <c r="M150" s="75">
        <v>0</v>
      </c>
      <c r="N150" s="75">
        <v>0</v>
      </c>
      <c r="O150" s="75">
        <v>1</v>
      </c>
      <c r="P150" s="75">
        <v>0</v>
      </c>
      <c r="Q150" s="84">
        <v>38652</v>
      </c>
      <c r="R150" s="75">
        <v>1</v>
      </c>
      <c r="S150" s="75">
        <f t="shared" si="7"/>
        <v>38650</v>
      </c>
      <c r="U150" s="75">
        <v>9.6300000000000008</v>
      </c>
      <c r="V150" s="75">
        <v>18.5</v>
      </c>
      <c r="W150" s="84">
        <v>1</v>
      </c>
      <c r="X150" s="75">
        <v>0</v>
      </c>
      <c r="Y150" s="84">
        <v>0</v>
      </c>
      <c r="Z150" s="75">
        <v>1</v>
      </c>
      <c r="AA150" s="75">
        <v>0</v>
      </c>
      <c r="AB150" s="75">
        <v>0</v>
      </c>
      <c r="AC150" s="84">
        <v>0</v>
      </c>
      <c r="AD150" s="75">
        <v>0</v>
      </c>
      <c r="AE150" s="75">
        <v>1</v>
      </c>
      <c r="AF150" s="84">
        <v>1</v>
      </c>
      <c r="AG150" s="75">
        <v>0</v>
      </c>
      <c r="AH150" s="74">
        <v>1940</v>
      </c>
      <c r="AI150">
        <f t="shared" si="28"/>
        <v>0.33749999999999997</v>
      </c>
      <c r="AJ150">
        <f t="shared" si="28"/>
        <v>0.33749999999999997</v>
      </c>
      <c r="AK150" s="75">
        <v>0.28199999999999997</v>
      </c>
      <c r="AL150" s="75">
        <v>4.2999999999999997E-2</v>
      </c>
      <c r="AM150" s="29">
        <v>1</v>
      </c>
      <c r="AN150">
        <v>0</v>
      </c>
      <c r="AO150" s="29">
        <v>1</v>
      </c>
      <c r="AP150">
        <v>0</v>
      </c>
      <c r="AQ150" s="29">
        <v>0.96</v>
      </c>
      <c r="AR150">
        <f t="shared" si="31"/>
        <v>4.0000000000000036E-2</v>
      </c>
      <c r="AU150" s="29">
        <v>0.75</v>
      </c>
      <c r="AV150" s="12">
        <f t="shared" si="33"/>
        <v>0.25</v>
      </c>
      <c r="AW150">
        <v>0.5</v>
      </c>
      <c r="AX150">
        <v>0.5</v>
      </c>
      <c r="AY150">
        <v>0</v>
      </c>
      <c r="AZ150" s="65" t="s">
        <v>95</v>
      </c>
      <c r="BN150" s="67">
        <v>37.5</v>
      </c>
      <c r="BO150">
        <v>0</v>
      </c>
      <c r="BP150">
        <v>0</v>
      </c>
      <c r="BQ150">
        <v>1</v>
      </c>
      <c r="BR150">
        <v>0</v>
      </c>
      <c r="BS150">
        <v>0</v>
      </c>
      <c r="BT150">
        <v>0</v>
      </c>
      <c r="BY150">
        <v>0</v>
      </c>
      <c r="BZ150" s="29">
        <v>0</v>
      </c>
      <c r="CA150">
        <v>0</v>
      </c>
      <c r="CB150">
        <v>0</v>
      </c>
      <c r="CC150" s="29">
        <v>1</v>
      </c>
      <c r="CD150">
        <v>1</v>
      </c>
      <c r="CE150">
        <v>0</v>
      </c>
      <c r="CF150">
        <v>0</v>
      </c>
      <c r="CG150">
        <v>1</v>
      </c>
      <c r="CH150">
        <v>0</v>
      </c>
      <c r="CI150">
        <v>0</v>
      </c>
      <c r="CJ150">
        <v>0</v>
      </c>
      <c r="CK150">
        <v>1</v>
      </c>
      <c r="CL150">
        <v>0</v>
      </c>
      <c r="CM150">
        <v>0</v>
      </c>
      <c r="CN150" s="17">
        <v>0</v>
      </c>
      <c r="CT150" t="s">
        <v>48</v>
      </c>
    </row>
    <row r="151" spans="1:98" x14ac:dyDescent="0.25">
      <c r="A151">
        <v>150</v>
      </c>
      <c r="B151">
        <v>10</v>
      </c>
      <c r="C151" t="s">
        <v>322</v>
      </c>
      <c r="D151" s="85">
        <v>2.8</v>
      </c>
      <c r="E151" s="6">
        <v>0.2</v>
      </c>
      <c r="F151" s="6">
        <f t="shared" si="24"/>
        <v>13.999999999999998</v>
      </c>
      <c r="L151" s="84">
        <v>0</v>
      </c>
      <c r="M151" s="75">
        <v>0</v>
      </c>
      <c r="N151" s="75">
        <v>0</v>
      </c>
      <c r="O151" s="75">
        <v>1</v>
      </c>
      <c r="P151" s="75">
        <v>0</v>
      </c>
      <c r="Q151" s="84">
        <v>38652</v>
      </c>
      <c r="R151" s="75">
        <v>1</v>
      </c>
      <c r="S151" s="75">
        <f t="shared" si="7"/>
        <v>38650</v>
      </c>
      <c r="U151" s="75">
        <v>9.6300000000000008</v>
      </c>
      <c r="V151" s="75">
        <v>18.5</v>
      </c>
      <c r="W151" s="84">
        <v>1</v>
      </c>
      <c r="X151" s="75">
        <v>0</v>
      </c>
      <c r="Y151" s="84">
        <v>0</v>
      </c>
      <c r="Z151" s="75">
        <v>1</v>
      </c>
      <c r="AA151" s="75">
        <v>0</v>
      </c>
      <c r="AB151" s="75">
        <v>0</v>
      </c>
      <c r="AC151" s="84">
        <v>0</v>
      </c>
      <c r="AD151" s="75">
        <v>0</v>
      </c>
      <c r="AE151" s="75">
        <v>1</v>
      </c>
      <c r="AF151" s="84">
        <v>1</v>
      </c>
      <c r="AG151" s="75">
        <v>0</v>
      </c>
      <c r="AH151" s="74">
        <v>1940</v>
      </c>
      <c r="AI151">
        <f t="shared" si="28"/>
        <v>0.33749999999999997</v>
      </c>
      <c r="AJ151">
        <f t="shared" si="28"/>
        <v>0.33749999999999997</v>
      </c>
      <c r="AK151" s="75">
        <v>0.28199999999999997</v>
      </c>
      <c r="AL151" s="75">
        <v>4.2999999999999997E-2</v>
      </c>
      <c r="AM151" s="29">
        <v>1</v>
      </c>
      <c r="AN151">
        <v>0</v>
      </c>
      <c r="AO151" s="29">
        <v>1</v>
      </c>
      <c r="AP151">
        <v>0</v>
      </c>
      <c r="AQ151" s="29">
        <v>0.96</v>
      </c>
      <c r="AR151">
        <f t="shared" si="31"/>
        <v>4.0000000000000036E-2</v>
      </c>
      <c r="AU151" s="29">
        <v>0.75</v>
      </c>
      <c r="AV151" s="12">
        <f t="shared" si="33"/>
        <v>0.25</v>
      </c>
      <c r="AW151">
        <v>0.5</v>
      </c>
      <c r="AX151">
        <v>0.5</v>
      </c>
      <c r="AY151">
        <v>0</v>
      </c>
      <c r="AZ151" s="65" t="s">
        <v>95</v>
      </c>
      <c r="BN151" s="67">
        <v>37.5</v>
      </c>
      <c r="BO151">
        <v>0</v>
      </c>
      <c r="BP151">
        <v>0</v>
      </c>
      <c r="BQ151">
        <v>1</v>
      </c>
      <c r="BR151">
        <v>0</v>
      </c>
      <c r="BS151">
        <v>0</v>
      </c>
      <c r="BT151">
        <v>0</v>
      </c>
      <c r="BY151">
        <v>0</v>
      </c>
      <c r="BZ151" s="29">
        <v>0</v>
      </c>
      <c r="CA151">
        <v>0</v>
      </c>
      <c r="CB151">
        <v>0</v>
      </c>
      <c r="CC151" s="29">
        <v>1</v>
      </c>
      <c r="CD151">
        <v>1</v>
      </c>
      <c r="CE151">
        <v>0</v>
      </c>
      <c r="CF151">
        <v>0</v>
      </c>
      <c r="CG151">
        <v>1</v>
      </c>
      <c r="CH151">
        <v>0</v>
      </c>
      <c r="CI151">
        <v>0</v>
      </c>
      <c r="CJ151">
        <v>0</v>
      </c>
      <c r="CK151">
        <v>0</v>
      </c>
      <c r="CL151">
        <v>0</v>
      </c>
      <c r="CM151">
        <v>0</v>
      </c>
      <c r="CN151" s="17">
        <v>0</v>
      </c>
      <c r="CT151" t="s">
        <v>48</v>
      </c>
    </row>
    <row r="152" spans="1:98" x14ac:dyDescent="0.25">
      <c r="A152">
        <v>151</v>
      </c>
      <c r="B152">
        <v>10</v>
      </c>
      <c r="C152" t="s">
        <v>322</v>
      </c>
      <c r="D152" s="85">
        <v>1.9</v>
      </c>
      <c r="E152" s="6">
        <v>0.1</v>
      </c>
      <c r="F152" s="6">
        <f t="shared" si="24"/>
        <v>18.999999999999996</v>
      </c>
      <c r="L152" s="84">
        <v>0</v>
      </c>
      <c r="M152" s="75">
        <v>0</v>
      </c>
      <c r="N152" s="75">
        <v>0</v>
      </c>
      <c r="O152" s="75">
        <v>1</v>
      </c>
      <c r="P152" s="75">
        <v>0</v>
      </c>
      <c r="Q152" s="84">
        <v>38652</v>
      </c>
      <c r="R152" s="75">
        <v>1</v>
      </c>
      <c r="S152" s="75">
        <f t="shared" si="7"/>
        <v>38650</v>
      </c>
      <c r="U152" s="75">
        <v>9.6300000000000008</v>
      </c>
      <c r="V152" s="75">
        <v>18.5</v>
      </c>
      <c r="W152" s="84">
        <v>1</v>
      </c>
      <c r="X152" s="75">
        <v>0</v>
      </c>
      <c r="Y152" s="84">
        <v>0</v>
      </c>
      <c r="Z152" s="75">
        <v>1</v>
      </c>
      <c r="AA152" s="75">
        <v>0</v>
      </c>
      <c r="AB152" s="75">
        <v>0</v>
      </c>
      <c r="AC152" s="84">
        <v>0</v>
      </c>
      <c r="AD152" s="75">
        <v>0</v>
      </c>
      <c r="AE152" s="75">
        <v>1</v>
      </c>
      <c r="AF152" s="84">
        <v>1</v>
      </c>
      <c r="AG152" s="75">
        <v>0</v>
      </c>
      <c r="AH152" s="74">
        <v>1940</v>
      </c>
      <c r="AI152">
        <f t="shared" si="28"/>
        <v>0.33749999999999997</v>
      </c>
      <c r="AJ152">
        <f t="shared" si="28"/>
        <v>0.33749999999999997</v>
      </c>
      <c r="AK152" s="75">
        <v>0.28199999999999997</v>
      </c>
      <c r="AL152" s="75">
        <v>4.2999999999999997E-2</v>
      </c>
      <c r="AM152" s="29">
        <v>1</v>
      </c>
      <c r="AN152">
        <v>0</v>
      </c>
      <c r="AO152" s="29">
        <v>1</v>
      </c>
      <c r="AP152">
        <v>0</v>
      </c>
      <c r="AQ152" s="29">
        <v>0.96</v>
      </c>
      <c r="AR152">
        <f t="shared" si="31"/>
        <v>4.0000000000000036E-2</v>
      </c>
      <c r="AU152" s="29">
        <v>0.75</v>
      </c>
      <c r="AV152" s="12">
        <f t="shared" si="33"/>
        <v>0.25</v>
      </c>
      <c r="AW152">
        <v>0.5</v>
      </c>
      <c r="AX152">
        <v>0.5</v>
      </c>
      <c r="AY152">
        <v>0</v>
      </c>
      <c r="AZ152" s="65" t="s">
        <v>95</v>
      </c>
      <c r="BN152" s="67">
        <v>37.5</v>
      </c>
      <c r="BO152">
        <v>0</v>
      </c>
      <c r="BP152">
        <v>0</v>
      </c>
      <c r="BQ152">
        <v>1</v>
      </c>
      <c r="BR152">
        <v>0</v>
      </c>
      <c r="BS152">
        <v>0</v>
      </c>
      <c r="BT152">
        <v>0</v>
      </c>
      <c r="BY152">
        <v>0</v>
      </c>
      <c r="BZ152" s="29">
        <v>0</v>
      </c>
      <c r="CA152">
        <v>0</v>
      </c>
      <c r="CB152">
        <v>0</v>
      </c>
      <c r="CC152" s="29">
        <v>0</v>
      </c>
      <c r="CD152">
        <v>0</v>
      </c>
      <c r="CE152">
        <v>0</v>
      </c>
      <c r="CF152">
        <v>0</v>
      </c>
      <c r="CG152">
        <v>0</v>
      </c>
      <c r="CH152">
        <v>0</v>
      </c>
      <c r="CI152">
        <v>0</v>
      </c>
      <c r="CJ152">
        <v>0</v>
      </c>
      <c r="CK152">
        <v>0</v>
      </c>
      <c r="CL152">
        <v>0</v>
      </c>
      <c r="CM152">
        <v>0</v>
      </c>
      <c r="CN152" s="17">
        <v>0</v>
      </c>
      <c r="CT152" t="s">
        <v>48</v>
      </c>
    </row>
    <row r="153" spans="1:98" x14ac:dyDescent="0.25">
      <c r="A153">
        <v>152</v>
      </c>
      <c r="B153">
        <v>10</v>
      </c>
      <c r="C153" t="s">
        <v>322</v>
      </c>
      <c r="D153" s="85">
        <v>4.9000000000000004</v>
      </c>
      <c r="E153" s="6">
        <v>0.2</v>
      </c>
      <c r="F153" s="6">
        <f t="shared" si="24"/>
        <v>24.5</v>
      </c>
      <c r="L153" s="84">
        <v>0</v>
      </c>
      <c r="M153" s="75">
        <v>0</v>
      </c>
      <c r="N153" s="75">
        <v>0</v>
      </c>
      <c r="O153" s="75">
        <v>1</v>
      </c>
      <c r="P153" s="75">
        <v>0</v>
      </c>
      <c r="Q153" s="84">
        <v>10189</v>
      </c>
      <c r="R153" s="75">
        <v>4</v>
      </c>
      <c r="S153" s="75">
        <f t="shared" si="7"/>
        <v>10184</v>
      </c>
      <c r="U153" s="75">
        <v>9.6300000000000008</v>
      </c>
      <c r="V153" s="75">
        <v>18.5</v>
      </c>
      <c r="W153" s="84">
        <v>1</v>
      </c>
      <c r="X153" s="75">
        <v>0</v>
      </c>
      <c r="Y153" s="84">
        <v>0</v>
      </c>
      <c r="Z153" s="75">
        <v>1</v>
      </c>
      <c r="AA153" s="75">
        <v>0</v>
      </c>
      <c r="AB153" s="75">
        <v>0</v>
      </c>
      <c r="AC153" s="84">
        <v>0</v>
      </c>
      <c r="AD153" s="75">
        <v>0</v>
      </c>
      <c r="AE153" s="75">
        <v>1</v>
      </c>
      <c r="AF153" s="84">
        <v>1</v>
      </c>
      <c r="AG153" s="75">
        <v>0</v>
      </c>
      <c r="AH153" s="74">
        <v>1940</v>
      </c>
      <c r="AI153">
        <f t="shared" si="28"/>
        <v>0.33749999999999997</v>
      </c>
      <c r="AJ153">
        <f t="shared" si="28"/>
        <v>0.33749999999999997</v>
      </c>
      <c r="AK153" s="75">
        <v>0.28199999999999997</v>
      </c>
      <c r="AL153" s="75">
        <v>4.2999999999999997E-2</v>
      </c>
      <c r="AM153" s="29">
        <v>1</v>
      </c>
      <c r="AN153">
        <v>0</v>
      </c>
      <c r="AO153" s="29">
        <v>1</v>
      </c>
      <c r="AP153">
        <v>0</v>
      </c>
      <c r="AQ153" s="29">
        <v>0.96</v>
      </c>
      <c r="AR153">
        <f t="shared" si="31"/>
        <v>4.0000000000000036E-2</v>
      </c>
      <c r="AU153" s="29">
        <v>0.75</v>
      </c>
      <c r="AV153" s="12">
        <f t="shared" si="33"/>
        <v>0.25</v>
      </c>
      <c r="AW153">
        <v>0.5</v>
      </c>
      <c r="AX153">
        <v>0.5</v>
      </c>
      <c r="AY153">
        <v>0</v>
      </c>
      <c r="AZ153" s="65" t="s">
        <v>95</v>
      </c>
      <c r="BN153" s="67">
        <v>37.5</v>
      </c>
      <c r="BO153">
        <v>1</v>
      </c>
      <c r="BP153">
        <v>0</v>
      </c>
      <c r="BQ153">
        <v>0</v>
      </c>
      <c r="BR153">
        <v>0</v>
      </c>
      <c r="BS153">
        <v>0</v>
      </c>
      <c r="BT153">
        <v>0</v>
      </c>
      <c r="BY153">
        <v>0</v>
      </c>
      <c r="BZ153" s="29">
        <v>0</v>
      </c>
      <c r="CA153">
        <v>0</v>
      </c>
      <c r="CB153">
        <v>0</v>
      </c>
      <c r="CC153" s="29">
        <v>1</v>
      </c>
      <c r="CD153">
        <v>1</v>
      </c>
      <c r="CE153">
        <v>0</v>
      </c>
      <c r="CF153">
        <v>0</v>
      </c>
      <c r="CG153">
        <v>1</v>
      </c>
      <c r="CH153">
        <v>0</v>
      </c>
      <c r="CI153">
        <v>0</v>
      </c>
      <c r="CJ153">
        <v>0</v>
      </c>
      <c r="CK153">
        <v>0</v>
      </c>
      <c r="CL153">
        <v>0</v>
      </c>
      <c r="CM153">
        <v>0</v>
      </c>
      <c r="CN153" s="17">
        <v>0</v>
      </c>
      <c r="CT153" t="s">
        <v>48</v>
      </c>
    </row>
    <row r="154" spans="1:98" x14ac:dyDescent="0.25">
      <c r="A154">
        <v>153</v>
      </c>
      <c r="B154">
        <v>10</v>
      </c>
      <c r="C154" t="s">
        <v>322</v>
      </c>
      <c r="D154" s="85">
        <v>4.9000000000000004</v>
      </c>
      <c r="E154" s="6">
        <v>0.4</v>
      </c>
      <c r="F154" s="6">
        <f t="shared" si="24"/>
        <v>12.25</v>
      </c>
      <c r="L154" s="84">
        <v>0</v>
      </c>
      <c r="M154" s="75">
        <v>0</v>
      </c>
      <c r="N154" s="75">
        <v>0</v>
      </c>
      <c r="O154" s="75">
        <v>1</v>
      </c>
      <c r="P154" s="75">
        <v>0</v>
      </c>
      <c r="Q154" s="84">
        <v>10189</v>
      </c>
      <c r="R154" s="75">
        <v>1</v>
      </c>
      <c r="S154" s="75">
        <f t="shared" si="7"/>
        <v>10187</v>
      </c>
      <c r="U154" s="75">
        <v>9.6300000000000008</v>
      </c>
      <c r="V154" s="75">
        <v>18.5</v>
      </c>
      <c r="W154" s="84">
        <v>1</v>
      </c>
      <c r="X154" s="75">
        <v>0</v>
      </c>
      <c r="Y154" s="84">
        <v>0</v>
      </c>
      <c r="Z154" s="75">
        <v>1</v>
      </c>
      <c r="AA154" s="75">
        <v>0</v>
      </c>
      <c r="AB154" s="75">
        <v>0</v>
      </c>
      <c r="AC154" s="84">
        <v>0</v>
      </c>
      <c r="AD154" s="75">
        <v>0</v>
      </c>
      <c r="AE154" s="75">
        <v>1</v>
      </c>
      <c r="AF154" s="84">
        <v>1</v>
      </c>
      <c r="AG154" s="75">
        <v>0</v>
      </c>
      <c r="AH154" s="74">
        <v>1940</v>
      </c>
      <c r="AI154">
        <f t="shared" si="28"/>
        <v>0.33749999999999997</v>
      </c>
      <c r="AJ154">
        <f t="shared" si="28"/>
        <v>0.33749999999999997</v>
      </c>
      <c r="AK154" s="75">
        <v>0.28199999999999997</v>
      </c>
      <c r="AL154" s="75">
        <v>4.2999999999999997E-2</v>
      </c>
      <c r="AM154" s="29">
        <v>1</v>
      </c>
      <c r="AN154">
        <v>0</v>
      </c>
      <c r="AO154" s="29">
        <v>1</v>
      </c>
      <c r="AP154">
        <v>0</v>
      </c>
      <c r="AQ154" s="29">
        <v>0.96</v>
      </c>
      <c r="AR154">
        <f t="shared" si="31"/>
        <v>4.0000000000000036E-2</v>
      </c>
      <c r="AU154" s="29">
        <v>0.75</v>
      </c>
      <c r="AV154" s="12">
        <f t="shared" si="33"/>
        <v>0.25</v>
      </c>
      <c r="AW154">
        <v>0.5</v>
      </c>
      <c r="AX154">
        <v>0.5</v>
      </c>
      <c r="AY154">
        <v>0</v>
      </c>
      <c r="AZ154" s="65" t="s">
        <v>95</v>
      </c>
      <c r="BN154" s="67">
        <v>37.5</v>
      </c>
      <c r="BO154">
        <v>0</v>
      </c>
      <c r="BP154">
        <v>0</v>
      </c>
      <c r="BQ154">
        <v>1</v>
      </c>
      <c r="BR154">
        <v>0</v>
      </c>
      <c r="BS154">
        <v>0</v>
      </c>
      <c r="BT154">
        <v>0</v>
      </c>
      <c r="BY154">
        <v>0</v>
      </c>
      <c r="BZ154" s="29">
        <v>0</v>
      </c>
      <c r="CA154">
        <v>0</v>
      </c>
      <c r="CB154">
        <v>0</v>
      </c>
      <c r="CC154" s="29">
        <v>0</v>
      </c>
      <c r="CD154">
        <v>0</v>
      </c>
      <c r="CE154">
        <v>0</v>
      </c>
      <c r="CF154">
        <v>0</v>
      </c>
      <c r="CG154">
        <v>0</v>
      </c>
      <c r="CH154">
        <v>0</v>
      </c>
      <c r="CI154">
        <v>0</v>
      </c>
      <c r="CJ154">
        <v>0</v>
      </c>
      <c r="CK154">
        <v>0</v>
      </c>
      <c r="CL154">
        <v>0</v>
      </c>
      <c r="CM154">
        <v>0</v>
      </c>
      <c r="CN154" s="17">
        <v>0</v>
      </c>
      <c r="CT154" t="s">
        <v>48</v>
      </c>
    </row>
    <row r="155" spans="1:98" x14ac:dyDescent="0.25">
      <c r="A155">
        <v>154</v>
      </c>
      <c r="B155">
        <v>10</v>
      </c>
      <c r="C155" t="s">
        <v>322</v>
      </c>
      <c r="D155" s="85">
        <v>4.3</v>
      </c>
      <c r="E155" s="6">
        <v>0.1</v>
      </c>
      <c r="F155" s="6">
        <f t="shared" si="24"/>
        <v>42.999999999999993</v>
      </c>
      <c r="L155" s="84">
        <v>0</v>
      </c>
      <c r="M155" s="75">
        <v>0</v>
      </c>
      <c r="N155" s="75">
        <v>0</v>
      </c>
      <c r="O155" s="75">
        <v>1</v>
      </c>
      <c r="P155" s="75">
        <v>0</v>
      </c>
      <c r="Q155" s="84">
        <v>25468</v>
      </c>
      <c r="R155" s="75">
        <v>4</v>
      </c>
      <c r="S155" s="75">
        <f t="shared" si="7"/>
        <v>25463</v>
      </c>
      <c r="U155" s="75">
        <v>9.6300000000000008</v>
      </c>
      <c r="V155" s="75">
        <v>18.5</v>
      </c>
      <c r="W155" s="84">
        <v>1</v>
      </c>
      <c r="X155" s="75">
        <v>0</v>
      </c>
      <c r="Y155" s="84">
        <v>0</v>
      </c>
      <c r="Z155" s="75">
        <v>1</v>
      </c>
      <c r="AA155" s="75">
        <v>0</v>
      </c>
      <c r="AB155" s="75">
        <v>0</v>
      </c>
      <c r="AC155" s="84">
        <v>0</v>
      </c>
      <c r="AD155" s="75">
        <v>0</v>
      </c>
      <c r="AE155" s="75">
        <v>1</v>
      </c>
      <c r="AF155" s="84">
        <v>1</v>
      </c>
      <c r="AG155" s="75">
        <v>0</v>
      </c>
      <c r="AH155" s="74">
        <v>1940</v>
      </c>
      <c r="AI155">
        <f t="shared" si="28"/>
        <v>0.33749999999999997</v>
      </c>
      <c r="AJ155">
        <f t="shared" si="28"/>
        <v>0.33749999999999997</v>
      </c>
      <c r="AK155" s="75">
        <v>0.28199999999999997</v>
      </c>
      <c r="AL155" s="75">
        <v>4.2999999999999997E-2</v>
      </c>
      <c r="AM155" s="29">
        <v>1</v>
      </c>
      <c r="AN155">
        <v>0</v>
      </c>
      <c r="AO155" s="29">
        <v>1</v>
      </c>
      <c r="AP155">
        <v>0</v>
      </c>
      <c r="AQ155" s="29">
        <v>0.96</v>
      </c>
      <c r="AR155">
        <f t="shared" si="31"/>
        <v>4.0000000000000036E-2</v>
      </c>
      <c r="AU155" s="29">
        <v>0.75</v>
      </c>
      <c r="AV155" s="12">
        <f t="shared" si="33"/>
        <v>0.25</v>
      </c>
      <c r="AW155">
        <v>0.5</v>
      </c>
      <c r="AX155">
        <v>0.5</v>
      </c>
      <c r="AY155">
        <v>0</v>
      </c>
      <c r="AZ155" s="65" t="s">
        <v>95</v>
      </c>
      <c r="BN155" s="67">
        <v>37.5</v>
      </c>
      <c r="BO155">
        <v>1</v>
      </c>
      <c r="BP155">
        <v>0</v>
      </c>
      <c r="BQ155">
        <v>0</v>
      </c>
      <c r="BR155">
        <v>0</v>
      </c>
      <c r="BS155">
        <v>0</v>
      </c>
      <c r="BT155">
        <v>0</v>
      </c>
      <c r="BY155">
        <v>0</v>
      </c>
      <c r="BZ155" s="29">
        <v>0</v>
      </c>
      <c r="CA155">
        <v>0</v>
      </c>
      <c r="CB155">
        <v>0</v>
      </c>
      <c r="CC155" s="29">
        <v>1</v>
      </c>
      <c r="CD155">
        <v>1</v>
      </c>
      <c r="CE155">
        <v>0</v>
      </c>
      <c r="CF155">
        <v>0</v>
      </c>
      <c r="CG155">
        <v>1</v>
      </c>
      <c r="CH155">
        <v>0</v>
      </c>
      <c r="CI155">
        <v>0</v>
      </c>
      <c r="CJ155">
        <v>0</v>
      </c>
      <c r="CK155">
        <v>0</v>
      </c>
      <c r="CL155">
        <v>0</v>
      </c>
      <c r="CM155">
        <v>0</v>
      </c>
      <c r="CN155" s="17">
        <v>0</v>
      </c>
      <c r="CT155" t="s">
        <v>48</v>
      </c>
    </row>
    <row r="156" spans="1:98" x14ac:dyDescent="0.25">
      <c r="A156">
        <v>155</v>
      </c>
      <c r="B156">
        <v>10</v>
      </c>
      <c r="C156" t="s">
        <v>322</v>
      </c>
      <c r="D156" s="85">
        <v>4.0999999999999996</v>
      </c>
      <c r="E156" s="6">
        <v>0.3</v>
      </c>
      <c r="F156" s="6">
        <f t="shared" si="24"/>
        <v>13.666666666666666</v>
      </c>
      <c r="L156" s="84">
        <v>0</v>
      </c>
      <c r="M156" s="75">
        <v>0</v>
      </c>
      <c r="N156" s="75">
        <v>0</v>
      </c>
      <c r="O156" s="75">
        <v>1</v>
      </c>
      <c r="P156" s="75">
        <v>0</v>
      </c>
      <c r="Q156" s="84">
        <v>25468</v>
      </c>
      <c r="R156" s="75">
        <v>1</v>
      </c>
      <c r="S156" s="75">
        <f t="shared" si="7"/>
        <v>25466</v>
      </c>
      <c r="U156" s="75">
        <v>9.6300000000000008</v>
      </c>
      <c r="V156" s="75">
        <v>18.5</v>
      </c>
      <c r="W156" s="84">
        <v>1</v>
      </c>
      <c r="X156" s="75">
        <v>0</v>
      </c>
      <c r="Y156" s="84">
        <v>0</v>
      </c>
      <c r="Z156" s="75">
        <v>1</v>
      </c>
      <c r="AA156" s="75">
        <v>0</v>
      </c>
      <c r="AB156" s="75">
        <v>0</v>
      </c>
      <c r="AC156" s="84">
        <v>0</v>
      </c>
      <c r="AD156" s="75">
        <v>0</v>
      </c>
      <c r="AE156" s="75">
        <v>1</v>
      </c>
      <c r="AF156" s="84">
        <v>1</v>
      </c>
      <c r="AG156" s="75">
        <v>0</v>
      </c>
      <c r="AH156" s="74">
        <v>1940</v>
      </c>
      <c r="AI156">
        <f t="shared" si="28"/>
        <v>0.33749999999999997</v>
      </c>
      <c r="AJ156">
        <f t="shared" si="28"/>
        <v>0.33749999999999997</v>
      </c>
      <c r="AK156" s="75">
        <v>0.28199999999999997</v>
      </c>
      <c r="AL156" s="75">
        <v>4.2999999999999997E-2</v>
      </c>
      <c r="AM156" s="29">
        <v>1</v>
      </c>
      <c r="AN156">
        <v>0</v>
      </c>
      <c r="AO156" s="29">
        <v>1</v>
      </c>
      <c r="AP156">
        <v>0</v>
      </c>
      <c r="AQ156" s="29">
        <v>0.96</v>
      </c>
      <c r="AR156">
        <f t="shared" si="31"/>
        <v>4.0000000000000036E-2</v>
      </c>
      <c r="AU156" s="29">
        <v>0.75</v>
      </c>
      <c r="AV156" s="12">
        <f t="shared" si="33"/>
        <v>0.25</v>
      </c>
      <c r="AW156">
        <v>0.5</v>
      </c>
      <c r="AX156">
        <v>0.5</v>
      </c>
      <c r="AY156">
        <v>0</v>
      </c>
      <c r="AZ156" s="65" t="s">
        <v>95</v>
      </c>
      <c r="BN156" s="67">
        <v>37.5</v>
      </c>
      <c r="BO156">
        <v>0</v>
      </c>
      <c r="BP156">
        <v>0</v>
      </c>
      <c r="BQ156">
        <v>1</v>
      </c>
      <c r="BR156">
        <v>0</v>
      </c>
      <c r="BS156">
        <v>0</v>
      </c>
      <c r="BT156">
        <v>0</v>
      </c>
      <c r="BY156">
        <v>0</v>
      </c>
      <c r="BZ156" s="29">
        <v>0</v>
      </c>
      <c r="CA156">
        <v>0</v>
      </c>
      <c r="CB156">
        <v>0</v>
      </c>
      <c r="CC156" s="29">
        <v>0</v>
      </c>
      <c r="CD156">
        <v>0</v>
      </c>
      <c r="CE156">
        <v>0</v>
      </c>
      <c r="CF156">
        <v>0</v>
      </c>
      <c r="CG156">
        <v>0</v>
      </c>
      <c r="CH156">
        <v>0</v>
      </c>
      <c r="CI156">
        <v>0</v>
      </c>
      <c r="CJ156">
        <v>0</v>
      </c>
      <c r="CK156">
        <v>0</v>
      </c>
      <c r="CL156">
        <v>0</v>
      </c>
      <c r="CM156">
        <v>0</v>
      </c>
      <c r="CN156" s="17">
        <v>0</v>
      </c>
      <c r="CT156" t="s">
        <v>48</v>
      </c>
    </row>
    <row r="157" spans="1:98" x14ac:dyDescent="0.25">
      <c r="A157">
        <v>156</v>
      </c>
      <c r="B157">
        <v>10</v>
      </c>
      <c r="C157" t="s">
        <v>322</v>
      </c>
      <c r="D157" s="85">
        <v>4.5</v>
      </c>
      <c r="E157" s="6">
        <v>0.2</v>
      </c>
      <c r="F157" s="6">
        <f t="shared" si="24"/>
        <v>22.5</v>
      </c>
      <c r="L157" s="84">
        <v>0</v>
      </c>
      <c r="M157" s="75">
        <v>0</v>
      </c>
      <c r="N157" s="75">
        <v>0</v>
      </c>
      <c r="O157" s="75">
        <v>1</v>
      </c>
      <c r="P157" s="75">
        <v>0</v>
      </c>
      <c r="Q157" s="84">
        <v>12950</v>
      </c>
      <c r="R157" s="75">
        <v>4</v>
      </c>
      <c r="S157" s="75">
        <f t="shared" si="7"/>
        <v>12945</v>
      </c>
      <c r="U157" s="75">
        <v>9.6300000000000008</v>
      </c>
      <c r="V157" s="75">
        <v>18.5</v>
      </c>
      <c r="W157" s="84">
        <v>1</v>
      </c>
      <c r="X157" s="75">
        <v>0</v>
      </c>
      <c r="Y157" s="84">
        <v>0</v>
      </c>
      <c r="Z157" s="75">
        <v>1</v>
      </c>
      <c r="AA157" s="75">
        <v>0</v>
      </c>
      <c r="AB157" s="75">
        <v>0</v>
      </c>
      <c r="AC157" s="84">
        <v>0</v>
      </c>
      <c r="AD157" s="75">
        <v>0</v>
      </c>
      <c r="AE157" s="75">
        <v>1</v>
      </c>
      <c r="AF157" s="84">
        <v>1</v>
      </c>
      <c r="AG157" s="75">
        <v>0</v>
      </c>
      <c r="AH157" s="74">
        <v>1940</v>
      </c>
      <c r="AI157">
        <f t="shared" si="28"/>
        <v>0.33749999999999997</v>
      </c>
      <c r="AJ157">
        <f t="shared" si="28"/>
        <v>0.33749999999999997</v>
      </c>
      <c r="AK157" s="75">
        <v>0.28199999999999997</v>
      </c>
      <c r="AL157" s="75">
        <v>4.2999999999999997E-2</v>
      </c>
      <c r="AM157" s="29">
        <v>1</v>
      </c>
      <c r="AN157">
        <v>0</v>
      </c>
      <c r="AO157" s="29">
        <v>1</v>
      </c>
      <c r="AP157">
        <v>0</v>
      </c>
      <c r="AQ157" s="29">
        <v>0.96</v>
      </c>
      <c r="AR157">
        <f t="shared" si="31"/>
        <v>4.0000000000000036E-2</v>
      </c>
      <c r="AU157" s="29">
        <v>0.75</v>
      </c>
      <c r="AV157" s="12">
        <f t="shared" si="33"/>
        <v>0.25</v>
      </c>
      <c r="AW157">
        <v>0.5</v>
      </c>
      <c r="AX157">
        <v>0.5</v>
      </c>
      <c r="AY157">
        <v>0</v>
      </c>
      <c r="AZ157" s="65" t="s">
        <v>95</v>
      </c>
      <c r="BN157" s="67">
        <v>37.5</v>
      </c>
      <c r="BO157">
        <v>1</v>
      </c>
      <c r="BP157">
        <v>0</v>
      </c>
      <c r="BQ157">
        <v>0</v>
      </c>
      <c r="BR157">
        <v>0</v>
      </c>
      <c r="BS157">
        <v>0</v>
      </c>
      <c r="BT157">
        <v>0</v>
      </c>
      <c r="BY157">
        <v>0</v>
      </c>
      <c r="BZ157" s="29">
        <v>0</v>
      </c>
      <c r="CA157">
        <v>0</v>
      </c>
      <c r="CB157">
        <v>0</v>
      </c>
      <c r="CC157" s="29">
        <v>1</v>
      </c>
      <c r="CD157">
        <v>1</v>
      </c>
      <c r="CE157">
        <v>0</v>
      </c>
      <c r="CF157">
        <v>0</v>
      </c>
      <c r="CG157">
        <v>1</v>
      </c>
      <c r="CH157">
        <v>0</v>
      </c>
      <c r="CI157">
        <v>0</v>
      </c>
      <c r="CJ157">
        <v>0</v>
      </c>
      <c r="CK157">
        <v>0</v>
      </c>
      <c r="CL157">
        <v>0</v>
      </c>
      <c r="CM157">
        <v>0</v>
      </c>
      <c r="CN157" s="17">
        <v>0</v>
      </c>
      <c r="CT157" t="s">
        <v>48</v>
      </c>
    </row>
    <row r="158" spans="1:98" x14ac:dyDescent="0.25">
      <c r="A158">
        <v>157</v>
      </c>
      <c r="B158">
        <v>10</v>
      </c>
      <c r="C158" t="s">
        <v>322</v>
      </c>
      <c r="D158" s="85">
        <v>4.4000000000000004</v>
      </c>
      <c r="E158" s="6">
        <v>0.4</v>
      </c>
      <c r="F158" s="6">
        <f t="shared" si="24"/>
        <v>11</v>
      </c>
      <c r="L158" s="84">
        <v>0</v>
      </c>
      <c r="M158" s="75">
        <v>0</v>
      </c>
      <c r="N158" s="75">
        <v>0</v>
      </c>
      <c r="O158" s="75">
        <v>1</v>
      </c>
      <c r="P158" s="75">
        <v>0</v>
      </c>
      <c r="Q158" s="84">
        <v>12950</v>
      </c>
      <c r="R158" s="75">
        <v>1</v>
      </c>
      <c r="S158" s="75">
        <f t="shared" si="7"/>
        <v>12948</v>
      </c>
      <c r="U158" s="75">
        <v>9.6300000000000008</v>
      </c>
      <c r="V158" s="75">
        <v>18.5</v>
      </c>
      <c r="W158" s="84">
        <v>1</v>
      </c>
      <c r="X158" s="75">
        <v>0</v>
      </c>
      <c r="Y158" s="84">
        <v>0</v>
      </c>
      <c r="Z158" s="75">
        <v>1</v>
      </c>
      <c r="AA158" s="75">
        <v>0</v>
      </c>
      <c r="AB158" s="75">
        <v>0</v>
      </c>
      <c r="AC158" s="84">
        <v>0</v>
      </c>
      <c r="AD158" s="75">
        <v>0</v>
      </c>
      <c r="AE158" s="75">
        <v>1</v>
      </c>
      <c r="AF158" s="84">
        <v>1</v>
      </c>
      <c r="AG158" s="75">
        <v>0</v>
      </c>
      <c r="AH158" s="74">
        <v>1940</v>
      </c>
      <c r="AI158">
        <f t="shared" si="28"/>
        <v>0.33749999999999997</v>
      </c>
      <c r="AJ158">
        <f t="shared" si="28"/>
        <v>0.33749999999999997</v>
      </c>
      <c r="AK158" s="75">
        <v>0.28199999999999997</v>
      </c>
      <c r="AL158" s="75">
        <v>4.2999999999999997E-2</v>
      </c>
      <c r="AM158" s="29">
        <v>1</v>
      </c>
      <c r="AN158">
        <v>0</v>
      </c>
      <c r="AO158" s="29">
        <v>1</v>
      </c>
      <c r="AP158">
        <v>0</v>
      </c>
      <c r="AQ158" s="29">
        <v>0.96</v>
      </c>
      <c r="AR158">
        <f t="shared" si="31"/>
        <v>4.0000000000000036E-2</v>
      </c>
      <c r="AU158" s="29">
        <v>0.75</v>
      </c>
      <c r="AV158" s="12">
        <f t="shared" si="33"/>
        <v>0.25</v>
      </c>
      <c r="AW158">
        <v>0.5</v>
      </c>
      <c r="AX158">
        <v>0.5</v>
      </c>
      <c r="AY158">
        <v>0</v>
      </c>
      <c r="AZ158" s="65" t="s">
        <v>95</v>
      </c>
      <c r="BN158" s="67">
        <v>37.5</v>
      </c>
      <c r="BO158">
        <v>0</v>
      </c>
      <c r="BP158">
        <v>0</v>
      </c>
      <c r="BQ158">
        <v>1</v>
      </c>
      <c r="BR158">
        <v>0</v>
      </c>
      <c r="BS158">
        <v>0</v>
      </c>
      <c r="BT158">
        <v>0</v>
      </c>
      <c r="BY158">
        <v>0</v>
      </c>
      <c r="BZ158" s="29">
        <v>0</v>
      </c>
      <c r="CA158">
        <v>0</v>
      </c>
      <c r="CB158">
        <v>0</v>
      </c>
      <c r="CC158" s="29">
        <v>0</v>
      </c>
      <c r="CD158">
        <v>0</v>
      </c>
      <c r="CE158">
        <v>0</v>
      </c>
      <c r="CF158">
        <v>0</v>
      </c>
      <c r="CG158">
        <v>0</v>
      </c>
      <c r="CH158">
        <v>0</v>
      </c>
      <c r="CI158">
        <v>0</v>
      </c>
      <c r="CJ158">
        <v>0</v>
      </c>
      <c r="CK158">
        <v>0</v>
      </c>
      <c r="CL158">
        <v>0</v>
      </c>
      <c r="CM158">
        <v>0</v>
      </c>
      <c r="CN158" s="17">
        <v>0</v>
      </c>
      <c r="CT158" t="s">
        <v>48</v>
      </c>
    </row>
    <row r="159" spans="1:98" x14ac:dyDescent="0.25">
      <c r="A159">
        <v>158</v>
      </c>
      <c r="B159">
        <v>10</v>
      </c>
      <c r="C159" t="s">
        <v>322</v>
      </c>
      <c r="D159" s="85">
        <v>4</v>
      </c>
      <c r="E159" s="6">
        <v>0.2</v>
      </c>
      <c r="F159" s="6">
        <f t="shared" si="24"/>
        <v>20</v>
      </c>
      <c r="L159" s="84">
        <v>0</v>
      </c>
      <c r="M159" s="75">
        <v>0</v>
      </c>
      <c r="N159" s="75">
        <v>0</v>
      </c>
      <c r="O159" s="75">
        <v>1</v>
      </c>
      <c r="P159" s="75">
        <v>0</v>
      </c>
      <c r="Q159" s="84">
        <v>12518</v>
      </c>
      <c r="R159" s="75">
        <v>4</v>
      </c>
      <c r="S159" s="75">
        <f t="shared" si="7"/>
        <v>12513</v>
      </c>
      <c r="U159" s="75">
        <v>9.6300000000000008</v>
      </c>
      <c r="V159" s="75">
        <v>18.5</v>
      </c>
      <c r="W159" s="84">
        <v>1</v>
      </c>
      <c r="X159" s="75">
        <v>0</v>
      </c>
      <c r="Y159" s="84">
        <v>0</v>
      </c>
      <c r="Z159" s="75">
        <v>1</v>
      </c>
      <c r="AA159" s="75">
        <v>0</v>
      </c>
      <c r="AB159" s="75">
        <v>0</v>
      </c>
      <c r="AC159" s="84">
        <v>0</v>
      </c>
      <c r="AD159" s="75">
        <v>0</v>
      </c>
      <c r="AE159" s="75">
        <v>1</v>
      </c>
      <c r="AF159" s="84">
        <v>1</v>
      </c>
      <c r="AG159" s="75">
        <v>0</v>
      </c>
      <c r="AH159" s="74">
        <v>1940</v>
      </c>
      <c r="AI159">
        <f t="shared" si="28"/>
        <v>0.33749999999999997</v>
      </c>
      <c r="AJ159">
        <f t="shared" si="28"/>
        <v>0.33749999999999997</v>
      </c>
      <c r="AK159" s="75">
        <v>0.28199999999999997</v>
      </c>
      <c r="AL159" s="75">
        <v>4.2999999999999997E-2</v>
      </c>
      <c r="AM159" s="29">
        <v>1</v>
      </c>
      <c r="AN159">
        <v>0</v>
      </c>
      <c r="AO159" s="29">
        <v>1</v>
      </c>
      <c r="AP159">
        <v>0</v>
      </c>
      <c r="AQ159" s="29">
        <v>0.96</v>
      </c>
      <c r="AR159">
        <f t="shared" si="31"/>
        <v>4.0000000000000036E-2</v>
      </c>
      <c r="AU159" s="29">
        <v>0.75</v>
      </c>
      <c r="AV159" s="12">
        <f t="shared" si="33"/>
        <v>0.25</v>
      </c>
      <c r="AW159">
        <v>0.5</v>
      </c>
      <c r="AX159">
        <v>0.5</v>
      </c>
      <c r="AY159">
        <v>0</v>
      </c>
      <c r="AZ159" s="65" t="s">
        <v>95</v>
      </c>
      <c r="BN159" s="67">
        <v>37.5</v>
      </c>
      <c r="BO159">
        <v>1</v>
      </c>
      <c r="BP159">
        <v>0</v>
      </c>
      <c r="BQ159">
        <v>0</v>
      </c>
      <c r="BR159">
        <v>0</v>
      </c>
      <c r="BS159">
        <v>0</v>
      </c>
      <c r="BT159">
        <v>0</v>
      </c>
      <c r="BY159">
        <v>0</v>
      </c>
      <c r="BZ159" s="29">
        <v>0</v>
      </c>
      <c r="CA159">
        <v>0</v>
      </c>
      <c r="CB159">
        <v>0</v>
      </c>
      <c r="CC159" s="29">
        <v>1</v>
      </c>
      <c r="CD159">
        <v>1</v>
      </c>
      <c r="CE159">
        <v>0</v>
      </c>
      <c r="CF159">
        <v>0</v>
      </c>
      <c r="CG159">
        <v>1</v>
      </c>
      <c r="CH159">
        <v>0</v>
      </c>
      <c r="CI159">
        <v>0</v>
      </c>
      <c r="CJ159">
        <v>0</v>
      </c>
      <c r="CK159">
        <v>0</v>
      </c>
      <c r="CL159">
        <v>0</v>
      </c>
      <c r="CM159">
        <v>0</v>
      </c>
      <c r="CN159" s="17">
        <v>0</v>
      </c>
      <c r="CT159" t="s">
        <v>48</v>
      </c>
    </row>
    <row r="160" spans="1:98" x14ac:dyDescent="0.25">
      <c r="A160">
        <v>159</v>
      </c>
      <c r="B160">
        <v>10</v>
      </c>
      <c r="C160" t="s">
        <v>322</v>
      </c>
      <c r="D160" s="85">
        <v>3.9</v>
      </c>
      <c r="E160" s="6">
        <v>0.4</v>
      </c>
      <c r="F160" s="6">
        <f t="shared" si="24"/>
        <v>9.75</v>
      </c>
      <c r="L160" s="84">
        <v>0</v>
      </c>
      <c r="M160" s="75">
        <v>0</v>
      </c>
      <c r="N160" s="75">
        <v>0</v>
      </c>
      <c r="O160" s="75">
        <v>1</v>
      </c>
      <c r="P160" s="75">
        <v>0</v>
      </c>
      <c r="Q160" s="84">
        <v>12518</v>
      </c>
      <c r="R160" s="75">
        <v>1</v>
      </c>
      <c r="S160" s="75">
        <f t="shared" si="7"/>
        <v>12516</v>
      </c>
      <c r="U160" s="75">
        <v>9.6300000000000008</v>
      </c>
      <c r="V160" s="75">
        <v>18.5</v>
      </c>
      <c r="W160" s="84">
        <v>1</v>
      </c>
      <c r="X160" s="75">
        <v>0</v>
      </c>
      <c r="Y160" s="84">
        <v>0</v>
      </c>
      <c r="Z160" s="75">
        <v>1</v>
      </c>
      <c r="AA160" s="75">
        <v>0</v>
      </c>
      <c r="AB160" s="75">
        <v>0</v>
      </c>
      <c r="AC160" s="84">
        <v>0</v>
      </c>
      <c r="AD160" s="75">
        <v>0</v>
      </c>
      <c r="AE160" s="75">
        <v>1</v>
      </c>
      <c r="AF160" s="84">
        <v>1</v>
      </c>
      <c r="AG160" s="75">
        <v>0</v>
      </c>
      <c r="AH160" s="74">
        <v>1940</v>
      </c>
      <c r="AI160">
        <f t="shared" si="28"/>
        <v>0.33749999999999997</v>
      </c>
      <c r="AJ160">
        <f t="shared" si="28"/>
        <v>0.33749999999999997</v>
      </c>
      <c r="AK160" s="75">
        <v>0.28199999999999997</v>
      </c>
      <c r="AL160" s="75">
        <v>4.2999999999999997E-2</v>
      </c>
      <c r="AM160" s="29">
        <v>1</v>
      </c>
      <c r="AN160">
        <v>0</v>
      </c>
      <c r="AO160" s="29">
        <v>1</v>
      </c>
      <c r="AP160">
        <v>0</v>
      </c>
      <c r="AQ160" s="29">
        <v>0.96</v>
      </c>
      <c r="AR160">
        <f t="shared" si="31"/>
        <v>4.0000000000000036E-2</v>
      </c>
      <c r="AU160" s="29">
        <v>0.75</v>
      </c>
      <c r="AV160" s="12">
        <f t="shared" si="33"/>
        <v>0.25</v>
      </c>
      <c r="AW160">
        <v>0.5</v>
      </c>
      <c r="AX160">
        <v>0.5</v>
      </c>
      <c r="AY160">
        <v>0</v>
      </c>
      <c r="AZ160" s="65" t="s">
        <v>95</v>
      </c>
      <c r="BN160" s="67">
        <v>37.5</v>
      </c>
      <c r="BO160">
        <v>0</v>
      </c>
      <c r="BP160">
        <v>0</v>
      </c>
      <c r="BQ160">
        <v>1</v>
      </c>
      <c r="BR160">
        <v>0</v>
      </c>
      <c r="BS160">
        <v>0</v>
      </c>
      <c r="BT160">
        <v>0</v>
      </c>
      <c r="BY160">
        <v>0</v>
      </c>
      <c r="BZ160" s="29">
        <v>0</v>
      </c>
      <c r="CA160">
        <v>0</v>
      </c>
      <c r="CB160">
        <v>0</v>
      </c>
      <c r="CC160" s="29">
        <v>0</v>
      </c>
      <c r="CD160">
        <v>0</v>
      </c>
      <c r="CE160">
        <v>0</v>
      </c>
      <c r="CF160">
        <v>0</v>
      </c>
      <c r="CG160">
        <v>0</v>
      </c>
      <c r="CH160">
        <v>0</v>
      </c>
      <c r="CI160">
        <v>0</v>
      </c>
      <c r="CJ160">
        <v>0</v>
      </c>
      <c r="CK160">
        <v>0</v>
      </c>
      <c r="CL160">
        <v>0</v>
      </c>
      <c r="CM160">
        <v>0</v>
      </c>
      <c r="CN160" s="17">
        <v>0</v>
      </c>
      <c r="CT160" t="s">
        <v>48</v>
      </c>
    </row>
    <row r="161" spans="1:98" x14ac:dyDescent="0.25">
      <c r="A161">
        <v>160</v>
      </c>
      <c r="B161">
        <v>10</v>
      </c>
      <c r="C161" t="s">
        <v>322</v>
      </c>
      <c r="D161" s="85">
        <v>5.5</v>
      </c>
      <c r="E161" s="6">
        <v>0.2</v>
      </c>
      <c r="F161" s="6">
        <f t="shared" si="24"/>
        <v>27.5</v>
      </c>
      <c r="L161" s="84">
        <v>0</v>
      </c>
      <c r="M161" s="75">
        <v>0</v>
      </c>
      <c r="N161" s="75">
        <v>0</v>
      </c>
      <c r="O161" s="75">
        <v>1</v>
      </c>
      <c r="P161" s="75">
        <v>0</v>
      </c>
      <c r="Q161" s="84">
        <v>14493</v>
      </c>
      <c r="R161" s="75">
        <v>4</v>
      </c>
      <c r="S161" s="75">
        <f t="shared" si="7"/>
        <v>14488</v>
      </c>
      <c r="U161" s="75">
        <v>9.6300000000000008</v>
      </c>
      <c r="V161" s="75">
        <v>18.5</v>
      </c>
      <c r="W161" s="84">
        <v>1</v>
      </c>
      <c r="X161" s="75">
        <v>0</v>
      </c>
      <c r="Y161" s="84">
        <v>0</v>
      </c>
      <c r="Z161" s="75">
        <v>1</v>
      </c>
      <c r="AA161" s="75">
        <v>0</v>
      </c>
      <c r="AB161" s="75">
        <v>0</v>
      </c>
      <c r="AC161" s="84">
        <v>0</v>
      </c>
      <c r="AD161" s="75">
        <v>0</v>
      </c>
      <c r="AE161" s="75">
        <v>1</v>
      </c>
      <c r="AF161" s="84">
        <v>1</v>
      </c>
      <c r="AG161" s="75">
        <v>0</v>
      </c>
      <c r="AH161" s="74">
        <v>1940</v>
      </c>
      <c r="AI161">
        <f t="shared" si="28"/>
        <v>0.33749999999999997</v>
      </c>
      <c r="AJ161">
        <f t="shared" si="28"/>
        <v>0.33749999999999997</v>
      </c>
      <c r="AK161" s="75">
        <v>0.28199999999999997</v>
      </c>
      <c r="AL161" s="75">
        <v>4.2999999999999997E-2</v>
      </c>
      <c r="AM161" s="29">
        <v>1</v>
      </c>
      <c r="AN161">
        <v>0</v>
      </c>
      <c r="AO161" s="29">
        <v>1</v>
      </c>
      <c r="AP161">
        <v>0</v>
      </c>
      <c r="AQ161" s="29">
        <v>0.96</v>
      </c>
      <c r="AR161">
        <f t="shared" si="31"/>
        <v>4.0000000000000036E-2</v>
      </c>
      <c r="AU161" s="29">
        <v>0.75</v>
      </c>
      <c r="AV161" s="12">
        <f t="shared" si="33"/>
        <v>0.25</v>
      </c>
      <c r="AW161">
        <v>0.5</v>
      </c>
      <c r="AX161">
        <v>0.5</v>
      </c>
      <c r="AY161">
        <v>0</v>
      </c>
      <c r="AZ161" s="65" t="s">
        <v>95</v>
      </c>
      <c r="BN161" s="67">
        <v>37.5</v>
      </c>
      <c r="BO161">
        <v>1</v>
      </c>
      <c r="BP161">
        <v>0</v>
      </c>
      <c r="BQ161">
        <v>0</v>
      </c>
      <c r="BR161">
        <v>0</v>
      </c>
      <c r="BS161">
        <v>0</v>
      </c>
      <c r="BT161">
        <v>0</v>
      </c>
      <c r="BY161">
        <v>0</v>
      </c>
      <c r="BZ161" s="29">
        <v>0</v>
      </c>
      <c r="CA161">
        <v>0</v>
      </c>
      <c r="CB161">
        <v>0</v>
      </c>
      <c r="CC161" s="29">
        <v>1</v>
      </c>
      <c r="CD161">
        <v>1</v>
      </c>
      <c r="CE161">
        <v>0</v>
      </c>
      <c r="CF161">
        <v>0</v>
      </c>
      <c r="CG161">
        <v>1</v>
      </c>
      <c r="CH161">
        <v>0</v>
      </c>
      <c r="CI161">
        <v>0</v>
      </c>
      <c r="CJ161">
        <v>0</v>
      </c>
      <c r="CK161">
        <v>0</v>
      </c>
      <c r="CL161">
        <v>0</v>
      </c>
      <c r="CM161">
        <v>0</v>
      </c>
      <c r="CN161" s="17">
        <v>0</v>
      </c>
      <c r="CT161" t="s">
        <v>48</v>
      </c>
    </row>
    <row r="162" spans="1:98" x14ac:dyDescent="0.25">
      <c r="A162">
        <v>161</v>
      </c>
      <c r="B162">
        <v>10</v>
      </c>
      <c r="C162" t="s">
        <v>322</v>
      </c>
      <c r="D162" s="85">
        <v>5</v>
      </c>
      <c r="E162" s="6">
        <v>0.3</v>
      </c>
      <c r="F162" s="6">
        <f t="shared" si="24"/>
        <v>16.666666666666668</v>
      </c>
      <c r="L162" s="84">
        <v>0</v>
      </c>
      <c r="M162" s="75">
        <v>0</v>
      </c>
      <c r="N162" s="75">
        <v>0</v>
      </c>
      <c r="O162" s="75">
        <v>1</v>
      </c>
      <c r="P162" s="75">
        <v>0</v>
      </c>
      <c r="Q162" s="84">
        <v>14493</v>
      </c>
      <c r="R162" s="75">
        <v>1</v>
      </c>
      <c r="S162" s="75">
        <f t="shared" si="7"/>
        <v>14491</v>
      </c>
      <c r="U162" s="75">
        <v>9.6300000000000008</v>
      </c>
      <c r="V162" s="75">
        <v>18.5</v>
      </c>
      <c r="W162" s="84">
        <v>1</v>
      </c>
      <c r="X162" s="75">
        <v>0</v>
      </c>
      <c r="Y162" s="84">
        <v>0</v>
      </c>
      <c r="Z162" s="75">
        <v>1</v>
      </c>
      <c r="AA162" s="75">
        <v>0</v>
      </c>
      <c r="AB162" s="75">
        <v>0</v>
      </c>
      <c r="AC162" s="84">
        <v>0</v>
      </c>
      <c r="AD162" s="75">
        <v>0</v>
      </c>
      <c r="AE162" s="75">
        <v>1</v>
      </c>
      <c r="AF162" s="84">
        <v>1</v>
      </c>
      <c r="AG162" s="75">
        <v>0</v>
      </c>
      <c r="AH162" s="74">
        <v>1940</v>
      </c>
      <c r="AI162">
        <f t="shared" si="28"/>
        <v>0.33749999999999997</v>
      </c>
      <c r="AJ162">
        <f t="shared" si="28"/>
        <v>0.33749999999999997</v>
      </c>
      <c r="AK162" s="75">
        <v>0.28199999999999997</v>
      </c>
      <c r="AL162" s="75">
        <v>4.2999999999999997E-2</v>
      </c>
      <c r="AM162" s="29">
        <v>1</v>
      </c>
      <c r="AN162">
        <v>0</v>
      </c>
      <c r="AO162" s="29">
        <v>1</v>
      </c>
      <c r="AP162">
        <v>0</v>
      </c>
      <c r="AQ162" s="29">
        <v>0.96</v>
      </c>
      <c r="AR162">
        <f t="shared" si="31"/>
        <v>4.0000000000000036E-2</v>
      </c>
      <c r="AU162" s="29">
        <v>0.75</v>
      </c>
      <c r="AV162" s="12">
        <f t="shared" si="33"/>
        <v>0.25</v>
      </c>
      <c r="AW162">
        <v>0.5</v>
      </c>
      <c r="AX162">
        <v>0.5</v>
      </c>
      <c r="AY162">
        <v>0</v>
      </c>
      <c r="AZ162" s="65" t="s">
        <v>95</v>
      </c>
      <c r="BN162" s="67">
        <v>37.5</v>
      </c>
      <c r="BO162">
        <v>0</v>
      </c>
      <c r="BP162">
        <v>0</v>
      </c>
      <c r="BQ162">
        <v>1</v>
      </c>
      <c r="BR162">
        <v>0</v>
      </c>
      <c r="BS162">
        <v>0</v>
      </c>
      <c r="BT162">
        <v>0</v>
      </c>
      <c r="BY162">
        <v>0</v>
      </c>
      <c r="BZ162" s="29">
        <v>0</v>
      </c>
      <c r="CA162">
        <v>0</v>
      </c>
      <c r="CB162">
        <v>0</v>
      </c>
      <c r="CC162" s="29">
        <v>0</v>
      </c>
      <c r="CD162">
        <v>0</v>
      </c>
      <c r="CE162">
        <v>0</v>
      </c>
      <c r="CF162">
        <v>0</v>
      </c>
      <c r="CG162">
        <v>0</v>
      </c>
      <c r="CH162">
        <v>0</v>
      </c>
      <c r="CI162">
        <v>0</v>
      </c>
      <c r="CJ162">
        <v>0</v>
      </c>
      <c r="CK162">
        <v>0</v>
      </c>
      <c r="CL162">
        <v>0</v>
      </c>
      <c r="CM162">
        <v>0</v>
      </c>
      <c r="CN162" s="17">
        <v>0</v>
      </c>
      <c r="CT162" t="s">
        <v>48</v>
      </c>
    </row>
    <row r="163" spans="1:98" x14ac:dyDescent="0.25">
      <c r="A163">
        <v>162</v>
      </c>
      <c r="B163">
        <v>10</v>
      </c>
      <c r="C163" t="s">
        <v>322</v>
      </c>
      <c r="D163" s="85">
        <v>4.4000000000000004</v>
      </c>
      <c r="E163" s="6">
        <v>0.2</v>
      </c>
      <c r="F163" s="6">
        <f t="shared" si="24"/>
        <v>22</v>
      </c>
      <c r="L163" s="84">
        <v>0</v>
      </c>
      <c r="M163" s="75">
        <v>0</v>
      </c>
      <c r="N163" s="75">
        <v>0</v>
      </c>
      <c r="O163" s="75">
        <v>1</v>
      </c>
      <c r="P163" s="75">
        <v>0</v>
      </c>
      <c r="Q163" s="84">
        <v>7154</v>
      </c>
      <c r="R163" s="75">
        <v>4</v>
      </c>
      <c r="S163" s="75">
        <f t="shared" si="7"/>
        <v>7149</v>
      </c>
      <c r="U163" s="75">
        <v>9.6300000000000008</v>
      </c>
      <c r="V163" s="75">
        <v>18.5</v>
      </c>
      <c r="W163" s="84">
        <v>1</v>
      </c>
      <c r="X163" s="75">
        <v>0</v>
      </c>
      <c r="Y163" s="84">
        <v>0</v>
      </c>
      <c r="Z163" s="75">
        <v>1</v>
      </c>
      <c r="AA163" s="75">
        <v>0</v>
      </c>
      <c r="AB163" s="75">
        <v>0</v>
      </c>
      <c r="AC163" s="84">
        <v>0</v>
      </c>
      <c r="AD163" s="75">
        <v>0</v>
      </c>
      <c r="AE163" s="75">
        <v>1</v>
      </c>
      <c r="AF163" s="84">
        <v>1</v>
      </c>
      <c r="AG163" s="75">
        <v>0</v>
      </c>
      <c r="AH163" s="74">
        <v>1940</v>
      </c>
      <c r="AI163">
        <f t="shared" si="28"/>
        <v>0.33749999999999997</v>
      </c>
      <c r="AJ163">
        <f t="shared" si="28"/>
        <v>0.33749999999999997</v>
      </c>
      <c r="AK163" s="75">
        <v>0.28199999999999997</v>
      </c>
      <c r="AL163" s="75">
        <v>4.2999999999999997E-2</v>
      </c>
      <c r="AM163" s="29">
        <v>1</v>
      </c>
      <c r="AN163">
        <v>0</v>
      </c>
      <c r="AO163" s="29">
        <v>1</v>
      </c>
      <c r="AP163">
        <v>0</v>
      </c>
      <c r="AQ163" s="29">
        <v>0.96</v>
      </c>
      <c r="AR163">
        <f t="shared" si="31"/>
        <v>4.0000000000000036E-2</v>
      </c>
      <c r="AU163" s="29">
        <v>0.75</v>
      </c>
      <c r="AV163" s="12">
        <f t="shared" si="33"/>
        <v>0.25</v>
      </c>
      <c r="AW163">
        <v>0.5</v>
      </c>
      <c r="AX163">
        <v>0.5</v>
      </c>
      <c r="AY163">
        <v>0</v>
      </c>
      <c r="AZ163" s="65" t="s">
        <v>95</v>
      </c>
      <c r="BN163" s="67">
        <v>37.5</v>
      </c>
      <c r="BO163">
        <v>1</v>
      </c>
      <c r="BP163">
        <v>0</v>
      </c>
      <c r="BQ163">
        <v>0</v>
      </c>
      <c r="BR163">
        <v>0</v>
      </c>
      <c r="BS163">
        <v>0</v>
      </c>
      <c r="BT163">
        <v>0</v>
      </c>
      <c r="BY163">
        <v>0</v>
      </c>
      <c r="BZ163" s="29">
        <v>0</v>
      </c>
      <c r="CA163">
        <v>0</v>
      </c>
      <c r="CB163">
        <v>0</v>
      </c>
      <c r="CC163" s="29">
        <v>1</v>
      </c>
      <c r="CD163">
        <v>1</v>
      </c>
      <c r="CE163">
        <v>0</v>
      </c>
      <c r="CF163">
        <v>0</v>
      </c>
      <c r="CG163">
        <v>1</v>
      </c>
      <c r="CH163">
        <v>0</v>
      </c>
      <c r="CI163">
        <v>0</v>
      </c>
      <c r="CJ163">
        <v>0</v>
      </c>
      <c r="CK163">
        <v>0</v>
      </c>
      <c r="CL163">
        <v>0</v>
      </c>
      <c r="CM163">
        <v>0</v>
      </c>
      <c r="CN163" s="17">
        <v>0</v>
      </c>
      <c r="CT163" t="s">
        <v>48</v>
      </c>
    </row>
    <row r="164" spans="1:98" x14ac:dyDescent="0.25">
      <c r="A164">
        <v>163</v>
      </c>
      <c r="B164">
        <v>10</v>
      </c>
      <c r="C164" t="s">
        <v>322</v>
      </c>
      <c r="D164" s="85">
        <v>4.3</v>
      </c>
      <c r="E164" s="6">
        <v>0.5</v>
      </c>
      <c r="F164" s="6">
        <f t="shared" si="24"/>
        <v>8.6</v>
      </c>
      <c r="L164" s="84">
        <v>0</v>
      </c>
      <c r="M164" s="75">
        <v>0</v>
      </c>
      <c r="N164" s="75">
        <v>0</v>
      </c>
      <c r="O164" s="75">
        <v>1</v>
      </c>
      <c r="P164" s="75">
        <v>0</v>
      </c>
      <c r="Q164" s="84">
        <v>7154</v>
      </c>
      <c r="R164" s="75">
        <v>1</v>
      </c>
      <c r="S164" s="75">
        <f t="shared" si="7"/>
        <v>7152</v>
      </c>
      <c r="U164" s="75">
        <v>9.6300000000000008</v>
      </c>
      <c r="V164" s="75">
        <v>18.5</v>
      </c>
      <c r="W164" s="84">
        <v>1</v>
      </c>
      <c r="X164" s="75">
        <v>0</v>
      </c>
      <c r="Y164" s="84">
        <v>0</v>
      </c>
      <c r="Z164" s="75">
        <v>1</v>
      </c>
      <c r="AA164" s="75">
        <v>0</v>
      </c>
      <c r="AB164" s="75">
        <v>0</v>
      </c>
      <c r="AC164" s="84">
        <v>0</v>
      </c>
      <c r="AD164" s="75">
        <v>0</v>
      </c>
      <c r="AE164" s="75">
        <v>1</v>
      </c>
      <c r="AF164" s="84">
        <v>1</v>
      </c>
      <c r="AG164" s="75">
        <v>0</v>
      </c>
      <c r="AH164" s="74">
        <v>1940</v>
      </c>
      <c r="AI164">
        <f t="shared" si="28"/>
        <v>0.33749999999999997</v>
      </c>
      <c r="AJ164">
        <f t="shared" si="28"/>
        <v>0.33749999999999997</v>
      </c>
      <c r="AK164" s="75">
        <v>0.28199999999999997</v>
      </c>
      <c r="AL164" s="75">
        <v>4.2999999999999997E-2</v>
      </c>
      <c r="AM164" s="29">
        <v>1</v>
      </c>
      <c r="AN164">
        <v>0</v>
      </c>
      <c r="AO164" s="29">
        <v>1</v>
      </c>
      <c r="AP164">
        <v>0</v>
      </c>
      <c r="AQ164" s="29">
        <v>0.96</v>
      </c>
      <c r="AR164">
        <f t="shared" si="31"/>
        <v>4.0000000000000036E-2</v>
      </c>
      <c r="AU164" s="29">
        <v>0.75</v>
      </c>
      <c r="AV164" s="12">
        <f t="shared" si="33"/>
        <v>0.25</v>
      </c>
      <c r="AW164">
        <v>0.5</v>
      </c>
      <c r="AX164">
        <v>0.5</v>
      </c>
      <c r="AY164">
        <v>0</v>
      </c>
      <c r="AZ164" s="65" t="s">
        <v>95</v>
      </c>
      <c r="BN164" s="67">
        <v>37.5</v>
      </c>
      <c r="BO164">
        <v>0</v>
      </c>
      <c r="BP164">
        <v>0</v>
      </c>
      <c r="BQ164">
        <v>1</v>
      </c>
      <c r="BR164">
        <v>0</v>
      </c>
      <c r="BS164">
        <v>0</v>
      </c>
      <c r="BT164">
        <v>0</v>
      </c>
      <c r="BY164">
        <v>0</v>
      </c>
      <c r="BZ164" s="29">
        <v>0</v>
      </c>
      <c r="CA164">
        <v>0</v>
      </c>
      <c r="CB164">
        <v>0</v>
      </c>
      <c r="CC164" s="29">
        <v>0</v>
      </c>
      <c r="CD164">
        <v>0</v>
      </c>
      <c r="CE164">
        <v>0</v>
      </c>
      <c r="CF164">
        <v>0</v>
      </c>
      <c r="CG164">
        <v>0</v>
      </c>
      <c r="CH164">
        <v>0</v>
      </c>
      <c r="CI164">
        <v>0</v>
      </c>
      <c r="CJ164">
        <v>0</v>
      </c>
      <c r="CK164">
        <v>0</v>
      </c>
      <c r="CL164">
        <v>0</v>
      </c>
      <c r="CM164">
        <v>0</v>
      </c>
      <c r="CN164" s="17">
        <v>0</v>
      </c>
      <c r="CT164" t="s">
        <v>48</v>
      </c>
    </row>
    <row r="165" spans="1:98" x14ac:dyDescent="0.25">
      <c r="A165">
        <v>164</v>
      </c>
      <c r="B165">
        <v>10</v>
      </c>
      <c r="C165" t="s">
        <v>322</v>
      </c>
      <c r="D165" s="85">
        <v>3.8</v>
      </c>
      <c r="E165" s="6">
        <v>0.2</v>
      </c>
      <c r="F165" s="6">
        <f t="shared" si="24"/>
        <v>18.999999999999996</v>
      </c>
      <c r="L165" s="84">
        <v>0</v>
      </c>
      <c r="M165" s="75">
        <v>0</v>
      </c>
      <c r="N165" s="75">
        <v>0</v>
      </c>
      <c r="O165" s="75">
        <v>1</v>
      </c>
      <c r="P165" s="75">
        <v>0</v>
      </c>
      <c r="Q165" s="84">
        <v>11369</v>
      </c>
      <c r="R165" s="75">
        <v>4</v>
      </c>
      <c r="S165" s="75">
        <f t="shared" si="7"/>
        <v>11364</v>
      </c>
      <c r="U165" s="75">
        <v>9.6300000000000008</v>
      </c>
      <c r="V165" s="75">
        <v>18.5</v>
      </c>
      <c r="W165" s="84">
        <v>1</v>
      </c>
      <c r="X165" s="75">
        <v>0</v>
      </c>
      <c r="Y165" s="84">
        <v>0</v>
      </c>
      <c r="Z165" s="75">
        <v>1</v>
      </c>
      <c r="AA165" s="75">
        <v>0</v>
      </c>
      <c r="AB165" s="75">
        <v>0</v>
      </c>
      <c r="AC165" s="84">
        <v>0</v>
      </c>
      <c r="AD165" s="75">
        <v>0</v>
      </c>
      <c r="AE165" s="75">
        <v>1</v>
      </c>
      <c r="AF165" s="84">
        <v>1</v>
      </c>
      <c r="AG165" s="75">
        <v>0</v>
      </c>
      <c r="AH165" s="74">
        <v>1940</v>
      </c>
      <c r="AI165">
        <f t="shared" si="28"/>
        <v>0.33749999999999997</v>
      </c>
      <c r="AJ165">
        <f t="shared" si="28"/>
        <v>0.33749999999999997</v>
      </c>
      <c r="AK165" s="75">
        <v>0.28199999999999997</v>
      </c>
      <c r="AL165" s="75">
        <v>4.2999999999999997E-2</v>
      </c>
      <c r="AM165" s="29">
        <v>1</v>
      </c>
      <c r="AN165">
        <v>0</v>
      </c>
      <c r="AO165" s="29">
        <v>1</v>
      </c>
      <c r="AP165">
        <v>0</v>
      </c>
      <c r="AQ165" s="29">
        <v>0.96</v>
      </c>
      <c r="AR165">
        <f t="shared" si="31"/>
        <v>4.0000000000000036E-2</v>
      </c>
      <c r="AU165" s="29">
        <v>0.75</v>
      </c>
      <c r="AV165" s="12">
        <f t="shared" si="33"/>
        <v>0.25</v>
      </c>
      <c r="AW165">
        <v>0.5</v>
      </c>
      <c r="AX165">
        <v>0.5</v>
      </c>
      <c r="AY165">
        <v>0</v>
      </c>
      <c r="AZ165" s="65" t="s">
        <v>95</v>
      </c>
      <c r="BN165" s="67">
        <v>37.5</v>
      </c>
      <c r="BO165">
        <v>1</v>
      </c>
      <c r="BP165">
        <v>0</v>
      </c>
      <c r="BQ165">
        <v>0</v>
      </c>
      <c r="BR165">
        <v>0</v>
      </c>
      <c r="BS165">
        <v>0</v>
      </c>
      <c r="BT165">
        <v>0</v>
      </c>
      <c r="BY165">
        <v>0</v>
      </c>
      <c r="BZ165" s="29">
        <v>0</v>
      </c>
      <c r="CA165">
        <v>0</v>
      </c>
      <c r="CB165">
        <v>0</v>
      </c>
      <c r="CC165" s="29">
        <v>1</v>
      </c>
      <c r="CD165">
        <v>1</v>
      </c>
      <c r="CE165">
        <v>0</v>
      </c>
      <c r="CF165">
        <v>0</v>
      </c>
      <c r="CG165">
        <v>1</v>
      </c>
      <c r="CH165">
        <v>0</v>
      </c>
      <c r="CI165">
        <v>0</v>
      </c>
      <c r="CJ165">
        <v>0</v>
      </c>
      <c r="CK165">
        <v>0</v>
      </c>
      <c r="CL165">
        <v>0</v>
      </c>
      <c r="CM165">
        <v>0</v>
      </c>
      <c r="CN165" s="17">
        <v>0</v>
      </c>
      <c r="CT165" t="s">
        <v>48</v>
      </c>
    </row>
    <row r="166" spans="1:98" x14ac:dyDescent="0.25">
      <c r="A166">
        <v>165</v>
      </c>
      <c r="B166">
        <v>10</v>
      </c>
      <c r="C166" t="s">
        <v>322</v>
      </c>
      <c r="D166" s="85">
        <v>3.6</v>
      </c>
      <c r="E166" s="6">
        <v>0.4</v>
      </c>
      <c r="F166" s="6">
        <f t="shared" si="24"/>
        <v>9</v>
      </c>
      <c r="L166" s="84">
        <v>0</v>
      </c>
      <c r="M166" s="75">
        <v>0</v>
      </c>
      <c r="N166" s="75">
        <v>0</v>
      </c>
      <c r="O166" s="75">
        <v>1</v>
      </c>
      <c r="P166" s="75">
        <v>0</v>
      </c>
      <c r="Q166" s="84">
        <v>11369</v>
      </c>
      <c r="R166" s="75">
        <v>1</v>
      </c>
      <c r="S166" s="75">
        <f t="shared" si="7"/>
        <v>11367</v>
      </c>
      <c r="U166" s="75">
        <v>9.6300000000000008</v>
      </c>
      <c r="V166" s="75">
        <v>18.5</v>
      </c>
      <c r="W166" s="84">
        <v>1</v>
      </c>
      <c r="X166" s="75">
        <v>0</v>
      </c>
      <c r="Y166" s="84">
        <v>0</v>
      </c>
      <c r="Z166" s="75">
        <v>1</v>
      </c>
      <c r="AA166" s="75">
        <v>0</v>
      </c>
      <c r="AB166" s="75">
        <v>0</v>
      </c>
      <c r="AC166" s="84">
        <v>0</v>
      </c>
      <c r="AD166" s="75">
        <v>0</v>
      </c>
      <c r="AE166" s="75">
        <v>1</v>
      </c>
      <c r="AF166" s="84">
        <v>1</v>
      </c>
      <c r="AG166" s="75">
        <v>0</v>
      </c>
      <c r="AH166" s="74">
        <v>1940</v>
      </c>
      <c r="AI166">
        <f t="shared" si="28"/>
        <v>0.33749999999999997</v>
      </c>
      <c r="AJ166">
        <f t="shared" si="28"/>
        <v>0.33749999999999997</v>
      </c>
      <c r="AK166" s="75">
        <v>0.28199999999999997</v>
      </c>
      <c r="AL166" s="75">
        <v>4.2999999999999997E-2</v>
      </c>
      <c r="AM166" s="29">
        <v>1</v>
      </c>
      <c r="AN166">
        <v>0</v>
      </c>
      <c r="AO166" s="29">
        <v>1</v>
      </c>
      <c r="AP166">
        <v>0</v>
      </c>
      <c r="AQ166" s="29">
        <v>0.96</v>
      </c>
      <c r="AR166">
        <f t="shared" si="31"/>
        <v>4.0000000000000036E-2</v>
      </c>
      <c r="AU166" s="29">
        <v>0.75</v>
      </c>
      <c r="AV166" s="12">
        <f t="shared" si="33"/>
        <v>0.25</v>
      </c>
      <c r="AW166">
        <v>0.5</v>
      </c>
      <c r="AX166">
        <v>0.5</v>
      </c>
      <c r="AY166">
        <v>0</v>
      </c>
      <c r="AZ166" s="65" t="s">
        <v>95</v>
      </c>
      <c r="BN166" s="67">
        <v>37.5</v>
      </c>
      <c r="BO166">
        <v>0</v>
      </c>
      <c r="BP166">
        <v>0</v>
      </c>
      <c r="BQ166">
        <v>1</v>
      </c>
      <c r="BR166">
        <v>0</v>
      </c>
      <c r="BS166">
        <v>0</v>
      </c>
      <c r="BT166">
        <v>0</v>
      </c>
      <c r="BY166">
        <v>0</v>
      </c>
      <c r="BZ166" s="29">
        <v>0</v>
      </c>
      <c r="CA166">
        <v>0</v>
      </c>
      <c r="CB166">
        <v>0</v>
      </c>
      <c r="CC166" s="29">
        <v>0</v>
      </c>
      <c r="CD166">
        <v>0</v>
      </c>
      <c r="CE166">
        <v>0</v>
      </c>
      <c r="CF166">
        <v>0</v>
      </c>
      <c r="CG166">
        <v>0</v>
      </c>
      <c r="CH166">
        <v>0</v>
      </c>
      <c r="CI166">
        <v>0</v>
      </c>
      <c r="CJ166">
        <v>0</v>
      </c>
      <c r="CK166">
        <v>0</v>
      </c>
      <c r="CL166">
        <v>0</v>
      </c>
      <c r="CM166">
        <v>0</v>
      </c>
      <c r="CN166" s="17">
        <v>0</v>
      </c>
      <c r="CT166" t="s">
        <v>48</v>
      </c>
    </row>
    <row r="167" spans="1:98" x14ac:dyDescent="0.25">
      <c r="A167">
        <v>166</v>
      </c>
      <c r="B167">
        <v>11</v>
      </c>
      <c r="C167" t="s">
        <v>328</v>
      </c>
      <c r="D167" s="85">
        <v>6.7</v>
      </c>
      <c r="E167" s="6">
        <f>D167/F167</f>
        <v>0.40095751047277078</v>
      </c>
      <c r="F167" s="6">
        <v>16.71</v>
      </c>
      <c r="L167" s="84">
        <v>1</v>
      </c>
      <c r="M167" s="75">
        <v>0</v>
      </c>
      <c r="N167" s="75">
        <v>0</v>
      </c>
      <c r="O167" s="75">
        <v>0</v>
      </c>
      <c r="P167" s="75">
        <v>0</v>
      </c>
      <c r="Q167" s="84">
        <v>2253</v>
      </c>
      <c r="R167" s="75">
        <v>9</v>
      </c>
      <c r="S167" s="75">
        <f t="shared" si="7"/>
        <v>2243</v>
      </c>
      <c r="U167" s="6">
        <f>12.22*AW167+11.73*AY167</f>
        <v>11.94707</v>
      </c>
      <c r="V167" s="6">
        <f>15.03*AW167+21.7*AY167</f>
        <v>18.745189999999997</v>
      </c>
      <c r="W167" s="84">
        <v>1</v>
      </c>
      <c r="X167" s="75">
        <v>0</v>
      </c>
      <c r="Y167" s="84">
        <v>0</v>
      </c>
      <c r="Z167" s="75">
        <v>0</v>
      </c>
      <c r="AA167" s="75">
        <v>1</v>
      </c>
      <c r="AB167" s="75">
        <v>0</v>
      </c>
      <c r="AC167" s="84">
        <v>0</v>
      </c>
      <c r="AD167" s="75">
        <v>1</v>
      </c>
      <c r="AE167" s="75">
        <v>0</v>
      </c>
      <c r="AF167" s="84">
        <v>1</v>
      </c>
      <c r="AG167" s="75">
        <v>0</v>
      </c>
      <c r="AH167" s="74">
        <v>2002</v>
      </c>
      <c r="AI167" t="s">
        <v>61</v>
      </c>
      <c r="AJ167" t="s">
        <v>61</v>
      </c>
      <c r="AK167" t="s">
        <v>61</v>
      </c>
      <c r="AL167" t="s">
        <v>61</v>
      </c>
      <c r="AM167" s="29" t="s">
        <v>61</v>
      </c>
      <c r="AN167" t="s">
        <v>61</v>
      </c>
      <c r="AO167" s="29">
        <v>0.52780000000000005</v>
      </c>
      <c r="AP167">
        <v>0.47220000000000001</v>
      </c>
      <c r="AQ167" s="29">
        <v>0</v>
      </c>
      <c r="AR167">
        <v>1</v>
      </c>
      <c r="AU167" s="87">
        <f>0.66*AW167+0.94*AY167</f>
        <v>0.81596000000000002</v>
      </c>
      <c r="AV167" s="88">
        <f>1-AU167</f>
        <v>0.18403999999999998</v>
      </c>
      <c r="AW167">
        <v>0.443</v>
      </c>
      <c r="AX167">
        <v>0</v>
      </c>
      <c r="AY167">
        <f>1-AW167</f>
        <v>0.55699999999999994</v>
      </c>
      <c r="AZ167" s="65" t="s">
        <v>369</v>
      </c>
      <c r="BN167" s="86">
        <f>34.78*AW167+43.27*AY167</f>
        <v>39.508929999999999</v>
      </c>
      <c r="BO167">
        <v>1</v>
      </c>
      <c r="BP167">
        <v>0</v>
      </c>
      <c r="BQ167">
        <v>0</v>
      </c>
      <c r="BR167">
        <v>0</v>
      </c>
      <c r="BS167">
        <v>0</v>
      </c>
      <c r="BT167">
        <v>0</v>
      </c>
      <c r="BY167">
        <v>0</v>
      </c>
      <c r="BZ167" s="29">
        <v>0</v>
      </c>
      <c r="CA167">
        <v>0</v>
      </c>
      <c r="CB167">
        <v>0</v>
      </c>
      <c r="CC167" s="29">
        <v>1</v>
      </c>
      <c r="CD167">
        <v>1</v>
      </c>
      <c r="CE167">
        <v>0</v>
      </c>
      <c r="CF167">
        <v>0</v>
      </c>
      <c r="CG167">
        <v>0</v>
      </c>
      <c r="CH167">
        <v>0</v>
      </c>
      <c r="CI167">
        <v>1</v>
      </c>
      <c r="CJ167">
        <v>0</v>
      </c>
      <c r="CK167">
        <v>0</v>
      </c>
      <c r="CL167">
        <v>0</v>
      </c>
      <c r="CM167">
        <v>0</v>
      </c>
      <c r="CN167" s="17">
        <v>0</v>
      </c>
      <c r="CT167" t="s">
        <v>48</v>
      </c>
    </row>
    <row r="168" spans="1:98" x14ac:dyDescent="0.25">
      <c r="A168">
        <v>167</v>
      </c>
      <c r="B168">
        <v>11</v>
      </c>
      <c r="C168" t="s">
        <v>328</v>
      </c>
      <c r="D168" s="85">
        <v>6.7</v>
      </c>
      <c r="E168" s="6">
        <f t="shared" ref="E168:E202" si="34">D168/F168</f>
        <v>0.39621525724423418</v>
      </c>
      <c r="F168" s="6">
        <v>16.91</v>
      </c>
      <c r="L168" s="84">
        <v>1</v>
      </c>
      <c r="M168" s="75">
        <v>0</v>
      </c>
      <c r="N168" s="75">
        <v>0</v>
      </c>
      <c r="O168" s="75">
        <v>0</v>
      </c>
      <c r="P168" s="75">
        <v>0</v>
      </c>
      <c r="Q168" s="84">
        <v>2253</v>
      </c>
      <c r="R168" s="75">
        <v>11</v>
      </c>
      <c r="S168" s="75">
        <f t="shared" si="7"/>
        <v>2241</v>
      </c>
      <c r="U168" s="6">
        <f t="shared" ref="U168:U202" si="35">12.22*AW168+11.73*AY168</f>
        <v>11.94707</v>
      </c>
      <c r="V168" s="6">
        <f t="shared" ref="V168:V202" si="36">15.03*AW168+21.7*AY168</f>
        <v>18.745189999999997</v>
      </c>
      <c r="W168" s="84">
        <v>1</v>
      </c>
      <c r="X168" s="75">
        <v>0</v>
      </c>
      <c r="Y168" s="84">
        <v>0</v>
      </c>
      <c r="Z168" s="75">
        <v>0</v>
      </c>
      <c r="AA168" s="75">
        <v>1</v>
      </c>
      <c r="AB168" s="75">
        <v>0</v>
      </c>
      <c r="AC168" s="84">
        <v>0</v>
      </c>
      <c r="AD168" s="75">
        <v>1</v>
      </c>
      <c r="AE168" s="75">
        <v>0</v>
      </c>
      <c r="AF168" s="84">
        <v>1</v>
      </c>
      <c r="AG168" s="75">
        <v>0</v>
      </c>
      <c r="AH168" s="74">
        <v>2002</v>
      </c>
      <c r="AI168" t="s">
        <v>61</v>
      </c>
      <c r="AJ168" t="s">
        <v>61</v>
      </c>
      <c r="AK168" t="s">
        <v>61</v>
      </c>
      <c r="AL168" t="s">
        <v>61</v>
      </c>
      <c r="AM168" s="29" t="s">
        <v>61</v>
      </c>
      <c r="AN168" t="s">
        <v>61</v>
      </c>
      <c r="AO168" s="29">
        <v>0.52780000000000005</v>
      </c>
      <c r="AP168">
        <v>0.47220000000000001</v>
      </c>
      <c r="AQ168" s="29">
        <v>0</v>
      </c>
      <c r="AR168">
        <v>1</v>
      </c>
      <c r="AU168" s="87">
        <f t="shared" ref="AU168:AU202" si="37">0.66*AW168+0.94*AY168</f>
        <v>0.81596000000000002</v>
      </c>
      <c r="AV168" s="88">
        <f t="shared" ref="AV168:AV203" si="38">1-AU168</f>
        <v>0.18403999999999998</v>
      </c>
      <c r="AW168">
        <v>0.443</v>
      </c>
      <c r="AX168">
        <v>0</v>
      </c>
      <c r="AY168">
        <f>1-AW168</f>
        <v>0.55699999999999994</v>
      </c>
      <c r="AZ168" s="65" t="s">
        <v>369</v>
      </c>
      <c r="BN168" s="86">
        <f>34.78*AW168+43.27*AY168</f>
        <v>39.508929999999999</v>
      </c>
      <c r="BO168">
        <v>1</v>
      </c>
      <c r="BP168">
        <v>0</v>
      </c>
      <c r="BQ168">
        <v>0</v>
      </c>
      <c r="BR168">
        <v>0</v>
      </c>
      <c r="BS168">
        <v>0</v>
      </c>
      <c r="BT168">
        <v>0</v>
      </c>
      <c r="BY168">
        <v>0</v>
      </c>
      <c r="BZ168" s="29">
        <v>0</v>
      </c>
      <c r="CA168">
        <v>0</v>
      </c>
      <c r="CB168">
        <v>0</v>
      </c>
      <c r="CC168" s="29">
        <v>1</v>
      </c>
      <c r="CD168">
        <v>1</v>
      </c>
      <c r="CE168">
        <v>1</v>
      </c>
      <c r="CF168">
        <v>0</v>
      </c>
      <c r="CG168">
        <v>0</v>
      </c>
      <c r="CH168">
        <v>0</v>
      </c>
      <c r="CI168">
        <v>1</v>
      </c>
      <c r="CJ168">
        <v>1</v>
      </c>
      <c r="CK168">
        <v>0</v>
      </c>
      <c r="CL168">
        <v>0</v>
      </c>
      <c r="CM168">
        <v>0</v>
      </c>
      <c r="CN168" s="17">
        <v>0</v>
      </c>
      <c r="CT168" t="s">
        <v>48</v>
      </c>
    </row>
    <row r="169" spans="1:98" x14ac:dyDescent="0.25">
      <c r="A169">
        <v>168</v>
      </c>
      <c r="B169">
        <v>11</v>
      </c>
      <c r="C169" t="s">
        <v>328</v>
      </c>
      <c r="D169" s="85">
        <v>8.1999999999999993</v>
      </c>
      <c r="E169" s="6">
        <f t="shared" si="34"/>
        <v>0.59205776173285196</v>
      </c>
      <c r="F169" s="6">
        <v>13.85</v>
      </c>
      <c r="L169" s="84">
        <v>1</v>
      </c>
      <c r="M169" s="75">
        <v>0</v>
      </c>
      <c r="N169" s="75">
        <v>0</v>
      </c>
      <c r="O169" s="75">
        <v>0</v>
      </c>
      <c r="P169" s="75">
        <v>0</v>
      </c>
      <c r="Q169" s="84">
        <v>976</v>
      </c>
      <c r="R169" s="75">
        <v>9</v>
      </c>
      <c r="S169" s="75">
        <f t="shared" si="7"/>
        <v>966</v>
      </c>
      <c r="U169" s="6">
        <f t="shared" si="35"/>
        <v>12.22</v>
      </c>
      <c r="V169" s="6">
        <f t="shared" si="36"/>
        <v>15.03</v>
      </c>
      <c r="W169" s="84">
        <v>1</v>
      </c>
      <c r="X169" s="75">
        <v>0</v>
      </c>
      <c r="Y169" s="84">
        <v>0</v>
      </c>
      <c r="Z169" s="75">
        <v>0</v>
      </c>
      <c r="AA169" s="75">
        <v>1</v>
      </c>
      <c r="AB169" s="75">
        <v>0</v>
      </c>
      <c r="AC169" s="84">
        <v>0</v>
      </c>
      <c r="AD169" s="75">
        <v>1</v>
      </c>
      <c r="AE169" s="75">
        <v>0</v>
      </c>
      <c r="AF169" s="84">
        <v>1</v>
      </c>
      <c r="AG169" s="75">
        <v>0</v>
      </c>
      <c r="AH169" s="74">
        <v>2002</v>
      </c>
      <c r="AI169" t="s">
        <v>61</v>
      </c>
      <c r="AJ169" t="s">
        <v>61</v>
      </c>
      <c r="AK169" t="s">
        <v>61</v>
      </c>
      <c r="AL169" t="s">
        <v>61</v>
      </c>
      <c r="AM169" s="29" t="s">
        <v>61</v>
      </c>
      <c r="AN169" t="s">
        <v>61</v>
      </c>
      <c r="AO169" s="29">
        <v>0.59630000000000005</v>
      </c>
      <c r="AP169">
        <v>0.40369999999999995</v>
      </c>
      <c r="AQ169" s="29">
        <v>0</v>
      </c>
      <c r="AR169">
        <v>1</v>
      </c>
      <c r="AU169" s="87">
        <f t="shared" si="37"/>
        <v>0.66</v>
      </c>
      <c r="AV169" s="88">
        <f t="shared" si="38"/>
        <v>0.33999999999999997</v>
      </c>
      <c r="AW169">
        <v>1</v>
      </c>
      <c r="AX169">
        <v>0</v>
      </c>
      <c r="AY169">
        <v>0</v>
      </c>
      <c r="AZ169" s="65" t="s">
        <v>369</v>
      </c>
      <c r="BN169" s="86">
        <f t="shared" ref="BN169:BN202" si="39">34.78*AW169+43.27*AY169</f>
        <v>34.78</v>
      </c>
      <c r="BO169">
        <v>1</v>
      </c>
      <c r="BP169">
        <v>0</v>
      </c>
      <c r="BQ169">
        <v>0</v>
      </c>
      <c r="BR169">
        <v>0</v>
      </c>
      <c r="BS169">
        <v>0</v>
      </c>
      <c r="BT169">
        <v>0</v>
      </c>
      <c r="BY169">
        <v>0</v>
      </c>
      <c r="BZ169" s="29">
        <v>0</v>
      </c>
      <c r="CA169">
        <v>0</v>
      </c>
      <c r="CB169">
        <v>0</v>
      </c>
      <c r="CC169" s="29">
        <v>1</v>
      </c>
      <c r="CD169">
        <v>1</v>
      </c>
      <c r="CE169">
        <v>0</v>
      </c>
      <c r="CF169">
        <v>0</v>
      </c>
      <c r="CG169">
        <v>0</v>
      </c>
      <c r="CH169">
        <v>0</v>
      </c>
      <c r="CI169">
        <v>1</v>
      </c>
      <c r="CJ169">
        <v>0</v>
      </c>
      <c r="CK169">
        <v>0</v>
      </c>
      <c r="CL169">
        <v>0</v>
      </c>
      <c r="CM169">
        <v>0</v>
      </c>
      <c r="CN169" s="17">
        <v>0</v>
      </c>
      <c r="CT169" t="s">
        <v>48</v>
      </c>
    </row>
    <row r="170" spans="1:98" x14ac:dyDescent="0.25">
      <c r="A170">
        <v>169</v>
      </c>
      <c r="B170">
        <v>11</v>
      </c>
      <c r="C170" t="s">
        <v>328</v>
      </c>
      <c r="D170" s="85">
        <v>2.5</v>
      </c>
      <c r="E170" s="6">
        <f t="shared" si="34"/>
        <v>1.4880952380952381</v>
      </c>
      <c r="F170" s="6">
        <v>1.68</v>
      </c>
      <c r="L170" s="84">
        <v>1</v>
      </c>
      <c r="M170" s="75">
        <v>0</v>
      </c>
      <c r="N170" s="75">
        <v>0</v>
      </c>
      <c r="O170" s="75">
        <v>0</v>
      </c>
      <c r="P170" s="75">
        <v>0</v>
      </c>
      <c r="Q170" s="84">
        <v>976</v>
      </c>
      <c r="R170" s="75">
        <v>1</v>
      </c>
      <c r="S170" s="75">
        <f t="shared" si="7"/>
        <v>974</v>
      </c>
      <c r="U170" s="6">
        <f t="shared" si="35"/>
        <v>12.22</v>
      </c>
      <c r="V170" s="6">
        <f t="shared" si="36"/>
        <v>15.03</v>
      </c>
      <c r="W170" s="84">
        <v>1</v>
      </c>
      <c r="X170" s="75">
        <v>0</v>
      </c>
      <c r="Y170" s="84">
        <v>0</v>
      </c>
      <c r="Z170" s="75">
        <v>0</v>
      </c>
      <c r="AA170" s="75">
        <v>1</v>
      </c>
      <c r="AB170" s="75">
        <v>0</v>
      </c>
      <c r="AC170" s="84">
        <v>0</v>
      </c>
      <c r="AD170" s="75">
        <v>1</v>
      </c>
      <c r="AE170" s="75">
        <v>0</v>
      </c>
      <c r="AF170" s="84">
        <v>1</v>
      </c>
      <c r="AG170" s="75">
        <v>0</v>
      </c>
      <c r="AH170" s="74">
        <v>2002</v>
      </c>
      <c r="AI170" t="s">
        <v>61</v>
      </c>
      <c r="AJ170" t="s">
        <v>61</v>
      </c>
      <c r="AK170" t="s">
        <v>61</v>
      </c>
      <c r="AL170" t="s">
        <v>61</v>
      </c>
      <c r="AM170" s="29" t="s">
        <v>61</v>
      </c>
      <c r="AN170" t="s">
        <v>61</v>
      </c>
      <c r="AO170" s="29">
        <v>0.59630000000000005</v>
      </c>
      <c r="AP170">
        <v>0.40369999999999995</v>
      </c>
      <c r="AQ170" s="29">
        <v>0</v>
      </c>
      <c r="AR170">
        <v>1</v>
      </c>
      <c r="AU170" s="87">
        <f t="shared" si="37"/>
        <v>0.66</v>
      </c>
      <c r="AV170" s="88">
        <f t="shared" si="38"/>
        <v>0.33999999999999997</v>
      </c>
      <c r="AW170">
        <v>1</v>
      </c>
      <c r="AX170">
        <v>0</v>
      </c>
      <c r="AY170">
        <v>0</v>
      </c>
      <c r="AZ170" s="65" t="s">
        <v>369</v>
      </c>
      <c r="BN170" s="86">
        <f t="shared" si="39"/>
        <v>34.78</v>
      </c>
      <c r="BO170">
        <v>0</v>
      </c>
      <c r="BP170">
        <v>0</v>
      </c>
      <c r="BQ170">
        <v>1</v>
      </c>
      <c r="BR170">
        <v>0</v>
      </c>
      <c r="BS170">
        <v>0</v>
      </c>
      <c r="BT170">
        <v>0</v>
      </c>
      <c r="BY170">
        <v>0</v>
      </c>
      <c r="BZ170" s="29">
        <v>0</v>
      </c>
      <c r="CA170">
        <v>0</v>
      </c>
      <c r="CB170">
        <v>0</v>
      </c>
      <c r="CC170" s="29">
        <v>0</v>
      </c>
      <c r="CD170">
        <v>0</v>
      </c>
      <c r="CE170">
        <v>0</v>
      </c>
      <c r="CF170">
        <v>0</v>
      </c>
      <c r="CG170">
        <v>0</v>
      </c>
      <c r="CH170">
        <v>0</v>
      </c>
      <c r="CI170">
        <v>0</v>
      </c>
      <c r="CJ170">
        <v>0</v>
      </c>
      <c r="CK170">
        <v>0</v>
      </c>
      <c r="CL170">
        <v>0</v>
      </c>
      <c r="CM170">
        <v>0</v>
      </c>
      <c r="CN170" s="17">
        <v>0</v>
      </c>
      <c r="CT170" t="s">
        <v>48</v>
      </c>
    </row>
    <row r="171" spans="1:98" x14ac:dyDescent="0.25">
      <c r="A171">
        <v>170</v>
      </c>
      <c r="B171">
        <v>11</v>
      </c>
      <c r="C171" t="s">
        <v>328</v>
      </c>
      <c r="D171" s="85">
        <v>8.4</v>
      </c>
      <c r="E171" s="6">
        <f t="shared" si="34"/>
        <v>0.59405940594059403</v>
      </c>
      <c r="F171" s="6">
        <v>14.14</v>
      </c>
      <c r="L171" s="84">
        <v>1</v>
      </c>
      <c r="M171" s="75">
        <v>0</v>
      </c>
      <c r="N171" s="75">
        <v>0</v>
      </c>
      <c r="O171" s="75">
        <v>0</v>
      </c>
      <c r="P171" s="75">
        <v>0</v>
      </c>
      <c r="Q171" s="84">
        <v>976</v>
      </c>
      <c r="R171" s="75">
        <v>11</v>
      </c>
      <c r="S171" s="75">
        <f t="shared" si="7"/>
        <v>964</v>
      </c>
      <c r="U171" s="6">
        <f t="shared" si="35"/>
        <v>12.22</v>
      </c>
      <c r="V171" s="6">
        <f t="shared" si="36"/>
        <v>15.03</v>
      </c>
      <c r="W171" s="84">
        <v>1</v>
      </c>
      <c r="X171" s="75">
        <v>0</v>
      </c>
      <c r="Y171" s="84">
        <v>0</v>
      </c>
      <c r="Z171" s="75">
        <v>0</v>
      </c>
      <c r="AA171" s="75">
        <v>1</v>
      </c>
      <c r="AB171" s="75">
        <v>0</v>
      </c>
      <c r="AC171" s="84">
        <v>0</v>
      </c>
      <c r="AD171" s="75">
        <v>1</v>
      </c>
      <c r="AE171" s="75">
        <v>0</v>
      </c>
      <c r="AF171" s="84">
        <v>1</v>
      </c>
      <c r="AG171" s="75">
        <v>0</v>
      </c>
      <c r="AH171" s="74">
        <v>2002</v>
      </c>
      <c r="AI171" t="s">
        <v>61</v>
      </c>
      <c r="AJ171" t="s">
        <v>61</v>
      </c>
      <c r="AK171" t="s">
        <v>61</v>
      </c>
      <c r="AL171" t="s">
        <v>61</v>
      </c>
      <c r="AM171" s="29" t="s">
        <v>61</v>
      </c>
      <c r="AN171" t="s">
        <v>61</v>
      </c>
      <c r="AO171" s="29">
        <v>0.59630000000000005</v>
      </c>
      <c r="AP171">
        <v>0.40369999999999995</v>
      </c>
      <c r="AQ171" s="29">
        <v>0</v>
      </c>
      <c r="AR171">
        <v>1</v>
      </c>
      <c r="AU171" s="87">
        <f t="shared" si="37"/>
        <v>0.66</v>
      </c>
      <c r="AV171" s="88">
        <f t="shared" si="38"/>
        <v>0.33999999999999997</v>
      </c>
      <c r="AW171">
        <v>1</v>
      </c>
      <c r="AX171">
        <v>0</v>
      </c>
      <c r="AY171">
        <v>0</v>
      </c>
      <c r="AZ171" s="65" t="s">
        <v>369</v>
      </c>
      <c r="BN171" s="86">
        <f t="shared" si="39"/>
        <v>34.78</v>
      </c>
      <c r="BO171">
        <v>1</v>
      </c>
      <c r="BP171">
        <v>0</v>
      </c>
      <c r="BQ171">
        <v>0</v>
      </c>
      <c r="BR171">
        <v>0</v>
      </c>
      <c r="BS171">
        <v>0</v>
      </c>
      <c r="BT171">
        <v>0</v>
      </c>
      <c r="BY171">
        <v>0</v>
      </c>
      <c r="BZ171" s="29">
        <v>0</v>
      </c>
      <c r="CA171">
        <v>0</v>
      </c>
      <c r="CB171">
        <v>0</v>
      </c>
      <c r="CC171" s="29">
        <v>1</v>
      </c>
      <c r="CD171">
        <v>1</v>
      </c>
      <c r="CE171">
        <v>1</v>
      </c>
      <c r="CF171">
        <v>0</v>
      </c>
      <c r="CG171">
        <v>0</v>
      </c>
      <c r="CH171">
        <v>0</v>
      </c>
      <c r="CI171">
        <v>1</v>
      </c>
      <c r="CJ171">
        <v>1</v>
      </c>
      <c r="CK171">
        <v>0</v>
      </c>
      <c r="CL171">
        <v>0</v>
      </c>
      <c r="CM171">
        <v>0</v>
      </c>
      <c r="CN171" s="17">
        <v>0</v>
      </c>
      <c r="CT171" t="s">
        <v>48</v>
      </c>
    </row>
    <row r="172" spans="1:98" x14ac:dyDescent="0.25">
      <c r="A172">
        <v>171</v>
      </c>
      <c r="B172">
        <v>11</v>
      </c>
      <c r="C172" t="s">
        <v>328</v>
      </c>
      <c r="D172" s="85">
        <v>2.7</v>
      </c>
      <c r="E172" s="6">
        <f t="shared" si="34"/>
        <v>1.4438502673796791</v>
      </c>
      <c r="F172" s="6">
        <v>1.87</v>
      </c>
      <c r="L172" s="84">
        <v>1</v>
      </c>
      <c r="M172" s="75">
        <v>0</v>
      </c>
      <c r="N172" s="75">
        <v>0</v>
      </c>
      <c r="O172" s="75">
        <v>0</v>
      </c>
      <c r="P172" s="75">
        <v>0</v>
      </c>
      <c r="Q172" s="84">
        <v>976</v>
      </c>
      <c r="R172" s="75">
        <v>3</v>
      </c>
      <c r="S172" s="75">
        <f t="shared" si="7"/>
        <v>972</v>
      </c>
      <c r="U172" s="6">
        <f t="shared" si="35"/>
        <v>12.22</v>
      </c>
      <c r="V172" s="6">
        <f t="shared" si="36"/>
        <v>15.03</v>
      </c>
      <c r="W172" s="84">
        <v>1</v>
      </c>
      <c r="X172" s="75">
        <v>0</v>
      </c>
      <c r="Y172" s="84">
        <v>0</v>
      </c>
      <c r="Z172" s="75">
        <v>0</v>
      </c>
      <c r="AA172" s="75">
        <v>1</v>
      </c>
      <c r="AB172" s="75">
        <v>0</v>
      </c>
      <c r="AC172" s="84">
        <v>0</v>
      </c>
      <c r="AD172" s="75">
        <v>1</v>
      </c>
      <c r="AE172" s="75">
        <v>0</v>
      </c>
      <c r="AF172" s="84">
        <v>1</v>
      </c>
      <c r="AG172" s="75">
        <v>0</v>
      </c>
      <c r="AH172" s="74">
        <v>2002</v>
      </c>
      <c r="AI172" t="s">
        <v>61</v>
      </c>
      <c r="AJ172" t="s">
        <v>61</v>
      </c>
      <c r="AK172" t="s">
        <v>61</v>
      </c>
      <c r="AL172" t="s">
        <v>61</v>
      </c>
      <c r="AM172" s="29" t="s">
        <v>61</v>
      </c>
      <c r="AN172" t="s">
        <v>61</v>
      </c>
      <c r="AO172" s="29">
        <v>0.59630000000000005</v>
      </c>
      <c r="AP172">
        <v>0.40369999999999995</v>
      </c>
      <c r="AQ172" s="29">
        <v>0</v>
      </c>
      <c r="AR172">
        <v>1</v>
      </c>
      <c r="AU172" s="87">
        <f t="shared" si="37"/>
        <v>0.66</v>
      </c>
      <c r="AV172" s="88">
        <f t="shared" si="38"/>
        <v>0.33999999999999997</v>
      </c>
      <c r="AW172">
        <v>1</v>
      </c>
      <c r="AX172">
        <v>0</v>
      </c>
      <c r="AY172">
        <v>0</v>
      </c>
      <c r="AZ172" s="65" t="s">
        <v>369</v>
      </c>
      <c r="BN172" s="86">
        <f t="shared" si="39"/>
        <v>34.78</v>
      </c>
      <c r="BO172">
        <v>0</v>
      </c>
      <c r="BP172">
        <v>0</v>
      </c>
      <c r="BQ172">
        <v>1</v>
      </c>
      <c r="BR172">
        <v>0</v>
      </c>
      <c r="BS172">
        <v>0</v>
      </c>
      <c r="BT172">
        <v>0</v>
      </c>
      <c r="BY172">
        <v>0</v>
      </c>
      <c r="BZ172" s="29">
        <v>0</v>
      </c>
      <c r="CA172">
        <v>0</v>
      </c>
      <c r="CB172">
        <v>0</v>
      </c>
      <c r="CC172" s="29">
        <v>0</v>
      </c>
      <c r="CD172">
        <v>0</v>
      </c>
      <c r="CE172">
        <v>1</v>
      </c>
      <c r="CF172">
        <v>0</v>
      </c>
      <c r="CG172">
        <v>0</v>
      </c>
      <c r="CH172">
        <v>0</v>
      </c>
      <c r="CI172">
        <v>0</v>
      </c>
      <c r="CJ172">
        <v>1</v>
      </c>
      <c r="CK172">
        <v>0</v>
      </c>
      <c r="CL172">
        <v>0</v>
      </c>
      <c r="CM172">
        <v>0</v>
      </c>
      <c r="CN172" s="17">
        <v>0</v>
      </c>
      <c r="CT172" t="s">
        <v>48</v>
      </c>
    </row>
    <row r="173" spans="1:98" x14ac:dyDescent="0.25">
      <c r="A173">
        <v>172</v>
      </c>
      <c r="B173">
        <v>11</v>
      </c>
      <c r="C173" t="s">
        <v>328</v>
      </c>
      <c r="D173" s="85">
        <v>8.6999999999999993</v>
      </c>
      <c r="E173" s="6">
        <f t="shared" si="34"/>
        <v>0.66412213740458015</v>
      </c>
      <c r="F173" s="6">
        <v>13.1</v>
      </c>
      <c r="L173" s="84">
        <v>1</v>
      </c>
      <c r="M173" s="75">
        <v>0</v>
      </c>
      <c r="N173" s="75">
        <v>0</v>
      </c>
      <c r="O173" s="75">
        <v>0</v>
      </c>
      <c r="P173" s="75">
        <v>0</v>
      </c>
      <c r="Q173" s="84">
        <v>976</v>
      </c>
      <c r="R173" s="75">
        <v>9</v>
      </c>
      <c r="S173" s="75">
        <f t="shared" si="7"/>
        <v>966</v>
      </c>
      <c r="U173" s="6">
        <f t="shared" si="35"/>
        <v>12.22</v>
      </c>
      <c r="V173" s="6">
        <f t="shared" si="36"/>
        <v>15.03</v>
      </c>
      <c r="W173" s="84">
        <v>1</v>
      </c>
      <c r="X173" s="75">
        <v>0</v>
      </c>
      <c r="Y173" s="84">
        <v>0</v>
      </c>
      <c r="Z173" s="75">
        <v>0</v>
      </c>
      <c r="AA173" s="75">
        <v>1</v>
      </c>
      <c r="AB173" s="75">
        <v>0</v>
      </c>
      <c r="AC173" s="84">
        <v>0</v>
      </c>
      <c r="AD173" s="75">
        <v>1</v>
      </c>
      <c r="AE173" s="75">
        <v>0</v>
      </c>
      <c r="AF173" s="84">
        <v>1</v>
      </c>
      <c r="AG173" s="75">
        <v>0</v>
      </c>
      <c r="AH173" s="74">
        <v>2002</v>
      </c>
      <c r="AI173" t="s">
        <v>61</v>
      </c>
      <c r="AJ173" t="s">
        <v>61</v>
      </c>
      <c r="AK173" t="s">
        <v>61</v>
      </c>
      <c r="AL173" t="s">
        <v>61</v>
      </c>
      <c r="AM173" s="29" t="s">
        <v>61</v>
      </c>
      <c r="AN173" t="s">
        <v>61</v>
      </c>
      <c r="AO173" s="29">
        <v>0.59630000000000005</v>
      </c>
      <c r="AP173">
        <v>0.40369999999999995</v>
      </c>
      <c r="AQ173" s="29">
        <v>0</v>
      </c>
      <c r="AR173">
        <v>1</v>
      </c>
      <c r="AU173" s="87">
        <f t="shared" si="37"/>
        <v>0.66</v>
      </c>
      <c r="AV173" s="88">
        <f t="shared" si="38"/>
        <v>0.33999999999999997</v>
      </c>
      <c r="AW173">
        <v>1</v>
      </c>
      <c r="AX173">
        <v>0</v>
      </c>
      <c r="AY173">
        <v>0</v>
      </c>
      <c r="AZ173" s="65" t="s">
        <v>369</v>
      </c>
      <c r="BN173" s="86">
        <f t="shared" si="39"/>
        <v>34.78</v>
      </c>
      <c r="BO173">
        <v>0</v>
      </c>
      <c r="BP173">
        <v>0</v>
      </c>
      <c r="BQ173">
        <v>0</v>
      </c>
      <c r="BR173">
        <v>0</v>
      </c>
      <c r="BS173">
        <v>0</v>
      </c>
      <c r="BT173">
        <v>0</v>
      </c>
      <c r="BY173">
        <v>1</v>
      </c>
      <c r="BZ173" s="29">
        <v>0</v>
      </c>
      <c r="CA173">
        <v>0</v>
      </c>
      <c r="CB173">
        <v>1</v>
      </c>
      <c r="CC173" s="29">
        <v>1</v>
      </c>
      <c r="CD173">
        <v>1</v>
      </c>
      <c r="CE173">
        <v>0</v>
      </c>
      <c r="CF173">
        <v>0</v>
      </c>
      <c r="CG173">
        <v>0</v>
      </c>
      <c r="CH173">
        <v>0</v>
      </c>
      <c r="CI173">
        <v>1</v>
      </c>
      <c r="CJ173">
        <v>0</v>
      </c>
      <c r="CK173">
        <v>0</v>
      </c>
      <c r="CL173">
        <v>0</v>
      </c>
      <c r="CM173">
        <v>0</v>
      </c>
      <c r="CN173" s="17">
        <v>0</v>
      </c>
      <c r="CT173" t="s">
        <v>48</v>
      </c>
    </row>
    <row r="174" spans="1:98" x14ac:dyDescent="0.25">
      <c r="A174">
        <v>173</v>
      </c>
      <c r="B174">
        <v>11</v>
      </c>
      <c r="C174" t="s">
        <v>328</v>
      </c>
      <c r="D174" s="85">
        <v>3.2</v>
      </c>
      <c r="E174" s="6">
        <f t="shared" si="34"/>
        <v>1.9393939393939397</v>
      </c>
      <c r="F174" s="6">
        <v>1.65</v>
      </c>
      <c r="L174" s="84">
        <v>1</v>
      </c>
      <c r="M174" s="75">
        <v>0</v>
      </c>
      <c r="N174" s="75">
        <v>0</v>
      </c>
      <c r="O174" s="75">
        <v>0</v>
      </c>
      <c r="P174" s="75">
        <v>0</v>
      </c>
      <c r="Q174" s="84">
        <v>976</v>
      </c>
      <c r="R174" s="75">
        <v>1</v>
      </c>
      <c r="S174" s="75">
        <f t="shared" si="7"/>
        <v>974</v>
      </c>
      <c r="U174" s="6">
        <f t="shared" si="35"/>
        <v>12.22</v>
      </c>
      <c r="V174" s="6">
        <f t="shared" si="36"/>
        <v>15.03</v>
      </c>
      <c r="W174" s="84">
        <v>1</v>
      </c>
      <c r="X174" s="75">
        <v>0</v>
      </c>
      <c r="Y174" s="84">
        <v>0</v>
      </c>
      <c r="Z174" s="75">
        <v>0</v>
      </c>
      <c r="AA174" s="75">
        <v>1</v>
      </c>
      <c r="AB174" s="75">
        <v>0</v>
      </c>
      <c r="AC174" s="84">
        <v>0</v>
      </c>
      <c r="AD174" s="75">
        <v>1</v>
      </c>
      <c r="AE174" s="75">
        <v>0</v>
      </c>
      <c r="AF174" s="84">
        <v>1</v>
      </c>
      <c r="AG174" s="75">
        <v>0</v>
      </c>
      <c r="AH174" s="74">
        <v>2002</v>
      </c>
      <c r="AI174" t="s">
        <v>61</v>
      </c>
      <c r="AJ174" t="s">
        <v>61</v>
      </c>
      <c r="AK174" t="s">
        <v>61</v>
      </c>
      <c r="AL174" t="s">
        <v>61</v>
      </c>
      <c r="AM174" s="29" t="s">
        <v>61</v>
      </c>
      <c r="AN174" t="s">
        <v>61</v>
      </c>
      <c r="AO174" s="29">
        <v>0.59630000000000005</v>
      </c>
      <c r="AP174">
        <v>0.40369999999999995</v>
      </c>
      <c r="AQ174" s="29">
        <v>0</v>
      </c>
      <c r="AR174">
        <v>1</v>
      </c>
      <c r="AU174" s="87">
        <f t="shared" si="37"/>
        <v>0.66</v>
      </c>
      <c r="AV174" s="88">
        <f t="shared" si="38"/>
        <v>0.33999999999999997</v>
      </c>
      <c r="AW174">
        <v>1</v>
      </c>
      <c r="AX174">
        <v>0</v>
      </c>
      <c r="AY174">
        <v>0</v>
      </c>
      <c r="AZ174" s="65" t="s">
        <v>369</v>
      </c>
      <c r="BN174" s="86">
        <f t="shared" si="39"/>
        <v>34.78</v>
      </c>
      <c r="BO174">
        <v>0</v>
      </c>
      <c r="BP174">
        <v>0</v>
      </c>
      <c r="BQ174">
        <v>0</v>
      </c>
      <c r="BR174">
        <v>0</v>
      </c>
      <c r="BS174">
        <v>0</v>
      </c>
      <c r="BT174">
        <v>0</v>
      </c>
      <c r="BY174">
        <v>1</v>
      </c>
      <c r="BZ174" s="29">
        <v>0</v>
      </c>
      <c r="CA174">
        <v>0</v>
      </c>
      <c r="CB174">
        <v>1</v>
      </c>
      <c r="CC174" s="29">
        <v>0</v>
      </c>
      <c r="CD174">
        <v>0</v>
      </c>
      <c r="CE174">
        <v>0</v>
      </c>
      <c r="CF174">
        <v>0</v>
      </c>
      <c r="CG174">
        <v>0</v>
      </c>
      <c r="CH174">
        <v>0</v>
      </c>
      <c r="CI174">
        <v>0</v>
      </c>
      <c r="CJ174">
        <v>0</v>
      </c>
      <c r="CK174">
        <v>0</v>
      </c>
      <c r="CL174">
        <v>0</v>
      </c>
      <c r="CM174">
        <v>0</v>
      </c>
      <c r="CN174" s="17">
        <v>0</v>
      </c>
      <c r="CT174" t="s">
        <v>48</v>
      </c>
    </row>
    <row r="175" spans="1:98" x14ac:dyDescent="0.25">
      <c r="A175">
        <v>174</v>
      </c>
      <c r="B175">
        <v>11</v>
      </c>
      <c r="C175" t="s">
        <v>328</v>
      </c>
      <c r="D175" s="85">
        <v>8.8000000000000007</v>
      </c>
      <c r="E175" s="6">
        <f t="shared" si="34"/>
        <v>0.65868263473053901</v>
      </c>
      <c r="F175" s="6">
        <v>13.36</v>
      </c>
      <c r="L175" s="84">
        <v>1</v>
      </c>
      <c r="M175" s="75">
        <v>0</v>
      </c>
      <c r="N175" s="75">
        <v>0</v>
      </c>
      <c r="O175" s="75">
        <v>0</v>
      </c>
      <c r="P175" s="75">
        <v>0</v>
      </c>
      <c r="Q175" s="84">
        <v>976</v>
      </c>
      <c r="R175" s="75">
        <v>11</v>
      </c>
      <c r="S175" s="75">
        <f t="shared" si="7"/>
        <v>964</v>
      </c>
      <c r="U175" s="6">
        <f t="shared" si="35"/>
        <v>12.22</v>
      </c>
      <c r="V175" s="6">
        <f t="shared" si="36"/>
        <v>15.03</v>
      </c>
      <c r="W175" s="84">
        <v>1</v>
      </c>
      <c r="X175" s="75">
        <v>0</v>
      </c>
      <c r="Y175" s="84">
        <v>0</v>
      </c>
      <c r="Z175" s="75">
        <v>0</v>
      </c>
      <c r="AA175" s="75">
        <v>1</v>
      </c>
      <c r="AB175" s="75">
        <v>0</v>
      </c>
      <c r="AC175" s="84">
        <v>0</v>
      </c>
      <c r="AD175" s="75">
        <v>1</v>
      </c>
      <c r="AE175" s="75">
        <v>0</v>
      </c>
      <c r="AF175" s="84">
        <v>1</v>
      </c>
      <c r="AG175" s="75">
        <v>0</v>
      </c>
      <c r="AH175" s="74">
        <v>2002</v>
      </c>
      <c r="AI175" t="s">
        <v>61</v>
      </c>
      <c r="AJ175" t="s">
        <v>61</v>
      </c>
      <c r="AK175" t="s">
        <v>61</v>
      </c>
      <c r="AL175" t="s">
        <v>61</v>
      </c>
      <c r="AM175" s="29" t="s">
        <v>61</v>
      </c>
      <c r="AN175" t="s">
        <v>61</v>
      </c>
      <c r="AO175" s="29">
        <v>0.59630000000000005</v>
      </c>
      <c r="AP175">
        <v>0.40369999999999995</v>
      </c>
      <c r="AQ175" s="29">
        <v>0</v>
      </c>
      <c r="AR175">
        <v>1</v>
      </c>
      <c r="AU175" s="87">
        <f t="shared" si="37"/>
        <v>0.66</v>
      </c>
      <c r="AV175" s="88">
        <f t="shared" si="38"/>
        <v>0.33999999999999997</v>
      </c>
      <c r="AW175">
        <v>1</v>
      </c>
      <c r="AX175">
        <v>0</v>
      </c>
      <c r="AY175">
        <v>0</v>
      </c>
      <c r="AZ175" s="65" t="s">
        <v>369</v>
      </c>
      <c r="BN175" s="86">
        <f t="shared" si="39"/>
        <v>34.78</v>
      </c>
      <c r="BO175">
        <v>0</v>
      </c>
      <c r="BP175">
        <v>0</v>
      </c>
      <c r="BQ175">
        <v>0</v>
      </c>
      <c r="BR175">
        <v>0</v>
      </c>
      <c r="BS175">
        <v>0</v>
      </c>
      <c r="BT175">
        <v>0</v>
      </c>
      <c r="BY175">
        <v>1</v>
      </c>
      <c r="BZ175" s="29">
        <v>0</v>
      </c>
      <c r="CA175">
        <v>0</v>
      </c>
      <c r="CB175">
        <v>1</v>
      </c>
      <c r="CC175" s="29">
        <v>1</v>
      </c>
      <c r="CD175">
        <v>1</v>
      </c>
      <c r="CE175">
        <v>1</v>
      </c>
      <c r="CF175">
        <v>0</v>
      </c>
      <c r="CG175">
        <v>0</v>
      </c>
      <c r="CH175">
        <v>0</v>
      </c>
      <c r="CI175">
        <v>1</v>
      </c>
      <c r="CJ175">
        <v>1</v>
      </c>
      <c r="CK175">
        <v>0</v>
      </c>
      <c r="CL175">
        <v>0</v>
      </c>
      <c r="CM175">
        <v>0</v>
      </c>
      <c r="CN175" s="17">
        <v>0</v>
      </c>
      <c r="CT175" t="s">
        <v>48</v>
      </c>
    </row>
    <row r="176" spans="1:98" x14ac:dyDescent="0.25">
      <c r="A176">
        <v>175</v>
      </c>
      <c r="B176">
        <v>11</v>
      </c>
      <c r="C176" t="s">
        <v>328</v>
      </c>
      <c r="D176" s="85">
        <v>3.3</v>
      </c>
      <c r="E176" s="6">
        <f t="shared" si="34"/>
        <v>1.8644067796610169</v>
      </c>
      <c r="F176" s="6">
        <v>1.77</v>
      </c>
      <c r="L176" s="84">
        <v>1</v>
      </c>
      <c r="M176" s="75">
        <v>0</v>
      </c>
      <c r="N176" s="75">
        <v>0</v>
      </c>
      <c r="O176" s="75">
        <v>0</v>
      </c>
      <c r="P176" s="75">
        <v>0</v>
      </c>
      <c r="Q176" s="84">
        <v>976</v>
      </c>
      <c r="R176" s="75">
        <v>3</v>
      </c>
      <c r="S176" s="75">
        <f t="shared" si="7"/>
        <v>972</v>
      </c>
      <c r="U176" s="6">
        <f t="shared" si="35"/>
        <v>12.22</v>
      </c>
      <c r="V176" s="6">
        <f t="shared" si="36"/>
        <v>15.03</v>
      </c>
      <c r="W176" s="84">
        <v>1</v>
      </c>
      <c r="X176" s="75">
        <v>0</v>
      </c>
      <c r="Y176" s="84">
        <v>0</v>
      </c>
      <c r="Z176" s="75">
        <v>0</v>
      </c>
      <c r="AA176" s="75">
        <v>1</v>
      </c>
      <c r="AB176" s="75">
        <v>0</v>
      </c>
      <c r="AC176" s="84">
        <v>0</v>
      </c>
      <c r="AD176" s="75">
        <v>1</v>
      </c>
      <c r="AE176" s="75">
        <v>0</v>
      </c>
      <c r="AF176" s="84">
        <v>1</v>
      </c>
      <c r="AG176" s="75">
        <v>0</v>
      </c>
      <c r="AH176" s="74">
        <v>2002</v>
      </c>
      <c r="AI176" t="s">
        <v>61</v>
      </c>
      <c r="AJ176" t="s">
        <v>61</v>
      </c>
      <c r="AK176" t="s">
        <v>61</v>
      </c>
      <c r="AL176" t="s">
        <v>61</v>
      </c>
      <c r="AM176" s="29" t="s">
        <v>61</v>
      </c>
      <c r="AN176" t="s">
        <v>61</v>
      </c>
      <c r="AO176" s="29">
        <v>0.59630000000000005</v>
      </c>
      <c r="AP176">
        <v>0.40369999999999995</v>
      </c>
      <c r="AQ176" s="29">
        <v>0</v>
      </c>
      <c r="AR176">
        <v>1</v>
      </c>
      <c r="AU176" s="87">
        <f t="shared" si="37"/>
        <v>0.66</v>
      </c>
      <c r="AV176" s="88">
        <f t="shared" si="38"/>
        <v>0.33999999999999997</v>
      </c>
      <c r="AW176">
        <v>1</v>
      </c>
      <c r="AX176">
        <v>0</v>
      </c>
      <c r="AY176">
        <v>0</v>
      </c>
      <c r="AZ176" s="65" t="s">
        <v>369</v>
      </c>
      <c r="BN176" s="86">
        <f t="shared" si="39"/>
        <v>34.78</v>
      </c>
      <c r="BO176">
        <v>0</v>
      </c>
      <c r="BP176">
        <v>0</v>
      </c>
      <c r="BQ176">
        <v>0</v>
      </c>
      <c r="BR176">
        <v>0</v>
      </c>
      <c r="BS176">
        <v>0</v>
      </c>
      <c r="BT176">
        <v>0</v>
      </c>
      <c r="BY176">
        <v>1</v>
      </c>
      <c r="BZ176" s="29">
        <v>0</v>
      </c>
      <c r="CA176">
        <v>0</v>
      </c>
      <c r="CB176">
        <v>1</v>
      </c>
      <c r="CC176" s="29">
        <v>0</v>
      </c>
      <c r="CD176">
        <v>0</v>
      </c>
      <c r="CE176">
        <v>1</v>
      </c>
      <c r="CF176">
        <v>0</v>
      </c>
      <c r="CG176">
        <v>0</v>
      </c>
      <c r="CH176">
        <v>0</v>
      </c>
      <c r="CI176">
        <v>0</v>
      </c>
      <c r="CJ176">
        <v>1</v>
      </c>
      <c r="CK176">
        <v>0</v>
      </c>
      <c r="CL176">
        <v>0</v>
      </c>
      <c r="CM176">
        <v>0</v>
      </c>
      <c r="CN176" s="17">
        <v>0</v>
      </c>
      <c r="CT176" t="s">
        <v>48</v>
      </c>
    </row>
    <row r="177" spans="1:98" x14ac:dyDescent="0.25">
      <c r="A177">
        <v>176</v>
      </c>
      <c r="B177">
        <v>11</v>
      </c>
      <c r="C177" t="s">
        <v>328</v>
      </c>
      <c r="D177" s="85">
        <v>6.4</v>
      </c>
      <c r="E177" s="6">
        <f t="shared" si="34"/>
        <v>0.53112033195020747</v>
      </c>
      <c r="F177" s="6">
        <v>12.05</v>
      </c>
      <c r="L177" s="84">
        <v>1</v>
      </c>
      <c r="M177" s="75">
        <v>0</v>
      </c>
      <c r="N177" s="75">
        <v>0</v>
      </c>
      <c r="O177" s="75">
        <v>0</v>
      </c>
      <c r="P177" s="75">
        <v>0</v>
      </c>
      <c r="Q177" s="84">
        <v>1189</v>
      </c>
      <c r="R177" s="75">
        <v>9</v>
      </c>
      <c r="S177" s="75">
        <f t="shared" ref="S177:S237" si="40">Q177-R177-1</f>
        <v>1179</v>
      </c>
      <c r="U177" s="6">
        <f t="shared" si="35"/>
        <v>11.969609999999999</v>
      </c>
      <c r="V177" s="6">
        <f t="shared" si="36"/>
        <v>18.438369999999999</v>
      </c>
      <c r="W177" s="84">
        <v>1</v>
      </c>
      <c r="X177" s="75">
        <v>0</v>
      </c>
      <c r="Y177" s="84">
        <v>0</v>
      </c>
      <c r="Z177" s="75">
        <v>0</v>
      </c>
      <c r="AA177" s="75">
        <v>1</v>
      </c>
      <c r="AB177" s="75">
        <v>0</v>
      </c>
      <c r="AC177" s="84">
        <v>0</v>
      </c>
      <c r="AD177" s="75">
        <v>1</v>
      </c>
      <c r="AE177" s="75">
        <v>0</v>
      </c>
      <c r="AF177" s="84">
        <v>1</v>
      </c>
      <c r="AG177" s="75">
        <v>0</v>
      </c>
      <c r="AH177" s="74">
        <v>2002</v>
      </c>
      <c r="AI177" t="s">
        <v>61</v>
      </c>
      <c r="AJ177" t="s">
        <v>61</v>
      </c>
      <c r="AK177" t="s">
        <v>61</v>
      </c>
      <c r="AL177" t="s">
        <v>61</v>
      </c>
      <c r="AM177" s="29" t="s">
        <v>61</v>
      </c>
      <c r="AN177" t="s">
        <v>61</v>
      </c>
      <c r="AO177" s="29">
        <v>1</v>
      </c>
      <c r="AP177">
        <v>0</v>
      </c>
      <c r="AQ177" s="29">
        <v>0</v>
      </c>
      <c r="AR177">
        <v>1</v>
      </c>
      <c r="AU177" s="87">
        <f t="shared" si="37"/>
        <v>0.80308000000000002</v>
      </c>
      <c r="AV177" s="88">
        <f t="shared" si="38"/>
        <v>0.19691999999999998</v>
      </c>
      <c r="AW177">
        <v>0.48899999999999999</v>
      </c>
      <c r="AX177">
        <v>0</v>
      </c>
      <c r="AY177">
        <f>1-AW177</f>
        <v>0.51100000000000001</v>
      </c>
      <c r="AZ177" s="65" t="s">
        <v>369</v>
      </c>
      <c r="BN177" s="86">
        <f t="shared" si="39"/>
        <v>39.118390000000005</v>
      </c>
      <c r="BO177">
        <v>1</v>
      </c>
      <c r="BP177">
        <v>0</v>
      </c>
      <c r="BQ177">
        <v>0</v>
      </c>
      <c r="BR177">
        <v>0</v>
      </c>
      <c r="BS177">
        <v>0</v>
      </c>
      <c r="BT177">
        <v>0</v>
      </c>
      <c r="BY177">
        <v>0</v>
      </c>
      <c r="BZ177" s="29">
        <v>0</v>
      </c>
      <c r="CA177">
        <v>0</v>
      </c>
      <c r="CB177">
        <v>0</v>
      </c>
      <c r="CC177" s="29">
        <v>1</v>
      </c>
      <c r="CD177">
        <v>1</v>
      </c>
      <c r="CE177">
        <v>0</v>
      </c>
      <c r="CF177">
        <v>0</v>
      </c>
      <c r="CG177">
        <v>0</v>
      </c>
      <c r="CH177">
        <v>0</v>
      </c>
      <c r="CI177">
        <v>1</v>
      </c>
      <c r="CJ177">
        <v>0</v>
      </c>
      <c r="CK177">
        <v>0</v>
      </c>
      <c r="CL177">
        <v>0</v>
      </c>
      <c r="CM177">
        <v>0</v>
      </c>
      <c r="CN177" s="17">
        <v>0</v>
      </c>
      <c r="CT177" t="s">
        <v>48</v>
      </c>
    </row>
    <row r="178" spans="1:98" x14ac:dyDescent="0.25">
      <c r="A178">
        <v>177</v>
      </c>
      <c r="B178">
        <v>11</v>
      </c>
      <c r="C178" t="s">
        <v>328</v>
      </c>
      <c r="D178" s="85">
        <v>6.6</v>
      </c>
      <c r="E178" s="6">
        <f t="shared" si="34"/>
        <v>0.53745928338762217</v>
      </c>
      <c r="F178" s="6">
        <v>12.28</v>
      </c>
      <c r="L178" s="84">
        <v>1</v>
      </c>
      <c r="M178" s="75">
        <v>0</v>
      </c>
      <c r="N178" s="75">
        <v>0</v>
      </c>
      <c r="O178" s="75">
        <v>0</v>
      </c>
      <c r="P178" s="75">
        <v>0</v>
      </c>
      <c r="Q178" s="84">
        <v>1189</v>
      </c>
      <c r="R178" s="75">
        <v>11</v>
      </c>
      <c r="S178" s="75">
        <f t="shared" si="40"/>
        <v>1177</v>
      </c>
      <c r="U178" s="6">
        <f t="shared" si="35"/>
        <v>11.969609999999999</v>
      </c>
      <c r="V178" s="6">
        <f t="shared" si="36"/>
        <v>18.438369999999999</v>
      </c>
      <c r="W178" s="84">
        <v>1</v>
      </c>
      <c r="X178" s="75">
        <v>0</v>
      </c>
      <c r="Y178" s="84">
        <v>0</v>
      </c>
      <c r="Z178" s="75">
        <v>0</v>
      </c>
      <c r="AA178" s="75">
        <v>1</v>
      </c>
      <c r="AB178" s="75">
        <v>0</v>
      </c>
      <c r="AC178" s="84">
        <v>0</v>
      </c>
      <c r="AD178" s="75">
        <v>1</v>
      </c>
      <c r="AE178" s="75">
        <v>0</v>
      </c>
      <c r="AF178" s="84">
        <v>1</v>
      </c>
      <c r="AG178" s="75">
        <v>0</v>
      </c>
      <c r="AH178" s="74">
        <v>2002</v>
      </c>
      <c r="AI178" t="s">
        <v>61</v>
      </c>
      <c r="AJ178" t="s">
        <v>61</v>
      </c>
      <c r="AK178" t="s">
        <v>61</v>
      </c>
      <c r="AL178" t="s">
        <v>61</v>
      </c>
      <c r="AM178" s="29" t="s">
        <v>61</v>
      </c>
      <c r="AN178" t="s">
        <v>61</v>
      </c>
      <c r="AO178" s="29">
        <v>1</v>
      </c>
      <c r="AP178">
        <v>0</v>
      </c>
      <c r="AQ178" s="29">
        <v>0</v>
      </c>
      <c r="AR178">
        <v>1</v>
      </c>
      <c r="AU178" s="87">
        <f t="shared" si="37"/>
        <v>0.80308000000000002</v>
      </c>
      <c r="AV178" s="88">
        <f t="shared" si="38"/>
        <v>0.19691999999999998</v>
      </c>
      <c r="AW178">
        <v>0.48899999999999999</v>
      </c>
      <c r="AX178">
        <v>0</v>
      </c>
      <c r="AY178">
        <f>1-AW178</f>
        <v>0.51100000000000001</v>
      </c>
      <c r="AZ178" s="65" t="s">
        <v>369</v>
      </c>
      <c r="BN178" s="86">
        <f t="shared" si="39"/>
        <v>39.118390000000005</v>
      </c>
      <c r="BO178">
        <v>1</v>
      </c>
      <c r="BP178">
        <v>0</v>
      </c>
      <c r="BQ178">
        <v>0</v>
      </c>
      <c r="BR178">
        <v>0</v>
      </c>
      <c r="BS178">
        <v>0</v>
      </c>
      <c r="BT178">
        <v>0</v>
      </c>
      <c r="BY178">
        <v>0</v>
      </c>
      <c r="BZ178" s="29">
        <v>0</v>
      </c>
      <c r="CA178">
        <v>0</v>
      </c>
      <c r="CB178">
        <v>0</v>
      </c>
      <c r="CC178" s="29">
        <v>1</v>
      </c>
      <c r="CD178">
        <v>1</v>
      </c>
      <c r="CE178">
        <v>1</v>
      </c>
      <c r="CF178">
        <v>0</v>
      </c>
      <c r="CG178">
        <v>0</v>
      </c>
      <c r="CH178">
        <v>0</v>
      </c>
      <c r="CI178">
        <v>1</v>
      </c>
      <c r="CJ178">
        <v>1</v>
      </c>
      <c r="CK178">
        <v>0</v>
      </c>
      <c r="CL178">
        <v>0</v>
      </c>
      <c r="CM178">
        <v>0</v>
      </c>
      <c r="CN178" s="17">
        <v>0</v>
      </c>
      <c r="CT178" t="s">
        <v>48</v>
      </c>
    </row>
    <row r="179" spans="1:98" x14ac:dyDescent="0.25">
      <c r="A179">
        <v>178</v>
      </c>
      <c r="B179">
        <v>11</v>
      </c>
      <c r="C179" t="s">
        <v>328</v>
      </c>
      <c r="D179" s="85">
        <v>7.5</v>
      </c>
      <c r="E179" s="6">
        <f t="shared" si="34"/>
        <v>0.80558539205155744</v>
      </c>
      <c r="F179" s="6">
        <v>9.31</v>
      </c>
      <c r="L179" s="84">
        <v>1</v>
      </c>
      <c r="M179" s="75">
        <v>0</v>
      </c>
      <c r="N179" s="75">
        <v>0</v>
      </c>
      <c r="O179" s="75">
        <v>0</v>
      </c>
      <c r="P179" s="75">
        <v>0</v>
      </c>
      <c r="Q179" s="84">
        <v>582</v>
      </c>
      <c r="R179" s="75">
        <v>9</v>
      </c>
      <c r="S179" s="75">
        <f t="shared" si="40"/>
        <v>572</v>
      </c>
      <c r="U179" s="6">
        <f t="shared" si="35"/>
        <v>12.22</v>
      </c>
      <c r="V179" s="6">
        <f t="shared" si="36"/>
        <v>15.03</v>
      </c>
      <c r="W179" s="84">
        <v>1</v>
      </c>
      <c r="X179" s="75">
        <v>0</v>
      </c>
      <c r="Y179" s="84">
        <v>0</v>
      </c>
      <c r="Z179" s="75">
        <v>0</v>
      </c>
      <c r="AA179" s="75">
        <v>1</v>
      </c>
      <c r="AB179" s="75">
        <v>0</v>
      </c>
      <c r="AC179" s="84">
        <v>0</v>
      </c>
      <c r="AD179" s="75">
        <v>1</v>
      </c>
      <c r="AE179" s="75">
        <v>0</v>
      </c>
      <c r="AF179" s="84">
        <v>1</v>
      </c>
      <c r="AG179" s="75">
        <v>0</v>
      </c>
      <c r="AH179" s="74">
        <v>2002</v>
      </c>
      <c r="AI179" t="s">
        <v>61</v>
      </c>
      <c r="AJ179" t="s">
        <v>61</v>
      </c>
      <c r="AK179" t="s">
        <v>61</v>
      </c>
      <c r="AL179" t="s">
        <v>61</v>
      </c>
      <c r="AM179" s="29" t="s">
        <v>61</v>
      </c>
      <c r="AN179" t="s">
        <v>61</v>
      </c>
      <c r="AO179" s="29">
        <v>1</v>
      </c>
      <c r="AP179">
        <v>0</v>
      </c>
      <c r="AQ179" s="29">
        <v>0</v>
      </c>
      <c r="AR179">
        <v>1</v>
      </c>
      <c r="AU179" s="87">
        <f t="shared" si="37"/>
        <v>0.66</v>
      </c>
      <c r="AV179" s="88">
        <f t="shared" si="38"/>
        <v>0.33999999999999997</v>
      </c>
      <c r="AW179">
        <v>1</v>
      </c>
      <c r="AX179">
        <v>0</v>
      </c>
      <c r="AY179">
        <f t="shared" ref="AY179:AY202" si="41">1-AW179</f>
        <v>0</v>
      </c>
      <c r="AZ179" s="65" t="s">
        <v>369</v>
      </c>
      <c r="BN179" s="86">
        <f t="shared" si="39"/>
        <v>34.78</v>
      </c>
      <c r="BO179">
        <v>1</v>
      </c>
      <c r="BP179">
        <v>0</v>
      </c>
      <c r="BQ179">
        <v>0</v>
      </c>
      <c r="BR179">
        <v>0</v>
      </c>
      <c r="BS179">
        <v>0</v>
      </c>
      <c r="BT179">
        <v>0</v>
      </c>
      <c r="BY179">
        <v>0</v>
      </c>
      <c r="BZ179" s="29">
        <v>0</v>
      </c>
      <c r="CA179">
        <v>0</v>
      </c>
      <c r="CB179">
        <v>0</v>
      </c>
      <c r="CC179" s="29">
        <v>1</v>
      </c>
      <c r="CD179">
        <v>1</v>
      </c>
      <c r="CE179">
        <v>0</v>
      </c>
      <c r="CF179">
        <v>0</v>
      </c>
      <c r="CG179">
        <v>0</v>
      </c>
      <c r="CH179">
        <v>0</v>
      </c>
      <c r="CI179">
        <v>1</v>
      </c>
      <c r="CJ179">
        <v>0</v>
      </c>
      <c r="CK179">
        <v>0</v>
      </c>
      <c r="CL179">
        <v>0</v>
      </c>
      <c r="CM179">
        <v>0</v>
      </c>
      <c r="CN179" s="17">
        <v>0</v>
      </c>
      <c r="CT179" t="s">
        <v>48</v>
      </c>
    </row>
    <row r="180" spans="1:98" x14ac:dyDescent="0.25">
      <c r="A180">
        <v>179</v>
      </c>
      <c r="B180">
        <v>11</v>
      </c>
      <c r="C180" t="s">
        <v>328</v>
      </c>
      <c r="D180" s="85">
        <v>1.2</v>
      </c>
      <c r="E180" s="6">
        <f t="shared" si="34"/>
        <v>1.9354838709677418</v>
      </c>
      <c r="F180" s="6">
        <v>0.62</v>
      </c>
      <c r="L180" s="84">
        <v>1</v>
      </c>
      <c r="M180" s="75">
        <v>0</v>
      </c>
      <c r="N180" s="75">
        <v>0</v>
      </c>
      <c r="O180" s="75">
        <v>0</v>
      </c>
      <c r="P180" s="75">
        <v>0</v>
      </c>
      <c r="Q180" s="84">
        <v>582</v>
      </c>
      <c r="R180" s="75">
        <v>1</v>
      </c>
      <c r="S180" s="75">
        <f t="shared" si="40"/>
        <v>580</v>
      </c>
      <c r="U180" s="6">
        <f t="shared" si="35"/>
        <v>12.22</v>
      </c>
      <c r="V180" s="6">
        <f t="shared" si="36"/>
        <v>15.03</v>
      </c>
      <c r="W180" s="84">
        <v>1</v>
      </c>
      <c r="X180" s="75">
        <v>0</v>
      </c>
      <c r="Y180" s="84">
        <v>0</v>
      </c>
      <c r="Z180" s="75">
        <v>0</v>
      </c>
      <c r="AA180" s="75">
        <v>1</v>
      </c>
      <c r="AB180" s="75">
        <v>0</v>
      </c>
      <c r="AC180" s="84">
        <v>0</v>
      </c>
      <c r="AD180" s="75">
        <v>1</v>
      </c>
      <c r="AE180" s="75">
        <v>0</v>
      </c>
      <c r="AF180" s="84">
        <v>1</v>
      </c>
      <c r="AG180" s="75">
        <v>0</v>
      </c>
      <c r="AH180" s="74">
        <v>2002</v>
      </c>
      <c r="AI180" t="s">
        <v>61</v>
      </c>
      <c r="AJ180" t="s">
        <v>61</v>
      </c>
      <c r="AK180" t="s">
        <v>61</v>
      </c>
      <c r="AL180" t="s">
        <v>61</v>
      </c>
      <c r="AM180" s="29" t="s">
        <v>61</v>
      </c>
      <c r="AN180" t="s">
        <v>61</v>
      </c>
      <c r="AO180" s="29">
        <v>1</v>
      </c>
      <c r="AP180">
        <v>0</v>
      </c>
      <c r="AQ180" s="29">
        <v>0</v>
      </c>
      <c r="AR180">
        <v>1</v>
      </c>
      <c r="AU180" s="87">
        <f t="shared" si="37"/>
        <v>0.66</v>
      </c>
      <c r="AV180" s="88">
        <f t="shared" si="38"/>
        <v>0.33999999999999997</v>
      </c>
      <c r="AW180">
        <v>1</v>
      </c>
      <c r="AX180">
        <v>0</v>
      </c>
      <c r="AY180">
        <f t="shared" si="41"/>
        <v>0</v>
      </c>
      <c r="AZ180" s="65" t="s">
        <v>369</v>
      </c>
      <c r="BN180" s="86">
        <f t="shared" si="39"/>
        <v>34.78</v>
      </c>
      <c r="BO180">
        <v>0</v>
      </c>
      <c r="BP180">
        <v>0</v>
      </c>
      <c r="BQ180">
        <v>1</v>
      </c>
      <c r="BR180">
        <v>0</v>
      </c>
      <c r="BS180">
        <v>0</v>
      </c>
      <c r="BT180">
        <v>0</v>
      </c>
      <c r="BY180">
        <v>0</v>
      </c>
      <c r="BZ180" s="29">
        <v>0</v>
      </c>
      <c r="CA180">
        <v>0</v>
      </c>
      <c r="CB180">
        <v>0</v>
      </c>
      <c r="CC180" s="29">
        <v>0</v>
      </c>
      <c r="CD180">
        <v>0</v>
      </c>
      <c r="CE180">
        <v>0</v>
      </c>
      <c r="CF180">
        <v>0</v>
      </c>
      <c r="CG180">
        <v>0</v>
      </c>
      <c r="CH180">
        <v>0</v>
      </c>
      <c r="CI180">
        <v>0</v>
      </c>
      <c r="CJ180">
        <v>0</v>
      </c>
      <c r="CK180">
        <v>0</v>
      </c>
      <c r="CL180">
        <v>0</v>
      </c>
      <c r="CM180">
        <v>0</v>
      </c>
      <c r="CN180" s="17">
        <v>0</v>
      </c>
      <c r="CT180" t="s">
        <v>48</v>
      </c>
    </row>
    <row r="181" spans="1:98" x14ac:dyDescent="0.25">
      <c r="A181">
        <v>180</v>
      </c>
      <c r="B181">
        <v>11</v>
      </c>
      <c r="C181" t="s">
        <v>328</v>
      </c>
      <c r="D181" s="85">
        <v>7.6</v>
      </c>
      <c r="E181" s="6">
        <f t="shared" si="34"/>
        <v>0.80765143464399569</v>
      </c>
      <c r="F181" s="6">
        <v>9.41</v>
      </c>
      <c r="L181" s="84">
        <v>1</v>
      </c>
      <c r="M181" s="75">
        <v>0</v>
      </c>
      <c r="N181" s="75">
        <v>0</v>
      </c>
      <c r="O181" s="75">
        <v>0</v>
      </c>
      <c r="P181" s="75">
        <v>0</v>
      </c>
      <c r="Q181" s="84">
        <v>582</v>
      </c>
      <c r="R181" s="75">
        <v>11</v>
      </c>
      <c r="S181" s="75">
        <f t="shared" si="40"/>
        <v>570</v>
      </c>
      <c r="U181" s="6">
        <f t="shared" si="35"/>
        <v>12.22</v>
      </c>
      <c r="V181" s="6">
        <f t="shared" si="36"/>
        <v>15.03</v>
      </c>
      <c r="W181" s="84">
        <v>1</v>
      </c>
      <c r="X181" s="75">
        <v>0</v>
      </c>
      <c r="Y181" s="84">
        <v>0</v>
      </c>
      <c r="Z181" s="75">
        <v>0</v>
      </c>
      <c r="AA181" s="75">
        <v>1</v>
      </c>
      <c r="AB181" s="75">
        <v>0</v>
      </c>
      <c r="AC181" s="84">
        <v>0</v>
      </c>
      <c r="AD181" s="75">
        <v>1</v>
      </c>
      <c r="AE181" s="75">
        <v>0</v>
      </c>
      <c r="AF181" s="84">
        <v>1</v>
      </c>
      <c r="AG181" s="75">
        <v>0</v>
      </c>
      <c r="AH181" s="74">
        <v>2002</v>
      </c>
      <c r="AI181" t="s">
        <v>61</v>
      </c>
      <c r="AJ181" t="s">
        <v>61</v>
      </c>
      <c r="AK181" t="s">
        <v>61</v>
      </c>
      <c r="AL181" t="s">
        <v>61</v>
      </c>
      <c r="AM181" s="29" t="s">
        <v>61</v>
      </c>
      <c r="AN181" t="s">
        <v>61</v>
      </c>
      <c r="AO181" s="29">
        <v>1</v>
      </c>
      <c r="AP181">
        <v>0</v>
      </c>
      <c r="AQ181" s="29">
        <v>0</v>
      </c>
      <c r="AR181">
        <v>1</v>
      </c>
      <c r="AU181" s="87">
        <f t="shared" si="37"/>
        <v>0.66</v>
      </c>
      <c r="AV181" s="88">
        <f t="shared" si="38"/>
        <v>0.33999999999999997</v>
      </c>
      <c r="AW181">
        <v>1</v>
      </c>
      <c r="AX181">
        <v>0</v>
      </c>
      <c r="AY181">
        <f t="shared" si="41"/>
        <v>0</v>
      </c>
      <c r="AZ181" s="65" t="s">
        <v>369</v>
      </c>
      <c r="BN181" s="86">
        <f t="shared" si="39"/>
        <v>34.78</v>
      </c>
      <c r="BO181">
        <v>1</v>
      </c>
      <c r="BP181">
        <v>0</v>
      </c>
      <c r="BQ181">
        <v>0</v>
      </c>
      <c r="BR181">
        <v>0</v>
      </c>
      <c r="BS181">
        <v>0</v>
      </c>
      <c r="BT181">
        <v>0</v>
      </c>
      <c r="BY181">
        <v>0</v>
      </c>
      <c r="BZ181" s="29">
        <v>0</v>
      </c>
      <c r="CA181">
        <v>0</v>
      </c>
      <c r="CB181">
        <v>0</v>
      </c>
      <c r="CC181" s="29">
        <v>1</v>
      </c>
      <c r="CD181">
        <v>1</v>
      </c>
      <c r="CE181">
        <v>1</v>
      </c>
      <c r="CF181">
        <v>0</v>
      </c>
      <c r="CG181">
        <v>0</v>
      </c>
      <c r="CH181">
        <v>0</v>
      </c>
      <c r="CI181">
        <v>1</v>
      </c>
      <c r="CJ181">
        <v>1</v>
      </c>
      <c r="CK181">
        <v>0</v>
      </c>
      <c r="CL181">
        <v>0</v>
      </c>
      <c r="CM181">
        <v>0</v>
      </c>
      <c r="CN181" s="17">
        <v>0</v>
      </c>
      <c r="CT181" t="s">
        <v>48</v>
      </c>
    </row>
    <row r="182" spans="1:98" x14ac:dyDescent="0.25">
      <c r="A182">
        <v>181</v>
      </c>
      <c r="B182">
        <v>11</v>
      </c>
      <c r="C182" t="s">
        <v>328</v>
      </c>
      <c r="D182" s="85">
        <v>1.5</v>
      </c>
      <c r="E182" s="6">
        <f t="shared" si="34"/>
        <v>1.948051948051948</v>
      </c>
      <c r="F182" s="6">
        <v>0.77</v>
      </c>
      <c r="L182" s="84">
        <v>1</v>
      </c>
      <c r="M182" s="75">
        <v>0</v>
      </c>
      <c r="N182" s="75">
        <v>0</v>
      </c>
      <c r="O182" s="75">
        <v>0</v>
      </c>
      <c r="P182" s="75">
        <v>0</v>
      </c>
      <c r="Q182" s="84">
        <v>582</v>
      </c>
      <c r="R182" s="75">
        <v>3</v>
      </c>
      <c r="S182" s="75">
        <f t="shared" si="40"/>
        <v>578</v>
      </c>
      <c r="U182" s="6">
        <f t="shared" si="35"/>
        <v>12.22</v>
      </c>
      <c r="V182" s="6">
        <f t="shared" si="36"/>
        <v>15.03</v>
      </c>
      <c r="W182" s="84">
        <v>1</v>
      </c>
      <c r="X182" s="75">
        <v>0</v>
      </c>
      <c r="Y182" s="84">
        <v>0</v>
      </c>
      <c r="Z182" s="75">
        <v>0</v>
      </c>
      <c r="AA182" s="75">
        <v>1</v>
      </c>
      <c r="AB182" s="75">
        <v>0</v>
      </c>
      <c r="AC182" s="84">
        <v>0</v>
      </c>
      <c r="AD182" s="75">
        <v>1</v>
      </c>
      <c r="AE182" s="75">
        <v>0</v>
      </c>
      <c r="AF182" s="84">
        <v>1</v>
      </c>
      <c r="AG182" s="75">
        <v>0</v>
      </c>
      <c r="AH182" s="74">
        <v>2002</v>
      </c>
      <c r="AI182" t="s">
        <v>61</v>
      </c>
      <c r="AJ182" t="s">
        <v>61</v>
      </c>
      <c r="AK182" t="s">
        <v>61</v>
      </c>
      <c r="AL182" t="s">
        <v>61</v>
      </c>
      <c r="AM182" s="29" t="s">
        <v>61</v>
      </c>
      <c r="AN182" t="s">
        <v>61</v>
      </c>
      <c r="AO182" s="29">
        <v>1</v>
      </c>
      <c r="AP182">
        <v>0</v>
      </c>
      <c r="AQ182" s="29">
        <v>0</v>
      </c>
      <c r="AR182">
        <v>1</v>
      </c>
      <c r="AU182" s="87">
        <f t="shared" si="37"/>
        <v>0.66</v>
      </c>
      <c r="AV182" s="88">
        <f t="shared" si="38"/>
        <v>0.33999999999999997</v>
      </c>
      <c r="AW182">
        <v>1</v>
      </c>
      <c r="AX182">
        <v>0</v>
      </c>
      <c r="AY182">
        <f t="shared" si="41"/>
        <v>0</v>
      </c>
      <c r="AZ182" s="65" t="s">
        <v>369</v>
      </c>
      <c r="BN182" s="86">
        <f t="shared" si="39"/>
        <v>34.78</v>
      </c>
      <c r="BO182">
        <v>0</v>
      </c>
      <c r="BP182">
        <v>0</v>
      </c>
      <c r="BQ182">
        <v>1</v>
      </c>
      <c r="BR182">
        <v>0</v>
      </c>
      <c r="BS182">
        <v>0</v>
      </c>
      <c r="BT182">
        <v>0</v>
      </c>
      <c r="BY182">
        <v>0</v>
      </c>
      <c r="BZ182" s="29">
        <v>0</v>
      </c>
      <c r="CA182">
        <v>0</v>
      </c>
      <c r="CB182">
        <v>0</v>
      </c>
      <c r="CC182" s="29">
        <v>0</v>
      </c>
      <c r="CD182">
        <v>0</v>
      </c>
      <c r="CE182">
        <v>1</v>
      </c>
      <c r="CF182">
        <v>0</v>
      </c>
      <c r="CG182">
        <v>0</v>
      </c>
      <c r="CH182">
        <v>0</v>
      </c>
      <c r="CI182">
        <v>0</v>
      </c>
      <c r="CJ182">
        <v>1</v>
      </c>
      <c r="CK182">
        <v>0</v>
      </c>
      <c r="CL182">
        <v>0</v>
      </c>
      <c r="CM182">
        <v>0</v>
      </c>
      <c r="CN182" s="17">
        <v>0</v>
      </c>
      <c r="CT182" t="s">
        <v>48</v>
      </c>
    </row>
    <row r="183" spans="1:98" x14ac:dyDescent="0.25">
      <c r="A183">
        <v>182</v>
      </c>
      <c r="B183">
        <v>11</v>
      </c>
      <c r="C183" t="s">
        <v>328</v>
      </c>
      <c r="D183" s="85">
        <v>7.5</v>
      </c>
      <c r="E183" s="6">
        <f t="shared" si="34"/>
        <v>0.81699346405228757</v>
      </c>
      <c r="F183" s="6">
        <v>9.18</v>
      </c>
      <c r="L183" s="84">
        <v>1</v>
      </c>
      <c r="M183" s="75">
        <v>0</v>
      </c>
      <c r="N183" s="75">
        <v>0</v>
      </c>
      <c r="O183" s="75">
        <v>0</v>
      </c>
      <c r="P183" s="75">
        <v>0</v>
      </c>
      <c r="Q183" s="84">
        <v>582</v>
      </c>
      <c r="R183" s="75">
        <v>9</v>
      </c>
      <c r="S183" s="75">
        <f t="shared" si="40"/>
        <v>572</v>
      </c>
      <c r="U183" s="6">
        <f t="shared" si="35"/>
        <v>12.22</v>
      </c>
      <c r="V183" s="6">
        <f t="shared" si="36"/>
        <v>15.03</v>
      </c>
      <c r="W183" s="84">
        <v>1</v>
      </c>
      <c r="X183" s="75">
        <v>0</v>
      </c>
      <c r="Y183" s="84">
        <v>0</v>
      </c>
      <c r="Z183" s="75">
        <v>0</v>
      </c>
      <c r="AA183" s="75">
        <v>1</v>
      </c>
      <c r="AB183" s="75">
        <v>0</v>
      </c>
      <c r="AC183" s="84">
        <v>0</v>
      </c>
      <c r="AD183" s="75">
        <v>1</v>
      </c>
      <c r="AE183" s="75">
        <v>0</v>
      </c>
      <c r="AF183" s="84">
        <v>1</v>
      </c>
      <c r="AG183" s="75">
        <v>0</v>
      </c>
      <c r="AH183" s="74">
        <v>2002</v>
      </c>
      <c r="AI183" t="s">
        <v>61</v>
      </c>
      <c r="AJ183" t="s">
        <v>61</v>
      </c>
      <c r="AK183" t="s">
        <v>61</v>
      </c>
      <c r="AL183" t="s">
        <v>61</v>
      </c>
      <c r="AM183" s="29" t="s">
        <v>61</v>
      </c>
      <c r="AN183" t="s">
        <v>61</v>
      </c>
      <c r="AO183" s="29">
        <v>1</v>
      </c>
      <c r="AP183">
        <v>0</v>
      </c>
      <c r="AQ183" s="29">
        <v>0</v>
      </c>
      <c r="AR183">
        <v>1</v>
      </c>
      <c r="AU183" s="87">
        <f t="shared" si="37"/>
        <v>0.66</v>
      </c>
      <c r="AV183" s="88">
        <f t="shared" si="38"/>
        <v>0.33999999999999997</v>
      </c>
      <c r="AW183">
        <v>1</v>
      </c>
      <c r="AX183">
        <v>0</v>
      </c>
      <c r="AY183">
        <f t="shared" si="41"/>
        <v>0</v>
      </c>
      <c r="AZ183" s="65" t="s">
        <v>369</v>
      </c>
      <c r="BN183" s="86">
        <f t="shared" si="39"/>
        <v>34.78</v>
      </c>
      <c r="BO183">
        <v>0</v>
      </c>
      <c r="BP183">
        <v>0</v>
      </c>
      <c r="BQ183">
        <v>0</v>
      </c>
      <c r="BR183">
        <v>0</v>
      </c>
      <c r="BS183">
        <v>0</v>
      </c>
      <c r="BT183">
        <v>0</v>
      </c>
      <c r="BY183">
        <v>1</v>
      </c>
      <c r="BZ183" s="29">
        <v>0</v>
      </c>
      <c r="CA183">
        <v>0</v>
      </c>
      <c r="CB183">
        <v>1</v>
      </c>
      <c r="CC183" s="29">
        <v>1</v>
      </c>
      <c r="CD183">
        <v>1</v>
      </c>
      <c r="CE183">
        <v>0</v>
      </c>
      <c r="CF183">
        <v>0</v>
      </c>
      <c r="CG183">
        <v>0</v>
      </c>
      <c r="CH183">
        <v>0</v>
      </c>
      <c r="CI183">
        <v>1</v>
      </c>
      <c r="CJ183">
        <v>0</v>
      </c>
      <c r="CK183">
        <v>0</v>
      </c>
      <c r="CL183">
        <v>0</v>
      </c>
      <c r="CM183">
        <v>0</v>
      </c>
      <c r="CN183" s="17">
        <v>0</v>
      </c>
      <c r="CT183" t="s">
        <v>48</v>
      </c>
    </row>
    <row r="184" spans="1:98" x14ac:dyDescent="0.25">
      <c r="A184">
        <v>183</v>
      </c>
      <c r="B184">
        <v>11</v>
      </c>
      <c r="C184" t="s">
        <v>328</v>
      </c>
      <c r="D184" s="85">
        <v>1.1000000000000001</v>
      </c>
      <c r="E184" s="6">
        <f t="shared" si="34"/>
        <v>2.0370370370370372</v>
      </c>
      <c r="F184" s="6">
        <v>0.54</v>
      </c>
      <c r="L184" s="84">
        <v>1</v>
      </c>
      <c r="M184" s="75">
        <v>0</v>
      </c>
      <c r="N184" s="75">
        <v>0</v>
      </c>
      <c r="O184" s="75">
        <v>0</v>
      </c>
      <c r="P184" s="75">
        <v>0</v>
      </c>
      <c r="Q184" s="84">
        <v>582</v>
      </c>
      <c r="R184" s="75">
        <v>1</v>
      </c>
      <c r="S184" s="75">
        <f t="shared" si="40"/>
        <v>580</v>
      </c>
      <c r="U184" s="6">
        <f t="shared" si="35"/>
        <v>12.22</v>
      </c>
      <c r="V184" s="6">
        <f t="shared" si="36"/>
        <v>15.03</v>
      </c>
      <c r="W184" s="84">
        <v>1</v>
      </c>
      <c r="X184" s="75">
        <v>0</v>
      </c>
      <c r="Y184" s="84">
        <v>0</v>
      </c>
      <c r="Z184" s="75">
        <v>0</v>
      </c>
      <c r="AA184" s="75">
        <v>1</v>
      </c>
      <c r="AB184" s="75">
        <v>0</v>
      </c>
      <c r="AC184" s="84">
        <v>0</v>
      </c>
      <c r="AD184" s="75">
        <v>1</v>
      </c>
      <c r="AE184" s="75">
        <v>0</v>
      </c>
      <c r="AF184" s="84">
        <v>1</v>
      </c>
      <c r="AG184" s="75">
        <v>0</v>
      </c>
      <c r="AH184" s="74">
        <v>2002</v>
      </c>
      <c r="AI184" t="s">
        <v>61</v>
      </c>
      <c r="AJ184" t="s">
        <v>61</v>
      </c>
      <c r="AK184" t="s">
        <v>61</v>
      </c>
      <c r="AL184" t="s">
        <v>61</v>
      </c>
      <c r="AM184" s="29" t="s">
        <v>61</v>
      </c>
      <c r="AN184" t="s">
        <v>61</v>
      </c>
      <c r="AO184" s="29">
        <v>1</v>
      </c>
      <c r="AP184">
        <v>0</v>
      </c>
      <c r="AQ184" s="29">
        <v>0</v>
      </c>
      <c r="AR184">
        <v>1</v>
      </c>
      <c r="AU184" s="87">
        <f t="shared" si="37"/>
        <v>0.66</v>
      </c>
      <c r="AV184" s="88">
        <f t="shared" si="38"/>
        <v>0.33999999999999997</v>
      </c>
      <c r="AW184">
        <v>1</v>
      </c>
      <c r="AX184">
        <v>0</v>
      </c>
      <c r="AY184">
        <f t="shared" si="41"/>
        <v>0</v>
      </c>
      <c r="AZ184" s="65" t="s">
        <v>369</v>
      </c>
      <c r="BN184" s="86">
        <f t="shared" si="39"/>
        <v>34.78</v>
      </c>
      <c r="BO184">
        <v>0</v>
      </c>
      <c r="BP184">
        <v>0</v>
      </c>
      <c r="BQ184">
        <v>0</v>
      </c>
      <c r="BR184">
        <v>0</v>
      </c>
      <c r="BS184">
        <v>0</v>
      </c>
      <c r="BT184">
        <v>0</v>
      </c>
      <c r="BY184">
        <v>1</v>
      </c>
      <c r="BZ184" s="29">
        <v>0</v>
      </c>
      <c r="CA184">
        <v>0</v>
      </c>
      <c r="CB184">
        <v>1</v>
      </c>
      <c r="CC184" s="29">
        <v>0</v>
      </c>
      <c r="CD184">
        <v>0</v>
      </c>
      <c r="CE184">
        <v>0</v>
      </c>
      <c r="CF184">
        <v>0</v>
      </c>
      <c r="CG184">
        <v>0</v>
      </c>
      <c r="CH184">
        <v>0</v>
      </c>
      <c r="CI184">
        <v>0</v>
      </c>
      <c r="CJ184">
        <v>0</v>
      </c>
      <c r="CK184">
        <v>0</v>
      </c>
      <c r="CL184">
        <v>0</v>
      </c>
      <c r="CM184">
        <v>0</v>
      </c>
      <c r="CN184" s="17">
        <v>0</v>
      </c>
      <c r="CT184" t="s">
        <v>48</v>
      </c>
    </row>
    <row r="185" spans="1:98" x14ac:dyDescent="0.25">
      <c r="A185">
        <v>184</v>
      </c>
      <c r="B185">
        <v>11</v>
      </c>
      <c r="C185" t="s">
        <v>328</v>
      </c>
      <c r="D185" s="85">
        <v>7.6</v>
      </c>
      <c r="E185" s="6">
        <f t="shared" si="34"/>
        <v>0.80765143464399569</v>
      </c>
      <c r="F185" s="6">
        <v>9.41</v>
      </c>
      <c r="L185" s="84">
        <v>1</v>
      </c>
      <c r="M185" s="75">
        <v>0</v>
      </c>
      <c r="N185" s="75">
        <v>0</v>
      </c>
      <c r="O185" s="75">
        <v>0</v>
      </c>
      <c r="P185" s="75">
        <v>0</v>
      </c>
      <c r="Q185" s="84">
        <v>582</v>
      </c>
      <c r="R185" s="75">
        <v>11</v>
      </c>
      <c r="S185" s="75">
        <f t="shared" si="40"/>
        <v>570</v>
      </c>
      <c r="U185" s="6">
        <f t="shared" si="35"/>
        <v>12.22</v>
      </c>
      <c r="V185" s="6">
        <f t="shared" si="36"/>
        <v>15.03</v>
      </c>
      <c r="W185" s="84">
        <v>1</v>
      </c>
      <c r="X185" s="75">
        <v>0</v>
      </c>
      <c r="Y185" s="84">
        <v>0</v>
      </c>
      <c r="Z185" s="75">
        <v>0</v>
      </c>
      <c r="AA185" s="75">
        <v>1</v>
      </c>
      <c r="AB185" s="75">
        <v>0</v>
      </c>
      <c r="AC185" s="84">
        <v>0</v>
      </c>
      <c r="AD185" s="75">
        <v>1</v>
      </c>
      <c r="AE185" s="75">
        <v>0</v>
      </c>
      <c r="AF185" s="84">
        <v>1</v>
      </c>
      <c r="AG185" s="75">
        <v>0</v>
      </c>
      <c r="AH185" s="74">
        <v>2002</v>
      </c>
      <c r="AI185" t="s">
        <v>61</v>
      </c>
      <c r="AJ185" t="s">
        <v>61</v>
      </c>
      <c r="AK185" t="s">
        <v>61</v>
      </c>
      <c r="AL185" t="s">
        <v>61</v>
      </c>
      <c r="AM185" s="29" t="s">
        <v>61</v>
      </c>
      <c r="AN185" t="s">
        <v>61</v>
      </c>
      <c r="AO185" s="29">
        <v>1</v>
      </c>
      <c r="AP185">
        <v>0</v>
      </c>
      <c r="AQ185" s="29">
        <v>0</v>
      </c>
      <c r="AR185">
        <v>1</v>
      </c>
      <c r="AU185" s="87">
        <f t="shared" si="37"/>
        <v>0.66</v>
      </c>
      <c r="AV185" s="88">
        <f t="shared" si="38"/>
        <v>0.33999999999999997</v>
      </c>
      <c r="AW185">
        <v>1</v>
      </c>
      <c r="AX185">
        <v>0</v>
      </c>
      <c r="AY185">
        <f t="shared" si="41"/>
        <v>0</v>
      </c>
      <c r="AZ185" s="65" t="s">
        <v>369</v>
      </c>
      <c r="BN185" s="86">
        <f t="shared" si="39"/>
        <v>34.78</v>
      </c>
      <c r="BO185">
        <v>0</v>
      </c>
      <c r="BP185">
        <v>0</v>
      </c>
      <c r="BQ185">
        <v>0</v>
      </c>
      <c r="BR185">
        <v>0</v>
      </c>
      <c r="BS185">
        <v>0</v>
      </c>
      <c r="BT185">
        <v>0</v>
      </c>
      <c r="BY185">
        <v>1</v>
      </c>
      <c r="BZ185" s="29">
        <v>0</v>
      </c>
      <c r="CA185">
        <v>0</v>
      </c>
      <c r="CB185">
        <v>1</v>
      </c>
      <c r="CC185" s="29">
        <v>1</v>
      </c>
      <c r="CD185">
        <v>1</v>
      </c>
      <c r="CE185">
        <v>1</v>
      </c>
      <c r="CF185">
        <v>0</v>
      </c>
      <c r="CG185">
        <v>0</v>
      </c>
      <c r="CH185">
        <v>0</v>
      </c>
      <c r="CI185">
        <v>1</v>
      </c>
      <c r="CJ185">
        <v>1</v>
      </c>
      <c r="CK185">
        <v>0</v>
      </c>
      <c r="CL185">
        <v>0</v>
      </c>
      <c r="CM185">
        <v>0</v>
      </c>
      <c r="CN185" s="17">
        <v>0</v>
      </c>
      <c r="CT185" t="s">
        <v>48</v>
      </c>
    </row>
    <row r="186" spans="1:98" x14ac:dyDescent="0.25">
      <c r="A186">
        <v>185</v>
      </c>
      <c r="B186">
        <v>11</v>
      </c>
      <c r="C186" t="s">
        <v>328</v>
      </c>
      <c r="D186" s="85">
        <v>1.4</v>
      </c>
      <c r="E186" s="6">
        <f t="shared" si="34"/>
        <v>2.0588235294117645</v>
      </c>
      <c r="F186" s="6">
        <v>0.68</v>
      </c>
      <c r="L186" s="84">
        <v>1</v>
      </c>
      <c r="M186" s="75">
        <v>0</v>
      </c>
      <c r="N186" s="75">
        <v>0</v>
      </c>
      <c r="O186" s="75">
        <v>0</v>
      </c>
      <c r="P186" s="75">
        <v>0</v>
      </c>
      <c r="Q186" s="84">
        <v>582</v>
      </c>
      <c r="R186" s="75">
        <v>3</v>
      </c>
      <c r="S186" s="75">
        <f t="shared" si="40"/>
        <v>578</v>
      </c>
      <c r="U186" s="6">
        <f t="shared" si="35"/>
        <v>12.22</v>
      </c>
      <c r="V186" s="6">
        <f t="shared" si="36"/>
        <v>15.03</v>
      </c>
      <c r="W186" s="84">
        <v>1</v>
      </c>
      <c r="X186" s="75">
        <v>0</v>
      </c>
      <c r="Y186" s="84">
        <v>0</v>
      </c>
      <c r="Z186" s="75">
        <v>0</v>
      </c>
      <c r="AA186" s="75">
        <v>1</v>
      </c>
      <c r="AB186" s="75">
        <v>0</v>
      </c>
      <c r="AC186" s="84">
        <v>0</v>
      </c>
      <c r="AD186" s="75">
        <v>1</v>
      </c>
      <c r="AE186" s="75">
        <v>0</v>
      </c>
      <c r="AF186" s="84">
        <v>1</v>
      </c>
      <c r="AG186" s="75">
        <v>0</v>
      </c>
      <c r="AH186" s="74">
        <v>2002</v>
      </c>
      <c r="AI186" t="s">
        <v>61</v>
      </c>
      <c r="AJ186" t="s">
        <v>61</v>
      </c>
      <c r="AK186" t="s">
        <v>61</v>
      </c>
      <c r="AL186" t="s">
        <v>61</v>
      </c>
      <c r="AM186" s="29" t="s">
        <v>61</v>
      </c>
      <c r="AN186" t="s">
        <v>61</v>
      </c>
      <c r="AO186" s="29">
        <v>1</v>
      </c>
      <c r="AP186">
        <v>0</v>
      </c>
      <c r="AQ186" s="29">
        <v>0</v>
      </c>
      <c r="AR186">
        <v>1</v>
      </c>
      <c r="AU186" s="87">
        <f t="shared" si="37"/>
        <v>0.66</v>
      </c>
      <c r="AV186" s="88">
        <f t="shared" si="38"/>
        <v>0.33999999999999997</v>
      </c>
      <c r="AW186">
        <v>1</v>
      </c>
      <c r="AX186">
        <v>0</v>
      </c>
      <c r="AY186">
        <f t="shared" si="41"/>
        <v>0</v>
      </c>
      <c r="AZ186" s="65" t="s">
        <v>369</v>
      </c>
      <c r="BN186" s="86">
        <f t="shared" si="39"/>
        <v>34.78</v>
      </c>
      <c r="BO186">
        <v>0</v>
      </c>
      <c r="BP186">
        <v>0</v>
      </c>
      <c r="BQ186">
        <v>0</v>
      </c>
      <c r="BR186">
        <v>0</v>
      </c>
      <c r="BS186">
        <v>0</v>
      </c>
      <c r="BT186">
        <v>0</v>
      </c>
      <c r="BY186">
        <v>1</v>
      </c>
      <c r="BZ186" s="29">
        <v>0</v>
      </c>
      <c r="CA186">
        <v>0</v>
      </c>
      <c r="CB186">
        <v>1</v>
      </c>
      <c r="CC186" s="29">
        <v>0</v>
      </c>
      <c r="CD186">
        <v>0</v>
      </c>
      <c r="CE186">
        <v>1</v>
      </c>
      <c r="CF186">
        <v>0</v>
      </c>
      <c r="CG186">
        <v>0</v>
      </c>
      <c r="CH186">
        <v>0</v>
      </c>
      <c r="CI186">
        <v>0</v>
      </c>
      <c r="CJ186">
        <v>1</v>
      </c>
      <c r="CK186">
        <v>0</v>
      </c>
      <c r="CL186">
        <v>0</v>
      </c>
      <c r="CM186">
        <v>0</v>
      </c>
      <c r="CN186" s="17">
        <v>0</v>
      </c>
      <c r="CT186" t="s">
        <v>48</v>
      </c>
    </row>
    <row r="187" spans="1:98" x14ac:dyDescent="0.25">
      <c r="A187">
        <v>186</v>
      </c>
      <c r="B187">
        <v>11</v>
      </c>
      <c r="C187" t="s">
        <v>328</v>
      </c>
      <c r="D187" s="85">
        <v>7</v>
      </c>
      <c r="E187" s="6">
        <f t="shared" si="34"/>
        <v>0.62222222222222223</v>
      </c>
      <c r="F187" s="6">
        <v>11.25</v>
      </c>
      <c r="L187" s="84">
        <v>1</v>
      </c>
      <c r="M187" s="75">
        <v>0</v>
      </c>
      <c r="N187" s="75">
        <v>0</v>
      </c>
      <c r="O187" s="75">
        <v>0</v>
      </c>
      <c r="P187" s="75">
        <v>0</v>
      </c>
      <c r="Q187" s="84">
        <v>1064</v>
      </c>
      <c r="R187" s="75">
        <v>9</v>
      </c>
      <c r="S187" s="75">
        <f t="shared" si="40"/>
        <v>1054</v>
      </c>
      <c r="U187" s="6">
        <f t="shared" si="35"/>
        <v>11.911300000000001</v>
      </c>
      <c r="V187" s="6">
        <f t="shared" si="36"/>
        <v>19.232099999999999</v>
      </c>
      <c r="W187" s="84">
        <v>1</v>
      </c>
      <c r="X187" s="75">
        <v>0</v>
      </c>
      <c r="Y187" s="84">
        <v>0</v>
      </c>
      <c r="Z187" s="75">
        <v>0</v>
      </c>
      <c r="AA187" s="75">
        <v>1</v>
      </c>
      <c r="AB187" s="75">
        <v>0</v>
      </c>
      <c r="AC187" s="84">
        <v>0</v>
      </c>
      <c r="AD187" s="75">
        <v>1</v>
      </c>
      <c r="AE187" s="75">
        <v>0</v>
      </c>
      <c r="AF187" s="84">
        <v>1</v>
      </c>
      <c r="AG187" s="75">
        <v>0</v>
      </c>
      <c r="AH187" s="74">
        <v>2002</v>
      </c>
      <c r="AI187" t="s">
        <v>61</v>
      </c>
      <c r="AJ187" t="s">
        <v>61</v>
      </c>
      <c r="AK187" t="s">
        <v>61</v>
      </c>
      <c r="AL187" t="s">
        <v>61</v>
      </c>
      <c r="AM187" s="29" t="s">
        <v>61</v>
      </c>
      <c r="AN187" t="s">
        <v>61</v>
      </c>
      <c r="AO187" s="29">
        <v>0</v>
      </c>
      <c r="AP187">
        <v>1</v>
      </c>
      <c r="AQ187" s="29">
        <v>0</v>
      </c>
      <c r="AR187">
        <v>1</v>
      </c>
      <c r="AU187" s="87">
        <f t="shared" si="37"/>
        <v>0.83639999999999992</v>
      </c>
      <c r="AV187" s="88">
        <f t="shared" si="38"/>
        <v>0.16360000000000008</v>
      </c>
      <c r="AW187">
        <v>0.37</v>
      </c>
      <c r="AX187">
        <v>0</v>
      </c>
      <c r="AY187">
        <f t="shared" si="41"/>
        <v>0.63</v>
      </c>
      <c r="AZ187" s="65" t="s">
        <v>369</v>
      </c>
      <c r="BN187" s="86">
        <f t="shared" si="39"/>
        <v>40.128700000000002</v>
      </c>
      <c r="BO187">
        <v>1</v>
      </c>
      <c r="BP187">
        <v>0</v>
      </c>
      <c r="BQ187">
        <v>0</v>
      </c>
      <c r="BR187">
        <v>0</v>
      </c>
      <c r="BS187">
        <v>0</v>
      </c>
      <c r="BT187">
        <v>0</v>
      </c>
      <c r="BY187">
        <v>0</v>
      </c>
      <c r="BZ187" s="29">
        <v>0</v>
      </c>
      <c r="CA187">
        <v>0</v>
      </c>
      <c r="CB187">
        <v>0</v>
      </c>
      <c r="CC187" s="29">
        <v>1</v>
      </c>
      <c r="CD187">
        <v>1</v>
      </c>
      <c r="CE187">
        <v>0</v>
      </c>
      <c r="CF187">
        <v>0</v>
      </c>
      <c r="CG187">
        <v>0</v>
      </c>
      <c r="CH187">
        <v>0</v>
      </c>
      <c r="CI187">
        <v>1</v>
      </c>
      <c r="CJ187">
        <v>0</v>
      </c>
      <c r="CK187">
        <v>0</v>
      </c>
      <c r="CL187">
        <v>0</v>
      </c>
      <c r="CM187">
        <v>0</v>
      </c>
      <c r="CN187" s="17">
        <v>0</v>
      </c>
      <c r="CT187" t="s">
        <v>48</v>
      </c>
    </row>
    <row r="188" spans="1:98" x14ac:dyDescent="0.25">
      <c r="A188">
        <v>187</v>
      </c>
      <c r="B188">
        <v>11</v>
      </c>
      <c r="C188" t="s">
        <v>328</v>
      </c>
      <c r="D188" s="85">
        <v>6.9</v>
      </c>
      <c r="E188" s="6">
        <f t="shared" si="34"/>
        <v>0.6188340807174888</v>
      </c>
      <c r="F188" s="6">
        <v>11.15</v>
      </c>
      <c r="L188" s="84">
        <v>1</v>
      </c>
      <c r="M188" s="75">
        <v>0</v>
      </c>
      <c r="N188" s="75">
        <v>0</v>
      </c>
      <c r="O188" s="75">
        <v>0</v>
      </c>
      <c r="P188" s="75">
        <v>0</v>
      </c>
      <c r="Q188" s="84">
        <v>1064</v>
      </c>
      <c r="R188" s="75">
        <v>11</v>
      </c>
      <c r="S188" s="75">
        <f t="shared" si="40"/>
        <v>1052</v>
      </c>
      <c r="U188" s="6">
        <f t="shared" si="35"/>
        <v>11.911300000000001</v>
      </c>
      <c r="V188" s="6">
        <f t="shared" si="36"/>
        <v>19.232099999999999</v>
      </c>
      <c r="W188" s="84">
        <v>1</v>
      </c>
      <c r="X188" s="75">
        <v>0</v>
      </c>
      <c r="Y188" s="84">
        <v>0</v>
      </c>
      <c r="Z188" s="75">
        <v>0</v>
      </c>
      <c r="AA188" s="75">
        <v>1</v>
      </c>
      <c r="AB188" s="75">
        <v>0</v>
      </c>
      <c r="AC188" s="84">
        <v>0</v>
      </c>
      <c r="AD188" s="75">
        <v>1</v>
      </c>
      <c r="AE188" s="75">
        <v>0</v>
      </c>
      <c r="AF188" s="84">
        <v>1</v>
      </c>
      <c r="AG188" s="75">
        <v>0</v>
      </c>
      <c r="AH188" s="74">
        <v>2002</v>
      </c>
      <c r="AI188" t="s">
        <v>61</v>
      </c>
      <c r="AJ188" t="s">
        <v>61</v>
      </c>
      <c r="AK188" t="s">
        <v>61</v>
      </c>
      <c r="AL188" t="s">
        <v>61</v>
      </c>
      <c r="AM188" s="29" t="s">
        <v>61</v>
      </c>
      <c r="AN188" t="s">
        <v>61</v>
      </c>
      <c r="AO188" s="29">
        <v>0</v>
      </c>
      <c r="AP188">
        <v>1</v>
      </c>
      <c r="AQ188" s="29">
        <v>0</v>
      </c>
      <c r="AR188">
        <v>1</v>
      </c>
      <c r="AU188" s="87">
        <f t="shared" si="37"/>
        <v>0.83639999999999992</v>
      </c>
      <c r="AV188" s="88">
        <f t="shared" si="38"/>
        <v>0.16360000000000008</v>
      </c>
      <c r="AW188">
        <v>0.37</v>
      </c>
      <c r="AX188">
        <v>0</v>
      </c>
      <c r="AY188">
        <f t="shared" si="41"/>
        <v>0.63</v>
      </c>
      <c r="AZ188" s="65" t="s">
        <v>369</v>
      </c>
      <c r="BN188" s="86">
        <f t="shared" si="39"/>
        <v>40.128700000000002</v>
      </c>
      <c r="BO188">
        <v>1</v>
      </c>
      <c r="BP188">
        <v>0</v>
      </c>
      <c r="BQ188">
        <v>0</v>
      </c>
      <c r="BR188">
        <v>0</v>
      </c>
      <c r="BS188">
        <v>0</v>
      </c>
      <c r="BT188">
        <v>0</v>
      </c>
      <c r="BY188">
        <v>0</v>
      </c>
      <c r="BZ188" s="29">
        <v>0</v>
      </c>
      <c r="CA188">
        <v>0</v>
      </c>
      <c r="CB188">
        <v>0</v>
      </c>
      <c r="CC188" s="29">
        <v>1</v>
      </c>
      <c r="CD188">
        <v>1</v>
      </c>
      <c r="CE188">
        <v>1</v>
      </c>
      <c r="CF188">
        <v>0</v>
      </c>
      <c r="CG188">
        <v>0</v>
      </c>
      <c r="CH188">
        <v>0</v>
      </c>
      <c r="CI188">
        <v>1</v>
      </c>
      <c r="CJ188">
        <v>1</v>
      </c>
      <c r="CK188">
        <v>0</v>
      </c>
      <c r="CL188">
        <v>0</v>
      </c>
      <c r="CM188">
        <v>0</v>
      </c>
      <c r="CN188" s="17">
        <v>0</v>
      </c>
      <c r="CT188" t="s">
        <v>48</v>
      </c>
    </row>
    <row r="189" spans="1:98" x14ac:dyDescent="0.25">
      <c r="A189">
        <v>188</v>
      </c>
      <c r="B189">
        <v>11</v>
      </c>
      <c r="C189" t="s">
        <v>328</v>
      </c>
      <c r="D189" s="85">
        <v>9.6</v>
      </c>
      <c r="E189" s="6">
        <f t="shared" si="34"/>
        <v>0.89719626168224298</v>
      </c>
      <c r="F189" s="6">
        <v>10.7</v>
      </c>
      <c r="L189" s="84">
        <v>1</v>
      </c>
      <c r="M189" s="75">
        <v>0</v>
      </c>
      <c r="N189" s="75">
        <v>0</v>
      </c>
      <c r="O189" s="75">
        <v>0</v>
      </c>
      <c r="P189" s="75">
        <v>0</v>
      </c>
      <c r="Q189" s="84">
        <v>394</v>
      </c>
      <c r="R189" s="75">
        <v>9</v>
      </c>
      <c r="S189" s="75">
        <f t="shared" si="40"/>
        <v>384</v>
      </c>
      <c r="U189" s="6">
        <f t="shared" si="35"/>
        <v>12.22</v>
      </c>
      <c r="V189" s="6">
        <f t="shared" si="36"/>
        <v>15.03</v>
      </c>
      <c r="W189" s="84">
        <v>1</v>
      </c>
      <c r="X189" s="75">
        <v>0</v>
      </c>
      <c r="Y189" s="84">
        <v>0</v>
      </c>
      <c r="Z189" s="75">
        <v>0</v>
      </c>
      <c r="AA189" s="75">
        <v>1</v>
      </c>
      <c r="AB189" s="75">
        <v>0</v>
      </c>
      <c r="AC189" s="84">
        <v>0</v>
      </c>
      <c r="AD189" s="75">
        <v>1</v>
      </c>
      <c r="AE189" s="75">
        <v>0</v>
      </c>
      <c r="AF189" s="84">
        <v>1</v>
      </c>
      <c r="AG189" s="75">
        <v>0</v>
      </c>
      <c r="AH189" s="74">
        <v>2002</v>
      </c>
      <c r="AI189" t="s">
        <v>61</v>
      </c>
      <c r="AJ189" t="s">
        <v>61</v>
      </c>
      <c r="AK189" t="s">
        <v>61</v>
      </c>
      <c r="AL189" t="s">
        <v>61</v>
      </c>
      <c r="AM189" s="29" t="s">
        <v>61</v>
      </c>
      <c r="AN189" t="s">
        <v>61</v>
      </c>
      <c r="AO189" s="29">
        <v>0</v>
      </c>
      <c r="AP189">
        <v>1</v>
      </c>
      <c r="AQ189" s="29">
        <v>0</v>
      </c>
      <c r="AR189">
        <v>1</v>
      </c>
      <c r="AU189" s="87">
        <f t="shared" si="37"/>
        <v>0.66</v>
      </c>
      <c r="AV189" s="88">
        <f t="shared" si="38"/>
        <v>0.33999999999999997</v>
      </c>
      <c r="AW189">
        <v>1</v>
      </c>
      <c r="AX189">
        <v>0</v>
      </c>
      <c r="AY189">
        <f t="shared" si="41"/>
        <v>0</v>
      </c>
      <c r="AZ189" s="65" t="s">
        <v>369</v>
      </c>
      <c r="BN189" s="86">
        <f t="shared" si="39"/>
        <v>34.78</v>
      </c>
      <c r="BO189">
        <v>1</v>
      </c>
      <c r="BP189">
        <v>0</v>
      </c>
      <c r="BQ189">
        <v>0</v>
      </c>
      <c r="BR189">
        <v>0</v>
      </c>
      <c r="BS189">
        <v>0</v>
      </c>
      <c r="BT189">
        <v>0</v>
      </c>
      <c r="BY189">
        <v>0</v>
      </c>
      <c r="BZ189" s="29">
        <v>0</v>
      </c>
      <c r="CA189">
        <v>0</v>
      </c>
      <c r="CB189">
        <v>0</v>
      </c>
      <c r="CC189" s="29">
        <v>1</v>
      </c>
      <c r="CD189">
        <v>1</v>
      </c>
      <c r="CE189">
        <v>0</v>
      </c>
      <c r="CF189">
        <v>0</v>
      </c>
      <c r="CG189">
        <v>0</v>
      </c>
      <c r="CH189">
        <v>0</v>
      </c>
      <c r="CI189">
        <v>1</v>
      </c>
      <c r="CJ189">
        <v>0</v>
      </c>
      <c r="CK189">
        <v>0</v>
      </c>
      <c r="CL189">
        <v>0</v>
      </c>
      <c r="CM189">
        <v>0</v>
      </c>
      <c r="CN189" s="17">
        <v>0</v>
      </c>
      <c r="CT189" t="s">
        <v>48</v>
      </c>
    </row>
    <row r="190" spans="1:98" x14ac:dyDescent="0.25">
      <c r="A190">
        <v>189</v>
      </c>
      <c r="B190">
        <v>11</v>
      </c>
      <c r="C190" t="s">
        <v>328</v>
      </c>
      <c r="D190" s="85">
        <v>4.5</v>
      </c>
      <c r="E190" s="6">
        <f t="shared" si="34"/>
        <v>2.1634615384615383</v>
      </c>
      <c r="F190" s="6">
        <v>2.08</v>
      </c>
      <c r="L190" s="84">
        <v>1</v>
      </c>
      <c r="M190" s="75">
        <v>0</v>
      </c>
      <c r="N190" s="75">
        <v>0</v>
      </c>
      <c r="O190" s="75">
        <v>0</v>
      </c>
      <c r="P190" s="75">
        <v>0</v>
      </c>
      <c r="Q190" s="84">
        <v>394</v>
      </c>
      <c r="R190" s="75">
        <v>1</v>
      </c>
      <c r="S190" s="75">
        <f t="shared" si="40"/>
        <v>392</v>
      </c>
      <c r="U190" s="6">
        <f t="shared" si="35"/>
        <v>12.22</v>
      </c>
      <c r="V190" s="6">
        <f t="shared" si="36"/>
        <v>15.03</v>
      </c>
      <c r="W190" s="84">
        <v>1</v>
      </c>
      <c r="X190" s="75">
        <v>0</v>
      </c>
      <c r="Y190" s="84">
        <v>0</v>
      </c>
      <c r="Z190" s="75">
        <v>0</v>
      </c>
      <c r="AA190" s="75">
        <v>1</v>
      </c>
      <c r="AB190" s="75">
        <v>0</v>
      </c>
      <c r="AC190" s="84">
        <v>0</v>
      </c>
      <c r="AD190" s="75">
        <v>1</v>
      </c>
      <c r="AE190" s="75">
        <v>0</v>
      </c>
      <c r="AF190" s="84">
        <v>1</v>
      </c>
      <c r="AG190" s="75">
        <v>0</v>
      </c>
      <c r="AH190" s="74">
        <v>2002</v>
      </c>
      <c r="AI190" t="s">
        <v>61</v>
      </c>
      <c r="AJ190" t="s">
        <v>61</v>
      </c>
      <c r="AK190" t="s">
        <v>61</v>
      </c>
      <c r="AL190" t="s">
        <v>61</v>
      </c>
      <c r="AM190" s="29" t="s">
        <v>61</v>
      </c>
      <c r="AN190" t="s">
        <v>61</v>
      </c>
      <c r="AO190" s="29">
        <v>0</v>
      </c>
      <c r="AP190">
        <v>1</v>
      </c>
      <c r="AQ190" s="29">
        <v>0</v>
      </c>
      <c r="AR190">
        <v>1</v>
      </c>
      <c r="AU190" s="87">
        <f t="shared" si="37"/>
        <v>0.66</v>
      </c>
      <c r="AV190" s="88">
        <f t="shared" si="38"/>
        <v>0.33999999999999997</v>
      </c>
      <c r="AW190">
        <v>1</v>
      </c>
      <c r="AX190">
        <v>0</v>
      </c>
      <c r="AY190">
        <f t="shared" si="41"/>
        <v>0</v>
      </c>
      <c r="AZ190" s="65" t="s">
        <v>369</v>
      </c>
      <c r="BN190" s="86">
        <f t="shared" si="39"/>
        <v>34.78</v>
      </c>
      <c r="BO190">
        <v>0</v>
      </c>
      <c r="BP190">
        <v>0</v>
      </c>
      <c r="BQ190">
        <v>1</v>
      </c>
      <c r="BR190">
        <v>0</v>
      </c>
      <c r="BS190">
        <v>0</v>
      </c>
      <c r="BT190">
        <v>0</v>
      </c>
      <c r="BY190">
        <v>0</v>
      </c>
      <c r="BZ190" s="29">
        <v>0</v>
      </c>
      <c r="CA190">
        <v>0</v>
      </c>
      <c r="CB190">
        <v>0</v>
      </c>
      <c r="CC190" s="29">
        <v>0</v>
      </c>
      <c r="CD190">
        <v>0</v>
      </c>
      <c r="CE190">
        <v>0</v>
      </c>
      <c r="CF190">
        <v>0</v>
      </c>
      <c r="CG190">
        <v>0</v>
      </c>
      <c r="CH190">
        <v>0</v>
      </c>
      <c r="CI190">
        <v>0</v>
      </c>
      <c r="CJ190">
        <v>0</v>
      </c>
      <c r="CK190">
        <v>0</v>
      </c>
      <c r="CL190">
        <v>0</v>
      </c>
      <c r="CM190">
        <v>0</v>
      </c>
      <c r="CN190" s="17">
        <v>0</v>
      </c>
      <c r="CT190" t="s">
        <v>48</v>
      </c>
    </row>
    <row r="191" spans="1:98" x14ac:dyDescent="0.25">
      <c r="A191">
        <v>190</v>
      </c>
      <c r="B191">
        <v>11</v>
      </c>
      <c r="C191" t="s">
        <v>328</v>
      </c>
      <c r="D191" s="85">
        <v>9.6</v>
      </c>
      <c r="E191" s="6">
        <f t="shared" si="34"/>
        <v>0.8751139471285323</v>
      </c>
      <c r="F191" s="6">
        <v>10.97</v>
      </c>
      <c r="L191" s="84">
        <v>1</v>
      </c>
      <c r="M191" s="75">
        <v>0</v>
      </c>
      <c r="N191" s="75">
        <v>0</v>
      </c>
      <c r="O191" s="75">
        <v>0</v>
      </c>
      <c r="P191" s="75">
        <v>0</v>
      </c>
      <c r="Q191" s="84">
        <v>394</v>
      </c>
      <c r="R191" s="75">
        <v>11</v>
      </c>
      <c r="S191" s="75">
        <f t="shared" si="40"/>
        <v>382</v>
      </c>
      <c r="U191" s="6">
        <f t="shared" si="35"/>
        <v>12.22</v>
      </c>
      <c r="V191" s="6">
        <f t="shared" si="36"/>
        <v>15.03</v>
      </c>
      <c r="W191" s="84">
        <v>1</v>
      </c>
      <c r="X191" s="75">
        <v>0</v>
      </c>
      <c r="Y191" s="84">
        <v>0</v>
      </c>
      <c r="Z191" s="75">
        <v>0</v>
      </c>
      <c r="AA191" s="75">
        <v>1</v>
      </c>
      <c r="AB191" s="75">
        <v>0</v>
      </c>
      <c r="AC191" s="84">
        <v>0</v>
      </c>
      <c r="AD191" s="75">
        <v>1</v>
      </c>
      <c r="AE191" s="75">
        <v>0</v>
      </c>
      <c r="AF191" s="84">
        <v>1</v>
      </c>
      <c r="AG191" s="75">
        <v>0</v>
      </c>
      <c r="AH191" s="74">
        <v>2002</v>
      </c>
      <c r="AI191" t="s">
        <v>61</v>
      </c>
      <c r="AJ191" t="s">
        <v>61</v>
      </c>
      <c r="AK191" t="s">
        <v>61</v>
      </c>
      <c r="AL191" t="s">
        <v>61</v>
      </c>
      <c r="AM191" s="29" t="s">
        <v>61</v>
      </c>
      <c r="AN191" t="s">
        <v>61</v>
      </c>
      <c r="AO191" s="29">
        <v>0</v>
      </c>
      <c r="AP191">
        <v>1</v>
      </c>
      <c r="AQ191" s="29">
        <v>0</v>
      </c>
      <c r="AR191">
        <v>1</v>
      </c>
      <c r="AU191" s="87">
        <f t="shared" si="37"/>
        <v>0.66</v>
      </c>
      <c r="AV191" s="88">
        <f t="shared" si="38"/>
        <v>0.33999999999999997</v>
      </c>
      <c r="AW191">
        <v>1</v>
      </c>
      <c r="AX191">
        <v>0</v>
      </c>
      <c r="AY191">
        <f t="shared" si="41"/>
        <v>0</v>
      </c>
      <c r="AZ191" s="65" t="s">
        <v>369</v>
      </c>
      <c r="BN191" s="86">
        <f t="shared" si="39"/>
        <v>34.78</v>
      </c>
      <c r="BO191">
        <v>1</v>
      </c>
      <c r="BP191">
        <v>0</v>
      </c>
      <c r="BQ191">
        <v>0</v>
      </c>
      <c r="BR191">
        <v>0</v>
      </c>
      <c r="BS191">
        <v>0</v>
      </c>
      <c r="BT191">
        <v>0</v>
      </c>
      <c r="BY191">
        <v>0</v>
      </c>
      <c r="BZ191" s="29">
        <v>0</v>
      </c>
      <c r="CA191">
        <v>0</v>
      </c>
      <c r="CB191">
        <v>0</v>
      </c>
      <c r="CC191" s="29">
        <v>1</v>
      </c>
      <c r="CD191">
        <v>1</v>
      </c>
      <c r="CE191">
        <v>1</v>
      </c>
      <c r="CF191">
        <v>0</v>
      </c>
      <c r="CG191">
        <v>0</v>
      </c>
      <c r="CH191">
        <v>0</v>
      </c>
      <c r="CI191">
        <v>1</v>
      </c>
      <c r="CJ191">
        <v>1</v>
      </c>
      <c r="CK191">
        <v>0</v>
      </c>
      <c r="CL191">
        <v>0</v>
      </c>
      <c r="CM191">
        <v>0</v>
      </c>
      <c r="CN191" s="17">
        <v>0</v>
      </c>
      <c r="CT191" t="s">
        <v>48</v>
      </c>
    </row>
    <row r="192" spans="1:98" x14ac:dyDescent="0.25">
      <c r="A192">
        <v>191</v>
      </c>
      <c r="B192">
        <v>11</v>
      </c>
      <c r="C192" t="s">
        <v>328</v>
      </c>
      <c r="D192" s="85">
        <v>4.5</v>
      </c>
      <c r="E192" s="6">
        <f t="shared" si="34"/>
        <v>2.2058823529411766</v>
      </c>
      <c r="F192" s="6">
        <v>2.04</v>
      </c>
      <c r="L192" s="84">
        <v>1</v>
      </c>
      <c r="M192" s="75">
        <v>0</v>
      </c>
      <c r="N192" s="75">
        <v>0</v>
      </c>
      <c r="O192" s="75">
        <v>0</v>
      </c>
      <c r="P192" s="75">
        <v>0</v>
      </c>
      <c r="Q192" s="84">
        <v>394</v>
      </c>
      <c r="R192" s="75">
        <v>3</v>
      </c>
      <c r="S192" s="75">
        <f t="shared" si="40"/>
        <v>390</v>
      </c>
      <c r="U192" s="6">
        <f t="shared" si="35"/>
        <v>12.22</v>
      </c>
      <c r="V192" s="6">
        <f t="shared" si="36"/>
        <v>15.03</v>
      </c>
      <c r="W192" s="84">
        <v>1</v>
      </c>
      <c r="X192" s="75">
        <v>0</v>
      </c>
      <c r="Y192" s="84">
        <v>0</v>
      </c>
      <c r="Z192" s="75">
        <v>0</v>
      </c>
      <c r="AA192" s="75">
        <v>1</v>
      </c>
      <c r="AB192" s="75">
        <v>0</v>
      </c>
      <c r="AC192" s="84">
        <v>0</v>
      </c>
      <c r="AD192" s="75">
        <v>1</v>
      </c>
      <c r="AE192" s="75">
        <v>0</v>
      </c>
      <c r="AF192" s="84">
        <v>1</v>
      </c>
      <c r="AG192" s="75">
        <v>0</v>
      </c>
      <c r="AH192" s="74">
        <v>2002</v>
      </c>
      <c r="AI192" t="s">
        <v>61</v>
      </c>
      <c r="AJ192" t="s">
        <v>61</v>
      </c>
      <c r="AK192" t="s">
        <v>61</v>
      </c>
      <c r="AL192" t="s">
        <v>61</v>
      </c>
      <c r="AM192" s="29" t="s">
        <v>61</v>
      </c>
      <c r="AN192" t="s">
        <v>61</v>
      </c>
      <c r="AO192" s="29">
        <v>0</v>
      </c>
      <c r="AP192">
        <v>1</v>
      </c>
      <c r="AQ192" s="29">
        <v>0</v>
      </c>
      <c r="AR192">
        <v>1</v>
      </c>
      <c r="AU192" s="87">
        <f t="shared" si="37"/>
        <v>0.66</v>
      </c>
      <c r="AV192" s="88">
        <f t="shared" si="38"/>
        <v>0.33999999999999997</v>
      </c>
      <c r="AW192">
        <v>1</v>
      </c>
      <c r="AX192">
        <v>0</v>
      </c>
      <c r="AY192">
        <f t="shared" si="41"/>
        <v>0</v>
      </c>
      <c r="AZ192" s="65" t="s">
        <v>369</v>
      </c>
      <c r="BN192" s="86">
        <f t="shared" si="39"/>
        <v>34.78</v>
      </c>
      <c r="BO192">
        <v>0</v>
      </c>
      <c r="BP192">
        <v>0</v>
      </c>
      <c r="BQ192">
        <v>1</v>
      </c>
      <c r="BR192">
        <v>0</v>
      </c>
      <c r="BS192">
        <v>0</v>
      </c>
      <c r="BT192">
        <v>0</v>
      </c>
      <c r="BY192">
        <v>0</v>
      </c>
      <c r="BZ192" s="29">
        <v>0</v>
      </c>
      <c r="CA192">
        <v>0</v>
      </c>
      <c r="CB192">
        <v>0</v>
      </c>
      <c r="CC192" s="29">
        <v>0</v>
      </c>
      <c r="CD192">
        <v>0</v>
      </c>
      <c r="CE192">
        <v>1</v>
      </c>
      <c r="CF192">
        <v>0</v>
      </c>
      <c r="CG192">
        <v>0</v>
      </c>
      <c r="CH192">
        <v>0</v>
      </c>
      <c r="CI192">
        <v>0</v>
      </c>
      <c r="CJ192">
        <v>1</v>
      </c>
      <c r="CK192">
        <v>0</v>
      </c>
      <c r="CL192">
        <v>0</v>
      </c>
      <c r="CM192">
        <v>0</v>
      </c>
      <c r="CN192" s="17">
        <v>0</v>
      </c>
      <c r="CT192" t="s">
        <v>48</v>
      </c>
    </row>
    <row r="193" spans="1:98" x14ac:dyDescent="0.25">
      <c r="A193">
        <v>192</v>
      </c>
      <c r="B193">
        <v>11</v>
      </c>
      <c r="C193" t="s">
        <v>328</v>
      </c>
      <c r="D193" s="85">
        <v>10.8</v>
      </c>
      <c r="E193" s="6">
        <f t="shared" si="34"/>
        <v>1.1513859275053304</v>
      </c>
      <c r="F193" s="6">
        <v>9.3800000000000008</v>
      </c>
      <c r="L193" s="84">
        <v>1</v>
      </c>
      <c r="M193" s="75">
        <v>0</v>
      </c>
      <c r="N193" s="75">
        <v>0</v>
      </c>
      <c r="O193" s="75">
        <v>0</v>
      </c>
      <c r="P193" s="75">
        <v>0</v>
      </c>
      <c r="Q193" s="84">
        <v>394</v>
      </c>
      <c r="R193" s="75">
        <v>9</v>
      </c>
      <c r="S193" s="75">
        <f t="shared" si="40"/>
        <v>384</v>
      </c>
      <c r="U193" s="6">
        <f t="shared" si="35"/>
        <v>12.22</v>
      </c>
      <c r="V193" s="6">
        <f t="shared" si="36"/>
        <v>15.03</v>
      </c>
      <c r="W193" s="84">
        <v>1</v>
      </c>
      <c r="X193" s="75">
        <v>0</v>
      </c>
      <c r="Y193" s="84">
        <v>0</v>
      </c>
      <c r="Z193" s="75">
        <v>0</v>
      </c>
      <c r="AA193" s="75">
        <v>1</v>
      </c>
      <c r="AB193" s="75">
        <v>0</v>
      </c>
      <c r="AC193" s="84">
        <v>0</v>
      </c>
      <c r="AD193" s="75">
        <v>1</v>
      </c>
      <c r="AE193" s="75">
        <v>0</v>
      </c>
      <c r="AF193" s="84">
        <v>1</v>
      </c>
      <c r="AG193" s="75">
        <v>0</v>
      </c>
      <c r="AH193" s="74">
        <v>2002</v>
      </c>
      <c r="AI193" t="s">
        <v>61</v>
      </c>
      <c r="AJ193" t="s">
        <v>61</v>
      </c>
      <c r="AK193" t="s">
        <v>61</v>
      </c>
      <c r="AL193" t="s">
        <v>61</v>
      </c>
      <c r="AM193" s="29" t="s">
        <v>61</v>
      </c>
      <c r="AN193" t="s">
        <v>61</v>
      </c>
      <c r="AO193" s="29">
        <v>0</v>
      </c>
      <c r="AP193">
        <v>1</v>
      </c>
      <c r="AQ193" s="29">
        <v>0</v>
      </c>
      <c r="AR193">
        <v>1</v>
      </c>
      <c r="AU193" s="87">
        <f t="shared" si="37"/>
        <v>0.66</v>
      </c>
      <c r="AV193" s="88">
        <f t="shared" si="38"/>
        <v>0.33999999999999997</v>
      </c>
      <c r="AW193">
        <v>1</v>
      </c>
      <c r="AX193">
        <v>0</v>
      </c>
      <c r="AY193">
        <f t="shared" si="41"/>
        <v>0</v>
      </c>
      <c r="AZ193" s="65" t="s">
        <v>369</v>
      </c>
      <c r="BN193" s="86">
        <f t="shared" si="39"/>
        <v>34.78</v>
      </c>
      <c r="BO193">
        <v>0</v>
      </c>
      <c r="BP193">
        <v>0</v>
      </c>
      <c r="BQ193">
        <v>0</v>
      </c>
      <c r="BR193">
        <v>0</v>
      </c>
      <c r="BS193">
        <v>0</v>
      </c>
      <c r="BT193">
        <v>0</v>
      </c>
      <c r="BY193">
        <v>1</v>
      </c>
      <c r="BZ193" s="29">
        <v>0</v>
      </c>
      <c r="CA193">
        <v>0</v>
      </c>
      <c r="CB193">
        <v>1</v>
      </c>
      <c r="CC193" s="29">
        <v>1</v>
      </c>
      <c r="CD193">
        <v>1</v>
      </c>
      <c r="CE193">
        <v>0</v>
      </c>
      <c r="CF193">
        <v>0</v>
      </c>
      <c r="CG193">
        <v>0</v>
      </c>
      <c r="CH193">
        <v>0</v>
      </c>
      <c r="CI193">
        <v>1</v>
      </c>
      <c r="CJ193">
        <v>0</v>
      </c>
      <c r="CK193">
        <v>0</v>
      </c>
      <c r="CL193">
        <v>0</v>
      </c>
      <c r="CM193">
        <v>0</v>
      </c>
      <c r="CN193" s="17">
        <v>0</v>
      </c>
      <c r="CT193" t="s">
        <v>48</v>
      </c>
    </row>
    <row r="194" spans="1:98" x14ac:dyDescent="0.25">
      <c r="A194">
        <v>193</v>
      </c>
      <c r="B194">
        <v>11</v>
      </c>
      <c r="C194" t="s">
        <v>328</v>
      </c>
      <c r="D194" s="85">
        <v>7.5</v>
      </c>
      <c r="E194" s="6">
        <f t="shared" si="34"/>
        <v>3.7688442211055277</v>
      </c>
      <c r="F194" s="6">
        <v>1.99</v>
      </c>
      <c r="L194" s="84">
        <v>1</v>
      </c>
      <c r="M194" s="75">
        <v>0</v>
      </c>
      <c r="N194" s="75">
        <v>0</v>
      </c>
      <c r="O194" s="75">
        <v>0</v>
      </c>
      <c r="P194" s="75">
        <v>0</v>
      </c>
      <c r="Q194" s="84">
        <v>394</v>
      </c>
      <c r="R194" s="75">
        <v>1</v>
      </c>
      <c r="S194" s="75">
        <f t="shared" si="40"/>
        <v>392</v>
      </c>
      <c r="U194" s="6">
        <f t="shared" si="35"/>
        <v>12.22</v>
      </c>
      <c r="V194" s="6">
        <f t="shared" si="36"/>
        <v>15.03</v>
      </c>
      <c r="W194" s="84">
        <v>1</v>
      </c>
      <c r="X194" s="75">
        <v>0</v>
      </c>
      <c r="Y194" s="84">
        <v>0</v>
      </c>
      <c r="Z194" s="75">
        <v>0</v>
      </c>
      <c r="AA194" s="75">
        <v>1</v>
      </c>
      <c r="AB194" s="75">
        <v>0</v>
      </c>
      <c r="AC194" s="84">
        <v>0</v>
      </c>
      <c r="AD194" s="75">
        <v>1</v>
      </c>
      <c r="AE194" s="75">
        <v>0</v>
      </c>
      <c r="AF194" s="84">
        <v>1</v>
      </c>
      <c r="AG194" s="75">
        <v>0</v>
      </c>
      <c r="AH194" s="74">
        <v>2002</v>
      </c>
      <c r="AI194" t="s">
        <v>61</v>
      </c>
      <c r="AJ194" t="s">
        <v>61</v>
      </c>
      <c r="AK194" t="s">
        <v>61</v>
      </c>
      <c r="AL194" t="s">
        <v>61</v>
      </c>
      <c r="AM194" s="29" t="s">
        <v>61</v>
      </c>
      <c r="AN194" t="s">
        <v>61</v>
      </c>
      <c r="AO194" s="29">
        <v>0</v>
      </c>
      <c r="AP194">
        <v>1</v>
      </c>
      <c r="AQ194" s="29">
        <v>0</v>
      </c>
      <c r="AR194">
        <v>1</v>
      </c>
      <c r="AU194" s="87">
        <f t="shared" si="37"/>
        <v>0.66</v>
      </c>
      <c r="AV194" s="88">
        <f t="shared" si="38"/>
        <v>0.33999999999999997</v>
      </c>
      <c r="AW194">
        <v>1</v>
      </c>
      <c r="AX194">
        <v>0</v>
      </c>
      <c r="AY194">
        <f t="shared" si="41"/>
        <v>0</v>
      </c>
      <c r="AZ194" s="65" t="s">
        <v>369</v>
      </c>
      <c r="BN194" s="86">
        <f t="shared" si="39"/>
        <v>34.78</v>
      </c>
      <c r="BO194">
        <v>0</v>
      </c>
      <c r="BP194">
        <v>0</v>
      </c>
      <c r="BQ194">
        <v>0</v>
      </c>
      <c r="BR194">
        <v>0</v>
      </c>
      <c r="BS194">
        <v>0</v>
      </c>
      <c r="BT194">
        <v>0</v>
      </c>
      <c r="BY194">
        <v>1</v>
      </c>
      <c r="BZ194" s="29">
        <v>0</v>
      </c>
      <c r="CA194">
        <v>0</v>
      </c>
      <c r="CB194">
        <v>1</v>
      </c>
      <c r="CC194" s="29">
        <v>0</v>
      </c>
      <c r="CD194">
        <v>0</v>
      </c>
      <c r="CE194">
        <v>0</v>
      </c>
      <c r="CF194">
        <v>0</v>
      </c>
      <c r="CG194">
        <v>0</v>
      </c>
      <c r="CH194">
        <v>0</v>
      </c>
      <c r="CI194">
        <v>0</v>
      </c>
      <c r="CJ194">
        <v>0</v>
      </c>
      <c r="CK194">
        <v>0</v>
      </c>
      <c r="CL194">
        <v>0</v>
      </c>
      <c r="CM194">
        <v>0</v>
      </c>
      <c r="CN194" s="17">
        <v>0</v>
      </c>
      <c r="CT194" t="s">
        <v>48</v>
      </c>
    </row>
    <row r="195" spans="1:98" x14ac:dyDescent="0.25">
      <c r="A195">
        <v>194</v>
      </c>
      <c r="B195">
        <v>11</v>
      </c>
      <c r="C195" t="s">
        <v>328</v>
      </c>
      <c r="D195" s="85">
        <v>10.8</v>
      </c>
      <c r="E195" s="6">
        <f t="shared" si="34"/>
        <v>1.1625403659849303</v>
      </c>
      <c r="F195" s="6">
        <v>9.2899999999999991</v>
      </c>
      <c r="L195" s="84">
        <v>1</v>
      </c>
      <c r="M195" s="75">
        <v>0</v>
      </c>
      <c r="N195" s="75">
        <v>0</v>
      </c>
      <c r="O195" s="75">
        <v>0</v>
      </c>
      <c r="P195" s="75">
        <v>0</v>
      </c>
      <c r="Q195" s="84">
        <v>394</v>
      </c>
      <c r="R195" s="75">
        <v>11</v>
      </c>
      <c r="S195" s="75">
        <f t="shared" si="40"/>
        <v>382</v>
      </c>
      <c r="U195" s="6">
        <f t="shared" si="35"/>
        <v>12.22</v>
      </c>
      <c r="V195" s="6">
        <f t="shared" si="36"/>
        <v>15.03</v>
      </c>
      <c r="W195" s="84">
        <v>1</v>
      </c>
      <c r="X195" s="75">
        <v>0</v>
      </c>
      <c r="Y195" s="84">
        <v>0</v>
      </c>
      <c r="Z195" s="75">
        <v>0</v>
      </c>
      <c r="AA195" s="75">
        <v>1</v>
      </c>
      <c r="AB195" s="75">
        <v>0</v>
      </c>
      <c r="AC195" s="84">
        <v>0</v>
      </c>
      <c r="AD195" s="75">
        <v>1</v>
      </c>
      <c r="AE195" s="75">
        <v>0</v>
      </c>
      <c r="AF195" s="84">
        <v>1</v>
      </c>
      <c r="AG195" s="75">
        <v>0</v>
      </c>
      <c r="AH195" s="74">
        <v>2002</v>
      </c>
      <c r="AI195" t="s">
        <v>61</v>
      </c>
      <c r="AJ195" t="s">
        <v>61</v>
      </c>
      <c r="AK195" t="s">
        <v>61</v>
      </c>
      <c r="AL195" t="s">
        <v>61</v>
      </c>
      <c r="AM195" s="29" t="s">
        <v>61</v>
      </c>
      <c r="AN195" t="s">
        <v>61</v>
      </c>
      <c r="AO195" s="29">
        <v>0</v>
      </c>
      <c r="AP195">
        <v>1</v>
      </c>
      <c r="AQ195" s="29">
        <v>0</v>
      </c>
      <c r="AR195">
        <v>1</v>
      </c>
      <c r="AU195" s="87">
        <f t="shared" si="37"/>
        <v>0.66</v>
      </c>
      <c r="AV195" s="88">
        <f t="shared" si="38"/>
        <v>0.33999999999999997</v>
      </c>
      <c r="AW195">
        <v>1</v>
      </c>
      <c r="AX195">
        <v>0</v>
      </c>
      <c r="AY195">
        <f t="shared" si="41"/>
        <v>0</v>
      </c>
      <c r="AZ195" s="65" t="s">
        <v>369</v>
      </c>
      <c r="BN195" s="86">
        <f t="shared" si="39"/>
        <v>34.78</v>
      </c>
      <c r="BO195">
        <v>0</v>
      </c>
      <c r="BP195">
        <v>0</v>
      </c>
      <c r="BQ195">
        <v>0</v>
      </c>
      <c r="BR195">
        <v>0</v>
      </c>
      <c r="BS195">
        <v>0</v>
      </c>
      <c r="BT195">
        <v>0</v>
      </c>
      <c r="BY195">
        <v>1</v>
      </c>
      <c r="BZ195" s="29">
        <v>0</v>
      </c>
      <c r="CA195">
        <v>0</v>
      </c>
      <c r="CB195">
        <v>1</v>
      </c>
      <c r="CC195" s="29">
        <v>1</v>
      </c>
      <c r="CD195">
        <v>1</v>
      </c>
      <c r="CE195">
        <v>1</v>
      </c>
      <c r="CF195">
        <v>0</v>
      </c>
      <c r="CG195">
        <v>0</v>
      </c>
      <c r="CH195">
        <v>0</v>
      </c>
      <c r="CI195">
        <v>1</v>
      </c>
      <c r="CJ195">
        <v>1</v>
      </c>
      <c r="CK195">
        <v>0</v>
      </c>
      <c r="CL195">
        <v>0</v>
      </c>
      <c r="CM195">
        <v>0</v>
      </c>
      <c r="CN195" s="17">
        <v>0</v>
      </c>
      <c r="CT195" t="s">
        <v>48</v>
      </c>
    </row>
    <row r="196" spans="1:98" x14ac:dyDescent="0.25">
      <c r="A196">
        <v>195</v>
      </c>
      <c r="B196">
        <v>11</v>
      </c>
      <c r="C196" t="s">
        <v>328</v>
      </c>
      <c r="D196" s="85">
        <v>7.1</v>
      </c>
      <c r="E196" s="6">
        <f t="shared" si="34"/>
        <v>3.736842105263158</v>
      </c>
      <c r="F196" s="6">
        <v>1.9</v>
      </c>
      <c r="L196" s="84">
        <v>1</v>
      </c>
      <c r="M196" s="75">
        <v>0</v>
      </c>
      <c r="N196" s="75">
        <v>0</v>
      </c>
      <c r="O196" s="75">
        <v>0</v>
      </c>
      <c r="P196" s="75">
        <v>0</v>
      </c>
      <c r="Q196" s="84">
        <v>394</v>
      </c>
      <c r="R196" s="75">
        <v>3</v>
      </c>
      <c r="S196" s="75">
        <f t="shared" si="40"/>
        <v>390</v>
      </c>
      <c r="U196" s="6">
        <f t="shared" si="35"/>
        <v>12.22</v>
      </c>
      <c r="V196" s="6">
        <f t="shared" si="36"/>
        <v>15.03</v>
      </c>
      <c r="W196" s="84">
        <v>1</v>
      </c>
      <c r="X196" s="75">
        <v>0</v>
      </c>
      <c r="Y196" s="84">
        <v>0</v>
      </c>
      <c r="Z196" s="75">
        <v>0</v>
      </c>
      <c r="AA196" s="75">
        <v>1</v>
      </c>
      <c r="AB196" s="75">
        <v>0</v>
      </c>
      <c r="AC196" s="84">
        <v>0</v>
      </c>
      <c r="AD196" s="75">
        <v>1</v>
      </c>
      <c r="AE196" s="75">
        <v>0</v>
      </c>
      <c r="AF196" s="84">
        <v>1</v>
      </c>
      <c r="AG196" s="75">
        <v>0</v>
      </c>
      <c r="AH196" s="74">
        <v>2002</v>
      </c>
      <c r="AI196" t="s">
        <v>61</v>
      </c>
      <c r="AJ196" t="s">
        <v>61</v>
      </c>
      <c r="AK196" t="s">
        <v>61</v>
      </c>
      <c r="AL196" t="s">
        <v>61</v>
      </c>
      <c r="AM196" s="29" t="s">
        <v>61</v>
      </c>
      <c r="AN196" t="s">
        <v>61</v>
      </c>
      <c r="AO196" s="29">
        <v>0</v>
      </c>
      <c r="AP196">
        <v>1</v>
      </c>
      <c r="AQ196" s="29">
        <v>0</v>
      </c>
      <c r="AR196">
        <v>1</v>
      </c>
      <c r="AU196" s="87">
        <f t="shared" si="37"/>
        <v>0.66</v>
      </c>
      <c r="AV196" s="88">
        <f t="shared" si="38"/>
        <v>0.33999999999999997</v>
      </c>
      <c r="AW196">
        <v>1</v>
      </c>
      <c r="AX196">
        <v>0</v>
      </c>
      <c r="AY196">
        <f t="shared" si="41"/>
        <v>0</v>
      </c>
      <c r="AZ196" s="65" t="s">
        <v>369</v>
      </c>
      <c r="BN196" s="86">
        <f t="shared" si="39"/>
        <v>34.78</v>
      </c>
      <c r="BO196">
        <v>0</v>
      </c>
      <c r="BP196">
        <v>0</v>
      </c>
      <c r="BQ196">
        <v>0</v>
      </c>
      <c r="BR196">
        <v>0</v>
      </c>
      <c r="BS196">
        <v>0</v>
      </c>
      <c r="BT196">
        <v>0</v>
      </c>
      <c r="BY196">
        <v>1</v>
      </c>
      <c r="BZ196" s="29">
        <v>0</v>
      </c>
      <c r="CA196">
        <v>0</v>
      </c>
      <c r="CB196">
        <v>1</v>
      </c>
      <c r="CC196" s="29">
        <v>0</v>
      </c>
      <c r="CD196">
        <v>0</v>
      </c>
      <c r="CE196">
        <v>1</v>
      </c>
      <c r="CF196">
        <v>0</v>
      </c>
      <c r="CG196">
        <v>0</v>
      </c>
      <c r="CH196">
        <v>0</v>
      </c>
      <c r="CI196">
        <v>0</v>
      </c>
      <c r="CJ196">
        <v>1</v>
      </c>
      <c r="CK196">
        <v>0</v>
      </c>
      <c r="CL196">
        <v>0</v>
      </c>
      <c r="CM196">
        <v>0</v>
      </c>
      <c r="CN196" s="17">
        <v>0</v>
      </c>
      <c r="CT196" t="s">
        <v>48</v>
      </c>
    </row>
    <row r="197" spans="1:98" x14ac:dyDescent="0.25">
      <c r="A197">
        <v>196</v>
      </c>
      <c r="B197">
        <v>11</v>
      </c>
      <c r="C197" t="s">
        <v>328</v>
      </c>
      <c r="D197" s="85">
        <v>7.6</v>
      </c>
      <c r="E197" s="6">
        <f t="shared" si="34"/>
        <v>0.61939690301548489</v>
      </c>
      <c r="F197" s="6">
        <v>12.27</v>
      </c>
      <c r="L197" s="84">
        <v>1</v>
      </c>
      <c r="M197" s="75">
        <v>0</v>
      </c>
      <c r="N197" s="75">
        <v>0</v>
      </c>
      <c r="O197" s="75">
        <v>0</v>
      </c>
      <c r="P197" s="75">
        <v>0</v>
      </c>
      <c r="Q197" s="84">
        <v>488</v>
      </c>
      <c r="R197" s="75">
        <v>9</v>
      </c>
      <c r="S197" s="75">
        <f t="shared" si="40"/>
        <v>478</v>
      </c>
      <c r="U197" s="6">
        <f t="shared" si="35"/>
        <v>12.22</v>
      </c>
      <c r="V197" s="6">
        <f t="shared" si="36"/>
        <v>15.03</v>
      </c>
      <c r="W197" s="84">
        <v>1</v>
      </c>
      <c r="X197" s="75">
        <v>0</v>
      </c>
      <c r="Y197" s="84">
        <v>0</v>
      </c>
      <c r="Z197" s="75">
        <v>0</v>
      </c>
      <c r="AA197" s="75">
        <v>1</v>
      </c>
      <c r="AB197" s="75">
        <v>0</v>
      </c>
      <c r="AC197" s="84">
        <v>0</v>
      </c>
      <c r="AD197" s="75">
        <v>1</v>
      </c>
      <c r="AE197" s="75">
        <v>0</v>
      </c>
      <c r="AF197" s="84">
        <v>1</v>
      </c>
      <c r="AG197" s="75">
        <v>0</v>
      </c>
      <c r="AH197" s="74">
        <v>2002</v>
      </c>
      <c r="AI197" t="s">
        <v>61</v>
      </c>
      <c r="AJ197" t="s">
        <v>61</v>
      </c>
      <c r="AK197" t="s">
        <v>61</v>
      </c>
      <c r="AL197" t="s">
        <v>61</v>
      </c>
      <c r="AM197" s="29" t="s">
        <v>61</v>
      </c>
      <c r="AN197" t="s">
        <v>61</v>
      </c>
      <c r="AO197" s="29">
        <v>0</v>
      </c>
      <c r="AP197">
        <v>1</v>
      </c>
      <c r="AQ197" s="29">
        <v>0</v>
      </c>
      <c r="AR197">
        <v>1</v>
      </c>
      <c r="AU197" s="87">
        <f t="shared" si="37"/>
        <v>0.66</v>
      </c>
      <c r="AV197" s="88">
        <f t="shared" si="38"/>
        <v>0.33999999999999997</v>
      </c>
      <c r="AW197">
        <v>1</v>
      </c>
      <c r="AX197">
        <v>0</v>
      </c>
      <c r="AY197">
        <f t="shared" si="41"/>
        <v>0</v>
      </c>
      <c r="AZ197" s="65" t="s">
        <v>369</v>
      </c>
      <c r="BN197" s="86">
        <f t="shared" si="39"/>
        <v>34.78</v>
      </c>
      <c r="BO197">
        <v>0</v>
      </c>
      <c r="BP197">
        <v>1</v>
      </c>
      <c r="BQ197">
        <v>0</v>
      </c>
      <c r="BR197">
        <v>0</v>
      </c>
      <c r="BS197">
        <v>0</v>
      </c>
      <c r="BT197">
        <v>0</v>
      </c>
      <c r="BY197">
        <v>0</v>
      </c>
      <c r="BZ197" s="29">
        <v>0</v>
      </c>
      <c r="CA197">
        <v>0</v>
      </c>
      <c r="CB197">
        <v>0</v>
      </c>
      <c r="CC197" s="29">
        <v>1</v>
      </c>
      <c r="CD197">
        <v>1</v>
      </c>
      <c r="CE197">
        <v>0</v>
      </c>
      <c r="CF197">
        <v>0</v>
      </c>
      <c r="CG197">
        <v>0</v>
      </c>
      <c r="CH197">
        <v>0</v>
      </c>
      <c r="CI197">
        <v>1</v>
      </c>
      <c r="CJ197">
        <v>0</v>
      </c>
      <c r="CK197">
        <v>0</v>
      </c>
      <c r="CL197">
        <v>0</v>
      </c>
      <c r="CM197">
        <v>0</v>
      </c>
      <c r="CN197" s="17">
        <v>0</v>
      </c>
      <c r="CT197" t="s">
        <v>48</v>
      </c>
    </row>
    <row r="198" spans="1:98" x14ac:dyDescent="0.25">
      <c r="A198">
        <v>197</v>
      </c>
      <c r="B198">
        <v>11</v>
      </c>
      <c r="C198" t="s">
        <v>328</v>
      </c>
      <c r="D198" s="85">
        <v>2.5</v>
      </c>
      <c r="E198" s="6">
        <f t="shared" si="34"/>
        <v>1.2135922330097086</v>
      </c>
      <c r="F198" s="6">
        <v>2.06</v>
      </c>
      <c r="L198" s="84">
        <v>1</v>
      </c>
      <c r="M198" s="75">
        <v>0</v>
      </c>
      <c r="N198" s="75">
        <v>0</v>
      </c>
      <c r="O198" s="75">
        <v>0</v>
      </c>
      <c r="P198" s="75">
        <v>0</v>
      </c>
      <c r="Q198" s="84">
        <v>488</v>
      </c>
      <c r="R198" s="75">
        <v>10</v>
      </c>
      <c r="S198" s="75">
        <f t="shared" si="40"/>
        <v>477</v>
      </c>
      <c r="U198" s="6">
        <f t="shared" si="35"/>
        <v>12.22</v>
      </c>
      <c r="V198" s="6">
        <f t="shared" si="36"/>
        <v>15.03</v>
      </c>
      <c r="W198" s="84">
        <v>1</v>
      </c>
      <c r="X198" s="75">
        <v>0</v>
      </c>
      <c r="Y198" s="84">
        <v>0</v>
      </c>
      <c r="Z198" s="75">
        <v>0</v>
      </c>
      <c r="AA198" s="75">
        <v>1</v>
      </c>
      <c r="AB198" s="75">
        <v>0</v>
      </c>
      <c r="AC198" s="84">
        <v>0</v>
      </c>
      <c r="AD198" s="75">
        <v>1</v>
      </c>
      <c r="AE198" s="75">
        <v>0</v>
      </c>
      <c r="AF198" s="84">
        <v>1</v>
      </c>
      <c r="AG198" s="75">
        <v>0</v>
      </c>
      <c r="AH198" s="74">
        <v>2002</v>
      </c>
      <c r="AI198" t="s">
        <v>61</v>
      </c>
      <c r="AJ198" t="s">
        <v>61</v>
      </c>
      <c r="AK198" t="s">
        <v>61</v>
      </c>
      <c r="AL198" t="s">
        <v>61</v>
      </c>
      <c r="AM198" s="29" t="s">
        <v>61</v>
      </c>
      <c r="AN198" t="s">
        <v>61</v>
      </c>
      <c r="AO198" s="29">
        <v>0</v>
      </c>
      <c r="AP198">
        <v>1</v>
      </c>
      <c r="AQ198" s="29">
        <v>0</v>
      </c>
      <c r="AR198">
        <v>1</v>
      </c>
      <c r="AU198" s="87">
        <f t="shared" si="37"/>
        <v>0.66</v>
      </c>
      <c r="AV198" s="88">
        <f t="shared" si="38"/>
        <v>0.33999999999999997</v>
      </c>
      <c r="AW198">
        <v>1</v>
      </c>
      <c r="AX198">
        <v>0</v>
      </c>
      <c r="AY198">
        <f t="shared" si="41"/>
        <v>0</v>
      </c>
      <c r="AZ198" s="65" t="s">
        <v>369</v>
      </c>
      <c r="BN198" s="86">
        <f t="shared" si="39"/>
        <v>34.78</v>
      </c>
      <c r="BO198">
        <v>0</v>
      </c>
      <c r="BP198">
        <v>1</v>
      </c>
      <c r="BQ198">
        <v>0</v>
      </c>
      <c r="BR198">
        <v>0</v>
      </c>
      <c r="BS198">
        <v>0</v>
      </c>
      <c r="BT198">
        <v>0</v>
      </c>
      <c r="BY198">
        <v>0</v>
      </c>
      <c r="BZ198" s="29">
        <v>0</v>
      </c>
      <c r="CA198">
        <v>0</v>
      </c>
      <c r="CB198">
        <v>0</v>
      </c>
      <c r="CC198" s="29">
        <v>1</v>
      </c>
      <c r="CD198">
        <v>1</v>
      </c>
      <c r="CE198">
        <v>0</v>
      </c>
      <c r="CF198">
        <v>0</v>
      </c>
      <c r="CG198">
        <v>0</v>
      </c>
      <c r="CH198">
        <v>0</v>
      </c>
      <c r="CI198">
        <v>1</v>
      </c>
      <c r="CJ198">
        <v>0</v>
      </c>
      <c r="CK198">
        <v>0</v>
      </c>
      <c r="CL198">
        <v>0</v>
      </c>
      <c r="CM198">
        <v>0</v>
      </c>
      <c r="CN198" s="17">
        <v>0</v>
      </c>
      <c r="CT198" t="s">
        <v>48</v>
      </c>
    </row>
    <row r="199" spans="1:98" x14ac:dyDescent="0.25">
      <c r="A199">
        <v>198</v>
      </c>
      <c r="B199">
        <v>11</v>
      </c>
      <c r="C199" t="s">
        <v>328</v>
      </c>
      <c r="D199" s="85">
        <v>2.2000000000000002</v>
      </c>
      <c r="E199" s="6">
        <f t="shared" si="34"/>
        <v>1.1640211640211642</v>
      </c>
      <c r="F199" s="6">
        <v>1.89</v>
      </c>
      <c r="L199" s="84">
        <v>1</v>
      </c>
      <c r="M199" s="75">
        <v>0</v>
      </c>
      <c r="N199" s="75">
        <v>0</v>
      </c>
      <c r="O199" s="75">
        <v>0</v>
      </c>
      <c r="P199" s="75">
        <v>0</v>
      </c>
      <c r="Q199" s="84">
        <v>488</v>
      </c>
      <c r="R199" s="75">
        <v>10</v>
      </c>
      <c r="S199" s="75">
        <f t="shared" si="40"/>
        <v>477</v>
      </c>
      <c r="U199" s="6">
        <f t="shared" si="35"/>
        <v>12.22</v>
      </c>
      <c r="V199" s="6">
        <f t="shared" si="36"/>
        <v>15.03</v>
      </c>
      <c r="W199" s="84">
        <v>1</v>
      </c>
      <c r="X199" s="75">
        <v>0</v>
      </c>
      <c r="Y199" s="84">
        <v>0</v>
      </c>
      <c r="Z199" s="75">
        <v>0</v>
      </c>
      <c r="AA199" s="75">
        <v>1</v>
      </c>
      <c r="AB199" s="75">
        <v>0</v>
      </c>
      <c r="AC199" s="84">
        <v>0</v>
      </c>
      <c r="AD199" s="75">
        <v>1</v>
      </c>
      <c r="AE199" s="75">
        <v>0</v>
      </c>
      <c r="AF199" s="84">
        <v>1</v>
      </c>
      <c r="AG199" s="75">
        <v>0</v>
      </c>
      <c r="AH199" s="74">
        <v>2002</v>
      </c>
      <c r="AI199" t="s">
        <v>61</v>
      </c>
      <c r="AJ199" t="s">
        <v>61</v>
      </c>
      <c r="AK199" t="s">
        <v>61</v>
      </c>
      <c r="AL199" t="s">
        <v>61</v>
      </c>
      <c r="AM199" s="29" t="s">
        <v>61</v>
      </c>
      <c r="AN199" t="s">
        <v>61</v>
      </c>
      <c r="AO199" s="29">
        <v>0</v>
      </c>
      <c r="AP199">
        <v>1</v>
      </c>
      <c r="AQ199" s="29">
        <v>0</v>
      </c>
      <c r="AR199">
        <v>1</v>
      </c>
      <c r="AU199" s="87">
        <f t="shared" si="37"/>
        <v>0.66</v>
      </c>
      <c r="AV199" s="88">
        <f t="shared" si="38"/>
        <v>0.33999999999999997</v>
      </c>
      <c r="AW199">
        <v>1</v>
      </c>
      <c r="AX199">
        <v>0</v>
      </c>
      <c r="AY199">
        <f t="shared" si="41"/>
        <v>0</v>
      </c>
      <c r="AZ199" s="65" t="s">
        <v>369</v>
      </c>
      <c r="BN199" s="86">
        <f t="shared" si="39"/>
        <v>34.78</v>
      </c>
      <c r="BO199">
        <v>0</v>
      </c>
      <c r="BP199">
        <v>0</v>
      </c>
      <c r="BQ199">
        <v>0</v>
      </c>
      <c r="BR199">
        <v>0</v>
      </c>
      <c r="BS199">
        <v>0</v>
      </c>
      <c r="BT199">
        <v>0</v>
      </c>
      <c r="BY199">
        <v>1</v>
      </c>
      <c r="BZ199" s="29">
        <v>1</v>
      </c>
      <c r="CA199">
        <v>0</v>
      </c>
      <c r="CB199">
        <v>0</v>
      </c>
      <c r="CC199" s="29">
        <v>1</v>
      </c>
      <c r="CD199">
        <v>1</v>
      </c>
      <c r="CE199">
        <v>0</v>
      </c>
      <c r="CF199">
        <v>0</v>
      </c>
      <c r="CG199">
        <v>0</v>
      </c>
      <c r="CH199">
        <v>0</v>
      </c>
      <c r="CI199">
        <v>1</v>
      </c>
      <c r="CJ199">
        <v>0</v>
      </c>
      <c r="CK199">
        <v>0</v>
      </c>
      <c r="CL199">
        <v>0</v>
      </c>
      <c r="CM199">
        <v>0</v>
      </c>
      <c r="CN199" s="17">
        <v>0</v>
      </c>
      <c r="CT199" t="s">
        <v>48</v>
      </c>
    </row>
    <row r="200" spans="1:98" x14ac:dyDescent="0.25">
      <c r="A200">
        <v>199</v>
      </c>
      <c r="B200">
        <v>11</v>
      </c>
      <c r="C200" t="s">
        <v>328</v>
      </c>
      <c r="D200" s="85">
        <v>7.7</v>
      </c>
      <c r="E200" s="6">
        <f t="shared" si="34"/>
        <v>0.61946902654867264</v>
      </c>
      <c r="F200" s="6">
        <v>12.43</v>
      </c>
      <c r="L200" s="84">
        <v>1</v>
      </c>
      <c r="M200" s="75">
        <v>0</v>
      </c>
      <c r="N200" s="75">
        <v>0</v>
      </c>
      <c r="O200" s="75">
        <v>0</v>
      </c>
      <c r="P200" s="75">
        <v>0</v>
      </c>
      <c r="Q200" s="84">
        <v>488</v>
      </c>
      <c r="R200" s="75">
        <v>11</v>
      </c>
      <c r="S200" s="75">
        <f t="shared" si="40"/>
        <v>476</v>
      </c>
      <c r="U200" s="6">
        <f t="shared" si="35"/>
        <v>12.22</v>
      </c>
      <c r="V200" s="6">
        <f t="shared" si="36"/>
        <v>15.03</v>
      </c>
      <c r="W200" s="84">
        <v>1</v>
      </c>
      <c r="X200" s="75">
        <v>0</v>
      </c>
      <c r="Y200" s="84">
        <v>0</v>
      </c>
      <c r="Z200" s="75">
        <v>0</v>
      </c>
      <c r="AA200" s="75">
        <v>1</v>
      </c>
      <c r="AB200" s="75">
        <v>0</v>
      </c>
      <c r="AC200" s="84">
        <v>0</v>
      </c>
      <c r="AD200" s="75">
        <v>1</v>
      </c>
      <c r="AE200" s="75">
        <v>0</v>
      </c>
      <c r="AF200" s="84">
        <v>1</v>
      </c>
      <c r="AG200" s="75">
        <v>0</v>
      </c>
      <c r="AH200" s="74">
        <v>2002</v>
      </c>
      <c r="AI200" t="s">
        <v>61</v>
      </c>
      <c r="AJ200" t="s">
        <v>61</v>
      </c>
      <c r="AK200" t="s">
        <v>61</v>
      </c>
      <c r="AL200" t="s">
        <v>61</v>
      </c>
      <c r="AM200" s="29" t="s">
        <v>61</v>
      </c>
      <c r="AN200" t="s">
        <v>61</v>
      </c>
      <c r="AO200" s="29">
        <v>0</v>
      </c>
      <c r="AP200">
        <v>1</v>
      </c>
      <c r="AQ200" s="29">
        <v>0</v>
      </c>
      <c r="AR200">
        <v>1</v>
      </c>
      <c r="AU200" s="87">
        <f t="shared" si="37"/>
        <v>0.66</v>
      </c>
      <c r="AV200" s="88">
        <f t="shared" si="38"/>
        <v>0.33999999999999997</v>
      </c>
      <c r="AW200">
        <v>1</v>
      </c>
      <c r="AX200">
        <v>0</v>
      </c>
      <c r="AY200">
        <f t="shared" si="41"/>
        <v>0</v>
      </c>
      <c r="AZ200" s="65" t="s">
        <v>369</v>
      </c>
      <c r="BN200" s="86">
        <f t="shared" si="39"/>
        <v>34.78</v>
      </c>
      <c r="BO200">
        <v>0</v>
      </c>
      <c r="BP200">
        <v>1</v>
      </c>
      <c r="BQ200">
        <v>0</v>
      </c>
      <c r="BR200">
        <v>0</v>
      </c>
      <c r="BS200">
        <v>0</v>
      </c>
      <c r="BT200">
        <v>0</v>
      </c>
      <c r="BY200">
        <v>0</v>
      </c>
      <c r="BZ200" s="29">
        <v>0</v>
      </c>
      <c r="CA200">
        <v>0</v>
      </c>
      <c r="CB200">
        <v>0</v>
      </c>
      <c r="CC200" s="29">
        <v>1</v>
      </c>
      <c r="CD200">
        <v>1</v>
      </c>
      <c r="CE200">
        <v>1</v>
      </c>
      <c r="CF200">
        <v>0</v>
      </c>
      <c r="CG200">
        <v>0</v>
      </c>
      <c r="CH200">
        <v>0</v>
      </c>
      <c r="CI200">
        <v>1</v>
      </c>
      <c r="CJ200">
        <v>1</v>
      </c>
      <c r="CK200">
        <v>0</v>
      </c>
      <c r="CL200">
        <v>0</v>
      </c>
      <c r="CM200">
        <v>0</v>
      </c>
      <c r="CN200" s="17">
        <v>0</v>
      </c>
      <c r="CT200" t="s">
        <v>48</v>
      </c>
    </row>
    <row r="201" spans="1:98" x14ac:dyDescent="0.25">
      <c r="A201">
        <v>200</v>
      </c>
      <c r="B201">
        <v>11</v>
      </c>
      <c r="C201" t="s">
        <v>328</v>
      </c>
      <c r="D201" s="85">
        <v>2.7</v>
      </c>
      <c r="E201" s="6">
        <f t="shared" si="34"/>
        <v>1.2162162162162162</v>
      </c>
      <c r="F201" s="6">
        <v>2.2200000000000002</v>
      </c>
      <c r="L201" s="84">
        <v>1</v>
      </c>
      <c r="M201" s="75">
        <v>0</v>
      </c>
      <c r="N201" s="75">
        <v>0</v>
      </c>
      <c r="O201" s="75">
        <v>0</v>
      </c>
      <c r="P201" s="75">
        <v>0</v>
      </c>
      <c r="Q201" s="84">
        <v>488</v>
      </c>
      <c r="R201" s="75">
        <v>11</v>
      </c>
      <c r="S201" s="75">
        <f t="shared" si="40"/>
        <v>476</v>
      </c>
      <c r="U201" s="6">
        <f t="shared" si="35"/>
        <v>12.22</v>
      </c>
      <c r="V201" s="6">
        <f t="shared" si="36"/>
        <v>15.03</v>
      </c>
      <c r="W201" s="84">
        <v>1</v>
      </c>
      <c r="X201" s="75">
        <v>0</v>
      </c>
      <c r="Y201" s="84">
        <v>0</v>
      </c>
      <c r="Z201" s="75">
        <v>0</v>
      </c>
      <c r="AA201" s="75">
        <v>1</v>
      </c>
      <c r="AB201" s="75">
        <v>0</v>
      </c>
      <c r="AC201" s="84">
        <v>0</v>
      </c>
      <c r="AD201" s="75">
        <v>1</v>
      </c>
      <c r="AE201" s="75">
        <v>0</v>
      </c>
      <c r="AF201" s="84">
        <v>1</v>
      </c>
      <c r="AG201" s="75">
        <v>0</v>
      </c>
      <c r="AH201" s="74">
        <v>2002</v>
      </c>
      <c r="AI201" t="s">
        <v>61</v>
      </c>
      <c r="AJ201" t="s">
        <v>61</v>
      </c>
      <c r="AK201" t="s">
        <v>61</v>
      </c>
      <c r="AL201" t="s">
        <v>61</v>
      </c>
      <c r="AM201" s="29" t="s">
        <v>61</v>
      </c>
      <c r="AN201" t="s">
        <v>61</v>
      </c>
      <c r="AO201" s="29">
        <v>0</v>
      </c>
      <c r="AP201">
        <v>1</v>
      </c>
      <c r="AQ201" s="29">
        <v>0</v>
      </c>
      <c r="AR201">
        <v>1</v>
      </c>
      <c r="AU201" s="87">
        <f t="shared" si="37"/>
        <v>0.66</v>
      </c>
      <c r="AV201" s="88">
        <f t="shared" si="38"/>
        <v>0.33999999999999997</v>
      </c>
      <c r="AW201">
        <v>1</v>
      </c>
      <c r="AX201">
        <v>0</v>
      </c>
      <c r="AY201">
        <f t="shared" si="41"/>
        <v>0</v>
      </c>
      <c r="AZ201" s="65" t="s">
        <v>369</v>
      </c>
      <c r="BN201" s="86">
        <f t="shared" si="39"/>
        <v>34.78</v>
      </c>
      <c r="BO201">
        <v>0</v>
      </c>
      <c r="BP201">
        <v>1</v>
      </c>
      <c r="BQ201">
        <v>0</v>
      </c>
      <c r="BR201">
        <v>0</v>
      </c>
      <c r="BS201">
        <v>0</v>
      </c>
      <c r="BT201">
        <v>0</v>
      </c>
      <c r="BY201">
        <v>0</v>
      </c>
      <c r="BZ201" s="29">
        <v>0</v>
      </c>
      <c r="CA201">
        <v>0</v>
      </c>
      <c r="CB201">
        <v>0</v>
      </c>
      <c r="CC201" s="29">
        <v>1</v>
      </c>
      <c r="CD201">
        <v>1</v>
      </c>
      <c r="CE201">
        <v>1</v>
      </c>
      <c r="CF201">
        <v>0</v>
      </c>
      <c r="CG201">
        <v>0</v>
      </c>
      <c r="CH201">
        <v>0</v>
      </c>
      <c r="CI201">
        <v>1</v>
      </c>
      <c r="CJ201">
        <v>1</v>
      </c>
      <c r="CK201">
        <v>0</v>
      </c>
      <c r="CL201">
        <v>0</v>
      </c>
      <c r="CM201">
        <v>0</v>
      </c>
      <c r="CN201" s="17">
        <v>0</v>
      </c>
      <c r="CT201" t="s">
        <v>48</v>
      </c>
    </row>
    <row r="202" spans="1:98" x14ac:dyDescent="0.25">
      <c r="A202">
        <v>201</v>
      </c>
      <c r="B202">
        <v>11</v>
      </c>
      <c r="C202" t="s">
        <v>328</v>
      </c>
      <c r="D202" s="85">
        <v>2.2999999999999998</v>
      </c>
      <c r="E202" s="6">
        <f t="shared" si="34"/>
        <v>1.1616161616161615</v>
      </c>
      <c r="F202" s="6">
        <v>1.98</v>
      </c>
      <c r="L202" s="84">
        <v>1</v>
      </c>
      <c r="M202" s="75">
        <v>0</v>
      </c>
      <c r="N202" s="75">
        <v>0</v>
      </c>
      <c r="O202" s="75">
        <v>0</v>
      </c>
      <c r="P202" s="75">
        <v>0</v>
      </c>
      <c r="Q202" s="84">
        <v>488</v>
      </c>
      <c r="R202" s="75">
        <v>11</v>
      </c>
      <c r="S202" s="75">
        <f t="shared" si="40"/>
        <v>476</v>
      </c>
      <c r="U202" s="6">
        <f t="shared" si="35"/>
        <v>12.22</v>
      </c>
      <c r="V202" s="6">
        <f t="shared" si="36"/>
        <v>15.03</v>
      </c>
      <c r="W202" s="84">
        <v>1</v>
      </c>
      <c r="X202" s="75">
        <v>0</v>
      </c>
      <c r="Y202" s="84">
        <v>0</v>
      </c>
      <c r="Z202" s="75">
        <v>0</v>
      </c>
      <c r="AA202" s="75">
        <v>1</v>
      </c>
      <c r="AB202" s="75">
        <v>0</v>
      </c>
      <c r="AC202" s="84">
        <v>0</v>
      </c>
      <c r="AD202" s="75">
        <v>1</v>
      </c>
      <c r="AE202" s="75">
        <v>0</v>
      </c>
      <c r="AF202" s="84">
        <v>1</v>
      </c>
      <c r="AG202" s="75">
        <v>0</v>
      </c>
      <c r="AH202" s="74">
        <v>2002</v>
      </c>
      <c r="AI202" t="s">
        <v>61</v>
      </c>
      <c r="AJ202" t="s">
        <v>61</v>
      </c>
      <c r="AK202" t="s">
        <v>61</v>
      </c>
      <c r="AL202" t="s">
        <v>61</v>
      </c>
      <c r="AM202" s="29" t="s">
        <v>61</v>
      </c>
      <c r="AN202" t="s">
        <v>61</v>
      </c>
      <c r="AO202" s="29">
        <v>0</v>
      </c>
      <c r="AP202">
        <v>1</v>
      </c>
      <c r="AQ202" s="29">
        <v>0</v>
      </c>
      <c r="AR202">
        <v>1</v>
      </c>
      <c r="AU202" s="87">
        <f t="shared" si="37"/>
        <v>0.66</v>
      </c>
      <c r="AV202" s="88">
        <f t="shared" si="38"/>
        <v>0.33999999999999997</v>
      </c>
      <c r="AW202">
        <v>1</v>
      </c>
      <c r="AX202">
        <v>0</v>
      </c>
      <c r="AY202">
        <f t="shared" si="41"/>
        <v>0</v>
      </c>
      <c r="AZ202" s="65" t="s">
        <v>369</v>
      </c>
      <c r="BN202" s="86">
        <f t="shared" si="39"/>
        <v>34.78</v>
      </c>
      <c r="BO202">
        <v>0</v>
      </c>
      <c r="BP202">
        <v>0</v>
      </c>
      <c r="BQ202">
        <v>0</v>
      </c>
      <c r="BR202">
        <v>0</v>
      </c>
      <c r="BS202">
        <v>0</v>
      </c>
      <c r="BT202">
        <v>0</v>
      </c>
      <c r="BY202">
        <v>1</v>
      </c>
      <c r="BZ202" s="29">
        <v>1</v>
      </c>
      <c r="CA202">
        <v>0</v>
      </c>
      <c r="CB202">
        <v>0</v>
      </c>
      <c r="CC202" s="29">
        <v>1</v>
      </c>
      <c r="CD202">
        <v>1</v>
      </c>
      <c r="CE202">
        <v>1</v>
      </c>
      <c r="CF202">
        <v>0</v>
      </c>
      <c r="CG202">
        <v>0</v>
      </c>
      <c r="CH202">
        <v>0</v>
      </c>
      <c r="CI202">
        <v>1</v>
      </c>
      <c r="CJ202">
        <v>1</v>
      </c>
      <c r="CK202">
        <v>0</v>
      </c>
      <c r="CL202">
        <v>0</v>
      </c>
      <c r="CM202">
        <v>0</v>
      </c>
      <c r="CN202" s="17">
        <v>0</v>
      </c>
      <c r="CT202" t="s">
        <v>48</v>
      </c>
    </row>
    <row r="203" spans="1:98" x14ac:dyDescent="0.25">
      <c r="A203">
        <v>202</v>
      </c>
      <c r="B203">
        <v>12</v>
      </c>
      <c r="C203" t="s">
        <v>335</v>
      </c>
      <c r="D203" s="85">
        <v>6.5</v>
      </c>
      <c r="E203" s="6">
        <v>0.2</v>
      </c>
      <c r="F203" s="6">
        <f>D203/E203</f>
        <v>32.5</v>
      </c>
      <c r="L203" s="84">
        <v>0</v>
      </c>
      <c r="M203" s="75">
        <v>0</v>
      </c>
      <c r="N203" s="75">
        <v>0</v>
      </c>
      <c r="O203" s="75">
        <v>1</v>
      </c>
      <c r="P203" s="75">
        <v>0</v>
      </c>
      <c r="Q203" s="84">
        <v>2340</v>
      </c>
      <c r="R203" s="75">
        <v>5</v>
      </c>
      <c r="S203" s="75">
        <f t="shared" si="40"/>
        <v>2334</v>
      </c>
      <c r="U203" s="75">
        <v>12.513999999999999</v>
      </c>
      <c r="V203" s="75">
        <f>BN203-U203-6</f>
        <v>18.317000000000004</v>
      </c>
      <c r="W203" s="84">
        <v>1</v>
      </c>
      <c r="X203" s="75">
        <v>0</v>
      </c>
      <c r="Y203" s="84">
        <v>0</v>
      </c>
      <c r="Z203" s="75">
        <v>0</v>
      </c>
      <c r="AA203" s="75">
        <v>0</v>
      </c>
      <c r="AB203" s="75">
        <v>1</v>
      </c>
      <c r="AC203" s="84">
        <v>0</v>
      </c>
      <c r="AD203" s="75">
        <v>1</v>
      </c>
      <c r="AE203" s="75">
        <v>0</v>
      </c>
      <c r="AF203" s="84">
        <v>0</v>
      </c>
      <c r="AG203" s="75">
        <v>1</v>
      </c>
      <c r="AH203" s="74">
        <v>1985</v>
      </c>
      <c r="AI203" t="s">
        <v>61</v>
      </c>
      <c r="AJ203" t="s">
        <v>61</v>
      </c>
      <c r="AK203" t="s">
        <v>61</v>
      </c>
      <c r="AL203" t="s">
        <v>61</v>
      </c>
      <c r="AM203" s="29" t="s">
        <v>61</v>
      </c>
      <c r="AN203" t="s">
        <v>61</v>
      </c>
      <c r="AO203" s="29">
        <v>0.46800000000000003</v>
      </c>
      <c r="AP203">
        <f t="shared" ref="AP203:AP204" si="42">1-AO203</f>
        <v>0.53200000000000003</v>
      </c>
      <c r="AQ203" s="29" t="s">
        <v>61</v>
      </c>
      <c r="AR203" t="s">
        <v>61</v>
      </c>
      <c r="AU203" s="89">
        <f>0.741*(AW203+AX203)+0.674*AY203</f>
        <v>0.70750000000000002</v>
      </c>
      <c r="AV203" s="90">
        <f t="shared" si="38"/>
        <v>0.29249999999999998</v>
      </c>
      <c r="AW203">
        <v>0.25</v>
      </c>
      <c r="AX203">
        <v>0.25</v>
      </c>
      <c r="AY203">
        <v>0.5</v>
      </c>
      <c r="AZ203" s="29" t="s">
        <v>376</v>
      </c>
      <c r="BN203" s="67">
        <v>36.831000000000003</v>
      </c>
      <c r="BO203">
        <v>1</v>
      </c>
      <c r="BP203">
        <v>0</v>
      </c>
      <c r="BQ203">
        <v>0</v>
      </c>
      <c r="BR203">
        <v>0</v>
      </c>
      <c r="BS203">
        <v>0</v>
      </c>
      <c r="BT203">
        <v>0</v>
      </c>
      <c r="BY203">
        <v>0</v>
      </c>
      <c r="BZ203" s="29">
        <v>0</v>
      </c>
      <c r="CA203">
        <v>0</v>
      </c>
      <c r="CB203">
        <v>0</v>
      </c>
      <c r="CC203" s="29">
        <v>1</v>
      </c>
      <c r="CD203">
        <v>0</v>
      </c>
      <c r="CE203">
        <v>0</v>
      </c>
      <c r="CF203">
        <v>0</v>
      </c>
      <c r="CG203">
        <v>0</v>
      </c>
      <c r="CH203">
        <v>0</v>
      </c>
      <c r="CI203">
        <v>1</v>
      </c>
      <c r="CJ203">
        <v>1</v>
      </c>
      <c r="CK203">
        <v>0</v>
      </c>
      <c r="CL203">
        <v>0</v>
      </c>
      <c r="CM203">
        <v>0</v>
      </c>
      <c r="CN203" s="17">
        <v>0</v>
      </c>
      <c r="CT203" t="s">
        <v>48</v>
      </c>
    </row>
    <row r="204" spans="1:98" x14ac:dyDescent="0.25">
      <c r="A204">
        <v>203</v>
      </c>
      <c r="B204">
        <v>12</v>
      </c>
      <c r="C204" t="s">
        <v>335</v>
      </c>
      <c r="D204" s="85">
        <v>7.6</v>
      </c>
      <c r="E204" s="6">
        <v>0.2</v>
      </c>
      <c r="F204" s="6">
        <f t="shared" ref="F204:F237" si="43">D204/E204</f>
        <v>37.999999999999993</v>
      </c>
      <c r="L204" s="84">
        <v>0</v>
      </c>
      <c r="M204" s="75">
        <v>0</v>
      </c>
      <c r="N204" s="75">
        <v>0</v>
      </c>
      <c r="O204" s="75">
        <v>1</v>
      </c>
      <c r="P204" s="75">
        <v>0</v>
      </c>
      <c r="Q204" s="84">
        <v>2340</v>
      </c>
      <c r="R204" s="75">
        <v>5</v>
      </c>
      <c r="S204" s="75">
        <f t="shared" si="40"/>
        <v>2334</v>
      </c>
      <c r="U204" s="75">
        <v>12.513999999999999</v>
      </c>
      <c r="V204" s="75">
        <f t="shared" ref="V204" si="44">BN204-U204-6</f>
        <v>18.317000000000004</v>
      </c>
      <c r="W204" s="84">
        <v>1</v>
      </c>
      <c r="X204" s="75">
        <v>0</v>
      </c>
      <c r="Y204" s="84">
        <v>0</v>
      </c>
      <c r="Z204" s="75">
        <v>0</v>
      </c>
      <c r="AA204" s="75">
        <v>0</v>
      </c>
      <c r="AB204" s="75">
        <v>1</v>
      </c>
      <c r="AC204" s="84">
        <v>0</v>
      </c>
      <c r="AD204" s="75">
        <v>1</v>
      </c>
      <c r="AE204" s="75">
        <v>0</v>
      </c>
      <c r="AF204" s="84">
        <v>0</v>
      </c>
      <c r="AG204" s="75">
        <v>1</v>
      </c>
      <c r="AH204" s="74">
        <v>1985</v>
      </c>
      <c r="AI204" t="s">
        <v>61</v>
      </c>
      <c r="AJ204" t="s">
        <v>61</v>
      </c>
      <c r="AK204" t="s">
        <v>61</v>
      </c>
      <c r="AL204" t="s">
        <v>61</v>
      </c>
      <c r="AM204" s="29" t="s">
        <v>61</v>
      </c>
      <c r="AN204" t="s">
        <v>61</v>
      </c>
      <c r="AO204" s="29">
        <v>0.46800000000000003</v>
      </c>
      <c r="AP204">
        <f t="shared" si="42"/>
        <v>0.53200000000000003</v>
      </c>
      <c r="AQ204" s="29" t="s">
        <v>61</v>
      </c>
      <c r="AR204" t="s">
        <v>61</v>
      </c>
      <c r="AU204" s="89">
        <f>0.741*(AW204+AX204)+0.674*AY204</f>
        <v>0.70750000000000002</v>
      </c>
      <c r="AV204" s="90">
        <f t="shared" ref="AV204:AV226" si="45">1-AU204</f>
        <v>0.29249999999999998</v>
      </c>
      <c r="AW204">
        <v>0.25</v>
      </c>
      <c r="AX204">
        <v>0.25</v>
      </c>
      <c r="AY204">
        <v>0.5</v>
      </c>
      <c r="AZ204" s="29" t="s">
        <v>376</v>
      </c>
      <c r="BN204" s="67">
        <v>36.831000000000003</v>
      </c>
      <c r="BO204">
        <v>0</v>
      </c>
      <c r="BP204">
        <v>0</v>
      </c>
      <c r="BQ204">
        <v>0</v>
      </c>
      <c r="BR204">
        <v>0</v>
      </c>
      <c r="BS204">
        <v>0</v>
      </c>
      <c r="BT204">
        <v>0</v>
      </c>
      <c r="BY204">
        <v>1</v>
      </c>
      <c r="BZ204" s="29">
        <v>1</v>
      </c>
      <c r="CA204">
        <v>0</v>
      </c>
      <c r="CB204">
        <v>0</v>
      </c>
      <c r="CC204" s="29">
        <v>1</v>
      </c>
      <c r="CD204">
        <v>0</v>
      </c>
      <c r="CE204">
        <v>0</v>
      </c>
      <c r="CF204">
        <v>0</v>
      </c>
      <c r="CG204">
        <v>0</v>
      </c>
      <c r="CH204">
        <v>0</v>
      </c>
      <c r="CI204">
        <v>1</v>
      </c>
      <c r="CJ204">
        <v>1</v>
      </c>
      <c r="CK204">
        <v>0</v>
      </c>
      <c r="CL204">
        <v>0</v>
      </c>
      <c r="CM204">
        <v>0</v>
      </c>
      <c r="CN204" s="17">
        <v>0</v>
      </c>
      <c r="CT204" t="s">
        <v>48</v>
      </c>
    </row>
    <row r="205" spans="1:98" x14ac:dyDescent="0.25">
      <c r="A205">
        <v>204</v>
      </c>
      <c r="B205">
        <v>12</v>
      </c>
      <c r="C205" t="s">
        <v>335</v>
      </c>
      <c r="D205" s="85">
        <v>2.5</v>
      </c>
      <c r="E205" s="6">
        <v>0.5</v>
      </c>
      <c r="F205" s="6">
        <f t="shared" si="43"/>
        <v>5</v>
      </c>
      <c r="L205" s="84">
        <v>0</v>
      </c>
      <c r="M205" s="75">
        <v>0</v>
      </c>
      <c r="N205" s="75">
        <v>0</v>
      </c>
      <c r="O205" s="75">
        <v>1</v>
      </c>
      <c r="P205" s="75">
        <v>0</v>
      </c>
      <c r="Q205" s="84">
        <v>602</v>
      </c>
      <c r="R205" s="75">
        <v>5</v>
      </c>
      <c r="S205" s="75">
        <f t="shared" si="40"/>
        <v>596</v>
      </c>
      <c r="U205" s="75">
        <v>12.513999999999999</v>
      </c>
      <c r="V205" s="75">
        <f>BN205-U205-6</f>
        <v>18.317000000000004</v>
      </c>
      <c r="W205" s="84">
        <v>1</v>
      </c>
      <c r="X205" s="75">
        <v>0</v>
      </c>
      <c r="Y205" s="84">
        <v>0</v>
      </c>
      <c r="Z205" s="75">
        <v>0</v>
      </c>
      <c r="AA205" s="75">
        <v>0</v>
      </c>
      <c r="AB205" s="75">
        <v>1</v>
      </c>
      <c r="AC205" s="84">
        <v>0</v>
      </c>
      <c r="AD205" s="75">
        <v>1</v>
      </c>
      <c r="AE205" s="75">
        <v>0</v>
      </c>
      <c r="AF205" s="84">
        <v>0</v>
      </c>
      <c r="AG205" s="75">
        <v>1</v>
      </c>
      <c r="AH205" s="74">
        <v>1985</v>
      </c>
      <c r="AI205" t="s">
        <v>61</v>
      </c>
      <c r="AJ205" t="s">
        <v>61</v>
      </c>
      <c r="AK205" t="s">
        <v>61</v>
      </c>
      <c r="AL205" t="s">
        <v>61</v>
      </c>
      <c r="AM205" s="29" t="s">
        <v>61</v>
      </c>
      <c r="AN205" t="s">
        <v>61</v>
      </c>
      <c r="AO205" s="29">
        <v>0.46800000000000003</v>
      </c>
      <c r="AP205">
        <f t="shared" ref="AP205:AP206" si="46">1-AO205</f>
        <v>0.53200000000000003</v>
      </c>
      <c r="AQ205" s="29" t="s">
        <v>61</v>
      </c>
      <c r="AR205" t="s">
        <v>61</v>
      </c>
      <c r="AU205" s="29">
        <v>0.75900000000000001</v>
      </c>
      <c r="AV205" s="12">
        <f t="shared" si="45"/>
        <v>0.24099999999999999</v>
      </c>
      <c r="AW205">
        <v>1</v>
      </c>
      <c r="AX205">
        <v>0</v>
      </c>
      <c r="AY205">
        <v>0</v>
      </c>
      <c r="AZ205" s="29" t="s">
        <v>376</v>
      </c>
      <c r="BN205" s="67">
        <v>36.831000000000003</v>
      </c>
      <c r="BO205">
        <v>1</v>
      </c>
      <c r="BP205">
        <v>0</v>
      </c>
      <c r="BQ205">
        <v>0</v>
      </c>
      <c r="BR205">
        <v>0</v>
      </c>
      <c r="BS205">
        <v>0</v>
      </c>
      <c r="BT205">
        <v>0</v>
      </c>
      <c r="BY205">
        <v>0</v>
      </c>
      <c r="BZ205" s="29">
        <v>0</v>
      </c>
      <c r="CA205">
        <v>0</v>
      </c>
      <c r="CB205">
        <v>0</v>
      </c>
      <c r="CC205" s="29">
        <v>1</v>
      </c>
      <c r="CD205">
        <v>0</v>
      </c>
      <c r="CE205">
        <v>0</v>
      </c>
      <c r="CF205">
        <v>0</v>
      </c>
      <c r="CG205">
        <v>0</v>
      </c>
      <c r="CH205">
        <v>0</v>
      </c>
      <c r="CI205">
        <v>1</v>
      </c>
      <c r="CJ205">
        <v>1</v>
      </c>
      <c r="CK205">
        <v>0</v>
      </c>
      <c r="CL205">
        <v>0</v>
      </c>
      <c r="CM205">
        <v>0</v>
      </c>
      <c r="CN205" s="17">
        <v>0</v>
      </c>
      <c r="CT205" t="s">
        <v>48</v>
      </c>
    </row>
    <row r="206" spans="1:98" x14ac:dyDescent="0.25">
      <c r="A206">
        <v>205</v>
      </c>
      <c r="B206">
        <v>12</v>
      </c>
      <c r="C206" t="s">
        <v>335</v>
      </c>
      <c r="D206" s="85">
        <v>4.5</v>
      </c>
      <c r="E206" s="6">
        <v>0.9</v>
      </c>
      <c r="F206" s="6">
        <f t="shared" si="43"/>
        <v>5</v>
      </c>
      <c r="L206" s="84">
        <v>0</v>
      </c>
      <c r="M206" s="75">
        <v>0</v>
      </c>
      <c r="N206" s="75">
        <v>0</v>
      </c>
      <c r="O206" s="75">
        <v>1</v>
      </c>
      <c r="P206" s="75">
        <v>0</v>
      </c>
      <c r="Q206" s="84">
        <v>602</v>
      </c>
      <c r="R206" s="75">
        <v>5</v>
      </c>
      <c r="S206" s="75">
        <f t="shared" si="40"/>
        <v>596</v>
      </c>
      <c r="U206" s="75">
        <v>12.513999999999999</v>
      </c>
      <c r="V206" s="75">
        <f t="shared" ref="V206:V207" si="47">BN206-U206-6</f>
        <v>18.317000000000004</v>
      </c>
      <c r="W206" s="84">
        <v>1</v>
      </c>
      <c r="X206" s="75">
        <v>0</v>
      </c>
      <c r="Y206" s="84">
        <v>0</v>
      </c>
      <c r="Z206" s="75">
        <v>0</v>
      </c>
      <c r="AA206" s="75">
        <v>0</v>
      </c>
      <c r="AB206" s="75">
        <v>1</v>
      </c>
      <c r="AC206" s="84">
        <v>0</v>
      </c>
      <c r="AD206" s="75">
        <v>1</v>
      </c>
      <c r="AE206" s="75">
        <v>0</v>
      </c>
      <c r="AF206" s="84">
        <v>0</v>
      </c>
      <c r="AG206" s="75">
        <v>1</v>
      </c>
      <c r="AH206" s="74">
        <v>1985</v>
      </c>
      <c r="AI206" t="s">
        <v>61</v>
      </c>
      <c r="AJ206" t="s">
        <v>61</v>
      </c>
      <c r="AK206" t="s">
        <v>61</v>
      </c>
      <c r="AL206" t="s">
        <v>61</v>
      </c>
      <c r="AM206" s="29" t="s">
        <v>61</v>
      </c>
      <c r="AN206" t="s">
        <v>61</v>
      </c>
      <c r="AO206" s="29">
        <v>0.46800000000000003</v>
      </c>
      <c r="AP206">
        <f t="shared" si="46"/>
        <v>0.53200000000000003</v>
      </c>
      <c r="AQ206" s="29" t="s">
        <v>61</v>
      </c>
      <c r="AR206" t="s">
        <v>61</v>
      </c>
      <c r="AU206" s="29">
        <v>0.75900000000000001</v>
      </c>
      <c r="AV206" s="12">
        <f t="shared" si="45"/>
        <v>0.24099999999999999</v>
      </c>
      <c r="AW206">
        <v>1</v>
      </c>
      <c r="AX206">
        <v>0</v>
      </c>
      <c r="AY206">
        <v>0</v>
      </c>
      <c r="AZ206" s="29" t="s">
        <v>376</v>
      </c>
      <c r="BN206" s="67">
        <v>36.831000000000003</v>
      </c>
      <c r="BO206">
        <v>0</v>
      </c>
      <c r="BP206">
        <v>0</v>
      </c>
      <c r="BQ206">
        <v>0</v>
      </c>
      <c r="BR206">
        <v>0</v>
      </c>
      <c r="BS206">
        <v>0</v>
      </c>
      <c r="BT206">
        <v>0</v>
      </c>
      <c r="BY206">
        <v>1</v>
      </c>
      <c r="BZ206" s="29">
        <v>1</v>
      </c>
      <c r="CA206">
        <v>0</v>
      </c>
      <c r="CB206">
        <v>0</v>
      </c>
      <c r="CC206" s="29">
        <v>1</v>
      </c>
      <c r="CD206">
        <v>0</v>
      </c>
      <c r="CE206">
        <v>0</v>
      </c>
      <c r="CF206">
        <v>0</v>
      </c>
      <c r="CG206">
        <v>0</v>
      </c>
      <c r="CH206">
        <v>0</v>
      </c>
      <c r="CI206">
        <v>1</v>
      </c>
      <c r="CJ206">
        <v>1</v>
      </c>
      <c r="CK206">
        <v>0</v>
      </c>
      <c r="CL206">
        <v>0</v>
      </c>
      <c r="CM206">
        <v>0</v>
      </c>
      <c r="CN206" s="17">
        <v>0</v>
      </c>
      <c r="CT206" t="s">
        <v>48</v>
      </c>
    </row>
    <row r="207" spans="1:98" x14ac:dyDescent="0.25">
      <c r="A207">
        <v>206</v>
      </c>
      <c r="B207">
        <v>12</v>
      </c>
      <c r="C207" t="s">
        <v>335</v>
      </c>
      <c r="D207" s="85">
        <v>4.5</v>
      </c>
      <c r="E207" s="6">
        <v>0.5</v>
      </c>
      <c r="F207" s="6">
        <f t="shared" si="43"/>
        <v>9</v>
      </c>
      <c r="L207" s="84">
        <v>0</v>
      </c>
      <c r="M207" s="75">
        <v>0</v>
      </c>
      <c r="N207" s="75">
        <v>0</v>
      </c>
      <c r="O207" s="75">
        <v>1</v>
      </c>
      <c r="P207" s="75">
        <v>0</v>
      </c>
      <c r="Q207" s="84">
        <v>568</v>
      </c>
      <c r="R207" s="75">
        <v>5</v>
      </c>
      <c r="S207" s="75">
        <f t="shared" si="40"/>
        <v>562</v>
      </c>
      <c r="U207" s="75">
        <v>12.695</v>
      </c>
      <c r="V207" s="75">
        <f t="shared" si="47"/>
        <v>16.643000000000001</v>
      </c>
      <c r="W207" s="84">
        <v>1</v>
      </c>
      <c r="X207" s="75">
        <v>0</v>
      </c>
      <c r="Y207" s="84">
        <v>0</v>
      </c>
      <c r="Z207" s="75">
        <v>0</v>
      </c>
      <c r="AA207" s="75">
        <v>0</v>
      </c>
      <c r="AB207" s="75">
        <v>1</v>
      </c>
      <c r="AC207" s="84">
        <v>0</v>
      </c>
      <c r="AD207" s="75">
        <v>1</v>
      </c>
      <c r="AE207" s="75">
        <v>0</v>
      </c>
      <c r="AF207" s="84">
        <v>0</v>
      </c>
      <c r="AG207" s="75">
        <v>1</v>
      </c>
      <c r="AH207" s="74">
        <v>1985</v>
      </c>
      <c r="AI207" t="s">
        <v>61</v>
      </c>
      <c r="AJ207" t="s">
        <v>61</v>
      </c>
      <c r="AK207" t="s">
        <v>61</v>
      </c>
      <c r="AL207" t="s">
        <v>61</v>
      </c>
      <c r="AM207" s="29" t="s">
        <v>61</v>
      </c>
      <c r="AN207" t="s">
        <v>61</v>
      </c>
      <c r="AO207" s="29">
        <v>0.505</v>
      </c>
      <c r="AP207">
        <f>1-AO207</f>
        <v>0.495</v>
      </c>
      <c r="AQ207" s="29" t="s">
        <v>61</v>
      </c>
      <c r="AR207" t="s">
        <v>61</v>
      </c>
      <c r="AU207" s="29">
        <v>0.72199999999999998</v>
      </c>
      <c r="AV207" s="12">
        <f t="shared" si="45"/>
        <v>0.27800000000000002</v>
      </c>
      <c r="AW207">
        <v>0</v>
      </c>
      <c r="AX207">
        <v>1</v>
      </c>
      <c r="AY207">
        <v>0</v>
      </c>
      <c r="AZ207" s="29" t="s">
        <v>376</v>
      </c>
      <c r="BN207" s="67">
        <v>35.338000000000001</v>
      </c>
      <c r="BO207">
        <v>1</v>
      </c>
      <c r="BP207">
        <v>0</v>
      </c>
      <c r="BQ207">
        <v>0</v>
      </c>
      <c r="BR207">
        <v>0</v>
      </c>
      <c r="BS207">
        <v>0</v>
      </c>
      <c r="BT207">
        <v>0</v>
      </c>
      <c r="BY207">
        <v>0</v>
      </c>
      <c r="BZ207" s="29">
        <v>0</v>
      </c>
      <c r="CA207">
        <v>0</v>
      </c>
      <c r="CB207">
        <v>0</v>
      </c>
      <c r="CC207" s="29">
        <v>1</v>
      </c>
      <c r="CD207">
        <v>0</v>
      </c>
      <c r="CE207">
        <v>0</v>
      </c>
      <c r="CF207">
        <v>0</v>
      </c>
      <c r="CG207">
        <v>0</v>
      </c>
      <c r="CH207">
        <v>0</v>
      </c>
      <c r="CI207">
        <v>1</v>
      </c>
      <c r="CJ207">
        <v>1</v>
      </c>
      <c r="CK207">
        <v>0</v>
      </c>
      <c r="CL207">
        <v>0</v>
      </c>
      <c r="CM207">
        <v>0</v>
      </c>
      <c r="CN207" s="17">
        <v>0</v>
      </c>
      <c r="CT207" t="s">
        <v>48</v>
      </c>
    </row>
    <row r="208" spans="1:98" x14ac:dyDescent="0.25">
      <c r="A208">
        <v>207</v>
      </c>
      <c r="B208">
        <v>12</v>
      </c>
      <c r="C208" t="s">
        <v>335</v>
      </c>
      <c r="D208" s="85">
        <v>7.4</v>
      </c>
      <c r="E208" s="6">
        <v>0.9</v>
      </c>
      <c r="F208" s="6">
        <f t="shared" si="43"/>
        <v>8.2222222222222232</v>
      </c>
      <c r="L208" s="84">
        <v>0</v>
      </c>
      <c r="M208" s="75">
        <v>0</v>
      </c>
      <c r="N208" s="75">
        <v>0</v>
      </c>
      <c r="O208" s="75">
        <v>1</v>
      </c>
      <c r="P208" s="75">
        <v>0</v>
      </c>
      <c r="Q208" s="84">
        <v>568</v>
      </c>
      <c r="R208" s="75">
        <v>5</v>
      </c>
      <c r="S208" s="75">
        <f t="shared" si="40"/>
        <v>562</v>
      </c>
      <c r="U208" s="75">
        <v>12.695</v>
      </c>
      <c r="V208" s="75">
        <f t="shared" ref="V208" si="48">BN208-U208-6</f>
        <v>16.643000000000001</v>
      </c>
      <c r="W208" s="84">
        <v>1</v>
      </c>
      <c r="X208" s="75">
        <v>0</v>
      </c>
      <c r="Y208" s="84">
        <v>0</v>
      </c>
      <c r="Z208" s="75">
        <v>0</v>
      </c>
      <c r="AA208" s="75">
        <v>0</v>
      </c>
      <c r="AB208" s="75">
        <v>1</v>
      </c>
      <c r="AC208" s="84">
        <v>0</v>
      </c>
      <c r="AD208" s="75">
        <v>1</v>
      </c>
      <c r="AE208" s="75">
        <v>0</v>
      </c>
      <c r="AF208" s="84">
        <v>0</v>
      </c>
      <c r="AG208" s="75">
        <v>1</v>
      </c>
      <c r="AH208" s="74">
        <v>1985</v>
      </c>
      <c r="AI208" t="s">
        <v>61</v>
      </c>
      <c r="AJ208" t="s">
        <v>61</v>
      </c>
      <c r="AK208" t="s">
        <v>61</v>
      </c>
      <c r="AL208" t="s">
        <v>61</v>
      </c>
      <c r="AM208" s="29" t="s">
        <v>61</v>
      </c>
      <c r="AN208" t="s">
        <v>61</v>
      </c>
      <c r="AO208" s="29">
        <v>0.505</v>
      </c>
      <c r="AP208">
        <f>1-AO208</f>
        <v>0.495</v>
      </c>
      <c r="AQ208" s="29" t="s">
        <v>61</v>
      </c>
      <c r="AR208" t="s">
        <v>61</v>
      </c>
      <c r="AU208" s="29">
        <v>0.72199999999999998</v>
      </c>
      <c r="AV208" s="12">
        <f t="shared" si="45"/>
        <v>0.27800000000000002</v>
      </c>
      <c r="AW208">
        <v>0</v>
      </c>
      <c r="AX208">
        <v>1</v>
      </c>
      <c r="AY208">
        <v>0</v>
      </c>
      <c r="AZ208" s="29" t="s">
        <v>376</v>
      </c>
      <c r="BN208" s="67">
        <v>35.338000000000001</v>
      </c>
      <c r="BO208">
        <v>0</v>
      </c>
      <c r="BP208">
        <v>0</v>
      </c>
      <c r="BQ208">
        <v>0</v>
      </c>
      <c r="BR208">
        <v>0</v>
      </c>
      <c r="BS208">
        <v>0</v>
      </c>
      <c r="BT208">
        <v>0</v>
      </c>
      <c r="BY208">
        <v>1</v>
      </c>
      <c r="BZ208" s="29">
        <v>1</v>
      </c>
      <c r="CA208">
        <v>0</v>
      </c>
      <c r="CB208">
        <v>0</v>
      </c>
      <c r="CC208" s="29">
        <v>1</v>
      </c>
      <c r="CD208">
        <v>0</v>
      </c>
      <c r="CE208">
        <v>0</v>
      </c>
      <c r="CF208">
        <v>0</v>
      </c>
      <c r="CG208">
        <v>0</v>
      </c>
      <c r="CH208">
        <v>0</v>
      </c>
      <c r="CI208">
        <v>1</v>
      </c>
      <c r="CJ208">
        <v>1</v>
      </c>
      <c r="CK208">
        <v>0</v>
      </c>
      <c r="CL208">
        <v>0</v>
      </c>
      <c r="CM208">
        <v>0</v>
      </c>
      <c r="CN208" s="17">
        <v>0</v>
      </c>
      <c r="CT208" t="s">
        <v>48</v>
      </c>
    </row>
    <row r="209" spans="1:98" x14ac:dyDescent="0.25">
      <c r="A209">
        <v>208</v>
      </c>
      <c r="B209">
        <v>12</v>
      </c>
      <c r="C209" t="s">
        <v>335</v>
      </c>
      <c r="D209" s="85">
        <v>4.2</v>
      </c>
      <c r="E209" s="6">
        <v>0.9</v>
      </c>
      <c r="F209" s="6">
        <f t="shared" si="43"/>
        <v>4.666666666666667</v>
      </c>
      <c r="L209" s="84">
        <v>0</v>
      </c>
      <c r="M209" s="75">
        <v>0</v>
      </c>
      <c r="N209" s="75">
        <v>0</v>
      </c>
      <c r="O209" s="75">
        <v>1</v>
      </c>
      <c r="P209" s="75">
        <v>0</v>
      </c>
      <c r="Q209" s="84">
        <v>602</v>
      </c>
      <c r="R209" s="75">
        <v>5</v>
      </c>
      <c r="S209" s="75">
        <f t="shared" si="40"/>
        <v>596</v>
      </c>
      <c r="U209" s="75">
        <v>12.513999999999999</v>
      </c>
      <c r="V209" s="75">
        <f>BN209-U209-6</f>
        <v>18.317000000000004</v>
      </c>
      <c r="W209" s="84">
        <v>1</v>
      </c>
      <c r="X209" s="75">
        <v>0</v>
      </c>
      <c r="Y209" s="84">
        <v>0</v>
      </c>
      <c r="Z209" s="75">
        <v>0</v>
      </c>
      <c r="AA209" s="75">
        <v>0</v>
      </c>
      <c r="AB209" s="75">
        <v>1</v>
      </c>
      <c r="AC209" s="84">
        <v>0</v>
      </c>
      <c r="AD209" s="75">
        <v>1</v>
      </c>
      <c r="AE209" s="75">
        <v>0</v>
      </c>
      <c r="AF209" s="84">
        <v>0</v>
      </c>
      <c r="AG209" s="75">
        <v>1</v>
      </c>
      <c r="AH209" s="74">
        <v>1985</v>
      </c>
      <c r="AI209" t="s">
        <v>61</v>
      </c>
      <c r="AJ209" t="s">
        <v>61</v>
      </c>
      <c r="AK209" t="s">
        <v>61</v>
      </c>
      <c r="AL209" t="s">
        <v>61</v>
      </c>
      <c r="AM209" s="29" t="s">
        <v>61</v>
      </c>
      <c r="AN209" t="s">
        <v>61</v>
      </c>
      <c r="AO209" s="29">
        <v>0.46800000000000003</v>
      </c>
      <c r="AP209">
        <f t="shared" ref="AP209:AP210" si="49">1-AO209</f>
        <v>0.53200000000000003</v>
      </c>
      <c r="AQ209" s="29" t="s">
        <v>61</v>
      </c>
      <c r="AR209" t="s">
        <v>61</v>
      </c>
      <c r="AU209" s="29">
        <v>0.75900000000000001</v>
      </c>
      <c r="AV209" s="12">
        <f t="shared" si="45"/>
        <v>0.24099999999999999</v>
      </c>
      <c r="AW209">
        <v>1</v>
      </c>
      <c r="AX209">
        <v>0</v>
      </c>
      <c r="AY209">
        <v>0</v>
      </c>
      <c r="AZ209" s="29" t="s">
        <v>376</v>
      </c>
      <c r="BN209" s="67">
        <v>36.831000000000003</v>
      </c>
      <c r="BO209">
        <v>1</v>
      </c>
      <c r="BP209">
        <v>0</v>
      </c>
      <c r="BQ209">
        <v>0</v>
      </c>
      <c r="BR209">
        <v>0</v>
      </c>
      <c r="BS209">
        <v>0</v>
      </c>
      <c r="BT209">
        <v>0</v>
      </c>
      <c r="BY209">
        <v>0</v>
      </c>
      <c r="BZ209" s="29">
        <v>0</v>
      </c>
      <c r="CA209">
        <v>0</v>
      </c>
      <c r="CB209">
        <v>0</v>
      </c>
      <c r="CC209" s="29">
        <v>1</v>
      </c>
      <c r="CD209">
        <v>0</v>
      </c>
      <c r="CE209">
        <v>0</v>
      </c>
      <c r="CF209">
        <v>0</v>
      </c>
      <c r="CG209">
        <v>0</v>
      </c>
      <c r="CH209">
        <v>0</v>
      </c>
      <c r="CI209">
        <v>1</v>
      </c>
      <c r="CJ209">
        <v>1</v>
      </c>
      <c r="CK209">
        <v>0</v>
      </c>
      <c r="CL209">
        <v>0</v>
      </c>
      <c r="CM209">
        <v>0</v>
      </c>
      <c r="CN209" s="17">
        <v>0</v>
      </c>
      <c r="CT209" t="s">
        <v>48</v>
      </c>
    </row>
    <row r="210" spans="1:98" x14ac:dyDescent="0.25">
      <c r="A210">
        <v>209</v>
      </c>
      <c r="B210">
        <v>12</v>
      </c>
      <c r="C210" t="s">
        <v>335</v>
      </c>
      <c r="D210" s="85">
        <v>1.5</v>
      </c>
      <c r="E210" s="6">
        <v>0.6</v>
      </c>
      <c r="F210" s="6">
        <f t="shared" si="43"/>
        <v>2.5</v>
      </c>
      <c r="L210" s="84">
        <v>0</v>
      </c>
      <c r="M210" s="75">
        <v>0</v>
      </c>
      <c r="N210" s="75">
        <v>0</v>
      </c>
      <c r="O210" s="75">
        <v>1</v>
      </c>
      <c r="P210" s="75">
        <v>0</v>
      </c>
      <c r="Q210" s="84">
        <v>602</v>
      </c>
      <c r="R210" s="75">
        <v>5</v>
      </c>
      <c r="S210" s="75">
        <f t="shared" si="40"/>
        <v>596</v>
      </c>
      <c r="U210" s="75">
        <v>12.513999999999999</v>
      </c>
      <c r="V210" s="75">
        <f t="shared" ref="V210:V212" si="50">BN210-U210-6</f>
        <v>18.317000000000004</v>
      </c>
      <c r="W210" s="84">
        <v>1</v>
      </c>
      <c r="X210" s="75">
        <v>0</v>
      </c>
      <c r="Y210" s="84">
        <v>0</v>
      </c>
      <c r="Z210" s="75">
        <v>0</v>
      </c>
      <c r="AA210" s="75">
        <v>0</v>
      </c>
      <c r="AB210" s="75">
        <v>1</v>
      </c>
      <c r="AC210" s="84">
        <v>0</v>
      </c>
      <c r="AD210" s="75">
        <v>1</v>
      </c>
      <c r="AE210" s="75">
        <v>0</v>
      </c>
      <c r="AF210" s="84">
        <v>0</v>
      </c>
      <c r="AG210" s="75">
        <v>1</v>
      </c>
      <c r="AH210" s="74">
        <v>1985</v>
      </c>
      <c r="AI210" t="s">
        <v>61</v>
      </c>
      <c r="AJ210" t="s">
        <v>61</v>
      </c>
      <c r="AK210" t="s">
        <v>61</v>
      </c>
      <c r="AL210" t="s">
        <v>61</v>
      </c>
      <c r="AM210" s="29" t="s">
        <v>61</v>
      </c>
      <c r="AN210" t="s">
        <v>61</v>
      </c>
      <c r="AO210" s="29">
        <v>0.46800000000000003</v>
      </c>
      <c r="AP210">
        <f t="shared" si="49"/>
        <v>0.53200000000000003</v>
      </c>
      <c r="AQ210" s="29" t="s">
        <v>61</v>
      </c>
      <c r="AR210" t="s">
        <v>61</v>
      </c>
      <c r="AU210" s="29">
        <v>0.75900000000000001</v>
      </c>
      <c r="AV210" s="12">
        <f t="shared" si="45"/>
        <v>0.24099999999999999</v>
      </c>
      <c r="AW210">
        <v>1</v>
      </c>
      <c r="AX210">
        <v>0</v>
      </c>
      <c r="AY210">
        <v>0</v>
      </c>
      <c r="AZ210" s="29" t="s">
        <v>376</v>
      </c>
      <c r="BN210" s="67">
        <v>36.831000000000003</v>
      </c>
      <c r="BO210">
        <v>1</v>
      </c>
      <c r="BP210">
        <v>0</v>
      </c>
      <c r="BQ210">
        <v>0</v>
      </c>
      <c r="BR210">
        <v>0</v>
      </c>
      <c r="BS210">
        <v>0</v>
      </c>
      <c r="BT210">
        <v>0</v>
      </c>
      <c r="BY210">
        <v>0</v>
      </c>
      <c r="BZ210" s="29">
        <v>0</v>
      </c>
      <c r="CA210">
        <v>0</v>
      </c>
      <c r="CB210">
        <v>0</v>
      </c>
      <c r="CC210" s="29">
        <v>1</v>
      </c>
      <c r="CD210">
        <v>0</v>
      </c>
      <c r="CE210">
        <v>0</v>
      </c>
      <c r="CF210">
        <v>0</v>
      </c>
      <c r="CG210">
        <v>0</v>
      </c>
      <c r="CH210">
        <v>0</v>
      </c>
      <c r="CI210">
        <v>1</v>
      </c>
      <c r="CJ210">
        <v>1</v>
      </c>
      <c r="CK210">
        <v>0</v>
      </c>
      <c r="CL210">
        <v>0</v>
      </c>
      <c r="CM210">
        <v>0</v>
      </c>
      <c r="CN210" s="17">
        <v>0</v>
      </c>
      <c r="CT210" t="s">
        <v>48</v>
      </c>
    </row>
    <row r="211" spans="1:98" x14ac:dyDescent="0.25">
      <c r="A211">
        <v>210</v>
      </c>
      <c r="B211">
        <v>12</v>
      </c>
      <c r="C211" t="s">
        <v>335</v>
      </c>
      <c r="D211" s="85">
        <v>3.7</v>
      </c>
      <c r="E211" s="6">
        <v>0.7</v>
      </c>
      <c r="F211" s="6">
        <f t="shared" si="43"/>
        <v>5.2857142857142865</v>
      </c>
      <c r="L211" s="84">
        <v>0</v>
      </c>
      <c r="M211" s="75">
        <v>0</v>
      </c>
      <c r="N211" s="75">
        <v>0</v>
      </c>
      <c r="O211" s="75">
        <v>1</v>
      </c>
      <c r="P211" s="75">
        <v>0</v>
      </c>
      <c r="Q211" s="84">
        <v>568</v>
      </c>
      <c r="R211" s="75">
        <v>5</v>
      </c>
      <c r="S211" s="75">
        <f t="shared" si="40"/>
        <v>562</v>
      </c>
      <c r="U211" s="75">
        <v>12.695</v>
      </c>
      <c r="V211" s="75">
        <f t="shared" si="50"/>
        <v>16.643000000000001</v>
      </c>
      <c r="W211" s="84">
        <v>1</v>
      </c>
      <c r="X211" s="75">
        <v>0</v>
      </c>
      <c r="Y211" s="84">
        <v>0</v>
      </c>
      <c r="Z211" s="75">
        <v>0</v>
      </c>
      <c r="AA211" s="75">
        <v>0</v>
      </c>
      <c r="AB211" s="75">
        <v>1</v>
      </c>
      <c r="AC211" s="84">
        <v>0</v>
      </c>
      <c r="AD211" s="75">
        <v>1</v>
      </c>
      <c r="AE211" s="75">
        <v>0</v>
      </c>
      <c r="AF211" s="84">
        <v>0</v>
      </c>
      <c r="AG211" s="75">
        <v>1</v>
      </c>
      <c r="AH211" s="74">
        <v>1985</v>
      </c>
      <c r="AI211" t="s">
        <v>61</v>
      </c>
      <c r="AJ211" t="s">
        <v>61</v>
      </c>
      <c r="AK211" t="s">
        <v>61</v>
      </c>
      <c r="AL211" t="s">
        <v>61</v>
      </c>
      <c r="AM211" s="29" t="s">
        <v>61</v>
      </c>
      <c r="AN211" t="s">
        <v>61</v>
      </c>
      <c r="AO211" s="29">
        <v>0.505</v>
      </c>
      <c r="AP211">
        <f>1-AO211</f>
        <v>0.495</v>
      </c>
      <c r="AQ211" s="29" t="s">
        <v>61</v>
      </c>
      <c r="AR211" t="s">
        <v>61</v>
      </c>
      <c r="AU211" s="29">
        <v>0.72199999999999998</v>
      </c>
      <c r="AV211" s="12">
        <f t="shared" si="45"/>
        <v>0.27800000000000002</v>
      </c>
      <c r="AW211">
        <v>0</v>
      </c>
      <c r="AX211">
        <v>1</v>
      </c>
      <c r="AY211">
        <v>0</v>
      </c>
      <c r="AZ211" s="29" t="s">
        <v>376</v>
      </c>
      <c r="BN211" s="67">
        <v>35.338000000000001</v>
      </c>
      <c r="BO211">
        <v>1</v>
      </c>
      <c r="BP211">
        <v>0</v>
      </c>
      <c r="BQ211">
        <v>0</v>
      </c>
      <c r="BR211">
        <v>0</v>
      </c>
      <c r="BS211">
        <v>0</v>
      </c>
      <c r="BT211">
        <v>0</v>
      </c>
      <c r="BY211">
        <v>0</v>
      </c>
      <c r="BZ211" s="29">
        <v>0</v>
      </c>
      <c r="CA211">
        <v>0</v>
      </c>
      <c r="CB211">
        <v>0</v>
      </c>
      <c r="CC211" s="29">
        <v>1</v>
      </c>
      <c r="CD211">
        <v>0</v>
      </c>
      <c r="CE211">
        <v>0</v>
      </c>
      <c r="CF211">
        <v>0</v>
      </c>
      <c r="CG211">
        <v>0</v>
      </c>
      <c r="CH211">
        <v>0</v>
      </c>
      <c r="CI211">
        <v>1</v>
      </c>
      <c r="CJ211">
        <v>1</v>
      </c>
      <c r="CK211">
        <v>0</v>
      </c>
      <c r="CL211">
        <v>0</v>
      </c>
      <c r="CM211">
        <v>0</v>
      </c>
      <c r="CN211" s="17">
        <v>0</v>
      </c>
      <c r="CT211" t="s">
        <v>48</v>
      </c>
    </row>
    <row r="212" spans="1:98" x14ac:dyDescent="0.25">
      <c r="A212">
        <v>211</v>
      </c>
      <c r="B212">
        <v>12</v>
      </c>
      <c r="C212" t="s">
        <v>335</v>
      </c>
      <c r="D212" s="85">
        <v>5.0999999999999996</v>
      </c>
      <c r="E212" s="6">
        <v>0.7</v>
      </c>
      <c r="F212" s="6">
        <f t="shared" si="43"/>
        <v>7.2857142857142856</v>
      </c>
      <c r="L212" s="84">
        <v>0</v>
      </c>
      <c r="M212" s="75">
        <v>0</v>
      </c>
      <c r="N212" s="75">
        <v>0</v>
      </c>
      <c r="O212" s="75">
        <v>1</v>
      </c>
      <c r="P212" s="75">
        <v>0</v>
      </c>
      <c r="Q212" s="84">
        <v>568</v>
      </c>
      <c r="R212" s="75">
        <v>5</v>
      </c>
      <c r="S212" s="75">
        <f t="shared" si="40"/>
        <v>562</v>
      </c>
      <c r="U212" s="75">
        <v>12.695</v>
      </c>
      <c r="V212" s="75">
        <f t="shared" si="50"/>
        <v>16.643000000000001</v>
      </c>
      <c r="W212" s="84">
        <v>1</v>
      </c>
      <c r="X212" s="75">
        <v>0</v>
      </c>
      <c r="Y212" s="84">
        <v>0</v>
      </c>
      <c r="Z212" s="75">
        <v>0</v>
      </c>
      <c r="AA212" s="75">
        <v>0</v>
      </c>
      <c r="AB212" s="75">
        <v>1</v>
      </c>
      <c r="AC212" s="84">
        <v>0</v>
      </c>
      <c r="AD212" s="75">
        <v>1</v>
      </c>
      <c r="AE212" s="75">
        <v>0</v>
      </c>
      <c r="AF212" s="84">
        <v>0</v>
      </c>
      <c r="AG212" s="75">
        <v>1</v>
      </c>
      <c r="AH212" s="74">
        <v>1985</v>
      </c>
      <c r="AI212" t="s">
        <v>61</v>
      </c>
      <c r="AJ212" t="s">
        <v>61</v>
      </c>
      <c r="AK212" t="s">
        <v>61</v>
      </c>
      <c r="AL212" t="s">
        <v>61</v>
      </c>
      <c r="AM212" s="29" t="s">
        <v>61</v>
      </c>
      <c r="AN212" t="s">
        <v>61</v>
      </c>
      <c r="AO212" s="29">
        <v>0.505</v>
      </c>
      <c r="AP212">
        <f>1-AO212</f>
        <v>0.495</v>
      </c>
      <c r="AQ212" s="29" t="s">
        <v>61</v>
      </c>
      <c r="AR212" t="s">
        <v>61</v>
      </c>
      <c r="AU212" s="29">
        <v>0.72199999999999998</v>
      </c>
      <c r="AV212" s="12">
        <f t="shared" si="45"/>
        <v>0.27800000000000002</v>
      </c>
      <c r="AW212">
        <v>0</v>
      </c>
      <c r="AX212">
        <v>1</v>
      </c>
      <c r="AY212">
        <v>0</v>
      </c>
      <c r="AZ212" s="29" t="s">
        <v>376</v>
      </c>
      <c r="BN212" s="67">
        <v>35.338000000000001</v>
      </c>
      <c r="BO212">
        <v>1</v>
      </c>
      <c r="BP212">
        <v>0</v>
      </c>
      <c r="BQ212">
        <v>0</v>
      </c>
      <c r="BR212">
        <v>0</v>
      </c>
      <c r="BS212">
        <v>0</v>
      </c>
      <c r="BT212">
        <v>0</v>
      </c>
      <c r="BY212">
        <v>0</v>
      </c>
      <c r="BZ212" s="29">
        <v>0</v>
      </c>
      <c r="CA212">
        <v>0</v>
      </c>
      <c r="CB212">
        <v>0</v>
      </c>
      <c r="CC212" s="29">
        <v>1</v>
      </c>
      <c r="CD212">
        <v>0</v>
      </c>
      <c r="CE212">
        <v>0</v>
      </c>
      <c r="CF212">
        <v>0</v>
      </c>
      <c r="CG212">
        <v>0</v>
      </c>
      <c r="CH212">
        <v>0</v>
      </c>
      <c r="CI212">
        <v>1</v>
      </c>
      <c r="CJ212">
        <v>1</v>
      </c>
      <c r="CK212">
        <v>0</v>
      </c>
      <c r="CL212">
        <v>0</v>
      </c>
      <c r="CM212">
        <v>0</v>
      </c>
      <c r="CN212" s="17">
        <v>0</v>
      </c>
      <c r="CT212" t="s">
        <v>48</v>
      </c>
    </row>
    <row r="213" spans="1:98" x14ac:dyDescent="0.25">
      <c r="A213">
        <v>212</v>
      </c>
      <c r="B213">
        <v>12</v>
      </c>
      <c r="C213" t="s">
        <v>335</v>
      </c>
      <c r="D213" s="85">
        <v>6.3</v>
      </c>
      <c r="E213" s="6">
        <v>1.4</v>
      </c>
      <c r="F213" s="6">
        <f t="shared" si="43"/>
        <v>4.5</v>
      </c>
      <c r="L213" s="84">
        <v>0</v>
      </c>
      <c r="M213" s="75">
        <v>0</v>
      </c>
      <c r="N213" s="75">
        <v>0</v>
      </c>
      <c r="O213" s="75">
        <v>1</v>
      </c>
      <c r="P213" s="75">
        <v>0</v>
      </c>
      <c r="Q213" s="84">
        <v>602</v>
      </c>
      <c r="R213" s="75">
        <v>5</v>
      </c>
      <c r="S213" s="75">
        <f t="shared" si="40"/>
        <v>596</v>
      </c>
      <c r="U213" s="75">
        <v>12.513999999999999</v>
      </c>
      <c r="V213" s="75">
        <f>BN213-U213-6</f>
        <v>18.317000000000004</v>
      </c>
      <c r="W213" s="84">
        <v>1</v>
      </c>
      <c r="X213" s="75">
        <v>0</v>
      </c>
      <c r="Y213" s="84">
        <v>0</v>
      </c>
      <c r="Z213" s="75">
        <v>0</v>
      </c>
      <c r="AA213" s="75">
        <v>0</v>
      </c>
      <c r="AB213" s="75">
        <v>1</v>
      </c>
      <c r="AC213" s="84">
        <v>0</v>
      </c>
      <c r="AD213" s="75">
        <v>1</v>
      </c>
      <c r="AE213" s="75">
        <v>0</v>
      </c>
      <c r="AF213" s="84">
        <v>0</v>
      </c>
      <c r="AG213" s="75">
        <v>1</v>
      </c>
      <c r="AH213" s="74">
        <v>1985</v>
      </c>
      <c r="AI213" t="s">
        <v>61</v>
      </c>
      <c r="AJ213" t="s">
        <v>61</v>
      </c>
      <c r="AK213" t="s">
        <v>61</v>
      </c>
      <c r="AL213" t="s">
        <v>61</v>
      </c>
      <c r="AM213" s="29" t="s">
        <v>61</v>
      </c>
      <c r="AN213" t="s">
        <v>61</v>
      </c>
      <c r="AO213" s="29">
        <v>0.46800000000000003</v>
      </c>
      <c r="AP213">
        <f t="shared" ref="AP213:AP214" si="51">1-AO213</f>
        <v>0.53200000000000003</v>
      </c>
      <c r="AQ213" s="29" t="s">
        <v>61</v>
      </c>
      <c r="AR213" t="s">
        <v>61</v>
      </c>
      <c r="AU213" s="29">
        <v>0.75900000000000001</v>
      </c>
      <c r="AV213" s="12">
        <f t="shared" si="45"/>
        <v>0.24099999999999999</v>
      </c>
      <c r="AW213">
        <v>1</v>
      </c>
      <c r="AX213">
        <v>0</v>
      </c>
      <c r="AY213">
        <v>0</v>
      </c>
      <c r="AZ213" s="29" t="s">
        <v>376</v>
      </c>
      <c r="BN213" s="67">
        <v>36.831000000000003</v>
      </c>
      <c r="BO213">
        <v>0</v>
      </c>
      <c r="BP213">
        <v>0</v>
      </c>
      <c r="BQ213">
        <v>0</v>
      </c>
      <c r="BR213">
        <v>0</v>
      </c>
      <c r="BS213">
        <v>0</v>
      </c>
      <c r="BT213">
        <v>0</v>
      </c>
      <c r="BY213">
        <v>1</v>
      </c>
      <c r="BZ213" s="29">
        <v>1</v>
      </c>
      <c r="CA213">
        <v>0</v>
      </c>
      <c r="CB213">
        <v>0</v>
      </c>
      <c r="CC213" s="29">
        <v>1</v>
      </c>
      <c r="CD213">
        <v>0</v>
      </c>
      <c r="CE213">
        <v>0</v>
      </c>
      <c r="CF213">
        <v>0</v>
      </c>
      <c r="CG213">
        <v>0</v>
      </c>
      <c r="CH213">
        <v>0</v>
      </c>
      <c r="CI213">
        <v>1</v>
      </c>
      <c r="CJ213">
        <v>1</v>
      </c>
      <c r="CK213">
        <v>0</v>
      </c>
      <c r="CL213">
        <v>0</v>
      </c>
      <c r="CM213">
        <v>0</v>
      </c>
      <c r="CN213" s="17">
        <v>0</v>
      </c>
      <c r="CT213" t="s">
        <v>48</v>
      </c>
    </row>
    <row r="214" spans="1:98" x14ac:dyDescent="0.25">
      <c r="A214">
        <v>213</v>
      </c>
      <c r="B214">
        <v>12</v>
      </c>
      <c r="C214" t="s">
        <v>335</v>
      </c>
      <c r="D214" s="85">
        <v>3.2</v>
      </c>
      <c r="E214" s="6">
        <v>1.2</v>
      </c>
      <c r="F214" s="6">
        <f t="shared" si="43"/>
        <v>2.666666666666667</v>
      </c>
      <c r="L214" s="84">
        <v>0</v>
      </c>
      <c r="M214" s="75">
        <v>0</v>
      </c>
      <c r="N214" s="75">
        <v>0</v>
      </c>
      <c r="O214" s="75">
        <v>1</v>
      </c>
      <c r="P214" s="75">
        <v>0</v>
      </c>
      <c r="Q214" s="84">
        <v>602</v>
      </c>
      <c r="R214" s="75">
        <v>5</v>
      </c>
      <c r="S214" s="75">
        <f t="shared" si="40"/>
        <v>596</v>
      </c>
      <c r="U214" s="75">
        <v>12.513999999999999</v>
      </c>
      <c r="V214" s="75">
        <f t="shared" ref="V214:V216" si="52">BN214-U214-6</f>
        <v>18.317000000000004</v>
      </c>
      <c r="W214" s="84">
        <v>1</v>
      </c>
      <c r="X214" s="75">
        <v>0</v>
      </c>
      <c r="Y214" s="84">
        <v>0</v>
      </c>
      <c r="Z214" s="75">
        <v>0</v>
      </c>
      <c r="AA214" s="75">
        <v>0</v>
      </c>
      <c r="AB214" s="75">
        <v>1</v>
      </c>
      <c r="AC214" s="84">
        <v>0</v>
      </c>
      <c r="AD214" s="75">
        <v>1</v>
      </c>
      <c r="AE214" s="75">
        <v>0</v>
      </c>
      <c r="AF214" s="84">
        <v>0</v>
      </c>
      <c r="AG214" s="75">
        <v>1</v>
      </c>
      <c r="AH214" s="74">
        <v>1985</v>
      </c>
      <c r="AI214" t="s">
        <v>61</v>
      </c>
      <c r="AJ214" t="s">
        <v>61</v>
      </c>
      <c r="AK214" t="s">
        <v>61</v>
      </c>
      <c r="AL214" t="s">
        <v>61</v>
      </c>
      <c r="AM214" s="29" t="s">
        <v>61</v>
      </c>
      <c r="AN214" t="s">
        <v>61</v>
      </c>
      <c r="AO214" s="29">
        <v>0.46800000000000003</v>
      </c>
      <c r="AP214">
        <f t="shared" si="51"/>
        <v>0.53200000000000003</v>
      </c>
      <c r="AQ214" s="29" t="s">
        <v>61</v>
      </c>
      <c r="AR214" t="s">
        <v>61</v>
      </c>
      <c r="AU214" s="29">
        <v>0.75900000000000001</v>
      </c>
      <c r="AV214" s="12">
        <f t="shared" si="45"/>
        <v>0.24099999999999999</v>
      </c>
      <c r="AW214">
        <v>1</v>
      </c>
      <c r="AX214">
        <v>0</v>
      </c>
      <c r="AY214">
        <v>0</v>
      </c>
      <c r="AZ214" s="29" t="s">
        <v>376</v>
      </c>
      <c r="BN214" s="67">
        <v>36.831000000000003</v>
      </c>
      <c r="BO214">
        <v>0</v>
      </c>
      <c r="BP214">
        <v>0</v>
      </c>
      <c r="BQ214">
        <v>0</v>
      </c>
      <c r="BR214">
        <v>0</v>
      </c>
      <c r="BS214">
        <v>0</v>
      </c>
      <c r="BT214">
        <v>0</v>
      </c>
      <c r="BY214">
        <v>1</v>
      </c>
      <c r="BZ214" s="29">
        <v>1</v>
      </c>
      <c r="CA214">
        <v>0</v>
      </c>
      <c r="CB214">
        <v>0</v>
      </c>
      <c r="CC214" s="29">
        <v>1</v>
      </c>
      <c r="CD214">
        <v>0</v>
      </c>
      <c r="CE214">
        <v>0</v>
      </c>
      <c r="CF214">
        <v>0</v>
      </c>
      <c r="CG214">
        <v>0</v>
      </c>
      <c r="CH214">
        <v>0</v>
      </c>
      <c r="CI214">
        <v>1</v>
      </c>
      <c r="CJ214">
        <v>1</v>
      </c>
      <c r="CK214">
        <v>0</v>
      </c>
      <c r="CL214">
        <v>0</v>
      </c>
      <c r="CM214">
        <v>0</v>
      </c>
      <c r="CN214" s="17">
        <v>0</v>
      </c>
      <c r="CT214" t="s">
        <v>48</v>
      </c>
    </row>
    <row r="215" spans="1:98" x14ac:dyDescent="0.25">
      <c r="A215">
        <v>214</v>
      </c>
      <c r="B215">
        <v>12</v>
      </c>
      <c r="C215" t="s">
        <v>335</v>
      </c>
      <c r="D215" s="85">
        <v>6.9</v>
      </c>
      <c r="E215" s="6">
        <v>1.1000000000000001</v>
      </c>
      <c r="F215" s="6">
        <f t="shared" si="43"/>
        <v>6.2727272727272725</v>
      </c>
      <c r="L215" s="84">
        <v>0</v>
      </c>
      <c r="M215" s="75">
        <v>0</v>
      </c>
      <c r="N215" s="75">
        <v>0</v>
      </c>
      <c r="O215" s="75">
        <v>1</v>
      </c>
      <c r="P215" s="75">
        <v>0</v>
      </c>
      <c r="Q215" s="84">
        <v>568</v>
      </c>
      <c r="R215" s="75">
        <v>5</v>
      </c>
      <c r="S215" s="75">
        <f t="shared" si="40"/>
        <v>562</v>
      </c>
      <c r="U215" s="75">
        <v>12.695</v>
      </c>
      <c r="V215" s="75">
        <f t="shared" si="52"/>
        <v>16.643000000000001</v>
      </c>
      <c r="W215" s="84">
        <v>1</v>
      </c>
      <c r="X215" s="75">
        <v>0</v>
      </c>
      <c r="Y215" s="84">
        <v>0</v>
      </c>
      <c r="Z215" s="75">
        <v>0</v>
      </c>
      <c r="AA215" s="75">
        <v>0</v>
      </c>
      <c r="AB215" s="75">
        <v>1</v>
      </c>
      <c r="AC215" s="84">
        <v>0</v>
      </c>
      <c r="AD215" s="75">
        <v>1</v>
      </c>
      <c r="AE215" s="75">
        <v>0</v>
      </c>
      <c r="AF215" s="84">
        <v>0</v>
      </c>
      <c r="AG215" s="75">
        <v>1</v>
      </c>
      <c r="AH215" s="74">
        <v>1985</v>
      </c>
      <c r="AI215" t="s">
        <v>61</v>
      </c>
      <c r="AJ215" t="s">
        <v>61</v>
      </c>
      <c r="AK215" t="s">
        <v>61</v>
      </c>
      <c r="AL215" t="s">
        <v>61</v>
      </c>
      <c r="AM215" s="29" t="s">
        <v>61</v>
      </c>
      <c r="AN215" t="s">
        <v>61</v>
      </c>
      <c r="AO215" s="29">
        <v>0.505</v>
      </c>
      <c r="AP215">
        <f>1-AO215</f>
        <v>0.495</v>
      </c>
      <c r="AQ215" s="29" t="s">
        <v>61</v>
      </c>
      <c r="AR215" t="s">
        <v>61</v>
      </c>
      <c r="AU215" s="29">
        <v>0.72199999999999998</v>
      </c>
      <c r="AV215" s="12">
        <f t="shared" si="45"/>
        <v>0.27800000000000002</v>
      </c>
      <c r="AW215">
        <v>0</v>
      </c>
      <c r="AX215">
        <v>1</v>
      </c>
      <c r="AY215">
        <v>0</v>
      </c>
      <c r="AZ215" s="29" t="s">
        <v>376</v>
      </c>
      <c r="BN215" s="67">
        <v>35.338000000000001</v>
      </c>
      <c r="BO215">
        <v>0</v>
      </c>
      <c r="BP215">
        <v>0</v>
      </c>
      <c r="BQ215">
        <v>0</v>
      </c>
      <c r="BR215">
        <v>0</v>
      </c>
      <c r="BS215">
        <v>0</v>
      </c>
      <c r="BT215">
        <v>0</v>
      </c>
      <c r="BY215">
        <v>1</v>
      </c>
      <c r="BZ215" s="29">
        <v>1</v>
      </c>
      <c r="CA215">
        <v>0</v>
      </c>
      <c r="CB215">
        <v>0</v>
      </c>
      <c r="CC215" s="29">
        <v>1</v>
      </c>
      <c r="CD215">
        <v>0</v>
      </c>
      <c r="CE215">
        <v>0</v>
      </c>
      <c r="CF215">
        <v>0</v>
      </c>
      <c r="CG215">
        <v>0</v>
      </c>
      <c r="CH215">
        <v>0</v>
      </c>
      <c r="CI215">
        <v>1</v>
      </c>
      <c r="CJ215">
        <v>1</v>
      </c>
      <c r="CK215">
        <v>0</v>
      </c>
      <c r="CL215">
        <v>0</v>
      </c>
      <c r="CM215">
        <v>0</v>
      </c>
      <c r="CN215" s="17">
        <v>0</v>
      </c>
      <c r="CT215" t="s">
        <v>48</v>
      </c>
    </row>
    <row r="216" spans="1:98" x14ac:dyDescent="0.25">
      <c r="A216">
        <v>215</v>
      </c>
      <c r="B216">
        <v>12</v>
      </c>
      <c r="C216" t="s">
        <v>335</v>
      </c>
      <c r="D216" s="85">
        <v>7.6</v>
      </c>
      <c r="E216" s="6">
        <v>1.2</v>
      </c>
      <c r="F216" s="6">
        <f t="shared" si="43"/>
        <v>6.333333333333333</v>
      </c>
      <c r="L216" s="84">
        <v>0</v>
      </c>
      <c r="M216" s="75">
        <v>0</v>
      </c>
      <c r="N216" s="75">
        <v>0</v>
      </c>
      <c r="O216" s="75">
        <v>1</v>
      </c>
      <c r="P216" s="75">
        <v>0</v>
      </c>
      <c r="Q216" s="84">
        <v>568</v>
      </c>
      <c r="R216" s="75">
        <v>5</v>
      </c>
      <c r="S216" s="75">
        <f t="shared" si="40"/>
        <v>562</v>
      </c>
      <c r="U216" s="75">
        <v>12.695</v>
      </c>
      <c r="V216" s="75">
        <f t="shared" si="52"/>
        <v>16.643000000000001</v>
      </c>
      <c r="W216" s="84">
        <v>1</v>
      </c>
      <c r="X216" s="75">
        <v>0</v>
      </c>
      <c r="Y216" s="84">
        <v>0</v>
      </c>
      <c r="Z216" s="75">
        <v>0</v>
      </c>
      <c r="AA216" s="75">
        <v>0</v>
      </c>
      <c r="AB216" s="75">
        <v>1</v>
      </c>
      <c r="AC216" s="84">
        <v>0</v>
      </c>
      <c r="AD216" s="75">
        <v>1</v>
      </c>
      <c r="AE216" s="75">
        <v>0</v>
      </c>
      <c r="AF216" s="84">
        <v>0</v>
      </c>
      <c r="AG216" s="75">
        <v>1</v>
      </c>
      <c r="AH216" s="74">
        <v>1985</v>
      </c>
      <c r="AI216" t="s">
        <v>61</v>
      </c>
      <c r="AJ216" t="s">
        <v>61</v>
      </c>
      <c r="AK216" t="s">
        <v>61</v>
      </c>
      <c r="AL216" t="s">
        <v>61</v>
      </c>
      <c r="AM216" s="29" t="s">
        <v>61</v>
      </c>
      <c r="AN216" t="s">
        <v>61</v>
      </c>
      <c r="AO216" s="29">
        <v>0.505</v>
      </c>
      <c r="AP216">
        <f>1-AO216</f>
        <v>0.495</v>
      </c>
      <c r="AQ216" s="29" t="s">
        <v>61</v>
      </c>
      <c r="AR216" t="s">
        <v>61</v>
      </c>
      <c r="AU216" s="29">
        <v>0.72199999999999998</v>
      </c>
      <c r="AV216" s="12">
        <f t="shared" si="45"/>
        <v>0.27800000000000002</v>
      </c>
      <c r="AW216">
        <v>0</v>
      </c>
      <c r="AX216">
        <v>1</v>
      </c>
      <c r="AY216">
        <v>0</v>
      </c>
      <c r="AZ216" s="29" t="s">
        <v>376</v>
      </c>
      <c r="BN216" s="67">
        <v>35.338000000000001</v>
      </c>
      <c r="BO216">
        <v>0</v>
      </c>
      <c r="BP216">
        <v>0</v>
      </c>
      <c r="BQ216">
        <v>0</v>
      </c>
      <c r="BR216">
        <v>0</v>
      </c>
      <c r="BS216">
        <v>0</v>
      </c>
      <c r="BT216">
        <v>0</v>
      </c>
      <c r="BY216">
        <v>1</v>
      </c>
      <c r="BZ216" s="29">
        <v>1</v>
      </c>
      <c r="CA216">
        <v>0</v>
      </c>
      <c r="CB216">
        <v>0</v>
      </c>
      <c r="CC216" s="29">
        <v>1</v>
      </c>
      <c r="CD216">
        <v>0</v>
      </c>
      <c r="CE216">
        <v>0</v>
      </c>
      <c r="CF216">
        <v>0</v>
      </c>
      <c r="CG216">
        <v>0</v>
      </c>
      <c r="CH216">
        <v>0</v>
      </c>
      <c r="CI216">
        <v>1</v>
      </c>
      <c r="CJ216">
        <v>1</v>
      </c>
      <c r="CK216">
        <v>0</v>
      </c>
      <c r="CL216">
        <v>0</v>
      </c>
      <c r="CM216">
        <v>0</v>
      </c>
      <c r="CN216" s="17">
        <v>0</v>
      </c>
      <c r="CT216" t="s">
        <v>48</v>
      </c>
    </row>
    <row r="217" spans="1:98" x14ac:dyDescent="0.25">
      <c r="A217">
        <v>216</v>
      </c>
      <c r="B217">
        <v>12</v>
      </c>
      <c r="C217" t="s">
        <v>335</v>
      </c>
      <c r="D217" s="85">
        <v>4.8</v>
      </c>
      <c r="E217" s="6">
        <v>1.2</v>
      </c>
      <c r="F217" s="6">
        <f t="shared" si="43"/>
        <v>4</v>
      </c>
      <c r="L217" s="84">
        <v>0</v>
      </c>
      <c r="M217" s="75">
        <v>0</v>
      </c>
      <c r="N217" s="75">
        <v>0</v>
      </c>
      <c r="O217" s="75">
        <v>1</v>
      </c>
      <c r="P217" s="75">
        <v>0</v>
      </c>
      <c r="Q217" s="84">
        <v>602</v>
      </c>
      <c r="R217" s="75">
        <v>5</v>
      </c>
      <c r="S217" s="75">
        <f t="shared" si="40"/>
        <v>596</v>
      </c>
      <c r="U217" s="75">
        <v>12.513999999999999</v>
      </c>
      <c r="V217" s="75">
        <f>BN217-U217-6</f>
        <v>18.317000000000004</v>
      </c>
      <c r="W217" s="84">
        <v>1</v>
      </c>
      <c r="X217" s="75">
        <v>0</v>
      </c>
      <c r="Y217" s="84">
        <v>0</v>
      </c>
      <c r="Z217" s="75">
        <v>0</v>
      </c>
      <c r="AA217" s="75">
        <v>0</v>
      </c>
      <c r="AB217" s="75">
        <v>1</v>
      </c>
      <c r="AC217" s="84">
        <v>0</v>
      </c>
      <c r="AD217" s="75">
        <v>1</v>
      </c>
      <c r="AE217" s="75">
        <v>0</v>
      </c>
      <c r="AF217" s="84">
        <v>0</v>
      </c>
      <c r="AG217" s="75">
        <v>1</v>
      </c>
      <c r="AH217" s="74">
        <v>1985</v>
      </c>
      <c r="AI217" t="s">
        <v>61</v>
      </c>
      <c r="AJ217" t="s">
        <v>61</v>
      </c>
      <c r="AK217" t="s">
        <v>61</v>
      </c>
      <c r="AL217" t="s">
        <v>61</v>
      </c>
      <c r="AM217" s="29" t="s">
        <v>61</v>
      </c>
      <c r="AN217" t="s">
        <v>61</v>
      </c>
      <c r="AO217" s="29">
        <v>0.46800000000000003</v>
      </c>
      <c r="AP217">
        <f t="shared" ref="AP217:AP218" si="53">1-AO217</f>
        <v>0.53200000000000003</v>
      </c>
      <c r="AQ217" s="29" t="s">
        <v>61</v>
      </c>
      <c r="AR217" t="s">
        <v>61</v>
      </c>
      <c r="AU217" s="29">
        <v>0.75900000000000001</v>
      </c>
      <c r="AV217" s="12">
        <f t="shared" si="45"/>
        <v>0.24099999999999999</v>
      </c>
      <c r="AW217">
        <v>1</v>
      </c>
      <c r="AX217">
        <v>0</v>
      </c>
      <c r="AY217">
        <v>0</v>
      </c>
      <c r="AZ217" s="29" t="s">
        <v>376</v>
      </c>
      <c r="BN217" s="67">
        <v>36.831000000000003</v>
      </c>
      <c r="BO217">
        <v>1</v>
      </c>
      <c r="BP217">
        <v>0</v>
      </c>
      <c r="BQ217">
        <v>0</v>
      </c>
      <c r="BR217">
        <v>0</v>
      </c>
      <c r="BS217">
        <v>0</v>
      </c>
      <c r="BT217">
        <v>0</v>
      </c>
      <c r="BY217">
        <v>0</v>
      </c>
      <c r="BZ217" s="29">
        <v>0</v>
      </c>
      <c r="CA217">
        <v>0</v>
      </c>
      <c r="CB217">
        <v>0</v>
      </c>
      <c r="CC217" s="29">
        <v>1</v>
      </c>
      <c r="CD217">
        <v>0</v>
      </c>
      <c r="CE217">
        <v>0</v>
      </c>
      <c r="CF217">
        <v>0</v>
      </c>
      <c r="CG217">
        <v>0</v>
      </c>
      <c r="CH217">
        <v>0</v>
      </c>
      <c r="CI217">
        <v>1</v>
      </c>
      <c r="CJ217">
        <v>1</v>
      </c>
      <c r="CK217">
        <v>0</v>
      </c>
      <c r="CL217">
        <v>0</v>
      </c>
      <c r="CM217">
        <v>0</v>
      </c>
      <c r="CN217" s="17">
        <v>0</v>
      </c>
      <c r="CT217" t="s">
        <v>48</v>
      </c>
    </row>
    <row r="218" spans="1:98" x14ac:dyDescent="0.25">
      <c r="A218">
        <v>217</v>
      </c>
      <c r="B218">
        <v>12</v>
      </c>
      <c r="C218" t="s">
        <v>335</v>
      </c>
      <c r="D218" s="85">
        <v>1.5</v>
      </c>
      <c r="E218" s="6">
        <v>0.8</v>
      </c>
      <c r="F218" s="6">
        <f t="shared" si="43"/>
        <v>1.875</v>
      </c>
      <c r="L218" s="84">
        <v>0</v>
      </c>
      <c r="M218" s="75">
        <v>0</v>
      </c>
      <c r="N218" s="75">
        <v>0</v>
      </c>
      <c r="O218" s="75">
        <v>1</v>
      </c>
      <c r="P218" s="75">
        <v>0</v>
      </c>
      <c r="Q218" s="84">
        <v>602</v>
      </c>
      <c r="R218" s="75">
        <v>5</v>
      </c>
      <c r="S218" s="75">
        <f t="shared" si="40"/>
        <v>596</v>
      </c>
      <c r="U218" s="75">
        <v>12.513999999999999</v>
      </c>
      <c r="V218" s="75">
        <f t="shared" ref="V218:V220" si="54">BN218-U218-6</f>
        <v>18.317000000000004</v>
      </c>
      <c r="W218" s="84">
        <v>1</v>
      </c>
      <c r="X218" s="75">
        <v>0</v>
      </c>
      <c r="Y218" s="84">
        <v>0</v>
      </c>
      <c r="Z218" s="75">
        <v>0</v>
      </c>
      <c r="AA218" s="75">
        <v>0</v>
      </c>
      <c r="AB218" s="75">
        <v>1</v>
      </c>
      <c r="AC218" s="84">
        <v>0</v>
      </c>
      <c r="AD218" s="75">
        <v>1</v>
      </c>
      <c r="AE218" s="75">
        <v>0</v>
      </c>
      <c r="AF218" s="84">
        <v>0</v>
      </c>
      <c r="AG218" s="75">
        <v>1</v>
      </c>
      <c r="AH218" s="74">
        <v>1985</v>
      </c>
      <c r="AI218" t="s">
        <v>61</v>
      </c>
      <c r="AJ218" t="s">
        <v>61</v>
      </c>
      <c r="AK218" t="s">
        <v>61</v>
      </c>
      <c r="AL218" t="s">
        <v>61</v>
      </c>
      <c r="AM218" s="29" t="s">
        <v>61</v>
      </c>
      <c r="AN218" t="s">
        <v>61</v>
      </c>
      <c r="AO218" s="29">
        <v>0.46800000000000003</v>
      </c>
      <c r="AP218">
        <f t="shared" si="53"/>
        <v>0.53200000000000003</v>
      </c>
      <c r="AQ218" s="29" t="s">
        <v>61</v>
      </c>
      <c r="AR218" t="s">
        <v>61</v>
      </c>
      <c r="AU218" s="29">
        <v>0.75900000000000001</v>
      </c>
      <c r="AV218" s="12">
        <f t="shared" si="45"/>
        <v>0.24099999999999999</v>
      </c>
      <c r="AW218">
        <v>1</v>
      </c>
      <c r="AX218">
        <v>0</v>
      </c>
      <c r="AY218">
        <v>0</v>
      </c>
      <c r="AZ218" s="29" t="s">
        <v>376</v>
      </c>
      <c r="BN218" s="67">
        <v>36.831000000000003</v>
      </c>
      <c r="BO218">
        <v>1</v>
      </c>
      <c r="BP218">
        <v>0</v>
      </c>
      <c r="BQ218">
        <v>0</v>
      </c>
      <c r="BR218">
        <v>0</v>
      </c>
      <c r="BS218">
        <v>0</v>
      </c>
      <c r="BT218">
        <v>0</v>
      </c>
      <c r="BY218">
        <v>0</v>
      </c>
      <c r="BZ218" s="29">
        <v>0</v>
      </c>
      <c r="CA218">
        <v>0</v>
      </c>
      <c r="CB218">
        <v>0</v>
      </c>
      <c r="CC218" s="29">
        <v>1</v>
      </c>
      <c r="CD218">
        <v>0</v>
      </c>
      <c r="CE218">
        <v>0</v>
      </c>
      <c r="CF218">
        <v>0</v>
      </c>
      <c r="CG218">
        <v>0</v>
      </c>
      <c r="CH218">
        <v>0</v>
      </c>
      <c r="CI218">
        <v>1</v>
      </c>
      <c r="CJ218">
        <v>1</v>
      </c>
      <c r="CK218">
        <v>0</v>
      </c>
      <c r="CL218">
        <v>0</v>
      </c>
      <c r="CM218">
        <v>0</v>
      </c>
      <c r="CN218" s="17">
        <v>0</v>
      </c>
      <c r="CT218" t="s">
        <v>48</v>
      </c>
    </row>
    <row r="219" spans="1:98" x14ac:dyDescent="0.25">
      <c r="A219">
        <v>218</v>
      </c>
      <c r="B219">
        <v>12</v>
      </c>
      <c r="C219" t="s">
        <v>335</v>
      </c>
      <c r="D219" s="85">
        <v>3.7</v>
      </c>
      <c r="E219" s="6">
        <v>0.9</v>
      </c>
      <c r="F219" s="6">
        <f t="shared" si="43"/>
        <v>4.1111111111111116</v>
      </c>
      <c r="L219" s="84">
        <v>0</v>
      </c>
      <c r="M219" s="75">
        <v>0</v>
      </c>
      <c r="N219" s="75">
        <v>0</v>
      </c>
      <c r="O219" s="75">
        <v>1</v>
      </c>
      <c r="P219" s="75">
        <v>0</v>
      </c>
      <c r="Q219" s="84">
        <v>568</v>
      </c>
      <c r="R219" s="75">
        <v>5</v>
      </c>
      <c r="S219" s="75">
        <f t="shared" si="40"/>
        <v>562</v>
      </c>
      <c r="U219" s="75">
        <v>12.695</v>
      </c>
      <c r="V219" s="75">
        <f t="shared" si="54"/>
        <v>16.643000000000001</v>
      </c>
      <c r="W219" s="84">
        <v>1</v>
      </c>
      <c r="X219" s="75">
        <v>0</v>
      </c>
      <c r="Y219" s="84">
        <v>0</v>
      </c>
      <c r="Z219" s="75">
        <v>0</v>
      </c>
      <c r="AA219" s="75">
        <v>0</v>
      </c>
      <c r="AB219" s="75">
        <v>1</v>
      </c>
      <c r="AC219" s="84">
        <v>0</v>
      </c>
      <c r="AD219" s="75">
        <v>1</v>
      </c>
      <c r="AE219" s="75">
        <v>0</v>
      </c>
      <c r="AF219" s="84">
        <v>0</v>
      </c>
      <c r="AG219" s="75">
        <v>1</v>
      </c>
      <c r="AH219" s="74">
        <v>1985</v>
      </c>
      <c r="AI219" t="s">
        <v>61</v>
      </c>
      <c r="AJ219" t="s">
        <v>61</v>
      </c>
      <c r="AK219" t="s">
        <v>61</v>
      </c>
      <c r="AL219" t="s">
        <v>61</v>
      </c>
      <c r="AM219" s="29" t="s">
        <v>61</v>
      </c>
      <c r="AN219" t="s">
        <v>61</v>
      </c>
      <c r="AO219" s="29">
        <v>0.505</v>
      </c>
      <c r="AP219">
        <f>1-AO219</f>
        <v>0.495</v>
      </c>
      <c r="AQ219" s="29" t="s">
        <v>61</v>
      </c>
      <c r="AR219" t="s">
        <v>61</v>
      </c>
      <c r="AU219" s="29">
        <v>0.72199999999999998</v>
      </c>
      <c r="AV219" s="12">
        <f t="shared" si="45"/>
        <v>0.27800000000000002</v>
      </c>
      <c r="AW219">
        <v>0</v>
      </c>
      <c r="AX219">
        <v>1</v>
      </c>
      <c r="AY219">
        <v>0</v>
      </c>
      <c r="AZ219" s="29" t="s">
        <v>376</v>
      </c>
      <c r="BN219" s="67">
        <v>35.338000000000001</v>
      </c>
      <c r="BO219">
        <v>1</v>
      </c>
      <c r="BP219">
        <v>0</v>
      </c>
      <c r="BQ219">
        <v>0</v>
      </c>
      <c r="BR219">
        <v>0</v>
      </c>
      <c r="BS219">
        <v>0</v>
      </c>
      <c r="BT219">
        <v>0</v>
      </c>
      <c r="BY219">
        <v>0</v>
      </c>
      <c r="BZ219" s="29">
        <v>0</v>
      </c>
      <c r="CA219">
        <v>0</v>
      </c>
      <c r="CB219">
        <v>0</v>
      </c>
      <c r="CC219" s="29">
        <v>1</v>
      </c>
      <c r="CD219">
        <v>0</v>
      </c>
      <c r="CE219">
        <v>0</v>
      </c>
      <c r="CF219">
        <v>0</v>
      </c>
      <c r="CG219">
        <v>0</v>
      </c>
      <c r="CH219">
        <v>0</v>
      </c>
      <c r="CI219">
        <v>1</v>
      </c>
      <c r="CJ219">
        <v>1</v>
      </c>
      <c r="CK219">
        <v>0</v>
      </c>
      <c r="CL219">
        <v>0</v>
      </c>
      <c r="CM219">
        <v>0</v>
      </c>
      <c r="CN219" s="17">
        <v>0</v>
      </c>
      <c r="CT219" t="s">
        <v>48</v>
      </c>
    </row>
    <row r="220" spans="1:98" x14ac:dyDescent="0.25">
      <c r="A220">
        <v>219</v>
      </c>
      <c r="B220">
        <v>12</v>
      </c>
      <c r="C220" t="s">
        <v>335</v>
      </c>
      <c r="D220" s="85">
        <v>5.7</v>
      </c>
      <c r="E220" s="6">
        <v>0.8</v>
      </c>
      <c r="F220" s="6">
        <f t="shared" si="43"/>
        <v>7.125</v>
      </c>
      <c r="L220" s="84">
        <v>0</v>
      </c>
      <c r="M220" s="75">
        <v>0</v>
      </c>
      <c r="N220" s="75">
        <v>0</v>
      </c>
      <c r="O220" s="75">
        <v>1</v>
      </c>
      <c r="P220" s="75">
        <v>0</v>
      </c>
      <c r="Q220" s="84">
        <v>568</v>
      </c>
      <c r="R220" s="75">
        <v>5</v>
      </c>
      <c r="S220" s="75">
        <f t="shared" si="40"/>
        <v>562</v>
      </c>
      <c r="U220" s="75">
        <v>12.695</v>
      </c>
      <c r="V220" s="75">
        <f t="shared" si="54"/>
        <v>16.643000000000001</v>
      </c>
      <c r="W220" s="84">
        <v>1</v>
      </c>
      <c r="X220" s="75">
        <v>0</v>
      </c>
      <c r="Y220" s="84">
        <v>0</v>
      </c>
      <c r="Z220" s="75">
        <v>0</v>
      </c>
      <c r="AA220" s="75">
        <v>0</v>
      </c>
      <c r="AB220" s="75">
        <v>1</v>
      </c>
      <c r="AC220" s="84">
        <v>0</v>
      </c>
      <c r="AD220" s="75">
        <v>1</v>
      </c>
      <c r="AE220" s="75">
        <v>0</v>
      </c>
      <c r="AF220" s="84">
        <v>0</v>
      </c>
      <c r="AG220" s="75">
        <v>1</v>
      </c>
      <c r="AH220" s="74">
        <v>1985</v>
      </c>
      <c r="AI220" t="s">
        <v>61</v>
      </c>
      <c r="AJ220" t="s">
        <v>61</v>
      </c>
      <c r="AK220" t="s">
        <v>61</v>
      </c>
      <c r="AL220" t="s">
        <v>61</v>
      </c>
      <c r="AM220" s="29" t="s">
        <v>61</v>
      </c>
      <c r="AN220" t="s">
        <v>61</v>
      </c>
      <c r="AO220" s="29">
        <v>0.505</v>
      </c>
      <c r="AP220">
        <f>1-AO220</f>
        <v>0.495</v>
      </c>
      <c r="AQ220" s="29" t="s">
        <v>61</v>
      </c>
      <c r="AR220" t="s">
        <v>61</v>
      </c>
      <c r="AU220" s="29">
        <v>0.72199999999999998</v>
      </c>
      <c r="AV220" s="12">
        <f t="shared" si="45"/>
        <v>0.27800000000000002</v>
      </c>
      <c r="AW220">
        <v>0</v>
      </c>
      <c r="AX220">
        <v>1</v>
      </c>
      <c r="AY220">
        <v>0</v>
      </c>
      <c r="AZ220" s="29" t="s">
        <v>376</v>
      </c>
      <c r="BN220" s="67">
        <v>35.338000000000001</v>
      </c>
      <c r="BO220">
        <v>1</v>
      </c>
      <c r="BP220">
        <v>0</v>
      </c>
      <c r="BQ220">
        <v>0</v>
      </c>
      <c r="BR220">
        <v>0</v>
      </c>
      <c r="BS220">
        <v>0</v>
      </c>
      <c r="BT220">
        <v>0</v>
      </c>
      <c r="BY220">
        <v>0</v>
      </c>
      <c r="BZ220" s="29">
        <v>0</v>
      </c>
      <c r="CA220">
        <v>0</v>
      </c>
      <c r="CB220">
        <v>0</v>
      </c>
      <c r="CC220" s="29">
        <v>1</v>
      </c>
      <c r="CD220">
        <v>0</v>
      </c>
      <c r="CE220">
        <v>0</v>
      </c>
      <c r="CF220">
        <v>0</v>
      </c>
      <c r="CG220">
        <v>0</v>
      </c>
      <c r="CH220">
        <v>0</v>
      </c>
      <c r="CI220">
        <v>1</v>
      </c>
      <c r="CJ220">
        <v>1</v>
      </c>
      <c r="CK220">
        <v>0</v>
      </c>
      <c r="CL220">
        <v>0</v>
      </c>
      <c r="CM220">
        <v>0</v>
      </c>
      <c r="CN220" s="17">
        <v>0</v>
      </c>
      <c r="CT220" t="s">
        <v>48</v>
      </c>
    </row>
    <row r="221" spans="1:98" x14ac:dyDescent="0.25">
      <c r="A221">
        <v>220</v>
      </c>
      <c r="B221">
        <v>12</v>
      </c>
      <c r="C221" t="s">
        <v>335</v>
      </c>
      <c r="D221" s="85">
        <v>7.8</v>
      </c>
      <c r="E221" s="6">
        <v>2.4</v>
      </c>
      <c r="F221" s="6">
        <f t="shared" si="43"/>
        <v>3.25</v>
      </c>
      <c r="L221" s="84">
        <v>0</v>
      </c>
      <c r="M221" s="75">
        <v>0</v>
      </c>
      <c r="N221" s="75">
        <v>0</v>
      </c>
      <c r="O221" s="75">
        <v>1</v>
      </c>
      <c r="P221" s="75">
        <v>0</v>
      </c>
      <c r="Q221" s="84">
        <v>602</v>
      </c>
      <c r="R221" s="75">
        <v>5</v>
      </c>
      <c r="S221" s="75">
        <f t="shared" si="40"/>
        <v>596</v>
      </c>
      <c r="U221" s="75">
        <v>12.513999999999999</v>
      </c>
      <c r="V221" s="75">
        <f>BN221-U221-6</f>
        <v>18.317000000000004</v>
      </c>
      <c r="W221" s="84">
        <v>1</v>
      </c>
      <c r="X221" s="75">
        <v>0</v>
      </c>
      <c r="Y221" s="84">
        <v>0</v>
      </c>
      <c r="Z221" s="75">
        <v>0</v>
      </c>
      <c r="AA221" s="75">
        <v>0</v>
      </c>
      <c r="AB221" s="75">
        <v>1</v>
      </c>
      <c r="AC221" s="84">
        <v>0</v>
      </c>
      <c r="AD221" s="75">
        <v>1</v>
      </c>
      <c r="AE221" s="75">
        <v>0</v>
      </c>
      <c r="AF221" s="84">
        <v>0</v>
      </c>
      <c r="AG221" s="75">
        <v>1</v>
      </c>
      <c r="AH221" s="74">
        <v>1985</v>
      </c>
      <c r="AI221" t="s">
        <v>61</v>
      </c>
      <c r="AJ221" t="s">
        <v>61</v>
      </c>
      <c r="AK221" t="s">
        <v>61</v>
      </c>
      <c r="AL221" t="s">
        <v>61</v>
      </c>
      <c r="AM221" s="29" t="s">
        <v>61</v>
      </c>
      <c r="AN221" t="s">
        <v>61</v>
      </c>
      <c r="AO221" s="29">
        <v>0.46800000000000003</v>
      </c>
      <c r="AP221">
        <f t="shared" ref="AP221:AP222" si="55">1-AO221</f>
        <v>0.53200000000000003</v>
      </c>
      <c r="AQ221" s="29" t="s">
        <v>61</v>
      </c>
      <c r="AR221" t="s">
        <v>61</v>
      </c>
      <c r="AU221" s="29">
        <v>0.75900000000000001</v>
      </c>
      <c r="AV221" s="12">
        <f t="shared" si="45"/>
        <v>0.24099999999999999</v>
      </c>
      <c r="AW221">
        <v>1</v>
      </c>
      <c r="AX221">
        <v>0</v>
      </c>
      <c r="AY221">
        <v>0</v>
      </c>
      <c r="AZ221" s="29" t="s">
        <v>376</v>
      </c>
      <c r="BN221" s="67">
        <v>36.831000000000003</v>
      </c>
      <c r="BO221">
        <v>0</v>
      </c>
      <c r="BP221">
        <v>0</v>
      </c>
      <c r="BQ221">
        <v>0</v>
      </c>
      <c r="BR221">
        <v>0</v>
      </c>
      <c r="BS221">
        <v>0</v>
      </c>
      <c r="BT221">
        <v>0</v>
      </c>
      <c r="BY221">
        <v>1</v>
      </c>
      <c r="BZ221" s="29">
        <v>1</v>
      </c>
      <c r="CA221">
        <v>0</v>
      </c>
      <c r="CB221">
        <v>0</v>
      </c>
      <c r="CC221" s="29">
        <v>1</v>
      </c>
      <c r="CD221">
        <v>0</v>
      </c>
      <c r="CE221">
        <v>0</v>
      </c>
      <c r="CF221">
        <v>0</v>
      </c>
      <c r="CG221">
        <v>0</v>
      </c>
      <c r="CH221">
        <v>0</v>
      </c>
      <c r="CI221">
        <v>1</v>
      </c>
      <c r="CJ221">
        <v>1</v>
      </c>
      <c r="CK221">
        <v>0</v>
      </c>
      <c r="CL221">
        <v>0</v>
      </c>
      <c r="CM221">
        <v>0</v>
      </c>
      <c r="CN221" s="17">
        <v>0</v>
      </c>
      <c r="CT221" t="s">
        <v>48</v>
      </c>
    </row>
    <row r="222" spans="1:98" x14ac:dyDescent="0.25">
      <c r="A222">
        <v>221</v>
      </c>
      <c r="B222">
        <v>12</v>
      </c>
      <c r="C222" t="s">
        <v>335</v>
      </c>
      <c r="D222" s="85">
        <v>3.1</v>
      </c>
      <c r="E222" s="6">
        <v>1.5</v>
      </c>
      <c r="F222" s="6">
        <f t="shared" si="43"/>
        <v>2.0666666666666669</v>
      </c>
      <c r="L222" s="84">
        <v>0</v>
      </c>
      <c r="M222" s="75">
        <v>0</v>
      </c>
      <c r="N222" s="75">
        <v>0</v>
      </c>
      <c r="O222" s="75">
        <v>1</v>
      </c>
      <c r="P222" s="75">
        <v>0</v>
      </c>
      <c r="Q222" s="84">
        <v>602</v>
      </c>
      <c r="R222" s="75">
        <v>5</v>
      </c>
      <c r="S222" s="75">
        <f t="shared" si="40"/>
        <v>596</v>
      </c>
      <c r="U222" s="75">
        <v>12.513999999999999</v>
      </c>
      <c r="V222" s="75">
        <f t="shared" ref="V222:V224" si="56">BN222-U222-6</f>
        <v>18.317000000000004</v>
      </c>
      <c r="W222" s="84">
        <v>1</v>
      </c>
      <c r="X222" s="75">
        <v>0</v>
      </c>
      <c r="Y222" s="84">
        <v>0</v>
      </c>
      <c r="Z222" s="75">
        <v>0</v>
      </c>
      <c r="AA222" s="75">
        <v>0</v>
      </c>
      <c r="AB222" s="75">
        <v>1</v>
      </c>
      <c r="AC222" s="84">
        <v>0</v>
      </c>
      <c r="AD222" s="75">
        <v>1</v>
      </c>
      <c r="AE222" s="75">
        <v>0</v>
      </c>
      <c r="AF222" s="84">
        <v>0</v>
      </c>
      <c r="AG222" s="75">
        <v>1</v>
      </c>
      <c r="AH222" s="74">
        <v>1985</v>
      </c>
      <c r="AI222" t="s">
        <v>61</v>
      </c>
      <c r="AJ222" t="s">
        <v>61</v>
      </c>
      <c r="AK222" t="s">
        <v>61</v>
      </c>
      <c r="AL222" t="s">
        <v>61</v>
      </c>
      <c r="AM222" s="29" t="s">
        <v>61</v>
      </c>
      <c r="AN222" t="s">
        <v>61</v>
      </c>
      <c r="AO222" s="29">
        <v>0.46800000000000003</v>
      </c>
      <c r="AP222">
        <f t="shared" si="55"/>
        <v>0.53200000000000003</v>
      </c>
      <c r="AQ222" s="29" t="s">
        <v>61</v>
      </c>
      <c r="AR222" t="s">
        <v>61</v>
      </c>
      <c r="AU222" s="29">
        <v>0.75900000000000001</v>
      </c>
      <c r="AV222" s="12">
        <f t="shared" si="45"/>
        <v>0.24099999999999999</v>
      </c>
      <c r="AW222">
        <v>1</v>
      </c>
      <c r="AX222">
        <v>0</v>
      </c>
      <c r="AY222">
        <v>0</v>
      </c>
      <c r="AZ222" s="29" t="s">
        <v>376</v>
      </c>
      <c r="BN222" s="67">
        <v>36.831000000000003</v>
      </c>
      <c r="BO222">
        <v>0</v>
      </c>
      <c r="BP222">
        <v>0</v>
      </c>
      <c r="BQ222">
        <v>0</v>
      </c>
      <c r="BR222">
        <v>0</v>
      </c>
      <c r="BS222">
        <v>0</v>
      </c>
      <c r="BT222">
        <v>0</v>
      </c>
      <c r="BY222">
        <v>1</v>
      </c>
      <c r="BZ222" s="29">
        <v>1</v>
      </c>
      <c r="CA222">
        <v>0</v>
      </c>
      <c r="CB222">
        <v>0</v>
      </c>
      <c r="CC222" s="29">
        <v>1</v>
      </c>
      <c r="CD222">
        <v>0</v>
      </c>
      <c r="CE222">
        <v>0</v>
      </c>
      <c r="CF222">
        <v>0</v>
      </c>
      <c r="CG222">
        <v>0</v>
      </c>
      <c r="CH222">
        <v>0</v>
      </c>
      <c r="CI222">
        <v>1</v>
      </c>
      <c r="CJ222">
        <v>1</v>
      </c>
      <c r="CK222">
        <v>0</v>
      </c>
      <c r="CL222">
        <v>0</v>
      </c>
      <c r="CM222">
        <v>0</v>
      </c>
      <c r="CN222" s="17">
        <v>0</v>
      </c>
      <c r="CT222" t="s">
        <v>48</v>
      </c>
    </row>
    <row r="223" spans="1:98" x14ac:dyDescent="0.25">
      <c r="A223">
        <v>222</v>
      </c>
      <c r="B223">
        <v>12</v>
      </c>
      <c r="C223" t="s">
        <v>335</v>
      </c>
      <c r="D223" s="85">
        <v>7.6</v>
      </c>
      <c r="E223" s="6">
        <v>1.5</v>
      </c>
      <c r="F223" s="6">
        <f t="shared" si="43"/>
        <v>5.0666666666666664</v>
      </c>
      <c r="L223" s="84">
        <v>0</v>
      </c>
      <c r="M223" s="75">
        <v>0</v>
      </c>
      <c r="N223" s="75">
        <v>0</v>
      </c>
      <c r="O223" s="75">
        <v>1</v>
      </c>
      <c r="P223" s="75">
        <v>0</v>
      </c>
      <c r="Q223" s="84">
        <v>568</v>
      </c>
      <c r="R223" s="75">
        <v>5</v>
      </c>
      <c r="S223" s="75">
        <f t="shared" si="40"/>
        <v>562</v>
      </c>
      <c r="U223" s="75">
        <v>12.695</v>
      </c>
      <c r="V223" s="75">
        <f t="shared" si="56"/>
        <v>16.643000000000001</v>
      </c>
      <c r="W223" s="84">
        <v>1</v>
      </c>
      <c r="X223" s="75">
        <v>0</v>
      </c>
      <c r="Y223" s="84">
        <v>0</v>
      </c>
      <c r="Z223" s="75">
        <v>0</v>
      </c>
      <c r="AA223" s="75">
        <v>0</v>
      </c>
      <c r="AB223" s="75">
        <v>1</v>
      </c>
      <c r="AC223" s="84">
        <v>0</v>
      </c>
      <c r="AD223" s="75">
        <v>1</v>
      </c>
      <c r="AE223" s="75">
        <v>0</v>
      </c>
      <c r="AF223" s="84">
        <v>0</v>
      </c>
      <c r="AG223" s="75">
        <v>1</v>
      </c>
      <c r="AH223" s="74">
        <v>1985</v>
      </c>
      <c r="AI223" t="s">
        <v>61</v>
      </c>
      <c r="AJ223" t="s">
        <v>61</v>
      </c>
      <c r="AK223" t="s">
        <v>61</v>
      </c>
      <c r="AL223" t="s">
        <v>61</v>
      </c>
      <c r="AM223" s="29" t="s">
        <v>61</v>
      </c>
      <c r="AN223" t="s">
        <v>61</v>
      </c>
      <c r="AO223" s="29">
        <v>0.505</v>
      </c>
      <c r="AP223">
        <f t="shared" ref="AP223:AP237" si="57">1-AO223</f>
        <v>0.495</v>
      </c>
      <c r="AQ223" s="29" t="s">
        <v>61</v>
      </c>
      <c r="AR223" t="s">
        <v>61</v>
      </c>
      <c r="AU223" s="29">
        <v>0.72199999999999998</v>
      </c>
      <c r="AV223" s="12">
        <f t="shared" si="45"/>
        <v>0.27800000000000002</v>
      </c>
      <c r="AW223">
        <v>0</v>
      </c>
      <c r="AX223">
        <v>1</v>
      </c>
      <c r="AY223">
        <v>0</v>
      </c>
      <c r="AZ223" s="29" t="s">
        <v>376</v>
      </c>
      <c r="BN223" s="67">
        <v>35.338000000000001</v>
      </c>
      <c r="BO223">
        <v>0</v>
      </c>
      <c r="BP223">
        <v>0</v>
      </c>
      <c r="BQ223">
        <v>0</v>
      </c>
      <c r="BR223">
        <v>0</v>
      </c>
      <c r="BS223">
        <v>0</v>
      </c>
      <c r="BT223">
        <v>0</v>
      </c>
      <c r="BY223">
        <v>1</v>
      </c>
      <c r="BZ223" s="29">
        <v>1</v>
      </c>
      <c r="CA223">
        <v>0</v>
      </c>
      <c r="CB223">
        <v>0</v>
      </c>
      <c r="CC223" s="29">
        <v>1</v>
      </c>
      <c r="CD223">
        <v>0</v>
      </c>
      <c r="CE223">
        <v>0</v>
      </c>
      <c r="CF223">
        <v>0</v>
      </c>
      <c r="CG223">
        <v>0</v>
      </c>
      <c r="CH223">
        <v>0</v>
      </c>
      <c r="CI223">
        <v>1</v>
      </c>
      <c r="CJ223">
        <v>1</v>
      </c>
      <c r="CK223">
        <v>0</v>
      </c>
      <c r="CL223">
        <v>0</v>
      </c>
      <c r="CM223">
        <v>0</v>
      </c>
      <c r="CN223" s="17">
        <v>0</v>
      </c>
      <c r="CT223" t="s">
        <v>48</v>
      </c>
    </row>
    <row r="224" spans="1:98" x14ac:dyDescent="0.25">
      <c r="A224">
        <v>223</v>
      </c>
      <c r="B224">
        <v>12</v>
      </c>
      <c r="C224" t="s">
        <v>335</v>
      </c>
      <c r="D224" s="85">
        <v>7.7</v>
      </c>
      <c r="E224" s="6">
        <v>1.4</v>
      </c>
      <c r="F224" s="6">
        <f t="shared" si="43"/>
        <v>5.5000000000000009</v>
      </c>
      <c r="L224" s="84">
        <v>0</v>
      </c>
      <c r="M224" s="75">
        <v>0</v>
      </c>
      <c r="N224" s="75">
        <v>0</v>
      </c>
      <c r="O224" s="75">
        <v>1</v>
      </c>
      <c r="P224" s="75">
        <v>0</v>
      </c>
      <c r="Q224" s="84">
        <v>568</v>
      </c>
      <c r="R224" s="75">
        <v>5</v>
      </c>
      <c r="S224" s="75">
        <f t="shared" si="40"/>
        <v>562</v>
      </c>
      <c r="U224" s="75">
        <v>12.695</v>
      </c>
      <c r="V224" s="75">
        <f t="shared" si="56"/>
        <v>16.643000000000001</v>
      </c>
      <c r="W224" s="84">
        <v>1</v>
      </c>
      <c r="X224" s="75">
        <v>0</v>
      </c>
      <c r="Y224" s="84">
        <v>0</v>
      </c>
      <c r="Z224" s="75">
        <v>0</v>
      </c>
      <c r="AA224" s="75">
        <v>0</v>
      </c>
      <c r="AB224" s="75">
        <v>1</v>
      </c>
      <c r="AC224" s="84">
        <v>0</v>
      </c>
      <c r="AD224" s="75">
        <v>1</v>
      </c>
      <c r="AE224" s="75">
        <v>0</v>
      </c>
      <c r="AF224" s="84">
        <v>0</v>
      </c>
      <c r="AG224" s="75">
        <v>1</v>
      </c>
      <c r="AH224" s="74">
        <v>1985</v>
      </c>
      <c r="AI224" t="s">
        <v>61</v>
      </c>
      <c r="AJ224" t="s">
        <v>61</v>
      </c>
      <c r="AK224" t="s">
        <v>61</v>
      </c>
      <c r="AL224" t="s">
        <v>61</v>
      </c>
      <c r="AM224" s="29" t="s">
        <v>61</v>
      </c>
      <c r="AN224" t="s">
        <v>61</v>
      </c>
      <c r="AO224" s="29">
        <v>0.505</v>
      </c>
      <c r="AP224">
        <f t="shared" si="57"/>
        <v>0.495</v>
      </c>
      <c r="AQ224" s="29" t="s">
        <v>61</v>
      </c>
      <c r="AR224" t="s">
        <v>61</v>
      </c>
      <c r="AU224" s="29">
        <v>0.72199999999999998</v>
      </c>
      <c r="AV224" s="12">
        <f t="shared" si="45"/>
        <v>0.27800000000000002</v>
      </c>
      <c r="AW224">
        <v>0</v>
      </c>
      <c r="AX224">
        <v>1</v>
      </c>
      <c r="AY224">
        <v>0</v>
      </c>
      <c r="AZ224" s="29" t="s">
        <v>376</v>
      </c>
      <c r="BN224" s="67">
        <v>35.338000000000001</v>
      </c>
      <c r="BO224">
        <v>0</v>
      </c>
      <c r="BP224">
        <v>0</v>
      </c>
      <c r="BQ224">
        <v>0</v>
      </c>
      <c r="BR224">
        <v>0</v>
      </c>
      <c r="BS224">
        <v>0</v>
      </c>
      <c r="BT224">
        <v>0</v>
      </c>
      <c r="BY224">
        <v>1</v>
      </c>
      <c r="BZ224" s="29">
        <v>1</v>
      </c>
      <c r="CA224">
        <v>0</v>
      </c>
      <c r="CB224">
        <v>0</v>
      </c>
      <c r="CC224" s="29">
        <v>1</v>
      </c>
      <c r="CD224">
        <v>0</v>
      </c>
      <c r="CE224">
        <v>0</v>
      </c>
      <c r="CF224">
        <v>0</v>
      </c>
      <c r="CG224">
        <v>0</v>
      </c>
      <c r="CH224">
        <v>0</v>
      </c>
      <c r="CI224">
        <v>1</v>
      </c>
      <c r="CJ224">
        <v>1</v>
      </c>
      <c r="CK224">
        <v>0</v>
      </c>
      <c r="CL224">
        <v>0</v>
      </c>
      <c r="CM224">
        <v>0</v>
      </c>
      <c r="CN224" s="17">
        <v>0</v>
      </c>
      <c r="CT224" t="s">
        <v>48</v>
      </c>
    </row>
    <row r="225" spans="1:98" x14ac:dyDescent="0.25">
      <c r="A225">
        <v>224</v>
      </c>
      <c r="B225">
        <v>13</v>
      </c>
      <c r="C225" t="s">
        <v>341</v>
      </c>
      <c r="D225" s="85">
        <v>4.5</v>
      </c>
      <c r="E225" s="6">
        <v>0.2</v>
      </c>
      <c r="F225" s="6">
        <f t="shared" si="43"/>
        <v>22.5</v>
      </c>
      <c r="L225" s="84">
        <v>0</v>
      </c>
      <c r="M225" s="75">
        <v>0</v>
      </c>
      <c r="N225" s="75">
        <v>0</v>
      </c>
      <c r="O225" s="75">
        <v>1</v>
      </c>
      <c r="P225" s="75">
        <v>0</v>
      </c>
      <c r="Q225" s="84">
        <v>2214</v>
      </c>
      <c r="R225" s="75">
        <v>6</v>
      </c>
      <c r="S225" s="75">
        <f t="shared" si="40"/>
        <v>2207</v>
      </c>
      <c r="U225" s="6">
        <v>11.3</v>
      </c>
      <c r="V225" s="6">
        <f>BN225-U225-6</f>
        <v>29.519999999999996</v>
      </c>
      <c r="W225" s="84">
        <v>1</v>
      </c>
      <c r="X225" s="75">
        <v>0</v>
      </c>
      <c r="Y225" s="84">
        <v>0</v>
      </c>
      <c r="Z225" s="75">
        <v>0</v>
      </c>
      <c r="AA225" s="75">
        <v>0</v>
      </c>
      <c r="AB225" s="75">
        <v>1</v>
      </c>
      <c r="AC225" s="84">
        <v>0</v>
      </c>
      <c r="AD225" s="75">
        <v>1</v>
      </c>
      <c r="AE225" s="75">
        <v>0</v>
      </c>
      <c r="AF225" s="84">
        <v>0</v>
      </c>
      <c r="AG225" s="75">
        <v>1</v>
      </c>
      <c r="AH225" s="74">
        <v>1990</v>
      </c>
      <c r="AI225" t="s">
        <v>61</v>
      </c>
      <c r="AJ225" t="s">
        <v>61</v>
      </c>
      <c r="AK225" t="s">
        <v>61</v>
      </c>
      <c r="AL225" t="s">
        <v>61</v>
      </c>
      <c r="AM225" s="29" t="s">
        <v>61</v>
      </c>
      <c r="AN225" t="s">
        <v>61</v>
      </c>
      <c r="AO225" s="29">
        <v>0.54</v>
      </c>
      <c r="AP225">
        <f t="shared" si="57"/>
        <v>0.45999999999999996</v>
      </c>
      <c r="AQ225" s="29">
        <v>1</v>
      </c>
      <c r="AR225">
        <v>0</v>
      </c>
      <c r="AU225" s="29">
        <v>0.67</v>
      </c>
      <c r="AV225" s="12">
        <f t="shared" si="45"/>
        <v>0.32999999999999996</v>
      </c>
      <c r="AW225">
        <v>0.42499999999999999</v>
      </c>
      <c r="AX225">
        <v>0.57499999999999996</v>
      </c>
      <c r="AY225">
        <v>0</v>
      </c>
      <c r="AZ225" s="29" t="s">
        <v>394</v>
      </c>
      <c r="BN225" s="67">
        <v>46.82</v>
      </c>
      <c r="BO225">
        <v>1</v>
      </c>
      <c r="BP225">
        <v>0</v>
      </c>
      <c r="BQ225">
        <v>0</v>
      </c>
      <c r="BR225">
        <v>0</v>
      </c>
      <c r="BS225">
        <v>0</v>
      </c>
      <c r="BT225">
        <v>0</v>
      </c>
      <c r="BY225">
        <v>0</v>
      </c>
      <c r="BZ225" s="29">
        <v>0</v>
      </c>
      <c r="CA225">
        <v>0</v>
      </c>
      <c r="CB225">
        <v>0</v>
      </c>
      <c r="CC225" s="29">
        <v>1</v>
      </c>
      <c r="CD225">
        <v>1</v>
      </c>
      <c r="CE225">
        <v>0</v>
      </c>
      <c r="CF225">
        <v>0</v>
      </c>
      <c r="CG225">
        <v>0</v>
      </c>
      <c r="CH225">
        <v>0</v>
      </c>
      <c r="CI225">
        <v>1</v>
      </c>
      <c r="CJ225">
        <v>1</v>
      </c>
      <c r="CK225">
        <v>0</v>
      </c>
      <c r="CL225">
        <v>0</v>
      </c>
      <c r="CM225">
        <v>0</v>
      </c>
      <c r="CN225" s="17">
        <v>0</v>
      </c>
      <c r="CT225" t="s">
        <v>48</v>
      </c>
    </row>
    <row r="226" spans="1:98" x14ac:dyDescent="0.25">
      <c r="A226">
        <v>225</v>
      </c>
      <c r="B226">
        <v>13</v>
      </c>
      <c r="C226" t="s">
        <v>341</v>
      </c>
      <c r="D226" s="85">
        <v>4.5999999999999996</v>
      </c>
      <c r="E226" s="6">
        <v>0.1</v>
      </c>
      <c r="F226" s="6">
        <f t="shared" si="43"/>
        <v>45.999999999999993</v>
      </c>
      <c r="L226" s="84">
        <v>0</v>
      </c>
      <c r="M226" s="75">
        <v>0</v>
      </c>
      <c r="N226" s="75">
        <v>0</v>
      </c>
      <c r="O226" s="75">
        <v>1</v>
      </c>
      <c r="P226" s="75">
        <v>0</v>
      </c>
      <c r="Q226" s="84">
        <v>4984</v>
      </c>
      <c r="R226" s="75">
        <v>6</v>
      </c>
      <c r="S226" s="75">
        <f t="shared" si="40"/>
        <v>4977</v>
      </c>
      <c r="U226" s="6">
        <v>11.54</v>
      </c>
      <c r="V226" s="6">
        <f>BN226-U226-6</f>
        <v>26.560000000000002</v>
      </c>
      <c r="W226" s="84">
        <v>1</v>
      </c>
      <c r="X226" s="75">
        <v>0</v>
      </c>
      <c r="Y226" s="84">
        <v>0</v>
      </c>
      <c r="Z226" s="75">
        <v>0</v>
      </c>
      <c r="AA226" s="75">
        <v>0</v>
      </c>
      <c r="AB226" s="75">
        <v>1</v>
      </c>
      <c r="AC226" s="84">
        <v>0</v>
      </c>
      <c r="AD226" s="75">
        <v>1</v>
      </c>
      <c r="AE226" s="75">
        <v>0</v>
      </c>
      <c r="AF226" s="84">
        <v>0</v>
      </c>
      <c r="AG226" s="75">
        <v>1</v>
      </c>
      <c r="AH226" s="74">
        <v>1990</v>
      </c>
      <c r="AI226" t="s">
        <v>61</v>
      </c>
      <c r="AJ226" t="s">
        <v>61</v>
      </c>
      <c r="AK226" t="s">
        <v>61</v>
      </c>
      <c r="AL226" t="s">
        <v>61</v>
      </c>
      <c r="AM226" s="29" t="s">
        <v>61</v>
      </c>
      <c r="AN226" t="s">
        <v>61</v>
      </c>
      <c r="AO226" s="29">
        <v>0.52</v>
      </c>
      <c r="AP226">
        <f t="shared" si="57"/>
        <v>0.48</v>
      </c>
      <c r="AQ226" s="29">
        <v>1</v>
      </c>
      <c r="AR226">
        <v>0</v>
      </c>
      <c r="AU226" s="29">
        <v>0.66</v>
      </c>
      <c r="AV226" s="12">
        <f t="shared" si="45"/>
        <v>0.33999999999999997</v>
      </c>
      <c r="AW226">
        <v>1</v>
      </c>
      <c r="AX226">
        <v>0</v>
      </c>
      <c r="AY226">
        <v>0</v>
      </c>
      <c r="AZ226" s="29" t="s">
        <v>394</v>
      </c>
      <c r="BN226" s="67">
        <v>44.1</v>
      </c>
      <c r="BO226">
        <v>1</v>
      </c>
      <c r="BP226">
        <v>0</v>
      </c>
      <c r="BQ226">
        <v>0</v>
      </c>
      <c r="BR226">
        <v>0</v>
      </c>
      <c r="BS226">
        <v>0</v>
      </c>
      <c r="BT226">
        <v>0</v>
      </c>
      <c r="BY226">
        <v>0</v>
      </c>
      <c r="BZ226" s="29">
        <v>0</v>
      </c>
      <c r="CA226">
        <v>0</v>
      </c>
      <c r="CB226">
        <v>0</v>
      </c>
      <c r="CC226" s="29">
        <v>1</v>
      </c>
      <c r="CD226">
        <v>1</v>
      </c>
      <c r="CE226">
        <v>0</v>
      </c>
      <c r="CF226">
        <v>0</v>
      </c>
      <c r="CG226">
        <v>0</v>
      </c>
      <c r="CH226">
        <v>0</v>
      </c>
      <c r="CI226">
        <v>1</v>
      </c>
      <c r="CJ226">
        <v>1</v>
      </c>
      <c r="CK226">
        <v>0</v>
      </c>
      <c r="CL226">
        <v>0</v>
      </c>
      <c r="CM226">
        <v>0</v>
      </c>
      <c r="CN226" s="17">
        <v>0</v>
      </c>
      <c r="CT226" t="s">
        <v>48</v>
      </c>
    </row>
    <row r="227" spans="1:98" x14ac:dyDescent="0.25">
      <c r="A227">
        <v>226</v>
      </c>
      <c r="B227">
        <v>13</v>
      </c>
      <c r="C227" t="s">
        <v>341</v>
      </c>
      <c r="D227" s="85">
        <v>4.7</v>
      </c>
      <c r="E227" s="6">
        <v>0.1</v>
      </c>
      <c r="F227" s="6">
        <f t="shared" si="43"/>
        <v>47</v>
      </c>
      <c r="L227" s="84">
        <v>0</v>
      </c>
      <c r="M227" s="75">
        <v>0</v>
      </c>
      <c r="N227" s="75">
        <v>0</v>
      </c>
      <c r="O227" s="75">
        <v>1</v>
      </c>
      <c r="P227" s="75">
        <v>0</v>
      </c>
      <c r="Q227" s="84">
        <v>6736</v>
      </c>
      <c r="R227" s="75">
        <v>6</v>
      </c>
      <c r="S227" s="75">
        <f t="shared" si="40"/>
        <v>6729</v>
      </c>
      <c r="U227" s="6">
        <v>11.36</v>
      </c>
      <c r="V227" s="6">
        <f>BN227-U227-6</f>
        <v>26.5</v>
      </c>
      <c r="W227" s="84">
        <v>1</v>
      </c>
      <c r="X227" s="75">
        <v>0</v>
      </c>
      <c r="Y227" s="84">
        <v>0</v>
      </c>
      <c r="Z227" s="75">
        <v>0</v>
      </c>
      <c r="AA227" s="75">
        <v>0</v>
      </c>
      <c r="AB227" s="75">
        <v>1</v>
      </c>
      <c r="AC227" s="84">
        <v>0</v>
      </c>
      <c r="AD227" s="75">
        <v>1</v>
      </c>
      <c r="AE227" s="75">
        <v>0</v>
      </c>
      <c r="AF227" s="84">
        <v>0</v>
      </c>
      <c r="AG227" s="75">
        <v>1</v>
      </c>
      <c r="AH227" s="74">
        <v>1990</v>
      </c>
      <c r="AI227" t="s">
        <v>61</v>
      </c>
      <c r="AJ227" t="s">
        <v>61</v>
      </c>
      <c r="AK227" t="s">
        <v>61</v>
      </c>
      <c r="AL227" t="s">
        <v>61</v>
      </c>
      <c r="AM227" s="29" t="s">
        <v>61</v>
      </c>
      <c r="AN227" t="s">
        <v>61</v>
      </c>
      <c r="AO227" s="29">
        <v>0.57999999999999996</v>
      </c>
      <c r="AP227">
        <f t="shared" si="57"/>
        <v>0.42000000000000004</v>
      </c>
      <c r="AQ227" s="29">
        <v>1</v>
      </c>
      <c r="AR227">
        <v>0</v>
      </c>
      <c r="AU227" s="29">
        <v>0.66</v>
      </c>
      <c r="AV227" s="12">
        <f t="shared" ref="AV227:AV237" si="58">1-AU227</f>
        <v>0.33999999999999997</v>
      </c>
      <c r="AW227">
        <v>0</v>
      </c>
      <c r="AX227">
        <v>1</v>
      </c>
      <c r="AY227">
        <v>0</v>
      </c>
      <c r="AZ227" s="29" t="s">
        <v>394</v>
      </c>
      <c r="BN227" s="67">
        <v>43.86</v>
      </c>
      <c r="BO227">
        <v>1</v>
      </c>
      <c r="BP227">
        <v>0</v>
      </c>
      <c r="BQ227">
        <v>0</v>
      </c>
      <c r="BR227">
        <v>0</v>
      </c>
      <c r="BS227">
        <v>0</v>
      </c>
      <c r="BT227">
        <v>0</v>
      </c>
      <c r="BY227">
        <v>0</v>
      </c>
      <c r="BZ227" s="29">
        <v>0</v>
      </c>
      <c r="CA227">
        <v>0</v>
      </c>
      <c r="CB227">
        <v>0</v>
      </c>
      <c r="CC227" s="29">
        <v>1</v>
      </c>
      <c r="CD227">
        <v>1</v>
      </c>
      <c r="CE227">
        <v>0</v>
      </c>
      <c r="CF227">
        <v>0</v>
      </c>
      <c r="CG227">
        <v>0</v>
      </c>
      <c r="CH227">
        <v>0</v>
      </c>
      <c r="CI227">
        <v>1</v>
      </c>
      <c r="CJ227">
        <v>1</v>
      </c>
      <c r="CK227">
        <v>0</v>
      </c>
      <c r="CL227">
        <v>0</v>
      </c>
      <c r="CM227">
        <v>0</v>
      </c>
      <c r="CN227" s="17">
        <v>0</v>
      </c>
      <c r="CT227" t="s">
        <v>48</v>
      </c>
    </row>
    <row r="228" spans="1:98" x14ac:dyDescent="0.25">
      <c r="A228">
        <v>227</v>
      </c>
      <c r="B228">
        <v>13</v>
      </c>
      <c r="C228" t="s">
        <v>341</v>
      </c>
      <c r="D228" s="85">
        <v>2.2000000000000002</v>
      </c>
      <c r="E228" s="6">
        <v>0.2</v>
      </c>
      <c r="F228" s="6">
        <f t="shared" si="43"/>
        <v>11</v>
      </c>
      <c r="L228" s="84">
        <v>0</v>
      </c>
      <c r="M228" s="75">
        <v>0</v>
      </c>
      <c r="N228" s="75">
        <v>0</v>
      </c>
      <c r="O228" s="75">
        <v>1</v>
      </c>
      <c r="P228" s="75">
        <v>0</v>
      </c>
      <c r="Q228" s="84">
        <v>4984</v>
      </c>
      <c r="R228" s="75">
        <v>6</v>
      </c>
      <c r="S228" s="75">
        <f t="shared" si="40"/>
        <v>4977</v>
      </c>
      <c r="U228" s="6">
        <v>11.54</v>
      </c>
      <c r="V228" s="6">
        <f t="shared" ref="V228:V237" si="59">BN228-U228-6</f>
        <v>26.560000000000002</v>
      </c>
      <c r="W228" s="84">
        <v>1</v>
      </c>
      <c r="X228" s="75">
        <v>0</v>
      </c>
      <c r="Y228" s="84">
        <v>0</v>
      </c>
      <c r="Z228" s="75">
        <v>0</v>
      </c>
      <c r="AA228" s="75">
        <v>0</v>
      </c>
      <c r="AB228" s="75">
        <v>1</v>
      </c>
      <c r="AC228" s="84">
        <v>0</v>
      </c>
      <c r="AD228" s="75">
        <v>1</v>
      </c>
      <c r="AE228" s="75">
        <v>0</v>
      </c>
      <c r="AF228" s="84">
        <v>0</v>
      </c>
      <c r="AG228" s="75">
        <v>1</v>
      </c>
      <c r="AH228" s="74">
        <v>1990</v>
      </c>
      <c r="AI228" t="s">
        <v>61</v>
      </c>
      <c r="AJ228" t="s">
        <v>61</v>
      </c>
      <c r="AK228" t="s">
        <v>61</v>
      </c>
      <c r="AL228" t="s">
        <v>61</v>
      </c>
      <c r="AM228" s="29" t="s">
        <v>61</v>
      </c>
      <c r="AN228" t="s">
        <v>61</v>
      </c>
      <c r="AO228" s="29">
        <v>0.52</v>
      </c>
      <c r="AP228">
        <f t="shared" si="57"/>
        <v>0.48</v>
      </c>
      <c r="AQ228" s="29">
        <v>1</v>
      </c>
      <c r="AR228">
        <v>0</v>
      </c>
      <c r="AU228" s="29">
        <v>0.66</v>
      </c>
      <c r="AV228" s="12">
        <f t="shared" si="58"/>
        <v>0.33999999999999997</v>
      </c>
      <c r="AW228">
        <v>1</v>
      </c>
      <c r="AX228">
        <v>0</v>
      </c>
      <c r="AY228">
        <v>0</v>
      </c>
      <c r="AZ228" s="29" t="s">
        <v>394</v>
      </c>
      <c r="BN228" s="67">
        <v>44.1</v>
      </c>
      <c r="BO228">
        <v>0</v>
      </c>
      <c r="BP228">
        <v>0</v>
      </c>
      <c r="BQ228">
        <v>1</v>
      </c>
      <c r="BR228">
        <v>0</v>
      </c>
      <c r="BS228">
        <v>0</v>
      </c>
      <c r="BT228">
        <v>0</v>
      </c>
      <c r="BY228">
        <v>0</v>
      </c>
      <c r="BZ228" s="29">
        <v>0</v>
      </c>
      <c r="CA228">
        <v>0</v>
      </c>
      <c r="CB228">
        <v>0</v>
      </c>
      <c r="CC228" s="29">
        <v>1</v>
      </c>
      <c r="CD228">
        <v>1</v>
      </c>
      <c r="CE228">
        <v>0</v>
      </c>
      <c r="CF228">
        <v>0</v>
      </c>
      <c r="CG228">
        <v>0</v>
      </c>
      <c r="CH228">
        <v>0</v>
      </c>
      <c r="CI228">
        <v>1</v>
      </c>
      <c r="CJ228">
        <v>1</v>
      </c>
      <c r="CK228">
        <v>0</v>
      </c>
      <c r="CL228">
        <v>0</v>
      </c>
      <c r="CM228">
        <v>0</v>
      </c>
      <c r="CN228" s="17">
        <v>0</v>
      </c>
      <c r="CT228" t="s">
        <v>48</v>
      </c>
    </row>
    <row r="229" spans="1:98" x14ac:dyDescent="0.25">
      <c r="A229">
        <v>228</v>
      </c>
      <c r="B229">
        <v>13</v>
      </c>
      <c r="C229" t="s">
        <v>341</v>
      </c>
      <c r="D229" s="85">
        <v>3.9</v>
      </c>
      <c r="E229" s="6">
        <v>0.2</v>
      </c>
      <c r="F229" s="6">
        <f t="shared" si="43"/>
        <v>19.5</v>
      </c>
      <c r="L229" s="84">
        <v>0</v>
      </c>
      <c r="M229" s="75">
        <v>0</v>
      </c>
      <c r="N229" s="75">
        <v>0</v>
      </c>
      <c r="O229" s="75">
        <v>1</v>
      </c>
      <c r="P229" s="75">
        <v>0</v>
      </c>
      <c r="Q229" s="84">
        <v>6736</v>
      </c>
      <c r="R229" s="75">
        <v>6</v>
      </c>
      <c r="S229" s="75">
        <f t="shared" si="40"/>
        <v>6729</v>
      </c>
      <c r="U229" s="6">
        <v>11.36</v>
      </c>
      <c r="V229" s="6">
        <f t="shared" si="59"/>
        <v>26.5</v>
      </c>
      <c r="W229" s="84">
        <v>1</v>
      </c>
      <c r="X229" s="75">
        <v>0</v>
      </c>
      <c r="Y229" s="84">
        <v>0</v>
      </c>
      <c r="Z229" s="75">
        <v>0</v>
      </c>
      <c r="AA229" s="75">
        <v>0</v>
      </c>
      <c r="AB229" s="75">
        <v>1</v>
      </c>
      <c r="AC229" s="84">
        <v>0</v>
      </c>
      <c r="AD229" s="75">
        <v>1</v>
      </c>
      <c r="AE229" s="75">
        <v>0</v>
      </c>
      <c r="AF229" s="84">
        <v>0</v>
      </c>
      <c r="AG229" s="75">
        <v>1</v>
      </c>
      <c r="AH229" s="74">
        <v>1990</v>
      </c>
      <c r="AI229" t="s">
        <v>61</v>
      </c>
      <c r="AJ229" t="s">
        <v>61</v>
      </c>
      <c r="AK229" t="s">
        <v>61</v>
      </c>
      <c r="AL229" t="s">
        <v>61</v>
      </c>
      <c r="AM229" s="29" t="s">
        <v>61</v>
      </c>
      <c r="AN229" t="s">
        <v>61</v>
      </c>
      <c r="AO229" s="29">
        <v>0.57999999999999996</v>
      </c>
      <c r="AP229">
        <f t="shared" si="57"/>
        <v>0.42000000000000004</v>
      </c>
      <c r="AQ229" s="29">
        <v>1</v>
      </c>
      <c r="AR229">
        <v>0</v>
      </c>
      <c r="AU229" s="29">
        <v>0.66</v>
      </c>
      <c r="AV229" s="12">
        <f t="shared" si="58"/>
        <v>0.33999999999999997</v>
      </c>
      <c r="AW229">
        <v>0</v>
      </c>
      <c r="AX229">
        <v>1</v>
      </c>
      <c r="AY229">
        <v>0</v>
      </c>
      <c r="AZ229" s="29" t="s">
        <v>394</v>
      </c>
      <c r="BN229" s="67">
        <v>43.86</v>
      </c>
      <c r="BO229">
        <v>0</v>
      </c>
      <c r="BP229">
        <v>0</v>
      </c>
      <c r="BQ229">
        <v>1</v>
      </c>
      <c r="BR229">
        <v>0</v>
      </c>
      <c r="BS229">
        <v>0</v>
      </c>
      <c r="BT229">
        <v>0</v>
      </c>
      <c r="BY229">
        <v>0</v>
      </c>
      <c r="BZ229" s="29">
        <v>0</v>
      </c>
      <c r="CA229">
        <v>0</v>
      </c>
      <c r="CB229">
        <v>0</v>
      </c>
      <c r="CC229" s="29">
        <v>1</v>
      </c>
      <c r="CD229">
        <v>1</v>
      </c>
      <c r="CE229">
        <v>0</v>
      </c>
      <c r="CF229">
        <v>0</v>
      </c>
      <c r="CG229">
        <v>0</v>
      </c>
      <c r="CH229">
        <v>0</v>
      </c>
      <c r="CI229">
        <v>1</v>
      </c>
      <c r="CJ229">
        <v>1</v>
      </c>
      <c r="CK229">
        <v>0</v>
      </c>
      <c r="CL229">
        <v>0</v>
      </c>
      <c r="CM229">
        <v>0</v>
      </c>
      <c r="CN229" s="17">
        <v>0</v>
      </c>
      <c r="CT229" t="s">
        <v>48</v>
      </c>
    </row>
    <row r="230" spans="1:98" x14ac:dyDescent="0.25">
      <c r="A230">
        <v>229</v>
      </c>
      <c r="B230">
        <v>13</v>
      </c>
      <c r="C230" t="s">
        <v>341</v>
      </c>
      <c r="D230" s="85">
        <v>2.7</v>
      </c>
      <c r="E230" s="6">
        <v>0.3</v>
      </c>
      <c r="F230" s="6">
        <f t="shared" si="43"/>
        <v>9.0000000000000018</v>
      </c>
      <c r="L230" s="84">
        <v>0</v>
      </c>
      <c r="M230" s="75">
        <v>0</v>
      </c>
      <c r="N230" s="75">
        <v>0</v>
      </c>
      <c r="O230" s="75">
        <v>1</v>
      </c>
      <c r="P230" s="75">
        <v>0</v>
      </c>
      <c r="Q230" s="84">
        <v>4984</v>
      </c>
      <c r="R230" s="75">
        <v>6</v>
      </c>
      <c r="S230" s="75">
        <f t="shared" si="40"/>
        <v>4977</v>
      </c>
      <c r="U230" s="6">
        <v>11.54</v>
      </c>
      <c r="V230" s="6">
        <f t="shared" si="59"/>
        <v>26.560000000000002</v>
      </c>
      <c r="W230" s="84">
        <v>1</v>
      </c>
      <c r="X230" s="75">
        <v>0</v>
      </c>
      <c r="Y230" s="84">
        <v>0</v>
      </c>
      <c r="Z230" s="75">
        <v>0</v>
      </c>
      <c r="AA230" s="75">
        <v>0</v>
      </c>
      <c r="AB230" s="75">
        <v>1</v>
      </c>
      <c r="AC230" s="84">
        <v>0</v>
      </c>
      <c r="AD230" s="75">
        <v>1</v>
      </c>
      <c r="AE230" s="75">
        <v>0</v>
      </c>
      <c r="AF230" s="84">
        <v>0</v>
      </c>
      <c r="AG230" s="75">
        <v>1</v>
      </c>
      <c r="AH230" s="74">
        <v>1990</v>
      </c>
      <c r="AI230" t="s">
        <v>61</v>
      </c>
      <c r="AJ230" t="s">
        <v>61</v>
      </c>
      <c r="AK230" t="s">
        <v>61</v>
      </c>
      <c r="AL230" t="s">
        <v>61</v>
      </c>
      <c r="AM230" s="29" t="s">
        <v>61</v>
      </c>
      <c r="AN230" t="s">
        <v>61</v>
      </c>
      <c r="AO230" s="29">
        <v>0.52</v>
      </c>
      <c r="AP230">
        <f t="shared" si="57"/>
        <v>0.48</v>
      </c>
      <c r="AQ230" s="29">
        <v>1</v>
      </c>
      <c r="AR230">
        <v>0</v>
      </c>
      <c r="AU230" s="29">
        <v>0.66</v>
      </c>
      <c r="AV230" s="12">
        <f t="shared" si="58"/>
        <v>0.33999999999999997</v>
      </c>
      <c r="AW230">
        <v>1</v>
      </c>
      <c r="AX230">
        <v>0</v>
      </c>
      <c r="AY230">
        <v>0</v>
      </c>
      <c r="AZ230" s="29" t="s">
        <v>394</v>
      </c>
      <c r="BN230" s="67">
        <v>44.1</v>
      </c>
      <c r="BO230">
        <v>0</v>
      </c>
      <c r="BP230">
        <v>0</v>
      </c>
      <c r="BQ230">
        <v>1</v>
      </c>
      <c r="BR230">
        <v>0</v>
      </c>
      <c r="BS230">
        <v>0</v>
      </c>
      <c r="BT230">
        <v>0</v>
      </c>
      <c r="BY230">
        <v>0</v>
      </c>
      <c r="BZ230" s="29">
        <v>0</v>
      </c>
      <c r="CA230">
        <v>0</v>
      </c>
      <c r="CB230">
        <v>0</v>
      </c>
      <c r="CC230" s="29">
        <v>1</v>
      </c>
      <c r="CD230">
        <v>1</v>
      </c>
      <c r="CE230">
        <v>0</v>
      </c>
      <c r="CF230">
        <v>0</v>
      </c>
      <c r="CG230">
        <v>0</v>
      </c>
      <c r="CH230">
        <v>0</v>
      </c>
      <c r="CI230">
        <v>1</v>
      </c>
      <c r="CJ230">
        <v>1</v>
      </c>
      <c r="CK230">
        <v>0</v>
      </c>
      <c r="CL230">
        <v>0</v>
      </c>
      <c r="CM230">
        <v>0</v>
      </c>
      <c r="CN230" s="17">
        <v>0</v>
      </c>
      <c r="CT230" t="s">
        <v>48</v>
      </c>
    </row>
    <row r="231" spans="1:98" x14ac:dyDescent="0.25">
      <c r="A231">
        <v>230</v>
      </c>
      <c r="B231">
        <v>13</v>
      </c>
      <c r="C231" t="s">
        <v>341</v>
      </c>
      <c r="D231" s="85">
        <v>4.4000000000000004</v>
      </c>
      <c r="E231" s="6">
        <v>0.2</v>
      </c>
      <c r="F231" s="6">
        <f t="shared" si="43"/>
        <v>22</v>
      </c>
      <c r="L231" s="84">
        <v>0</v>
      </c>
      <c r="M231" s="75">
        <v>0</v>
      </c>
      <c r="N231" s="75">
        <v>0</v>
      </c>
      <c r="O231" s="75">
        <v>1</v>
      </c>
      <c r="P231" s="75">
        <v>0</v>
      </c>
      <c r="Q231" s="84">
        <v>6736</v>
      </c>
      <c r="R231" s="75">
        <v>6</v>
      </c>
      <c r="S231" s="75">
        <f t="shared" si="40"/>
        <v>6729</v>
      </c>
      <c r="U231" s="6">
        <v>11.36</v>
      </c>
      <c r="V231" s="6">
        <f t="shared" si="59"/>
        <v>26.5</v>
      </c>
      <c r="W231" s="84">
        <v>1</v>
      </c>
      <c r="X231" s="75">
        <v>0</v>
      </c>
      <c r="Y231" s="84">
        <v>0</v>
      </c>
      <c r="Z231" s="75">
        <v>0</v>
      </c>
      <c r="AA231" s="75">
        <v>0</v>
      </c>
      <c r="AB231" s="75">
        <v>1</v>
      </c>
      <c r="AC231" s="84">
        <v>0</v>
      </c>
      <c r="AD231" s="75">
        <v>1</v>
      </c>
      <c r="AE231" s="75">
        <v>0</v>
      </c>
      <c r="AF231" s="84">
        <v>0</v>
      </c>
      <c r="AG231" s="75">
        <v>1</v>
      </c>
      <c r="AH231" s="74">
        <v>1990</v>
      </c>
      <c r="AI231" t="s">
        <v>61</v>
      </c>
      <c r="AJ231" t="s">
        <v>61</v>
      </c>
      <c r="AK231" t="s">
        <v>61</v>
      </c>
      <c r="AL231" t="s">
        <v>61</v>
      </c>
      <c r="AM231" s="29" t="s">
        <v>61</v>
      </c>
      <c r="AN231" t="s">
        <v>61</v>
      </c>
      <c r="AO231" s="29">
        <v>0.57999999999999996</v>
      </c>
      <c r="AP231">
        <f t="shared" si="57"/>
        <v>0.42000000000000004</v>
      </c>
      <c r="AQ231" s="29">
        <v>1</v>
      </c>
      <c r="AR231">
        <v>0</v>
      </c>
      <c r="AU231" s="29">
        <v>0.66</v>
      </c>
      <c r="AV231" s="12">
        <f t="shared" si="58"/>
        <v>0.33999999999999997</v>
      </c>
      <c r="AW231">
        <v>0</v>
      </c>
      <c r="AX231">
        <v>1</v>
      </c>
      <c r="AY231">
        <v>0</v>
      </c>
      <c r="AZ231" s="29" t="s">
        <v>394</v>
      </c>
      <c r="BN231" s="67">
        <v>43.86</v>
      </c>
      <c r="BO231">
        <v>0</v>
      </c>
      <c r="BP231">
        <v>0</v>
      </c>
      <c r="BQ231">
        <v>1</v>
      </c>
      <c r="BR231">
        <v>0</v>
      </c>
      <c r="BS231">
        <v>0</v>
      </c>
      <c r="BT231">
        <v>0</v>
      </c>
      <c r="BY231">
        <v>0</v>
      </c>
      <c r="BZ231" s="29">
        <v>0</v>
      </c>
      <c r="CA231">
        <v>0</v>
      </c>
      <c r="CB231">
        <v>0</v>
      </c>
      <c r="CC231" s="29">
        <v>1</v>
      </c>
      <c r="CD231">
        <v>1</v>
      </c>
      <c r="CE231">
        <v>0</v>
      </c>
      <c r="CF231">
        <v>0</v>
      </c>
      <c r="CG231">
        <v>0</v>
      </c>
      <c r="CH231">
        <v>0</v>
      </c>
      <c r="CI231">
        <v>1</v>
      </c>
      <c r="CJ231">
        <v>1</v>
      </c>
      <c r="CK231">
        <v>0</v>
      </c>
      <c r="CL231">
        <v>0</v>
      </c>
      <c r="CM231">
        <v>0</v>
      </c>
      <c r="CN231" s="17">
        <v>0</v>
      </c>
      <c r="CT231" t="s">
        <v>48</v>
      </c>
    </row>
    <row r="232" spans="1:98" x14ac:dyDescent="0.25">
      <c r="A232">
        <v>231</v>
      </c>
      <c r="B232">
        <v>13</v>
      </c>
      <c r="C232" t="s">
        <v>341</v>
      </c>
      <c r="D232" s="85">
        <v>3.7</v>
      </c>
      <c r="E232" s="6">
        <v>0.4</v>
      </c>
      <c r="F232" s="6">
        <f t="shared" si="43"/>
        <v>9.25</v>
      </c>
      <c r="L232" s="84">
        <v>0</v>
      </c>
      <c r="M232" s="75">
        <v>0</v>
      </c>
      <c r="N232" s="75">
        <v>0</v>
      </c>
      <c r="O232" s="75">
        <v>1</v>
      </c>
      <c r="P232" s="75">
        <v>0</v>
      </c>
      <c r="Q232" s="84">
        <v>4984</v>
      </c>
      <c r="R232" s="75">
        <v>6</v>
      </c>
      <c r="S232" s="75">
        <f t="shared" si="40"/>
        <v>4977</v>
      </c>
      <c r="U232" s="6">
        <v>11.54</v>
      </c>
      <c r="V232" s="6">
        <f t="shared" si="59"/>
        <v>26.560000000000002</v>
      </c>
      <c r="W232" s="84">
        <v>1</v>
      </c>
      <c r="X232" s="75">
        <v>0</v>
      </c>
      <c r="Y232" s="84">
        <v>0</v>
      </c>
      <c r="Z232" s="75">
        <v>0</v>
      </c>
      <c r="AA232" s="75">
        <v>0</v>
      </c>
      <c r="AB232" s="75">
        <v>1</v>
      </c>
      <c r="AC232" s="84">
        <v>0</v>
      </c>
      <c r="AD232" s="75">
        <v>1</v>
      </c>
      <c r="AE232" s="75">
        <v>0</v>
      </c>
      <c r="AF232" s="84">
        <v>0</v>
      </c>
      <c r="AG232" s="75">
        <v>1</v>
      </c>
      <c r="AH232" s="74">
        <v>1990</v>
      </c>
      <c r="AI232" t="s">
        <v>61</v>
      </c>
      <c r="AJ232" t="s">
        <v>61</v>
      </c>
      <c r="AK232" t="s">
        <v>61</v>
      </c>
      <c r="AL232" t="s">
        <v>61</v>
      </c>
      <c r="AM232" s="29" t="s">
        <v>61</v>
      </c>
      <c r="AN232" t="s">
        <v>61</v>
      </c>
      <c r="AO232" s="29">
        <v>0.52</v>
      </c>
      <c r="AP232">
        <f t="shared" si="57"/>
        <v>0.48</v>
      </c>
      <c r="AQ232" s="29">
        <v>1</v>
      </c>
      <c r="AR232">
        <v>0</v>
      </c>
      <c r="AU232" s="29">
        <v>0.66</v>
      </c>
      <c r="AV232" s="12">
        <f t="shared" si="58"/>
        <v>0.33999999999999997</v>
      </c>
      <c r="AW232">
        <v>1</v>
      </c>
      <c r="AX232">
        <v>0</v>
      </c>
      <c r="AY232">
        <v>0</v>
      </c>
      <c r="AZ232" s="29" t="s">
        <v>394</v>
      </c>
      <c r="BN232" s="67">
        <v>44.1</v>
      </c>
      <c r="BO232">
        <v>0</v>
      </c>
      <c r="BP232">
        <v>0</v>
      </c>
      <c r="BQ232">
        <v>1</v>
      </c>
      <c r="BR232">
        <v>0</v>
      </c>
      <c r="BS232">
        <v>0</v>
      </c>
      <c r="BT232">
        <v>0</v>
      </c>
      <c r="BY232">
        <v>0</v>
      </c>
      <c r="BZ232" s="29">
        <v>0</v>
      </c>
      <c r="CA232">
        <v>0</v>
      </c>
      <c r="CB232">
        <v>0</v>
      </c>
      <c r="CC232" s="29">
        <v>1</v>
      </c>
      <c r="CD232">
        <v>1</v>
      </c>
      <c r="CE232">
        <v>0</v>
      </c>
      <c r="CF232">
        <v>0</v>
      </c>
      <c r="CG232">
        <v>0</v>
      </c>
      <c r="CH232">
        <v>0</v>
      </c>
      <c r="CI232">
        <v>1</v>
      </c>
      <c r="CJ232">
        <v>1</v>
      </c>
      <c r="CK232">
        <v>0</v>
      </c>
      <c r="CL232">
        <v>0</v>
      </c>
      <c r="CM232">
        <v>0</v>
      </c>
      <c r="CN232" s="17">
        <v>0</v>
      </c>
      <c r="CT232" t="s">
        <v>48</v>
      </c>
    </row>
    <row r="233" spans="1:98" x14ac:dyDescent="0.25">
      <c r="A233">
        <v>232</v>
      </c>
      <c r="B233">
        <v>13</v>
      </c>
      <c r="C233" t="s">
        <v>341</v>
      </c>
      <c r="D233" s="85">
        <v>5</v>
      </c>
      <c r="E233" s="6">
        <v>0.2</v>
      </c>
      <c r="F233" s="6">
        <f t="shared" si="43"/>
        <v>25</v>
      </c>
      <c r="L233" s="84">
        <v>0</v>
      </c>
      <c r="M233" s="75">
        <v>0</v>
      </c>
      <c r="N233" s="75">
        <v>0</v>
      </c>
      <c r="O233" s="75">
        <v>1</v>
      </c>
      <c r="P233" s="75">
        <v>0</v>
      </c>
      <c r="Q233" s="84">
        <v>6736</v>
      </c>
      <c r="R233" s="75">
        <v>6</v>
      </c>
      <c r="S233" s="75">
        <f t="shared" si="40"/>
        <v>6729</v>
      </c>
      <c r="U233" s="6">
        <v>11.36</v>
      </c>
      <c r="V233" s="6">
        <f t="shared" si="59"/>
        <v>26.5</v>
      </c>
      <c r="W233" s="84">
        <v>1</v>
      </c>
      <c r="X233" s="75">
        <v>0</v>
      </c>
      <c r="Y233" s="84">
        <v>0</v>
      </c>
      <c r="Z233" s="75">
        <v>0</v>
      </c>
      <c r="AA233" s="75">
        <v>0</v>
      </c>
      <c r="AB233" s="75">
        <v>1</v>
      </c>
      <c r="AC233" s="84">
        <v>0</v>
      </c>
      <c r="AD233" s="75">
        <v>1</v>
      </c>
      <c r="AE233" s="75">
        <v>0</v>
      </c>
      <c r="AF233" s="84">
        <v>0</v>
      </c>
      <c r="AG233" s="75">
        <v>1</v>
      </c>
      <c r="AH233" s="74">
        <v>1990</v>
      </c>
      <c r="AI233" t="s">
        <v>61</v>
      </c>
      <c r="AJ233" t="s">
        <v>61</v>
      </c>
      <c r="AK233" t="s">
        <v>61</v>
      </c>
      <c r="AL233" t="s">
        <v>61</v>
      </c>
      <c r="AM233" s="29" t="s">
        <v>61</v>
      </c>
      <c r="AN233" t="s">
        <v>61</v>
      </c>
      <c r="AO233" s="29">
        <v>0.57999999999999996</v>
      </c>
      <c r="AP233">
        <f t="shared" si="57"/>
        <v>0.42000000000000004</v>
      </c>
      <c r="AQ233" s="29">
        <v>1</v>
      </c>
      <c r="AR233">
        <v>0</v>
      </c>
      <c r="AU233" s="29">
        <v>0.66</v>
      </c>
      <c r="AV233" s="12">
        <f t="shared" si="58"/>
        <v>0.33999999999999997</v>
      </c>
      <c r="AW233">
        <v>0</v>
      </c>
      <c r="AX233">
        <v>1</v>
      </c>
      <c r="AY233">
        <v>0</v>
      </c>
      <c r="AZ233" s="29" t="s">
        <v>394</v>
      </c>
      <c r="BN233" s="67">
        <v>43.86</v>
      </c>
      <c r="BO233">
        <v>0</v>
      </c>
      <c r="BP233">
        <v>0</v>
      </c>
      <c r="BQ233">
        <v>1</v>
      </c>
      <c r="BR233">
        <v>0</v>
      </c>
      <c r="BS233">
        <v>0</v>
      </c>
      <c r="BT233">
        <v>0</v>
      </c>
      <c r="BY233">
        <v>0</v>
      </c>
      <c r="BZ233" s="29">
        <v>0</v>
      </c>
      <c r="CA233">
        <v>0</v>
      </c>
      <c r="CB233">
        <v>0</v>
      </c>
      <c r="CC233" s="29">
        <v>1</v>
      </c>
      <c r="CD233">
        <v>1</v>
      </c>
      <c r="CE233">
        <v>0</v>
      </c>
      <c r="CF233">
        <v>0</v>
      </c>
      <c r="CG233">
        <v>0</v>
      </c>
      <c r="CH233">
        <v>0</v>
      </c>
      <c r="CI233">
        <v>1</v>
      </c>
      <c r="CJ233">
        <v>1</v>
      </c>
      <c r="CK233">
        <v>0</v>
      </c>
      <c r="CL233">
        <v>0</v>
      </c>
      <c r="CM233">
        <v>0</v>
      </c>
      <c r="CN233" s="17">
        <v>0</v>
      </c>
      <c r="CT233" t="s">
        <v>48</v>
      </c>
    </row>
    <row r="234" spans="1:98" x14ac:dyDescent="0.25">
      <c r="A234">
        <v>233</v>
      </c>
      <c r="B234">
        <v>13</v>
      </c>
      <c r="C234" t="s">
        <v>341</v>
      </c>
      <c r="D234" s="85">
        <v>4.2</v>
      </c>
      <c r="E234" s="6">
        <v>0.5</v>
      </c>
      <c r="F234" s="6">
        <f t="shared" si="43"/>
        <v>8.4</v>
      </c>
      <c r="L234" s="84">
        <v>0</v>
      </c>
      <c r="M234" s="75">
        <v>0</v>
      </c>
      <c r="N234" s="75">
        <v>0</v>
      </c>
      <c r="O234" s="75">
        <v>1</v>
      </c>
      <c r="P234" s="75">
        <v>0</v>
      </c>
      <c r="Q234" s="84">
        <v>4984</v>
      </c>
      <c r="R234" s="75">
        <v>6</v>
      </c>
      <c r="S234" s="75">
        <f t="shared" si="40"/>
        <v>4977</v>
      </c>
      <c r="U234" s="6">
        <v>11.54</v>
      </c>
      <c r="V234" s="6">
        <f t="shared" si="59"/>
        <v>26.560000000000002</v>
      </c>
      <c r="W234" s="84">
        <v>1</v>
      </c>
      <c r="X234" s="75">
        <v>0</v>
      </c>
      <c r="Y234" s="84">
        <v>0</v>
      </c>
      <c r="Z234" s="75">
        <v>0</v>
      </c>
      <c r="AA234" s="75">
        <v>0</v>
      </c>
      <c r="AB234" s="75">
        <v>1</v>
      </c>
      <c r="AC234" s="84">
        <v>0</v>
      </c>
      <c r="AD234" s="75">
        <v>1</v>
      </c>
      <c r="AE234" s="75">
        <v>0</v>
      </c>
      <c r="AF234" s="84">
        <v>0</v>
      </c>
      <c r="AG234" s="75">
        <v>1</v>
      </c>
      <c r="AH234" s="74">
        <v>1990</v>
      </c>
      <c r="AI234" t="s">
        <v>61</v>
      </c>
      <c r="AJ234" t="s">
        <v>61</v>
      </c>
      <c r="AK234" t="s">
        <v>61</v>
      </c>
      <c r="AL234" t="s">
        <v>61</v>
      </c>
      <c r="AM234" s="29" t="s">
        <v>61</v>
      </c>
      <c r="AN234" t="s">
        <v>61</v>
      </c>
      <c r="AO234" s="29">
        <v>0.52</v>
      </c>
      <c r="AP234">
        <f t="shared" si="57"/>
        <v>0.48</v>
      </c>
      <c r="AQ234" s="29">
        <v>1</v>
      </c>
      <c r="AR234">
        <v>0</v>
      </c>
      <c r="AU234" s="29">
        <v>0.66</v>
      </c>
      <c r="AV234" s="12">
        <f t="shared" si="58"/>
        <v>0.33999999999999997</v>
      </c>
      <c r="AW234">
        <v>1</v>
      </c>
      <c r="AX234">
        <v>0</v>
      </c>
      <c r="AY234">
        <v>0</v>
      </c>
      <c r="AZ234" s="29" t="s">
        <v>394</v>
      </c>
      <c r="BN234" s="67">
        <v>44.1</v>
      </c>
      <c r="BO234">
        <v>0</v>
      </c>
      <c r="BP234">
        <v>0</v>
      </c>
      <c r="BQ234">
        <v>1</v>
      </c>
      <c r="BR234">
        <v>0</v>
      </c>
      <c r="BS234">
        <v>0</v>
      </c>
      <c r="BT234">
        <v>0</v>
      </c>
      <c r="BY234">
        <v>0</v>
      </c>
      <c r="BZ234" s="29">
        <v>0</v>
      </c>
      <c r="CA234">
        <v>0</v>
      </c>
      <c r="CB234">
        <v>0</v>
      </c>
      <c r="CC234" s="29">
        <v>1</v>
      </c>
      <c r="CD234">
        <v>1</v>
      </c>
      <c r="CE234">
        <v>0</v>
      </c>
      <c r="CF234">
        <v>0</v>
      </c>
      <c r="CG234">
        <v>0</v>
      </c>
      <c r="CH234">
        <v>0</v>
      </c>
      <c r="CI234">
        <v>1</v>
      </c>
      <c r="CJ234">
        <v>1</v>
      </c>
      <c r="CK234">
        <v>0</v>
      </c>
      <c r="CL234">
        <v>0</v>
      </c>
      <c r="CM234">
        <v>0</v>
      </c>
      <c r="CN234" s="17">
        <v>0</v>
      </c>
      <c r="CT234" t="s">
        <v>48</v>
      </c>
    </row>
    <row r="235" spans="1:98" x14ac:dyDescent="0.25">
      <c r="A235">
        <v>234</v>
      </c>
      <c r="B235">
        <v>13</v>
      </c>
      <c r="C235" t="s">
        <v>341</v>
      </c>
      <c r="D235" s="85">
        <v>5.3</v>
      </c>
      <c r="E235" s="6">
        <v>0.3</v>
      </c>
      <c r="F235" s="6">
        <f t="shared" si="43"/>
        <v>17.666666666666668</v>
      </c>
      <c r="L235" s="84">
        <v>0</v>
      </c>
      <c r="M235" s="75">
        <v>0</v>
      </c>
      <c r="N235" s="75">
        <v>0</v>
      </c>
      <c r="O235" s="75">
        <v>1</v>
      </c>
      <c r="P235" s="75">
        <v>0</v>
      </c>
      <c r="Q235" s="84">
        <v>6736</v>
      </c>
      <c r="R235" s="75">
        <v>6</v>
      </c>
      <c r="S235" s="75">
        <f t="shared" si="40"/>
        <v>6729</v>
      </c>
      <c r="U235" s="6">
        <v>11.36</v>
      </c>
      <c r="V235" s="6">
        <f t="shared" si="59"/>
        <v>26.5</v>
      </c>
      <c r="W235" s="84">
        <v>1</v>
      </c>
      <c r="X235" s="75">
        <v>0</v>
      </c>
      <c r="Y235" s="84">
        <v>0</v>
      </c>
      <c r="Z235" s="75">
        <v>0</v>
      </c>
      <c r="AA235" s="75">
        <v>0</v>
      </c>
      <c r="AB235" s="75">
        <v>1</v>
      </c>
      <c r="AC235" s="84">
        <v>0</v>
      </c>
      <c r="AD235" s="75">
        <v>1</v>
      </c>
      <c r="AE235" s="75">
        <v>0</v>
      </c>
      <c r="AF235" s="84">
        <v>0</v>
      </c>
      <c r="AG235" s="75">
        <v>1</v>
      </c>
      <c r="AH235" s="74">
        <v>1990</v>
      </c>
      <c r="AI235" t="s">
        <v>61</v>
      </c>
      <c r="AJ235" t="s">
        <v>61</v>
      </c>
      <c r="AK235" t="s">
        <v>61</v>
      </c>
      <c r="AL235" t="s">
        <v>61</v>
      </c>
      <c r="AM235" s="29" t="s">
        <v>61</v>
      </c>
      <c r="AN235" t="s">
        <v>61</v>
      </c>
      <c r="AO235" s="29">
        <v>0.57999999999999996</v>
      </c>
      <c r="AP235">
        <f t="shared" si="57"/>
        <v>0.42000000000000004</v>
      </c>
      <c r="AQ235" s="29">
        <v>1</v>
      </c>
      <c r="AR235">
        <v>0</v>
      </c>
      <c r="AU235" s="29">
        <v>0.66</v>
      </c>
      <c r="AV235" s="12">
        <f t="shared" si="58"/>
        <v>0.33999999999999997</v>
      </c>
      <c r="AW235">
        <v>0</v>
      </c>
      <c r="AX235">
        <v>1</v>
      </c>
      <c r="AY235">
        <v>0</v>
      </c>
      <c r="AZ235" s="29" t="s">
        <v>394</v>
      </c>
      <c r="BN235" s="67">
        <v>43.86</v>
      </c>
      <c r="BO235">
        <v>0</v>
      </c>
      <c r="BP235">
        <v>0</v>
      </c>
      <c r="BQ235">
        <v>1</v>
      </c>
      <c r="BR235">
        <v>0</v>
      </c>
      <c r="BS235">
        <v>0</v>
      </c>
      <c r="BT235">
        <v>0</v>
      </c>
      <c r="BY235">
        <v>0</v>
      </c>
      <c r="BZ235" s="29">
        <v>0</v>
      </c>
      <c r="CA235">
        <v>0</v>
      </c>
      <c r="CB235">
        <v>0</v>
      </c>
      <c r="CC235" s="29">
        <v>1</v>
      </c>
      <c r="CD235">
        <v>1</v>
      </c>
      <c r="CE235">
        <v>0</v>
      </c>
      <c r="CF235">
        <v>0</v>
      </c>
      <c r="CG235">
        <v>0</v>
      </c>
      <c r="CH235">
        <v>0</v>
      </c>
      <c r="CI235">
        <v>1</v>
      </c>
      <c r="CJ235">
        <v>1</v>
      </c>
      <c r="CK235">
        <v>0</v>
      </c>
      <c r="CL235">
        <v>0</v>
      </c>
      <c r="CM235">
        <v>0</v>
      </c>
      <c r="CN235" s="17">
        <v>0</v>
      </c>
      <c r="CT235" t="s">
        <v>48</v>
      </c>
    </row>
    <row r="236" spans="1:98" x14ac:dyDescent="0.25">
      <c r="A236">
        <v>235</v>
      </c>
      <c r="B236">
        <v>13</v>
      </c>
      <c r="C236" t="s">
        <v>341</v>
      </c>
      <c r="D236" s="85">
        <v>6</v>
      </c>
      <c r="E236" s="6">
        <v>0.7</v>
      </c>
      <c r="F236" s="6">
        <f t="shared" si="43"/>
        <v>8.5714285714285712</v>
      </c>
      <c r="L236" s="84">
        <v>0</v>
      </c>
      <c r="M236" s="75">
        <v>0</v>
      </c>
      <c r="N236" s="75">
        <v>0</v>
      </c>
      <c r="O236" s="75">
        <v>1</v>
      </c>
      <c r="P236" s="75">
        <v>0</v>
      </c>
      <c r="Q236" s="84">
        <v>4984</v>
      </c>
      <c r="R236" s="75">
        <v>6</v>
      </c>
      <c r="S236" s="75">
        <f t="shared" si="40"/>
        <v>4977</v>
      </c>
      <c r="U236" s="6">
        <v>11.54</v>
      </c>
      <c r="V236" s="6">
        <f t="shared" si="59"/>
        <v>26.560000000000002</v>
      </c>
      <c r="W236" s="84">
        <v>1</v>
      </c>
      <c r="X236" s="75">
        <v>0</v>
      </c>
      <c r="Y236" s="84">
        <v>0</v>
      </c>
      <c r="Z236" s="75">
        <v>0</v>
      </c>
      <c r="AA236" s="75">
        <v>0</v>
      </c>
      <c r="AB236" s="75">
        <v>1</v>
      </c>
      <c r="AC236" s="84">
        <v>0</v>
      </c>
      <c r="AD236" s="75">
        <v>1</v>
      </c>
      <c r="AE236" s="75">
        <v>0</v>
      </c>
      <c r="AF236" s="84">
        <v>0</v>
      </c>
      <c r="AG236" s="75">
        <v>1</v>
      </c>
      <c r="AH236" s="74">
        <v>1990</v>
      </c>
      <c r="AI236" t="s">
        <v>61</v>
      </c>
      <c r="AJ236" t="s">
        <v>61</v>
      </c>
      <c r="AK236" t="s">
        <v>61</v>
      </c>
      <c r="AL236" t="s">
        <v>61</v>
      </c>
      <c r="AM236" s="29" t="s">
        <v>61</v>
      </c>
      <c r="AN236" t="s">
        <v>61</v>
      </c>
      <c r="AO236" s="29">
        <v>0.52</v>
      </c>
      <c r="AP236">
        <f t="shared" si="57"/>
        <v>0.48</v>
      </c>
      <c r="AQ236" s="29">
        <v>1</v>
      </c>
      <c r="AR236">
        <v>0</v>
      </c>
      <c r="AU236" s="29">
        <v>0.66</v>
      </c>
      <c r="AV236" s="12">
        <f t="shared" si="58"/>
        <v>0.33999999999999997</v>
      </c>
      <c r="AW236">
        <v>1</v>
      </c>
      <c r="AX236">
        <v>0</v>
      </c>
      <c r="AY236">
        <v>0</v>
      </c>
      <c r="AZ236" s="29" t="s">
        <v>394</v>
      </c>
      <c r="BN236" s="67">
        <v>44.1</v>
      </c>
      <c r="BO236">
        <v>0</v>
      </c>
      <c r="BP236">
        <v>0</v>
      </c>
      <c r="BQ236">
        <v>1</v>
      </c>
      <c r="BR236">
        <v>0</v>
      </c>
      <c r="BS236">
        <v>0</v>
      </c>
      <c r="BT236">
        <v>0</v>
      </c>
      <c r="BY236">
        <v>0</v>
      </c>
      <c r="BZ236" s="29">
        <v>0</v>
      </c>
      <c r="CA236">
        <v>0</v>
      </c>
      <c r="CB236">
        <v>0</v>
      </c>
      <c r="CC236" s="29">
        <v>1</v>
      </c>
      <c r="CD236">
        <v>1</v>
      </c>
      <c r="CE236">
        <v>0</v>
      </c>
      <c r="CF236">
        <v>0</v>
      </c>
      <c r="CG236">
        <v>0</v>
      </c>
      <c r="CH236">
        <v>0</v>
      </c>
      <c r="CI236">
        <v>1</v>
      </c>
      <c r="CJ236">
        <v>1</v>
      </c>
      <c r="CK236">
        <v>0</v>
      </c>
      <c r="CL236">
        <v>0</v>
      </c>
      <c r="CM236">
        <v>0</v>
      </c>
      <c r="CN236" s="17">
        <v>0</v>
      </c>
      <c r="CT236" t="s">
        <v>48</v>
      </c>
    </row>
    <row r="237" spans="1:98" x14ac:dyDescent="0.25">
      <c r="A237">
        <v>236</v>
      </c>
      <c r="B237">
        <v>13</v>
      </c>
      <c r="C237" t="s">
        <v>341</v>
      </c>
      <c r="D237" s="85">
        <v>6</v>
      </c>
      <c r="E237" s="6">
        <v>0.3</v>
      </c>
      <c r="F237" s="6">
        <f t="shared" si="43"/>
        <v>20</v>
      </c>
      <c r="L237" s="84">
        <v>0</v>
      </c>
      <c r="M237" s="75">
        <v>0</v>
      </c>
      <c r="N237" s="75">
        <v>0</v>
      </c>
      <c r="O237" s="75">
        <v>1</v>
      </c>
      <c r="P237" s="75">
        <v>0</v>
      </c>
      <c r="Q237" s="84">
        <v>6736</v>
      </c>
      <c r="R237" s="75">
        <v>6</v>
      </c>
      <c r="S237" s="75">
        <f t="shared" si="40"/>
        <v>6729</v>
      </c>
      <c r="U237" s="6">
        <v>11.36</v>
      </c>
      <c r="V237" s="6">
        <f t="shared" si="59"/>
        <v>26.5</v>
      </c>
      <c r="W237" s="84">
        <v>1</v>
      </c>
      <c r="X237" s="75">
        <v>0</v>
      </c>
      <c r="Y237" s="84">
        <v>0</v>
      </c>
      <c r="Z237" s="75">
        <v>0</v>
      </c>
      <c r="AA237" s="75">
        <v>0</v>
      </c>
      <c r="AB237" s="75">
        <v>1</v>
      </c>
      <c r="AC237" s="84">
        <v>0</v>
      </c>
      <c r="AD237" s="75">
        <v>1</v>
      </c>
      <c r="AE237" s="75">
        <v>0</v>
      </c>
      <c r="AF237" s="84">
        <v>0</v>
      </c>
      <c r="AG237" s="75">
        <v>1</v>
      </c>
      <c r="AH237" s="74">
        <v>1990</v>
      </c>
      <c r="AI237" t="s">
        <v>61</v>
      </c>
      <c r="AJ237" t="s">
        <v>61</v>
      </c>
      <c r="AK237" t="s">
        <v>61</v>
      </c>
      <c r="AL237" t="s">
        <v>61</v>
      </c>
      <c r="AM237" s="29" t="s">
        <v>61</v>
      </c>
      <c r="AN237" t="s">
        <v>61</v>
      </c>
      <c r="AO237" s="29">
        <v>0.57999999999999996</v>
      </c>
      <c r="AP237">
        <f t="shared" si="57"/>
        <v>0.42000000000000004</v>
      </c>
      <c r="AQ237" s="29">
        <v>1</v>
      </c>
      <c r="AR237">
        <v>0</v>
      </c>
      <c r="AU237" s="29">
        <v>0.66</v>
      </c>
      <c r="AV237" s="12">
        <f t="shared" si="58"/>
        <v>0.33999999999999997</v>
      </c>
      <c r="AW237">
        <v>0</v>
      </c>
      <c r="AX237">
        <v>1</v>
      </c>
      <c r="AY237">
        <v>0</v>
      </c>
      <c r="AZ237" s="29" t="s">
        <v>394</v>
      </c>
      <c r="BN237" s="67">
        <v>43.86</v>
      </c>
      <c r="BO237">
        <v>0</v>
      </c>
      <c r="BP237">
        <v>0</v>
      </c>
      <c r="BQ237">
        <v>1</v>
      </c>
      <c r="BR237">
        <v>0</v>
      </c>
      <c r="BS237">
        <v>0</v>
      </c>
      <c r="BT237">
        <v>0</v>
      </c>
      <c r="BY237">
        <v>0</v>
      </c>
      <c r="BZ237" s="29">
        <v>0</v>
      </c>
      <c r="CA237">
        <v>0</v>
      </c>
      <c r="CB237">
        <v>0</v>
      </c>
      <c r="CC237" s="29">
        <v>1</v>
      </c>
      <c r="CD237">
        <v>1</v>
      </c>
      <c r="CE237">
        <v>0</v>
      </c>
      <c r="CF237">
        <v>0</v>
      </c>
      <c r="CG237">
        <v>0</v>
      </c>
      <c r="CH237">
        <v>0</v>
      </c>
      <c r="CI237">
        <v>1</v>
      </c>
      <c r="CJ237">
        <v>1</v>
      </c>
      <c r="CK237">
        <v>0</v>
      </c>
      <c r="CL237">
        <v>0</v>
      </c>
      <c r="CM237">
        <v>0</v>
      </c>
      <c r="CN237" s="17">
        <v>0</v>
      </c>
      <c r="CT237" t="s">
        <v>48</v>
      </c>
    </row>
    <row r="238" spans="1:98" x14ac:dyDescent="0.25">
      <c r="A238">
        <v>237</v>
      </c>
      <c r="B238">
        <v>14</v>
      </c>
      <c r="C238" t="s">
        <v>395</v>
      </c>
      <c r="U238" s="6"/>
      <c r="V238" s="6"/>
      <c r="CT238" t="s">
        <v>48</v>
      </c>
    </row>
    <row r="239" spans="1:98" x14ac:dyDescent="0.25">
      <c r="A239">
        <v>238</v>
      </c>
      <c r="B239">
        <v>14</v>
      </c>
      <c r="C239" t="s">
        <v>395</v>
      </c>
      <c r="U239" s="6"/>
      <c r="V239" s="6"/>
      <c r="CT239" t="s">
        <v>48</v>
      </c>
    </row>
    <row r="240" spans="1:98" x14ac:dyDescent="0.25">
      <c r="A240">
        <v>239</v>
      </c>
      <c r="U240" s="6"/>
      <c r="V240" s="6"/>
      <c r="CT240" t="s">
        <v>48</v>
      </c>
    </row>
    <row r="241" spans="1:98" x14ac:dyDescent="0.25">
      <c r="A241">
        <v>240</v>
      </c>
      <c r="U241" s="6"/>
      <c r="V241" s="6"/>
      <c r="CT241" t="s">
        <v>48</v>
      </c>
    </row>
    <row r="242" spans="1:98" x14ac:dyDescent="0.25">
      <c r="A242">
        <v>241</v>
      </c>
      <c r="U242" s="6"/>
      <c r="V242" s="6"/>
      <c r="CT242" t="s">
        <v>48</v>
      </c>
    </row>
    <row r="243" spans="1:98" x14ac:dyDescent="0.25">
      <c r="A243">
        <v>242</v>
      </c>
      <c r="U243" s="6"/>
      <c r="V243" s="6"/>
      <c r="CT243" t="s">
        <v>48</v>
      </c>
    </row>
    <row r="244" spans="1:98" x14ac:dyDescent="0.25">
      <c r="A244">
        <v>243</v>
      </c>
      <c r="U244" s="6"/>
      <c r="V244" s="6"/>
      <c r="CT244" t="s">
        <v>48</v>
      </c>
    </row>
    <row r="245" spans="1:98" x14ac:dyDescent="0.25">
      <c r="A245">
        <v>244</v>
      </c>
      <c r="U245" s="6"/>
      <c r="V245" s="6"/>
      <c r="CT245" t="s">
        <v>48</v>
      </c>
    </row>
    <row r="246" spans="1:98" x14ac:dyDescent="0.25">
      <c r="A246">
        <v>245</v>
      </c>
      <c r="U246" s="6"/>
      <c r="V246" s="6"/>
      <c r="CT246" t="s">
        <v>48</v>
      </c>
    </row>
    <row r="247" spans="1:98" x14ac:dyDescent="0.25">
      <c r="A247">
        <v>246</v>
      </c>
      <c r="U247" s="6"/>
      <c r="V247" s="6"/>
      <c r="CT247" t="s">
        <v>48</v>
      </c>
    </row>
    <row r="248" spans="1:98" x14ac:dyDescent="0.25">
      <c r="A248">
        <v>247</v>
      </c>
      <c r="U248" s="6"/>
      <c r="V248" s="6"/>
      <c r="CT248" t="s">
        <v>48</v>
      </c>
    </row>
    <row r="249" spans="1:98" x14ac:dyDescent="0.25">
      <c r="A249">
        <v>248</v>
      </c>
      <c r="U249" s="6"/>
      <c r="V249" s="6"/>
      <c r="CT249" t="s">
        <v>48</v>
      </c>
    </row>
    <row r="250" spans="1:98" x14ac:dyDescent="0.25">
      <c r="A250">
        <v>249</v>
      </c>
      <c r="U250" s="6"/>
      <c r="V250" s="6"/>
      <c r="CT250" t="s">
        <v>48</v>
      </c>
    </row>
    <row r="251" spans="1:98" x14ac:dyDescent="0.25">
      <c r="A251">
        <v>250</v>
      </c>
      <c r="U251" s="6"/>
      <c r="V251" s="6"/>
      <c r="CT251" t="s">
        <v>48</v>
      </c>
    </row>
    <row r="252" spans="1:98" x14ac:dyDescent="0.25">
      <c r="A252">
        <v>251</v>
      </c>
      <c r="U252" s="6"/>
      <c r="V252" s="6"/>
      <c r="CT252" t="s">
        <v>48</v>
      </c>
    </row>
    <row r="253" spans="1:98" x14ac:dyDescent="0.25">
      <c r="A253">
        <v>252</v>
      </c>
      <c r="U253" s="6"/>
      <c r="V253" s="6"/>
      <c r="CT253" t="s">
        <v>48</v>
      </c>
    </row>
    <row r="254" spans="1:98" x14ac:dyDescent="0.25">
      <c r="A254">
        <v>253</v>
      </c>
      <c r="U254" s="6"/>
      <c r="V254" s="6"/>
      <c r="CT254" t="s">
        <v>48</v>
      </c>
    </row>
    <row r="255" spans="1:98" x14ac:dyDescent="0.25">
      <c r="A255">
        <v>254</v>
      </c>
      <c r="U255" s="6"/>
      <c r="V255" s="6"/>
      <c r="CT255" t="s">
        <v>48</v>
      </c>
    </row>
    <row r="256" spans="1:98" x14ac:dyDescent="0.25">
      <c r="A256">
        <v>255</v>
      </c>
      <c r="U256" s="6"/>
      <c r="V256" s="6"/>
      <c r="CT256" t="s">
        <v>48</v>
      </c>
    </row>
    <row r="257" spans="1:98" x14ac:dyDescent="0.25">
      <c r="A257">
        <v>256</v>
      </c>
      <c r="U257" s="6"/>
      <c r="V257" s="6"/>
      <c r="CT257" t="s">
        <v>48</v>
      </c>
    </row>
    <row r="258" spans="1:98" x14ac:dyDescent="0.25">
      <c r="A258">
        <v>257</v>
      </c>
      <c r="U258" s="6"/>
      <c r="V258" s="6"/>
      <c r="CT258" t="s">
        <v>48</v>
      </c>
    </row>
    <row r="259" spans="1:98" x14ac:dyDescent="0.25">
      <c r="A259">
        <v>258</v>
      </c>
      <c r="U259" s="6"/>
      <c r="V259" s="6"/>
      <c r="CT259" t="s">
        <v>48</v>
      </c>
    </row>
    <row r="260" spans="1:98" x14ac:dyDescent="0.25">
      <c r="A260">
        <v>259</v>
      </c>
      <c r="U260" s="6"/>
      <c r="V260" s="6"/>
      <c r="CT260" t="s">
        <v>48</v>
      </c>
    </row>
    <row r="261" spans="1:98" x14ac:dyDescent="0.25">
      <c r="A261">
        <v>260</v>
      </c>
      <c r="U261" s="6"/>
      <c r="V261" s="6"/>
      <c r="CT261" t="s">
        <v>48</v>
      </c>
    </row>
    <row r="262" spans="1:98" x14ac:dyDescent="0.25">
      <c r="A262">
        <v>261</v>
      </c>
      <c r="U262" s="6"/>
      <c r="V262" s="6"/>
      <c r="CT262" t="s">
        <v>48</v>
      </c>
    </row>
    <row r="263" spans="1:98" x14ac:dyDescent="0.25">
      <c r="A263">
        <v>262</v>
      </c>
      <c r="U263" s="6"/>
      <c r="V263" s="6"/>
      <c r="CT263" t="s">
        <v>48</v>
      </c>
    </row>
    <row r="264" spans="1:98" x14ac:dyDescent="0.25">
      <c r="A264">
        <v>263</v>
      </c>
      <c r="U264" s="6"/>
      <c r="V264" s="6"/>
      <c r="CT264" t="s">
        <v>48</v>
      </c>
    </row>
    <row r="265" spans="1:98" x14ac:dyDescent="0.25">
      <c r="A265">
        <v>264</v>
      </c>
      <c r="U265" s="6"/>
      <c r="V265" s="6"/>
      <c r="CT265" t="s">
        <v>48</v>
      </c>
    </row>
    <row r="266" spans="1:98" x14ac:dyDescent="0.25">
      <c r="A266">
        <v>265</v>
      </c>
      <c r="U266" s="6"/>
      <c r="V266" s="6"/>
      <c r="CT266" t="s">
        <v>48</v>
      </c>
    </row>
    <row r="267" spans="1:98" x14ac:dyDescent="0.25">
      <c r="A267">
        <v>266</v>
      </c>
      <c r="U267" s="6"/>
      <c r="V267" s="6"/>
      <c r="CT267" t="s">
        <v>48</v>
      </c>
    </row>
    <row r="268" spans="1:98" x14ac:dyDescent="0.25">
      <c r="A268">
        <v>267</v>
      </c>
      <c r="U268" s="6"/>
      <c r="V268" s="6"/>
      <c r="CT268" t="s">
        <v>48</v>
      </c>
    </row>
    <row r="269" spans="1:98" x14ac:dyDescent="0.25">
      <c r="A269">
        <v>268</v>
      </c>
      <c r="U269" s="6"/>
      <c r="V269" s="6"/>
      <c r="CT269" t="s">
        <v>48</v>
      </c>
    </row>
    <row r="270" spans="1:98" x14ac:dyDescent="0.25">
      <c r="A270">
        <v>269</v>
      </c>
      <c r="U270" s="6"/>
      <c r="V270" s="6"/>
      <c r="CT270" t="s">
        <v>48</v>
      </c>
    </row>
    <row r="271" spans="1:98" x14ac:dyDescent="0.25">
      <c r="A271">
        <v>270</v>
      </c>
      <c r="U271" s="6"/>
      <c r="V271" s="6"/>
      <c r="CT271" t="s">
        <v>48</v>
      </c>
    </row>
    <row r="272" spans="1:98" x14ac:dyDescent="0.25">
      <c r="A272">
        <v>271</v>
      </c>
      <c r="U272" s="6"/>
      <c r="V272" s="6"/>
      <c r="CT272" t="s">
        <v>48</v>
      </c>
    </row>
    <row r="273" spans="1:98" x14ac:dyDescent="0.25">
      <c r="A273">
        <v>272</v>
      </c>
      <c r="U273" s="6"/>
      <c r="V273" s="6"/>
      <c r="CT273" t="s">
        <v>48</v>
      </c>
    </row>
    <row r="274" spans="1:98" x14ac:dyDescent="0.25">
      <c r="A274">
        <v>273</v>
      </c>
      <c r="U274" s="6"/>
      <c r="V274" s="6"/>
      <c r="CT274" t="s">
        <v>48</v>
      </c>
    </row>
    <row r="275" spans="1:98" x14ac:dyDescent="0.25">
      <c r="A275">
        <v>274</v>
      </c>
      <c r="U275" s="6"/>
      <c r="V275" s="6"/>
      <c r="CT275" t="s">
        <v>48</v>
      </c>
    </row>
    <row r="276" spans="1:98" x14ac:dyDescent="0.25">
      <c r="A276">
        <v>275</v>
      </c>
      <c r="U276" s="6"/>
      <c r="V276" s="6"/>
      <c r="CT276" t="s">
        <v>48</v>
      </c>
    </row>
    <row r="277" spans="1:98" x14ac:dyDescent="0.25">
      <c r="A277">
        <v>276</v>
      </c>
      <c r="U277" s="6"/>
      <c r="V277" s="6"/>
      <c r="CT277" t="s">
        <v>48</v>
      </c>
    </row>
    <row r="278" spans="1:98" x14ac:dyDescent="0.25">
      <c r="A278">
        <v>277</v>
      </c>
      <c r="U278" s="6"/>
      <c r="V278" s="6"/>
      <c r="CT278" t="s">
        <v>48</v>
      </c>
    </row>
    <row r="279" spans="1:98" x14ac:dyDescent="0.25">
      <c r="A279">
        <v>278</v>
      </c>
      <c r="U279" s="6"/>
      <c r="V279" s="6"/>
      <c r="CT279" t="s">
        <v>48</v>
      </c>
    </row>
    <row r="280" spans="1:98" x14ac:dyDescent="0.25">
      <c r="A280">
        <v>279</v>
      </c>
      <c r="U280" s="6"/>
      <c r="V280" s="6"/>
      <c r="CT280" t="s">
        <v>48</v>
      </c>
    </row>
    <row r="281" spans="1:98" x14ac:dyDescent="0.25">
      <c r="A281">
        <v>280</v>
      </c>
      <c r="U281" s="6"/>
      <c r="V281" s="6"/>
      <c r="CT281" t="s">
        <v>48</v>
      </c>
    </row>
    <row r="282" spans="1:98" x14ac:dyDescent="0.25">
      <c r="A282">
        <v>281</v>
      </c>
      <c r="U282" s="6"/>
      <c r="V282" s="6"/>
      <c r="CT282" t="s">
        <v>48</v>
      </c>
    </row>
    <row r="283" spans="1:98" x14ac:dyDescent="0.25">
      <c r="A283">
        <v>282</v>
      </c>
      <c r="U283" s="6"/>
      <c r="V283" s="6"/>
      <c r="CT283" t="s">
        <v>48</v>
      </c>
    </row>
    <row r="284" spans="1:98" x14ac:dyDescent="0.25">
      <c r="A284">
        <v>283</v>
      </c>
      <c r="U284" s="6"/>
      <c r="V284" s="6"/>
      <c r="CT284" t="s">
        <v>48</v>
      </c>
    </row>
    <row r="285" spans="1:98" x14ac:dyDescent="0.25">
      <c r="A285">
        <v>284</v>
      </c>
      <c r="U285" s="6"/>
      <c r="V285" s="6"/>
      <c r="CT285" t="s">
        <v>48</v>
      </c>
    </row>
    <row r="286" spans="1:98" x14ac:dyDescent="0.25">
      <c r="A286">
        <v>285</v>
      </c>
      <c r="U286" s="6"/>
      <c r="V286" s="6"/>
      <c r="CT286" t="s">
        <v>48</v>
      </c>
    </row>
    <row r="287" spans="1:98" x14ac:dyDescent="0.25">
      <c r="A287">
        <v>286</v>
      </c>
      <c r="U287" s="6"/>
      <c r="V287" s="6"/>
      <c r="CT287" t="s">
        <v>48</v>
      </c>
    </row>
    <row r="288" spans="1:98" x14ac:dyDescent="0.25">
      <c r="A288">
        <v>287</v>
      </c>
      <c r="U288" s="6"/>
      <c r="V288" s="6"/>
      <c r="CT288" t="s">
        <v>48</v>
      </c>
    </row>
    <row r="289" spans="1:98" x14ac:dyDescent="0.25">
      <c r="A289">
        <v>288</v>
      </c>
      <c r="U289" s="6"/>
      <c r="V289" s="6"/>
      <c r="CT289" t="s">
        <v>48</v>
      </c>
    </row>
    <row r="290" spans="1:98" x14ac:dyDescent="0.25">
      <c r="A290">
        <v>289</v>
      </c>
      <c r="U290" s="6"/>
      <c r="V290" s="6"/>
      <c r="CT290" t="s">
        <v>48</v>
      </c>
    </row>
    <row r="291" spans="1:98" x14ac:dyDescent="0.25">
      <c r="A291">
        <v>290</v>
      </c>
      <c r="U291" s="6"/>
      <c r="V291" s="6"/>
      <c r="CT291" t="s">
        <v>48</v>
      </c>
    </row>
    <row r="292" spans="1:98" x14ac:dyDescent="0.25">
      <c r="A292">
        <v>291</v>
      </c>
      <c r="U292" s="6"/>
      <c r="V292" s="6"/>
      <c r="CT292" t="s">
        <v>48</v>
      </c>
    </row>
    <row r="293" spans="1:98" x14ac:dyDescent="0.25">
      <c r="A293">
        <v>292</v>
      </c>
      <c r="U293" s="6"/>
      <c r="V293" s="6"/>
      <c r="CT293" t="s">
        <v>48</v>
      </c>
    </row>
    <row r="294" spans="1:98" x14ac:dyDescent="0.25">
      <c r="A294">
        <v>293</v>
      </c>
      <c r="U294" s="6"/>
      <c r="V294" s="6"/>
      <c r="CT294" t="s">
        <v>48</v>
      </c>
    </row>
    <row r="295" spans="1:98" x14ac:dyDescent="0.25">
      <c r="A295">
        <v>294</v>
      </c>
      <c r="U295" s="6"/>
      <c r="V295" s="6"/>
      <c r="CT295" t="s">
        <v>48</v>
      </c>
    </row>
    <row r="296" spans="1:98" x14ac:dyDescent="0.25">
      <c r="A296">
        <v>295</v>
      </c>
      <c r="U296" s="6"/>
      <c r="V296" s="6"/>
      <c r="CT296" t="s">
        <v>48</v>
      </c>
    </row>
    <row r="297" spans="1:98" x14ac:dyDescent="0.25">
      <c r="A297">
        <v>296</v>
      </c>
      <c r="U297" s="6"/>
      <c r="V297" s="6"/>
      <c r="CT297" t="s">
        <v>48</v>
      </c>
    </row>
    <row r="298" spans="1:98" x14ac:dyDescent="0.25">
      <c r="A298">
        <v>297</v>
      </c>
      <c r="U298" s="6"/>
      <c r="V298" s="6"/>
      <c r="CT298" t="s">
        <v>48</v>
      </c>
    </row>
    <row r="299" spans="1:98" x14ac:dyDescent="0.25">
      <c r="A299">
        <v>298</v>
      </c>
      <c r="U299" s="6"/>
      <c r="V299" s="6"/>
      <c r="CT299" t="s">
        <v>48</v>
      </c>
    </row>
    <row r="300" spans="1:98" x14ac:dyDescent="0.25">
      <c r="A300">
        <v>299</v>
      </c>
      <c r="U300" s="6"/>
      <c r="V300" s="6"/>
      <c r="CT300" t="s">
        <v>48</v>
      </c>
    </row>
    <row r="301" spans="1:98" x14ac:dyDescent="0.25">
      <c r="A301">
        <v>300</v>
      </c>
      <c r="U301" s="6"/>
      <c r="V301" s="6"/>
      <c r="CT301" t="s">
        <v>48</v>
      </c>
    </row>
  </sheetData>
  <conditionalFormatting sqref="A1:XFD20000">
    <cfRule type="containsBlanks" dxfId="84" priority="1">
      <formula>LEN(TRIM(A1))=0</formula>
    </cfRule>
    <cfRule type="expression" dxfId="83" priority="2">
      <formula>AND(NOT(ISBLANK($C1)),ISBLANK($C2))</formula>
    </cfRule>
    <cfRule type="expression" dxfId="8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39" activePane="bottomRight" state="frozen"/>
      <selection pane="topRight" activeCell="B1" sqref="B1"/>
      <selection pane="bottomLeft" activeCell="A2" sqref="A2"/>
      <selection pane="bottomRight" activeCell="C50" sqref="C5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99</v>
      </c>
      <c r="B1" s="39" t="s">
        <v>114</v>
      </c>
      <c r="C1" s="40" t="s">
        <v>250</v>
      </c>
      <c r="D1" s="39" t="s">
        <v>103</v>
      </c>
      <c r="E1" s="39" t="s">
        <v>107</v>
      </c>
      <c r="F1" s="39" t="s">
        <v>150</v>
      </c>
      <c r="G1" s="47" t="s">
        <v>110</v>
      </c>
      <c r="H1" s="57" t="s">
        <v>149</v>
      </c>
      <c r="I1" s="58" t="s">
        <v>111</v>
      </c>
      <c r="J1" s="59" t="s">
        <v>112</v>
      </c>
      <c r="K1" s="38" t="s">
        <v>100</v>
      </c>
      <c r="L1" s="38" t="s">
        <v>253</v>
      </c>
      <c r="M1" s="38" t="s">
        <v>142</v>
      </c>
      <c r="N1" s="60" t="s">
        <v>101</v>
      </c>
    </row>
    <row r="2" spans="1:14" x14ac:dyDescent="0.25">
      <c r="A2" s="20" t="s">
        <v>0</v>
      </c>
      <c r="B2" s="21" t="s">
        <v>117</v>
      </c>
      <c r="C2" s="49" t="s">
        <v>219</v>
      </c>
      <c r="D2" t="s">
        <v>105</v>
      </c>
      <c r="E2">
        <v>1</v>
      </c>
      <c r="F2" t="s">
        <v>151</v>
      </c>
      <c r="G2" s="29" t="b">
        <v>0</v>
      </c>
      <c r="H2" s="29" t="b">
        <v>0</v>
      </c>
      <c r="K2" t="b">
        <v>0</v>
      </c>
      <c r="L2" t="b">
        <v>0</v>
      </c>
      <c r="M2" t="b">
        <v>0</v>
      </c>
      <c r="N2" s="29" t="s">
        <v>151</v>
      </c>
    </row>
    <row r="3" spans="1:14" x14ac:dyDescent="0.25">
      <c r="A3" s="20" t="s">
        <v>1</v>
      </c>
      <c r="B3" s="21" t="s">
        <v>115</v>
      </c>
      <c r="C3" s="49" t="s">
        <v>218</v>
      </c>
      <c r="D3" t="s">
        <v>105</v>
      </c>
      <c r="E3">
        <v>2</v>
      </c>
      <c r="F3" t="s">
        <v>151</v>
      </c>
      <c r="G3" s="29" t="b">
        <v>0</v>
      </c>
      <c r="H3" s="29" t="b">
        <v>0</v>
      </c>
      <c r="K3" t="b">
        <v>0</v>
      </c>
      <c r="L3" t="b">
        <v>0</v>
      </c>
      <c r="M3" t="b">
        <v>0</v>
      </c>
      <c r="N3" s="29" t="s">
        <v>151</v>
      </c>
    </row>
    <row r="4" spans="1:14" x14ac:dyDescent="0.25">
      <c r="A4" s="20" t="s">
        <v>102</v>
      </c>
      <c r="B4" s="21" t="s">
        <v>116</v>
      </c>
      <c r="C4" s="49" t="s">
        <v>217</v>
      </c>
      <c r="D4" t="s">
        <v>113</v>
      </c>
      <c r="E4">
        <v>3</v>
      </c>
      <c r="F4" t="s">
        <v>151</v>
      </c>
      <c r="G4" s="29" t="b">
        <v>0</v>
      </c>
      <c r="H4" s="29" t="b">
        <v>0</v>
      </c>
      <c r="K4" t="b">
        <v>0</v>
      </c>
      <c r="L4" t="b">
        <v>0</v>
      </c>
      <c r="M4" t="b">
        <v>0</v>
      </c>
      <c r="N4" s="29" t="s">
        <v>151</v>
      </c>
    </row>
    <row r="5" spans="1:14" x14ac:dyDescent="0.25">
      <c r="A5" s="48" t="s">
        <v>148</v>
      </c>
      <c r="B5" s="48" t="s">
        <v>157</v>
      </c>
      <c r="C5" s="42" t="s">
        <v>220</v>
      </c>
      <c r="D5" t="s">
        <v>106</v>
      </c>
      <c r="E5">
        <v>4</v>
      </c>
      <c r="F5" t="s">
        <v>151</v>
      </c>
      <c r="G5" s="29" t="b">
        <v>1</v>
      </c>
      <c r="H5" s="29" t="b">
        <v>0</v>
      </c>
      <c r="K5" t="b">
        <v>1</v>
      </c>
      <c r="L5" t="b">
        <v>0</v>
      </c>
      <c r="M5" t="b">
        <v>0</v>
      </c>
      <c r="N5" s="29" t="s">
        <v>151</v>
      </c>
    </row>
    <row r="6" spans="1:14" x14ac:dyDescent="0.25">
      <c r="A6" s="20" t="s">
        <v>90</v>
      </c>
      <c r="B6" s="21" t="s">
        <v>266</v>
      </c>
      <c r="C6" s="49" t="s">
        <v>247</v>
      </c>
      <c r="D6" t="s">
        <v>106</v>
      </c>
      <c r="E6">
        <v>5</v>
      </c>
      <c r="F6" t="s">
        <v>151</v>
      </c>
      <c r="G6" s="29" t="b">
        <v>1</v>
      </c>
      <c r="H6" s="29" t="b">
        <v>0</v>
      </c>
      <c r="K6" t="b">
        <v>1</v>
      </c>
      <c r="L6" t="b">
        <v>0</v>
      </c>
      <c r="M6" t="b">
        <v>0</v>
      </c>
      <c r="N6" s="29">
        <v>0</v>
      </c>
    </row>
    <row r="7" spans="1:14" x14ac:dyDescent="0.25">
      <c r="A7" s="20" t="s">
        <v>49</v>
      </c>
      <c r="B7" s="21" t="s">
        <v>126</v>
      </c>
      <c r="C7" s="49" t="s">
        <v>249</v>
      </c>
      <c r="D7" t="s">
        <v>106</v>
      </c>
      <c r="E7">
        <v>6</v>
      </c>
      <c r="F7" t="s">
        <v>151</v>
      </c>
      <c r="G7" s="29" t="b">
        <v>1</v>
      </c>
      <c r="H7" s="29" t="b">
        <v>1</v>
      </c>
      <c r="J7" s="12" t="s">
        <v>153</v>
      </c>
      <c r="K7" t="b">
        <v>0</v>
      </c>
      <c r="L7" t="b">
        <v>0</v>
      </c>
      <c r="M7" t="b">
        <v>0</v>
      </c>
      <c r="N7" s="29" t="s">
        <v>151</v>
      </c>
    </row>
    <row r="8" spans="1:14" x14ac:dyDescent="0.25">
      <c r="A8" s="20" t="s">
        <v>50</v>
      </c>
      <c r="B8" s="21" t="s">
        <v>158</v>
      </c>
      <c r="C8" s="49" t="s">
        <v>221</v>
      </c>
      <c r="D8" t="s">
        <v>106</v>
      </c>
      <c r="E8">
        <v>7</v>
      </c>
      <c r="F8" t="s">
        <v>151</v>
      </c>
      <c r="G8" s="29" t="b">
        <v>0</v>
      </c>
      <c r="H8" s="29" t="b">
        <v>0</v>
      </c>
      <c r="K8" t="b">
        <v>0</v>
      </c>
      <c r="L8" t="b">
        <v>0</v>
      </c>
      <c r="M8" t="b">
        <v>0</v>
      </c>
      <c r="N8" s="29" t="s">
        <v>151</v>
      </c>
    </row>
    <row r="9" spans="1:14" x14ac:dyDescent="0.25">
      <c r="A9" s="20" t="s">
        <v>51</v>
      </c>
      <c r="B9" s="21" t="s">
        <v>159</v>
      </c>
      <c r="C9" s="49" t="s">
        <v>222</v>
      </c>
      <c r="D9" t="s">
        <v>106</v>
      </c>
      <c r="E9">
        <v>7</v>
      </c>
      <c r="F9" t="s">
        <v>151</v>
      </c>
      <c r="G9" s="29" t="b">
        <v>0</v>
      </c>
      <c r="H9" s="29" t="b">
        <v>0</v>
      </c>
      <c r="K9" t="b">
        <v>0</v>
      </c>
      <c r="L9" t="b">
        <v>0</v>
      </c>
      <c r="M9" t="b">
        <v>0</v>
      </c>
      <c r="N9" s="29" t="s">
        <v>151</v>
      </c>
    </row>
    <row r="10" spans="1:14" x14ac:dyDescent="0.25">
      <c r="A10" s="48" t="s">
        <v>154</v>
      </c>
      <c r="B10" s="48" t="s">
        <v>160</v>
      </c>
      <c r="C10" s="42" t="s">
        <v>223</v>
      </c>
      <c r="D10" t="s">
        <v>106</v>
      </c>
      <c r="E10">
        <v>8</v>
      </c>
      <c r="F10" t="s">
        <v>151</v>
      </c>
      <c r="G10" s="29" t="b">
        <v>1</v>
      </c>
      <c r="H10" s="29" t="b">
        <v>0</v>
      </c>
      <c r="K10" t="b">
        <v>0</v>
      </c>
      <c r="L10" t="b">
        <v>0</v>
      </c>
      <c r="M10" t="b">
        <v>0</v>
      </c>
      <c r="N10" s="29" t="s">
        <v>151</v>
      </c>
    </row>
    <row r="11" spans="1:14" x14ac:dyDescent="0.25">
      <c r="A11" s="20" t="s">
        <v>155</v>
      </c>
      <c r="B11" s="21" t="s">
        <v>161</v>
      </c>
      <c r="C11" s="49" t="s">
        <v>248</v>
      </c>
      <c r="D11" t="s">
        <v>106</v>
      </c>
      <c r="E11">
        <v>9</v>
      </c>
      <c r="F11" t="s">
        <v>151</v>
      </c>
      <c r="G11" s="29" t="b">
        <v>0</v>
      </c>
      <c r="H11" s="29" t="b">
        <v>0</v>
      </c>
      <c r="K11" t="b">
        <v>0</v>
      </c>
      <c r="L11" t="b">
        <v>0</v>
      </c>
      <c r="M11" t="b">
        <v>0</v>
      </c>
      <c r="N11" s="29" t="s">
        <v>151</v>
      </c>
    </row>
    <row r="12" spans="1:14" x14ac:dyDescent="0.25">
      <c r="A12" s="20" t="s">
        <v>156</v>
      </c>
      <c r="B12" s="21" t="s">
        <v>170</v>
      </c>
      <c r="C12" s="49" t="s">
        <v>224</v>
      </c>
      <c r="D12" t="s">
        <v>106</v>
      </c>
      <c r="E12">
        <v>9</v>
      </c>
      <c r="F12" t="s">
        <v>151</v>
      </c>
      <c r="G12" s="29" t="b">
        <v>1</v>
      </c>
      <c r="H12" s="29" t="b">
        <v>0</v>
      </c>
      <c r="K12" t="b">
        <v>0</v>
      </c>
      <c r="L12" t="b">
        <v>0</v>
      </c>
      <c r="M12" t="b">
        <v>0</v>
      </c>
      <c r="N12" s="29" t="s">
        <v>151</v>
      </c>
    </row>
    <row r="13" spans="1:14" x14ac:dyDescent="0.25">
      <c r="A13" s="5" t="s">
        <v>7</v>
      </c>
      <c r="B13" s="5" t="s">
        <v>177</v>
      </c>
      <c r="C13" s="43" t="str">
        <f>"=1 if the estimates within the study can be aggregated on a city level."</f>
        <v>=1 if the estimates within the study can be aggregated on a city level.</v>
      </c>
      <c r="D13" t="s">
        <v>104</v>
      </c>
      <c r="E13">
        <v>10</v>
      </c>
      <c r="F13" t="s">
        <v>151</v>
      </c>
      <c r="G13" s="29" t="b">
        <v>1</v>
      </c>
      <c r="H13" s="29" t="b">
        <v>1</v>
      </c>
      <c r="I13">
        <v>1</v>
      </c>
      <c r="K13" t="b">
        <v>1</v>
      </c>
      <c r="L13" t="b">
        <v>0</v>
      </c>
      <c r="M13" t="b">
        <v>0</v>
      </c>
      <c r="N13" s="29" t="s">
        <v>152</v>
      </c>
    </row>
    <row r="14" spans="1:14" x14ac:dyDescent="0.25">
      <c r="A14" s="5" t="s">
        <v>9</v>
      </c>
      <c r="B14" s="5" t="s">
        <v>178</v>
      </c>
      <c r="C14" s="43" t="str">
        <f>"=1 if the estimates within the study can be aggregated on a subregional level."</f>
        <v>=1 if the estimates within the study can be aggregated on a subregional level.</v>
      </c>
      <c r="D14" t="s">
        <v>104</v>
      </c>
      <c r="E14">
        <v>10</v>
      </c>
      <c r="F14" t="s">
        <v>151</v>
      </c>
      <c r="G14" s="29" t="b">
        <v>1</v>
      </c>
      <c r="H14" s="29" t="b">
        <v>1</v>
      </c>
      <c r="I14">
        <v>1</v>
      </c>
      <c r="K14" t="b">
        <v>1</v>
      </c>
      <c r="L14" t="b">
        <v>0</v>
      </c>
      <c r="M14" t="b">
        <v>0</v>
      </c>
      <c r="N14" s="29" t="s">
        <v>152</v>
      </c>
    </row>
    <row r="15" spans="1:14" x14ac:dyDescent="0.25">
      <c r="A15" s="5" t="s">
        <v>6</v>
      </c>
      <c r="B15" s="5" t="s">
        <v>179</v>
      </c>
      <c r="C15" s="43" t="str">
        <f>"=1 if the estimates within the study can be aggregated on a regional level."</f>
        <v>=1 if the estimates within the study can be aggregated on a regional level.</v>
      </c>
      <c r="D15" t="s">
        <v>104</v>
      </c>
      <c r="E15">
        <v>10</v>
      </c>
      <c r="F15" t="s">
        <v>151</v>
      </c>
      <c r="G15" s="29" t="b">
        <v>1</v>
      </c>
      <c r="H15" s="29" t="b">
        <v>1</v>
      </c>
      <c r="I15">
        <v>1</v>
      </c>
      <c r="K15" t="b">
        <v>1</v>
      </c>
      <c r="L15" t="b">
        <v>0</v>
      </c>
      <c r="M15" t="b">
        <v>0</v>
      </c>
      <c r="N15" s="29" t="s">
        <v>152</v>
      </c>
    </row>
    <row r="16" spans="1:14" x14ac:dyDescent="0.25">
      <c r="A16" s="5" t="s">
        <v>8</v>
      </c>
      <c r="B16" s="5" t="s">
        <v>180</v>
      </c>
      <c r="C16" s="43" t="str">
        <f>"=1 if the estimates within the study can be aggregated on a country level."</f>
        <v>=1 if the estimates within the study can be aggregated on a country level.</v>
      </c>
      <c r="D16" t="s">
        <v>104</v>
      </c>
      <c r="E16">
        <v>10</v>
      </c>
      <c r="F16" t="s">
        <v>151</v>
      </c>
      <c r="G16" s="29" t="b">
        <v>1</v>
      </c>
      <c r="H16" s="29" t="b">
        <v>1</v>
      </c>
      <c r="I16">
        <v>1</v>
      </c>
      <c r="K16" t="b">
        <v>1</v>
      </c>
      <c r="L16" t="b">
        <v>0</v>
      </c>
      <c r="M16" t="b">
        <v>0</v>
      </c>
      <c r="N16" s="29" t="s">
        <v>152</v>
      </c>
    </row>
    <row r="17" spans="1:14" x14ac:dyDescent="0.25">
      <c r="A17" s="5" t="s">
        <v>96</v>
      </c>
      <c r="B17" s="5" t="s">
        <v>181</v>
      </c>
      <c r="C17" s="43" t="str">
        <f>"=1 if the estimates within the study can not be aggregated on a country level or smaller (reference category)."</f>
        <v>=1 if the estimates within the study can not be aggregated on a country level or smaller (reference category).</v>
      </c>
      <c r="D17" t="s">
        <v>104</v>
      </c>
      <c r="E17">
        <v>10</v>
      </c>
      <c r="F17" t="s">
        <v>151</v>
      </c>
      <c r="G17" s="29" t="b">
        <v>1</v>
      </c>
      <c r="H17" s="29" t="b">
        <v>1</v>
      </c>
      <c r="I17">
        <v>1</v>
      </c>
      <c r="K17" t="b">
        <v>0</v>
      </c>
      <c r="L17" t="b">
        <v>1</v>
      </c>
      <c r="M17" t="b">
        <v>0</v>
      </c>
      <c r="N17" s="29" t="s">
        <v>151</v>
      </c>
    </row>
    <row r="18" spans="1:14" x14ac:dyDescent="0.25">
      <c r="A18" s="5" t="s">
        <v>53</v>
      </c>
      <c r="B18" s="5" t="s">
        <v>171</v>
      </c>
      <c r="C18" s="43" t="s">
        <v>225</v>
      </c>
      <c r="D18" t="s">
        <v>105</v>
      </c>
      <c r="E18">
        <v>11</v>
      </c>
      <c r="F18" t="s">
        <v>151</v>
      </c>
      <c r="G18" s="29" t="b">
        <v>1</v>
      </c>
      <c r="H18" s="29" t="b">
        <v>1</v>
      </c>
      <c r="J18" s="12" t="s">
        <v>153</v>
      </c>
      <c r="K18" t="b">
        <v>0</v>
      </c>
      <c r="L18" t="b">
        <v>0</v>
      </c>
      <c r="M18" t="b">
        <v>0</v>
      </c>
      <c r="N18" s="29" t="s">
        <v>151</v>
      </c>
    </row>
    <row r="19" spans="1:14" x14ac:dyDescent="0.25">
      <c r="A19" s="5" t="s">
        <v>54</v>
      </c>
      <c r="B19" s="5" t="s">
        <v>118</v>
      </c>
      <c r="C19" s="43" t="s">
        <v>226</v>
      </c>
      <c r="D19" t="s">
        <v>105</v>
      </c>
      <c r="E19">
        <v>11</v>
      </c>
      <c r="F19" t="s">
        <v>151</v>
      </c>
      <c r="G19" s="29" t="b">
        <v>0</v>
      </c>
      <c r="H19" s="29" t="b">
        <v>0</v>
      </c>
      <c r="K19" t="b">
        <v>0</v>
      </c>
      <c r="L19" t="b">
        <v>0</v>
      </c>
      <c r="M19" t="b">
        <v>0</v>
      </c>
      <c r="N19" s="29" t="s">
        <v>151</v>
      </c>
    </row>
    <row r="20" spans="1:14" x14ac:dyDescent="0.25">
      <c r="A20" s="5" t="s">
        <v>52</v>
      </c>
      <c r="B20" s="5" t="s">
        <v>119</v>
      </c>
      <c r="C20" s="43" t="s">
        <v>227</v>
      </c>
      <c r="D20" t="s">
        <v>105</v>
      </c>
      <c r="E20">
        <v>11</v>
      </c>
      <c r="F20" t="s">
        <v>151</v>
      </c>
      <c r="G20" s="29" t="b">
        <v>0</v>
      </c>
      <c r="H20" s="29" t="b">
        <v>0</v>
      </c>
      <c r="K20" t="b">
        <v>0</v>
      </c>
      <c r="L20" t="b">
        <v>0</v>
      </c>
      <c r="M20" t="b">
        <v>0</v>
      </c>
      <c r="N20" s="29" t="s">
        <v>151</v>
      </c>
    </row>
    <row r="21" spans="1:14" x14ac:dyDescent="0.25">
      <c r="A21" s="2" t="s">
        <v>89</v>
      </c>
      <c r="B21" s="2" t="s">
        <v>120</v>
      </c>
      <c r="C21" s="44" t="s">
        <v>229</v>
      </c>
      <c r="D21" t="s">
        <v>105</v>
      </c>
      <c r="E21">
        <v>12</v>
      </c>
      <c r="F21" t="s">
        <v>151</v>
      </c>
      <c r="G21" s="29" t="b">
        <v>1</v>
      </c>
      <c r="H21" s="29" t="b">
        <v>1</v>
      </c>
      <c r="J21" s="12" t="s">
        <v>153</v>
      </c>
      <c r="K21" t="b">
        <v>1</v>
      </c>
      <c r="L21" t="b">
        <v>0</v>
      </c>
      <c r="M21" t="b">
        <v>1</v>
      </c>
      <c r="N21" s="29" t="s">
        <v>152</v>
      </c>
    </row>
    <row r="22" spans="1:14" x14ac:dyDescent="0.25">
      <c r="A22" s="2" t="s">
        <v>2</v>
      </c>
      <c r="B22" s="2" t="s">
        <v>172</v>
      </c>
      <c r="C22" s="44" t="s">
        <v>354</v>
      </c>
      <c r="D22" t="s">
        <v>106</v>
      </c>
      <c r="E22">
        <v>13</v>
      </c>
      <c r="F22" t="s">
        <v>153</v>
      </c>
      <c r="G22" s="29" t="b">
        <v>1</v>
      </c>
      <c r="H22" s="29" t="b">
        <v>1</v>
      </c>
      <c r="J22" s="12" t="s">
        <v>153</v>
      </c>
      <c r="K22" t="b">
        <v>1</v>
      </c>
      <c r="L22" t="b">
        <v>0</v>
      </c>
      <c r="M22" t="b">
        <v>0</v>
      </c>
      <c r="N22" s="29" t="s">
        <v>152</v>
      </c>
    </row>
    <row r="23" spans="1:14" x14ac:dyDescent="0.25">
      <c r="A23" s="2" t="s">
        <v>10</v>
      </c>
      <c r="B23" s="2" t="s">
        <v>173</v>
      </c>
      <c r="C23" s="44" t="s">
        <v>355</v>
      </c>
      <c r="D23" t="s">
        <v>106</v>
      </c>
      <c r="E23">
        <v>14</v>
      </c>
      <c r="F23" t="s">
        <v>153</v>
      </c>
      <c r="G23" s="29" t="b">
        <v>1</v>
      </c>
      <c r="H23" s="29" t="b">
        <v>1</v>
      </c>
      <c r="J23" s="12" t="s">
        <v>153</v>
      </c>
      <c r="K23" t="b">
        <v>1</v>
      </c>
      <c r="L23" t="b">
        <v>0</v>
      </c>
      <c r="M23" t="b">
        <v>0</v>
      </c>
      <c r="N23" s="29" t="s">
        <v>152</v>
      </c>
    </row>
    <row r="24" spans="1:14" x14ac:dyDescent="0.25">
      <c r="A24" s="2" t="s">
        <v>93</v>
      </c>
      <c r="B24" s="2" t="s">
        <v>251</v>
      </c>
      <c r="C24" s="44" t="str">
        <f>"=1 if authors report schooling in years."</f>
        <v>=1 if authors report schooling in years.</v>
      </c>
      <c r="D24" t="s">
        <v>104</v>
      </c>
      <c r="E24">
        <v>15</v>
      </c>
      <c r="F24" t="s">
        <v>151</v>
      </c>
      <c r="G24" s="29" t="b">
        <v>1</v>
      </c>
      <c r="H24" s="29" t="b">
        <v>1</v>
      </c>
      <c r="I24">
        <v>1</v>
      </c>
      <c r="K24" t="b">
        <v>1</v>
      </c>
      <c r="L24" t="b">
        <v>0</v>
      </c>
      <c r="M24" t="b">
        <v>0</v>
      </c>
      <c r="N24" s="29" t="s">
        <v>152</v>
      </c>
    </row>
    <row r="25" spans="1:14" x14ac:dyDescent="0.25">
      <c r="A25" s="2" t="s">
        <v>94</v>
      </c>
      <c r="B25" s="2" t="s">
        <v>252</v>
      </c>
      <c r="C25" s="44" t="str">
        <f>"=1 if the authors report schooling in levels (e.g., attained college degree) (reference category)."</f>
        <v>=1 if the authors report schooling in levels (e.g., attained college degree) (reference category).</v>
      </c>
      <c r="D25" t="s">
        <v>104</v>
      </c>
      <c r="E25">
        <v>15</v>
      </c>
      <c r="F25" t="s">
        <v>151</v>
      </c>
      <c r="G25" s="29" t="b">
        <v>1</v>
      </c>
      <c r="H25" s="29" t="b">
        <v>1</v>
      </c>
      <c r="I25">
        <v>1</v>
      </c>
      <c r="K25" t="b">
        <v>0</v>
      </c>
      <c r="L25" t="b">
        <v>1</v>
      </c>
      <c r="M25" t="b">
        <v>0</v>
      </c>
      <c r="N25" s="29" t="s">
        <v>151</v>
      </c>
    </row>
    <row r="26" spans="1:14" x14ac:dyDescent="0.25">
      <c r="A26" s="2" t="s">
        <v>82</v>
      </c>
      <c r="B26" s="2" t="s">
        <v>182</v>
      </c>
      <c r="C26" s="44" t="str">
        <f>"=1 if the dependent variable in the regression is log hourly wage."</f>
        <v>=1 if the dependent variable in the regression is log hourly wage.</v>
      </c>
      <c r="D26" t="s">
        <v>104</v>
      </c>
      <c r="E26">
        <v>16</v>
      </c>
      <c r="F26" t="s">
        <v>151</v>
      </c>
      <c r="G26" s="29" t="b">
        <v>1</v>
      </c>
      <c r="H26" s="29" t="b">
        <v>1</v>
      </c>
      <c r="I26">
        <v>1</v>
      </c>
      <c r="K26" t="b">
        <v>1</v>
      </c>
      <c r="L26" t="b">
        <v>0</v>
      </c>
      <c r="M26" t="b">
        <v>0</v>
      </c>
      <c r="N26" s="29" t="s">
        <v>152</v>
      </c>
    </row>
    <row r="27" spans="1:14" x14ac:dyDescent="0.25">
      <c r="A27" s="2" t="s">
        <v>87</v>
      </c>
      <c r="B27" s="2" t="s">
        <v>183</v>
      </c>
      <c r="C27" s="44" t="str">
        <f>"=1 if the dependent variable in the regression is log daily or weekly wage."</f>
        <v>=1 if the dependent variable in the regression is log daily or weekly wage.</v>
      </c>
      <c r="D27" t="s">
        <v>104</v>
      </c>
      <c r="E27">
        <v>16</v>
      </c>
      <c r="F27" t="s">
        <v>151</v>
      </c>
      <c r="G27" s="29" t="b">
        <v>1</v>
      </c>
      <c r="H27" s="29" t="b">
        <v>1</v>
      </c>
      <c r="I27">
        <v>1</v>
      </c>
      <c r="K27" t="b">
        <v>1</v>
      </c>
      <c r="L27" t="b">
        <v>0</v>
      </c>
      <c r="M27" t="b">
        <v>0</v>
      </c>
      <c r="N27" s="29" t="s">
        <v>152</v>
      </c>
    </row>
    <row r="28" spans="1:14" x14ac:dyDescent="0.25">
      <c r="A28" s="2" t="s">
        <v>85</v>
      </c>
      <c r="B28" s="2" t="s">
        <v>184</v>
      </c>
      <c r="C28" s="44" t="str">
        <f>"=1 if the dependent variable in the regression is log monthly wage."</f>
        <v>=1 if the dependent variable in the regression is log monthly wage.</v>
      </c>
      <c r="D28" t="s">
        <v>104</v>
      </c>
      <c r="E28">
        <v>16</v>
      </c>
      <c r="F28" t="s">
        <v>151</v>
      </c>
      <c r="G28" s="29" t="b">
        <v>1</v>
      </c>
      <c r="H28" s="29" t="b">
        <v>1</v>
      </c>
      <c r="I28">
        <v>1</v>
      </c>
      <c r="K28" t="b">
        <v>1</v>
      </c>
      <c r="L28" t="b">
        <v>0</v>
      </c>
      <c r="M28" t="b">
        <v>0</v>
      </c>
      <c r="N28" s="29" t="s">
        <v>152</v>
      </c>
    </row>
    <row r="29" spans="1:14" x14ac:dyDescent="0.25">
      <c r="A29" s="2" t="s">
        <v>83</v>
      </c>
      <c r="B29" s="2" t="s">
        <v>262</v>
      </c>
      <c r="C29" s="44" t="str">
        <f>"=1 if the dependent variable in the regression is log of mean annual earnings (reference category)."</f>
        <v>=1 if the dependent variable in the regression is log of mean annual earnings (reference category).</v>
      </c>
      <c r="D29" t="s">
        <v>104</v>
      </c>
      <c r="E29">
        <v>16</v>
      </c>
      <c r="F29" t="s">
        <v>151</v>
      </c>
      <c r="G29" s="29" t="b">
        <v>1</v>
      </c>
      <c r="H29" s="29" t="b">
        <v>1</v>
      </c>
      <c r="I29">
        <v>1</v>
      </c>
      <c r="K29" t="b">
        <v>0</v>
      </c>
      <c r="L29" t="b">
        <v>1</v>
      </c>
      <c r="M29" t="b">
        <v>0</v>
      </c>
      <c r="N29" s="29" t="s">
        <v>151</v>
      </c>
    </row>
    <row r="30" spans="1:14" x14ac:dyDescent="0.25">
      <c r="A30" s="2" t="s">
        <v>11</v>
      </c>
      <c r="B30" s="2" t="s">
        <v>215</v>
      </c>
      <c r="C30" s="44" t="str">
        <f>"=1 if the study uses micro data."</f>
        <v>=1 if the study uses micro data.</v>
      </c>
      <c r="D30" t="s">
        <v>104</v>
      </c>
      <c r="E30">
        <v>17</v>
      </c>
      <c r="F30" t="s">
        <v>151</v>
      </c>
      <c r="G30" s="29" t="b">
        <v>1</v>
      </c>
      <c r="H30" s="29" t="b">
        <v>1</v>
      </c>
      <c r="I30">
        <v>1</v>
      </c>
      <c r="K30" t="b">
        <v>1</v>
      </c>
      <c r="L30" t="b">
        <v>0</v>
      </c>
      <c r="M30" t="b">
        <v>0</v>
      </c>
      <c r="N30" s="29" t="s">
        <v>152</v>
      </c>
    </row>
    <row r="31" spans="1:14" x14ac:dyDescent="0.25">
      <c r="A31" s="2" t="s">
        <v>12</v>
      </c>
      <c r="B31" s="2" t="s">
        <v>214</v>
      </c>
      <c r="C31" s="44" t="str">
        <f>"=1 if the study uses data from a survey."</f>
        <v>=1 if the study uses data from a survey.</v>
      </c>
      <c r="D31" t="s">
        <v>104</v>
      </c>
      <c r="E31">
        <v>17</v>
      </c>
      <c r="F31" t="s">
        <v>151</v>
      </c>
      <c r="G31" s="29" t="b">
        <v>1</v>
      </c>
      <c r="H31" s="29" t="b">
        <v>1</v>
      </c>
      <c r="I31">
        <v>1</v>
      </c>
      <c r="K31" t="b">
        <v>1</v>
      </c>
      <c r="L31" t="b">
        <v>0</v>
      </c>
      <c r="M31" t="b">
        <v>0</v>
      </c>
      <c r="N31" s="29" t="s">
        <v>152</v>
      </c>
    </row>
    <row r="32" spans="1:14" x14ac:dyDescent="0.25">
      <c r="A32" s="2" t="s">
        <v>13</v>
      </c>
      <c r="B32" s="2" t="s">
        <v>213</v>
      </c>
      <c r="C32" s="44" t="str">
        <f>"=1 if the study uses data from a national register (reference category)."</f>
        <v>=1 if the study uses data from a national register (reference category).</v>
      </c>
      <c r="D32" t="s">
        <v>104</v>
      </c>
      <c r="E32">
        <v>17</v>
      </c>
      <c r="F32" t="s">
        <v>151</v>
      </c>
      <c r="G32" s="29" t="b">
        <v>1</v>
      </c>
      <c r="H32" s="29" t="b">
        <v>1</v>
      </c>
      <c r="I32">
        <v>1</v>
      </c>
      <c r="K32" t="b">
        <v>0</v>
      </c>
      <c r="L32" t="b">
        <v>1</v>
      </c>
      <c r="M32" t="b">
        <v>0</v>
      </c>
      <c r="N32" s="29" t="s">
        <v>151</v>
      </c>
    </row>
    <row r="33" spans="1:14" x14ac:dyDescent="0.25">
      <c r="A33" s="2" t="s">
        <v>14</v>
      </c>
      <c r="B33" s="2" t="s">
        <v>174</v>
      </c>
      <c r="C33" s="44" t="str">
        <f>"=1 if the study uses cross-sectional data."</f>
        <v>=1 if the study uses cross-sectional data.</v>
      </c>
      <c r="D33" t="s">
        <v>104</v>
      </c>
      <c r="E33">
        <v>18</v>
      </c>
      <c r="F33" t="s">
        <v>151</v>
      </c>
      <c r="G33" s="29" t="b">
        <v>1</v>
      </c>
      <c r="H33" s="29" t="b">
        <v>1</v>
      </c>
      <c r="I33">
        <v>1</v>
      </c>
      <c r="K33" t="b">
        <v>1</v>
      </c>
      <c r="L33" t="b">
        <v>0</v>
      </c>
      <c r="M33" t="b">
        <v>0</v>
      </c>
      <c r="N33" s="29" t="s">
        <v>152</v>
      </c>
    </row>
    <row r="34" spans="1:14" x14ac:dyDescent="0.25">
      <c r="A34" s="2" t="s">
        <v>15</v>
      </c>
      <c r="B34" s="2" t="s">
        <v>175</v>
      </c>
      <c r="C34" s="44" t="str">
        <f>"=1 if the study uses panel data (reference category)."</f>
        <v>=1 if the study uses panel data (reference category).</v>
      </c>
      <c r="D34" t="s">
        <v>104</v>
      </c>
      <c r="E34">
        <v>18</v>
      </c>
      <c r="F34" t="s">
        <v>151</v>
      </c>
      <c r="G34" s="29" t="b">
        <v>1</v>
      </c>
      <c r="H34" s="29" t="b">
        <v>1</v>
      </c>
      <c r="I34">
        <v>1</v>
      </c>
      <c r="K34" t="b">
        <v>0</v>
      </c>
      <c r="L34" t="b">
        <v>1</v>
      </c>
      <c r="M34" t="b">
        <v>0</v>
      </c>
      <c r="N34" s="29" t="s">
        <v>151</v>
      </c>
    </row>
    <row r="35" spans="1:14" x14ac:dyDescent="0.25">
      <c r="A35" s="2" t="s">
        <v>28</v>
      </c>
      <c r="B35" s="2" t="s">
        <v>216</v>
      </c>
      <c r="C35" s="44" t="s">
        <v>228</v>
      </c>
      <c r="D35" t="s">
        <v>106</v>
      </c>
      <c r="E35">
        <v>19</v>
      </c>
      <c r="F35" t="s">
        <v>153</v>
      </c>
      <c r="G35" s="29" t="b">
        <v>1</v>
      </c>
      <c r="H35" s="29" t="b">
        <v>1</v>
      </c>
      <c r="J35" s="12" t="s">
        <v>153</v>
      </c>
      <c r="K35" t="b">
        <v>1</v>
      </c>
      <c r="L35" t="b">
        <v>0</v>
      </c>
      <c r="M35" t="b">
        <v>1</v>
      </c>
      <c r="N35" s="29" t="s">
        <v>152</v>
      </c>
    </row>
    <row r="36" spans="1:14" x14ac:dyDescent="0.25">
      <c r="A36" s="27" t="s">
        <v>66</v>
      </c>
      <c r="B36" s="3" t="s">
        <v>210</v>
      </c>
      <c r="C36" s="50" t="s">
        <v>232</v>
      </c>
      <c r="D36" t="s">
        <v>108</v>
      </c>
      <c r="E36">
        <v>20</v>
      </c>
      <c r="F36" t="s">
        <v>152</v>
      </c>
      <c r="G36" s="29" t="b">
        <v>1</v>
      </c>
      <c r="H36" s="29" t="b">
        <v>0</v>
      </c>
      <c r="K36" t="b">
        <v>0</v>
      </c>
      <c r="L36" t="b">
        <v>1</v>
      </c>
      <c r="M36" t="b">
        <v>0</v>
      </c>
      <c r="N36" s="29" t="s">
        <v>151</v>
      </c>
    </row>
    <row r="37" spans="1:14" x14ac:dyDescent="0.25">
      <c r="A37" s="27" t="s">
        <v>62</v>
      </c>
      <c r="B37" s="3" t="s">
        <v>209</v>
      </c>
      <c r="C37" s="50" t="s">
        <v>230</v>
      </c>
      <c r="D37" t="s">
        <v>108</v>
      </c>
      <c r="E37">
        <v>20</v>
      </c>
      <c r="F37" t="s">
        <v>152</v>
      </c>
      <c r="G37" s="29" t="b">
        <v>1</v>
      </c>
      <c r="H37" s="29" t="b">
        <v>0</v>
      </c>
      <c r="K37" t="b">
        <v>1</v>
      </c>
      <c r="L37" t="b">
        <v>0</v>
      </c>
      <c r="M37" t="b">
        <v>0</v>
      </c>
      <c r="N37" s="29" t="s">
        <v>152</v>
      </c>
    </row>
    <row r="38" spans="1:14" x14ac:dyDescent="0.25">
      <c r="A38" s="27" t="s">
        <v>63</v>
      </c>
      <c r="B38" s="3" t="s">
        <v>176</v>
      </c>
      <c r="C38" s="50" t="s">
        <v>231</v>
      </c>
      <c r="D38" t="s">
        <v>108</v>
      </c>
      <c r="E38">
        <v>20</v>
      </c>
      <c r="F38" t="s">
        <v>152</v>
      </c>
      <c r="G38" s="29" t="b">
        <v>1</v>
      </c>
      <c r="H38" s="29" t="b">
        <v>0</v>
      </c>
      <c r="K38" t="b">
        <v>1</v>
      </c>
      <c r="L38" t="b">
        <v>0</v>
      </c>
      <c r="M38" t="b">
        <v>0</v>
      </c>
      <c r="N38" s="29" t="s">
        <v>152</v>
      </c>
    </row>
    <row r="39" spans="1:14" x14ac:dyDescent="0.25">
      <c r="A39" s="27" t="s">
        <v>64</v>
      </c>
      <c r="B39" s="3" t="s">
        <v>144</v>
      </c>
      <c r="C39" s="50" t="s">
        <v>233</v>
      </c>
      <c r="D39" t="s">
        <v>108</v>
      </c>
      <c r="E39">
        <v>20</v>
      </c>
      <c r="F39" t="s">
        <v>152</v>
      </c>
      <c r="G39" s="29" t="b">
        <v>1</v>
      </c>
      <c r="H39" s="29" t="b">
        <v>1</v>
      </c>
      <c r="J39" s="12">
        <v>0.5</v>
      </c>
      <c r="K39" t="b">
        <v>1</v>
      </c>
      <c r="L39" t="b">
        <v>0</v>
      </c>
      <c r="M39" t="b">
        <v>0</v>
      </c>
      <c r="N39" s="29" t="s">
        <v>152</v>
      </c>
    </row>
    <row r="40" spans="1:14" x14ac:dyDescent="0.25">
      <c r="A40" s="27" t="s">
        <v>56</v>
      </c>
      <c r="B40" s="3" t="s">
        <v>264</v>
      </c>
      <c r="C40" s="50" t="s">
        <v>237</v>
      </c>
      <c r="D40" t="s">
        <v>108</v>
      </c>
      <c r="E40">
        <v>22</v>
      </c>
      <c r="F40" t="s">
        <v>152</v>
      </c>
      <c r="G40" s="29" t="b">
        <v>1</v>
      </c>
      <c r="H40" s="29" t="b">
        <v>1</v>
      </c>
      <c r="J40" s="12">
        <v>0.5</v>
      </c>
      <c r="K40" t="b">
        <v>1</v>
      </c>
      <c r="L40" t="b">
        <v>0</v>
      </c>
      <c r="M40" t="b">
        <v>0</v>
      </c>
      <c r="N40" s="29" t="s">
        <v>152</v>
      </c>
    </row>
    <row r="41" spans="1:14" x14ac:dyDescent="0.25">
      <c r="A41" s="27" t="s">
        <v>55</v>
      </c>
      <c r="B41" s="3" t="s">
        <v>265</v>
      </c>
      <c r="C41" s="50" t="s">
        <v>236</v>
      </c>
      <c r="D41" t="s">
        <v>108</v>
      </c>
      <c r="E41">
        <v>22</v>
      </c>
      <c r="F41" t="s">
        <v>152</v>
      </c>
      <c r="G41" s="29" t="b">
        <v>0</v>
      </c>
      <c r="H41" s="29" t="b">
        <v>0</v>
      </c>
      <c r="K41" t="b">
        <v>0</v>
      </c>
      <c r="L41" t="b">
        <v>1</v>
      </c>
      <c r="M41" t="b">
        <v>0</v>
      </c>
      <c r="N41" s="29" t="s">
        <v>151</v>
      </c>
    </row>
    <row r="42" spans="1:14" x14ac:dyDescent="0.25">
      <c r="A42" s="27" t="s">
        <v>3</v>
      </c>
      <c r="B42" s="3" t="s">
        <v>185</v>
      </c>
      <c r="C42" s="50" t="s">
        <v>235</v>
      </c>
      <c r="D42" t="s">
        <v>108</v>
      </c>
      <c r="E42">
        <v>23</v>
      </c>
      <c r="F42" t="s">
        <v>152</v>
      </c>
      <c r="G42" s="29" t="b">
        <v>1</v>
      </c>
      <c r="H42" s="29" t="b">
        <v>1</v>
      </c>
      <c r="J42" s="12">
        <v>0.5</v>
      </c>
      <c r="K42" t="b">
        <v>1</v>
      </c>
      <c r="L42" t="b">
        <v>0</v>
      </c>
      <c r="M42" t="b">
        <v>0</v>
      </c>
      <c r="N42" s="29" t="s">
        <v>152</v>
      </c>
    </row>
    <row r="43" spans="1:14" x14ac:dyDescent="0.25">
      <c r="A43" s="27" t="s">
        <v>4</v>
      </c>
      <c r="B43" s="3" t="s">
        <v>186</v>
      </c>
      <c r="C43" s="50" t="s">
        <v>234</v>
      </c>
      <c r="D43" t="s">
        <v>108</v>
      </c>
      <c r="E43">
        <v>23</v>
      </c>
      <c r="F43" t="s">
        <v>152</v>
      </c>
      <c r="G43" s="29" t="b">
        <v>0</v>
      </c>
      <c r="H43" s="29" t="b">
        <v>0</v>
      </c>
      <c r="K43" t="b">
        <v>0</v>
      </c>
      <c r="L43" t="b">
        <v>1</v>
      </c>
      <c r="M43" t="b">
        <v>0</v>
      </c>
      <c r="N43" s="29" t="s">
        <v>151</v>
      </c>
    </row>
    <row r="44" spans="1:14" x14ac:dyDescent="0.25">
      <c r="A44" s="27" t="s">
        <v>365</v>
      </c>
      <c r="B44" s="3" t="s">
        <v>367</v>
      </c>
      <c r="C44" s="50" t="s">
        <v>372</v>
      </c>
      <c r="D44" t="s">
        <v>108</v>
      </c>
      <c r="E44">
        <v>24</v>
      </c>
      <c r="F44" t="s">
        <v>152</v>
      </c>
      <c r="G44" s="29" t="b">
        <v>1</v>
      </c>
      <c r="H44" s="29" t="b">
        <v>1</v>
      </c>
      <c r="J44" s="12">
        <v>0.5</v>
      </c>
      <c r="K44" t="b">
        <v>1</v>
      </c>
      <c r="L44" t="b">
        <v>0</v>
      </c>
      <c r="M44" t="b">
        <v>0</v>
      </c>
      <c r="N44" s="29" t="s">
        <v>152</v>
      </c>
    </row>
    <row r="45" spans="1:14" x14ac:dyDescent="0.25">
      <c r="A45" s="27" t="s">
        <v>366</v>
      </c>
      <c r="B45" s="3" t="s">
        <v>368</v>
      </c>
      <c r="C45" s="50" t="s">
        <v>373</v>
      </c>
      <c r="D45" t="s">
        <v>108</v>
      </c>
      <c r="E45">
        <v>24</v>
      </c>
      <c r="F45" t="s">
        <v>152</v>
      </c>
      <c r="G45" s="29" t="b">
        <v>0</v>
      </c>
      <c r="H45" s="29" t="b">
        <v>0</v>
      </c>
      <c r="K45" t="b">
        <v>0</v>
      </c>
      <c r="L45" t="b">
        <v>1</v>
      </c>
      <c r="M45" t="b">
        <v>0</v>
      </c>
      <c r="N45" s="29" t="s">
        <v>151</v>
      </c>
    </row>
    <row r="46" spans="1:14" x14ac:dyDescent="0.25">
      <c r="A46" s="27" t="s">
        <v>16</v>
      </c>
      <c r="B46" s="3" t="s">
        <v>187</v>
      </c>
      <c r="C46" s="50" t="s">
        <v>238</v>
      </c>
      <c r="D46" t="s">
        <v>108</v>
      </c>
      <c r="E46">
        <v>25</v>
      </c>
      <c r="F46" t="s">
        <v>152</v>
      </c>
      <c r="G46" s="29" t="b">
        <v>1</v>
      </c>
      <c r="H46" s="29" t="b">
        <v>1</v>
      </c>
      <c r="J46" s="12">
        <v>0.5</v>
      </c>
      <c r="K46" t="b">
        <v>1</v>
      </c>
      <c r="L46" t="b">
        <v>0</v>
      </c>
      <c r="M46" t="b">
        <v>0</v>
      </c>
      <c r="N46" s="29" t="s">
        <v>152</v>
      </c>
    </row>
    <row r="47" spans="1:14" x14ac:dyDescent="0.25">
      <c r="A47" s="27" t="s">
        <v>17</v>
      </c>
      <c r="B47" s="3" t="s">
        <v>188</v>
      </c>
      <c r="C47" s="50" t="s">
        <v>239</v>
      </c>
      <c r="D47" t="s">
        <v>108</v>
      </c>
      <c r="E47">
        <v>25</v>
      </c>
      <c r="F47" t="s">
        <v>152</v>
      </c>
      <c r="G47" s="29" t="b">
        <v>0</v>
      </c>
      <c r="H47" s="29" t="b">
        <v>0</v>
      </c>
      <c r="K47" t="b">
        <v>0</v>
      </c>
      <c r="L47" t="b">
        <v>1</v>
      </c>
      <c r="M47" t="b">
        <v>0</v>
      </c>
      <c r="N47" s="29" t="s">
        <v>151</v>
      </c>
    </row>
    <row r="48" spans="1:14" x14ac:dyDescent="0.25">
      <c r="A48" s="27" t="s">
        <v>361</v>
      </c>
      <c r="B48" s="3" t="s">
        <v>363</v>
      </c>
      <c r="C48" s="50" t="s">
        <v>374</v>
      </c>
      <c r="D48" t="s">
        <v>108</v>
      </c>
      <c r="E48">
        <v>26</v>
      </c>
      <c r="F48" t="s">
        <v>152</v>
      </c>
      <c r="G48" s="29" t="b">
        <v>1</v>
      </c>
      <c r="H48" s="29" t="b">
        <v>1</v>
      </c>
      <c r="J48" s="12">
        <v>0.5</v>
      </c>
      <c r="K48" t="b">
        <v>1</v>
      </c>
      <c r="L48" t="b">
        <v>0</v>
      </c>
      <c r="M48" t="b">
        <v>0</v>
      </c>
      <c r="N48" s="29" t="s">
        <v>152</v>
      </c>
    </row>
    <row r="49" spans="1:14" x14ac:dyDescent="0.25">
      <c r="A49" s="27" t="s">
        <v>362</v>
      </c>
      <c r="B49" s="3" t="s">
        <v>364</v>
      </c>
      <c r="C49" s="50" t="s">
        <v>375</v>
      </c>
      <c r="D49" t="s">
        <v>108</v>
      </c>
      <c r="E49">
        <v>26</v>
      </c>
      <c r="F49" t="s">
        <v>152</v>
      </c>
      <c r="G49" s="29" t="b">
        <v>1</v>
      </c>
      <c r="H49" s="29" t="b">
        <v>0</v>
      </c>
      <c r="K49" t="b">
        <v>0</v>
      </c>
      <c r="L49" t="b">
        <v>1</v>
      </c>
      <c r="M49" t="b">
        <v>0</v>
      </c>
      <c r="N49" s="29" t="s">
        <v>151</v>
      </c>
    </row>
    <row r="50" spans="1:14" x14ac:dyDescent="0.25">
      <c r="A50" s="27" t="s">
        <v>377</v>
      </c>
      <c r="B50" s="3" t="s">
        <v>370</v>
      </c>
      <c r="C50" s="50" t="s">
        <v>381</v>
      </c>
      <c r="D50" t="s">
        <v>108</v>
      </c>
      <c r="E50">
        <v>27</v>
      </c>
      <c r="F50" t="s">
        <v>152</v>
      </c>
      <c r="G50" s="29" t="b">
        <v>1</v>
      </c>
      <c r="H50" s="29" t="b">
        <v>1</v>
      </c>
      <c r="J50" s="12" t="s">
        <v>153</v>
      </c>
      <c r="K50" t="b">
        <v>1</v>
      </c>
      <c r="L50" t="b">
        <v>0</v>
      </c>
      <c r="M50" t="b">
        <v>0</v>
      </c>
      <c r="N50" s="29" t="s">
        <v>152</v>
      </c>
    </row>
    <row r="51" spans="1:14" x14ac:dyDescent="0.25">
      <c r="A51" s="27" t="s">
        <v>378</v>
      </c>
      <c r="B51" s="3" t="s">
        <v>371</v>
      </c>
      <c r="C51" s="50" t="s">
        <v>382</v>
      </c>
      <c r="D51" t="s">
        <v>108</v>
      </c>
      <c r="E51">
        <v>27</v>
      </c>
      <c r="F51" t="s">
        <v>152</v>
      </c>
      <c r="G51" s="29" t="b">
        <v>1</v>
      </c>
      <c r="H51" s="29" t="b">
        <v>1</v>
      </c>
      <c r="J51" s="12" t="s">
        <v>153</v>
      </c>
      <c r="K51" t="b">
        <v>1</v>
      </c>
      <c r="L51" t="b">
        <v>0</v>
      </c>
      <c r="M51" t="b">
        <v>0</v>
      </c>
      <c r="N51" s="29" t="s">
        <v>152</v>
      </c>
    </row>
    <row r="52" spans="1:14" x14ac:dyDescent="0.25">
      <c r="A52" s="27" t="s">
        <v>379</v>
      </c>
      <c r="B52" s="3" t="s">
        <v>380</v>
      </c>
      <c r="C52" s="50" t="s">
        <v>383</v>
      </c>
      <c r="D52" t="s">
        <v>108</v>
      </c>
      <c r="E52">
        <v>27</v>
      </c>
      <c r="F52" t="s">
        <v>152</v>
      </c>
      <c r="G52" s="29" t="b">
        <v>1</v>
      </c>
      <c r="H52" s="29" t="b">
        <v>1</v>
      </c>
      <c r="J52" s="12" t="s">
        <v>153</v>
      </c>
      <c r="K52" t="b">
        <v>0</v>
      </c>
      <c r="L52" t="b">
        <v>1</v>
      </c>
      <c r="M52" t="b">
        <v>0</v>
      </c>
      <c r="N52" s="29" t="s">
        <v>151</v>
      </c>
    </row>
    <row r="53" spans="1:14" x14ac:dyDescent="0.25">
      <c r="A53" s="27" t="s">
        <v>5</v>
      </c>
      <c r="B53" s="3" t="s">
        <v>97</v>
      </c>
      <c r="C53" s="50" t="s">
        <v>240</v>
      </c>
      <c r="D53" t="s">
        <v>113</v>
      </c>
      <c r="E53">
        <v>28</v>
      </c>
      <c r="F53" t="s">
        <v>151</v>
      </c>
      <c r="G53" s="29" t="b">
        <v>0</v>
      </c>
      <c r="H53" s="29" t="b">
        <v>0</v>
      </c>
      <c r="K53" t="b">
        <v>0</v>
      </c>
      <c r="L53" t="b">
        <v>0</v>
      </c>
      <c r="M53" t="b">
        <v>0</v>
      </c>
      <c r="N53" s="29" t="s">
        <v>151</v>
      </c>
    </row>
    <row r="54" spans="1:14" x14ac:dyDescent="0.25">
      <c r="A54" s="27" t="s">
        <v>21</v>
      </c>
      <c r="B54" s="3" t="s">
        <v>254</v>
      </c>
      <c r="C54" s="50" t="str">
        <f>"=1 if the study was conducted in a country with advanced economy. (reference group)"</f>
        <v>=1 if the study was conducted in a country with advanced economy. (reference group)</v>
      </c>
      <c r="D54" t="s">
        <v>104</v>
      </c>
      <c r="E54">
        <v>29</v>
      </c>
      <c r="F54" t="s">
        <v>151</v>
      </c>
      <c r="G54" s="29" t="b">
        <v>1</v>
      </c>
      <c r="H54" s="29" t="b">
        <v>1</v>
      </c>
      <c r="I54">
        <v>1</v>
      </c>
      <c r="K54" t="b">
        <v>0</v>
      </c>
      <c r="L54" t="b">
        <v>1</v>
      </c>
      <c r="M54" t="b">
        <v>0</v>
      </c>
      <c r="N54" s="29" t="s">
        <v>151</v>
      </c>
    </row>
    <row r="55" spans="1:14" x14ac:dyDescent="0.25">
      <c r="A55" s="27" t="s">
        <v>22</v>
      </c>
      <c r="B55" s="3" t="s">
        <v>255</v>
      </c>
      <c r="C55" s="50" t="str">
        <f>"=1 if the study was conducted in the East Asia and Pacific region."</f>
        <v>=1 if the study was conducted in the East Asia and Pacific region.</v>
      </c>
      <c r="D55" t="s">
        <v>104</v>
      </c>
      <c r="E55">
        <v>29</v>
      </c>
      <c r="F55" t="s">
        <v>151</v>
      </c>
      <c r="G55" s="29" t="b">
        <v>1</v>
      </c>
      <c r="H55" s="29" t="b">
        <v>1</v>
      </c>
      <c r="I55">
        <v>1</v>
      </c>
      <c r="K55" t="b">
        <v>0</v>
      </c>
      <c r="L55" t="b">
        <v>0</v>
      </c>
      <c r="M55" t="b">
        <v>0</v>
      </c>
      <c r="N55" s="29" t="s">
        <v>151</v>
      </c>
    </row>
    <row r="56" spans="1:14" x14ac:dyDescent="0.25">
      <c r="A56" s="27" t="s">
        <v>23</v>
      </c>
      <c r="B56" s="3" t="s">
        <v>256</v>
      </c>
      <c r="C56" s="50" t="str">
        <f>"=1 if the study was conducted in the Europe and Central Asia region."</f>
        <v>=1 if the study was conducted in the Europe and Central Asia region.</v>
      </c>
      <c r="D56" t="s">
        <v>104</v>
      </c>
      <c r="E56">
        <v>29</v>
      </c>
      <c r="F56" t="s">
        <v>151</v>
      </c>
      <c r="G56" s="29" t="b">
        <v>1</v>
      </c>
      <c r="H56" s="29" t="b">
        <v>1</v>
      </c>
      <c r="I56">
        <v>1</v>
      </c>
      <c r="K56" t="b">
        <v>0</v>
      </c>
      <c r="L56" t="b">
        <v>0</v>
      </c>
      <c r="M56" t="b">
        <v>0</v>
      </c>
      <c r="N56" s="29" t="s">
        <v>151</v>
      </c>
    </row>
    <row r="57" spans="1:14" x14ac:dyDescent="0.25">
      <c r="A57" s="27" t="s">
        <v>24</v>
      </c>
      <c r="B57" s="3" t="s">
        <v>257</v>
      </c>
      <c r="C57" s="50" t="str">
        <f>"=1 if the study was conducted in the Latin America and Caribbean region."</f>
        <v>=1 if the study was conducted in the Latin America and Caribbean region.</v>
      </c>
      <c r="D57" t="s">
        <v>104</v>
      </c>
      <c r="E57">
        <v>29</v>
      </c>
      <c r="F57" t="s">
        <v>151</v>
      </c>
      <c r="G57" s="29" t="b">
        <v>1</v>
      </c>
      <c r="H57" s="29" t="b">
        <v>1</v>
      </c>
      <c r="I57">
        <v>1</v>
      </c>
      <c r="K57" t="b">
        <v>0</v>
      </c>
      <c r="L57" t="b">
        <v>0</v>
      </c>
      <c r="M57" t="b">
        <v>0</v>
      </c>
      <c r="N57" s="29" t="s">
        <v>151</v>
      </c>
    </row>
    <row r="58" spans="1:14" x14ac:dyDescent="0.25">
      <c r="A58" s="27" t="s">
        <v>25</v>
      </c>
      <c r="B58" s="3" t="s">
        <v>258</v>
      </c>
      <c r="C58" s="50" t="str">
        <f>"=1 if the study was conducted in the Middle East and North Africa region."</f>
        <v>=1 if the study was conducted in the Middle East and North Africa region.</v>
      </c>
      <c r="D58" t="s">
        <v>104</v>
      </c>
      <c r="E58">
        <v>29</v>
      </c>
      <c r="F58" t="s">
        <v>151</v>
      </c>
      <c r="G58" s="29" t="b">
        <v>1</v>
      </c>
      <c r="H58" s="29" t="b">
        <v>1</v>
      </c>
      <c r="I58">
        <v>1</v>
      </c>
      <c r="K58" t="b">
        <v>0</v>
      </c>
      <c r="L58" t="b">
        <v>0</v>
      </c>
      <c r="M58" t="b">
        <v>0</v>
      </c>
      <c r="N58" s="29" t="s">
        <v>151</v>
      </c>
    </row>
    <row r="59" spans="1:14" x14ac:dyDescent="0.25">
      <c r="A59" s="27" t="s">
        <v>26</v>
      </c>
      <c r="B59" s="3" t="s">
        <v>259</v>
      </c>
      <c r="C59" s="50" t="str">
        <f>"=1 if the study was conducted in the South African region."</f>
        <v>=1 if the study was conducted in the South African region.</v>
      </c>
      <c r="D59" t="s">
        <v>104</v>
      </c>
      <c r="E59">
        <v>29</v>
      </c>
      <c r="F59" t="s">
        <v>151</v>
      </c>
      <c r="G59" s="29" t="b">
        <v>1</v>
      </c>
      <c r="H59" s="29" t="b">
        <v>1</v>
      </c>
      <c r="I59">
        <v>1</v>
      </c>
      <c r="K59" t="b">
        <v>0</v>
      </c>
      <c r="L59" t="b">
        <v>0</v>
      </c>
      <c r="M59" t="b">
        <v>0</v>
      </c>
      <c r="N59" s="29" t="s">
        <v>151</v>
      </c>
    </row>
    <row r="60" spans="1:14" x14ac:dyDescent="0.25">
      <c r="A60" s="27" t="s">
        <v>27</v>
      </c>
      <c r="B60" s="3" t="s">
        <v>260</v>
      </c>
      <c r="C60" s="50" t="str">
        <f>"=1 if the study was conducted in the region of Sub Saharan Africa."</f>
        <v>=1 if the study was conducted in the region of Sub Saharan Africa.</v>
      </c>
      <c r="D60" t="s">
        <v>104</v>
      </c>
      <c r="E60">
        <v>29</v>
      </c>
      <c r="F60" t="s">
        <v>151</v>
      </c>
      <c r="G60" s="29" t="b">
        <v>1</v>
      </c>
      <c r="H60" s="29" t="b">
        <v>1</v>
      </c>
      <c r="I60">
        <v>1</v>
      </c>
      <c r="K60" t="b">
        <v>0</v>
      </c>
      <c r="L60" t="b">
        <v>0</v>
      </c>
      <c r="M60" t="b">
        <v>0</v>
      </c>
      <c r="N60" s="29" t="s">
        <v>151</v>
      </c>
    </row>
    <row r="61" spans="1:14" x14ac:dyDescent="0.25">
      <c r="A61" s="27" t="s">
        <v>20</v>
      </c>
      <c r="B61" s="3" t="s">
        <v>189</v>
      </c>
      <c r="C61" s="50" t="str">
        <f>"=1 if the study was conducted in a high income country (reference category)"</f>
        <v>=1 if the study was conducted in a high income country (reference category)</v>
      </c>
      <c r="D61" t="s">
        <v>104</v>
      </c>
      <c r="E61">
        <v>30</v>
      </c>
      <c r="F61" t="s">
        <v>151</v>
      </c>
      <c r="G61" s="29" t="b">
        <v>1</v>
      </c>
      <c r="H61" s="29" t="b">
        <v>1</v>
      </c>
      <c r="I61">
        <v>1</v>
      </c>
      <c r="K61" t="b">
        <v>0</v>
      </c>
      <c r="L61" t="b">
        <v>1</v>
      </c>
      <c r="M61" t="b">
        <v>0</v>
      </c>
      <c r="N61" s="29" t="s">
        <v>151</v>
      </c>
    </row>
    <row r="62" spans="1:14" x14ac:dyDescent="0.25">
      <c r="A62" s="27" t="s">
        <v>19</v>
      </c>
      <c r="B62" s="3" t="s">
        <v>190</v>
      </c>
      <c r="C62" s="50" t="str">
        <f>"=1 if the study was conducted in a middle income country"</f>
        <v>=1 if the study was conducted in a middle income country</v>
      </c>
      <c r="D62" t="s">
        <v>104</v>
      </c>
      <c r="E62">
        <v>30</v>
      </c>
      <c r="F62" t="s">
        <v>151</v>
      </c>
      <c r="G62" s="29" t="b">
        <v>1</v>
      </c>
      <c r="H62" s="29" t="b">
        <v>1</v>
      </c>
      <c r="I62">
        <v>1</v>
      </c>
      <c r="K62" t="b">
        <v>0</v>
      </c>
      <c r="L62" t="b">
        <v>0</v>
      </c>
      <c r="M62" t="b">
        <v>0</v>
      </c>
      <c r="N62" s="29" t="s">
        <v>151</v>
      </c>
    </row>
    <row r="63" spans="1:14" x14ac:dyDescent="0.25">
      <c r="A63" s="27" t="s">
        <v>18</v>
      </c>
      <c r="B63" s="3" t="s">
        <v>191</v>
      </c>
      <c r="C63" s="50" t="str">
        <f>"=1 if the study was conducted in a low income country"</f>
        <v>=1 if the study was conducted in a low income country</v>
      </c>
      <c r="D63" t="s">
        <v>104</v>
      </c>
      <c r="E63">
        <v>30</v>
      </c>
      <c r="F63" t="s">
        <v>151</v>
      </c>
      <c r="G63" s="29" t="b">
        <v>1</v>
      </c>
      <c r="H63" s="29" t="b">
        <v>1</v>
      </c>
      <c r="I63">
        <v>1</v>
      </c>
      <c r="K63" t="b">
        <v>0</v>
      </c>
      <c r="L63" t="b">
        <v>0</v>
      </c>
      <c r="M63" t="b">
        <v>0</v>
      </c>
      <c r="N63" s="29" t="s">
        <v>151</v>
      </c>
    </row>
    <row r="64" spans="1:14" x14ac:dyDescent="0.25">
      <c r="A64" s="27" t="s">
        <v>29</v>
      </c>
      <c r="B64" s="3" t="s">
        <v>121</v>
      </c>
      <c r="C64" s="50" t="s">
        <v>241</v>
      </c>
      <c r="D64" t="s">
        <v>106</v>
      </c>
      <c r="E64">
        <v>31</v>
      </c>
      <c r="F64" t="s">
        <v>153</v>
      </c>
      <c r="G64" s="29" t="b">
        <v>1</v>
      </c>
      <c r="H64" s="29" t="b">
        <v>1</v>
      </c>
      <c r="J64" s="12" t="s">
        <v>153</v>
      </c>
      <c r="K64" t="b">
        <v>1</v>
      </c>
      <c r="L64" t="b">
        <v>0</v>
      </c>
      <c r="M64" t="b">
        <v>1</v>
      </c>
      <c r="N64" s="29" t="s">
        <v>152</v>
      </c>
    </row>
    <row r="65" spans="1:14" x14ac:dyDescent="0.25">
      <c r="A65" s="27" t="s">
        <v>30</v>
      </c>
      <c r="B65" s="3" t="s">
        <v>122</v>
      </c>
      <c r="C65" s="50" t="s">
        <v>242</v>
      </c>
      <c r="D65" t="s">
        <v>106</v>
      </c>
      <c r="E65">
        <v>32</v>
      </c>
      <c r="F65" t="s">
        <v>153</v>
      </c>
      <c r="G65" s="29" t="b">
        <v>1</v>
      </c>
      <c r="H65" s="29" t="b">
        <v>1</v>
      </c>
      <c r="J65" s="12" t="s">
        <v>153</v>
      </c>
      <c r="K65" t="b">
        <v>1</v>
      </c>
      <c r="L65" t="b">
        <v>0</v>
      </c>
      <c r="M65" t="b">
        <v>1</v>
      </c>
      <c r="N65" s="29" t="s">
        <v>152</v>
      </c>
    </row>
    <row r="66" spans="1:14" x14ac:dyDescent="0.25">
      <c r="A66" s="27" t="s">
        <v>166</v>
      </c>
      <c r="B66" s="3" t="s">
        <v>167</v>
      </c>
      <c r="C66" s="50" t="s">
        <v>243</v>
      </c>
      <c r="D66" t="s">
        <v>106</v>
      </c>
      <c r="E66">
        <v>33</v>
      </c>
      <c r="F66" t="s">
        <v>153</v>
      </c>
      <c r="G66" s="29" t="b">
        <v>1</v>
      </c>
      <c r="H66" s="29" t="b">
        <v>1</v>
      </c>
      <c r="J66" s="12" t="s">
        <v>153</v>
      </c>
      <c r="K66" t="b">
        <v>1</v>
      </c>
      <c r="L66" t="b">
        <v>0</v>
      </c>
      <c r="M66" t="b">
        <v>0</v>
      </c>
      <c r="N66" s="29" t="s">
        <v>152</v>
      </c>
    </row>
    <row r="67" spans="1:14" x14ac:dyDescent="0.25">
      <c r="A67" s="27" t="s">
        <v>31</v>
      </c>
      <c r="B67" s="3" t="s">
        <v>169</v>
      </c>
      <c r="C67" s="50" t="s">
        <v>244</v>
      </c>
      <c r="D67" t="s">
        <v>106</v>
      </c>
      <c r="E67">
        <v>34</v>
      </c>
      <c r="F67" t="s">
        <v>153</v>
      </c>
      <c r="G67" s="29" t="b">
        <v>1</v>
      </c>
      <c r="H67" s="29" t="b">
        <v>1</v>
      </c>
      <c r="J67" s="12" t="s">
        <v>153</v>
      </c>
      <c r="K67" t="b">
        <v>1</v>
      </c>
      <c r="L67" t="b">
        <v>0</v>
      </c>
      <c r="M67" t="b">
        <v>1</v>
      </c>
      <c r="N67" s="29" t="s">
        <v>152</v>
      </c>
    </row>
    <row r="68" spans="1:14" x14ac:dyDescent="0.25">
      <c r="A68" s="4" t="s">
        <v>32</v>
      </c>
      <c r="B68" s="4" t="s">
        <v>192</v>
      </c>
      <c r="C68" s="45" t="str">
        <f>"=1 if the authors use Ordinary least squares  (reference category)."</f>
        <v>=1 if the authors use Ordinary least squares  (reference category).</v>
      </c>
      <c r="D68" t="s">
        <v>104</v>
      </c>
      <c r="E68">
        <v>35</v>
      </c>
      <c r="F68" t="s">
        <v>151</v>
      </c>
      <c r="G68" s="29" t="b">
        <v>1</v>
      </c>
      <c r="H68" s="29" t="b">
        <v>1</v>
      </c>
      <c r="I68">
        <v>1</v>
      </c>
      <c r="K68" t="b">
        <v>0</v>
      </c>
      <c r="L68" t="b">
        <v>1</v>
      </c>
      <c r="M68" t="b">
        <v>0</v>
      </c>
      <c r="N68" s="29" t="s">
        <v>151</v>
      </c>
    </row>
    <row r="69" spans="1:14" x14ac:dyDescent="0.25">
      <c r="A69" s="4" t="s">
        <v>386</v>
      </c>
      <c r="B69" s="4" t="s">
        <v>388</v>
      </c>
      <c r="C69" s="45" t="str">
        <f>"=1 if the authors use Generalized Least Squares."</f>
        <v>=1 if the authors use Generalized Least Squares.</v>
      </c>
      <c r="D69" t="s">
        <v>104</v>
      </c>
      <c r="E69">
        <v>35</v>
      </c>
      <c r="F69" t="s">
        <v>151</v>
      </c>
      <c r="G69" s="29" t="b">
        <v>1</v>
      </c>
      <c r="H69" s="29" t="b">
        <v>1</v>
      </c>
      <c r="I69">
        <v>1</v>
      </c>
      <c r="K69" t="b">
        <v>1</v>
      </c>
      <c r="L69" t="b">
        <v>0</v>
      </c>
      <c r="M69" t="b">
        <v>0</v>
      </c>
      <c r="N69" s="29" t="s">
        <v>152</v>
      </c>
    </row>
    <row r="70" spans="1:14" x14ac:dyDescent="0.25">
      <c r="A70" s="4" t="s">
        <v>384</v>
      </c>
      <c r="B70" s="4" t="s">
        <v>385</v>
      </c>
      <c r="C70" s="45" t="str">
        <f>"=1 if the authors use  Selection-effects or Fixed-effects estimation."</f>
        <v>=1 if the authors use  Selection-effects or Fixed-effects estimation.</v>
      </c>
      <c r="D70" t="s">
        <v>104</v>
      </c>
      <c r="E70">
        <v>35</v>
      </c>
      <c r="F70" t="s">
        <v>151</v>
      </c>
      <c r="G70" s="29" t="b">
        <v>1</v>
      </c>
      <c r="H70" s="29" t="b">
        <v>1</v>
      </c>
      <c r="I70">
        <v>1</v>
      </c>
      <c r="K70" t="b">
        <v>1</v>
      </c>
      <c r="L70" t="b">
        <v>0</v>
      </c>
      <c r="M70" t="b">
        <v>0</v>
      </c>
      <c r="N70" s="29" t="s">
        <v>152</v>
      </c>
    </row>
    <row r="71" spans="1:14" x14ac:dyDescent="0.25">
      <c r="A71" s="4" t="s">
        <v>84</v>
      </c>
      <c r="B71" s="4" t="s">
        <v>193</v>
      </c>
      <c r="C71" s="45" t="str">
        <f>"=1 if the authors use Two-Stage or Three-Stage least squares estimation."</f>
        <v>=1 if the authors use Two-Stage or Three-Stage least squares estimation.</v>
      </c>
      <c r="D71" t="s">
        <v>104</v>
      </c>
      <c r="E71">
        <v>35</v>
      </c>
      <c r="F71" t="s">
        <v>151</v>
      </c>
      <c r="G71" s="29" t="b">
        <v>1</v>
      </c>
      <c r="H71" s="29" t="b">
        <v>1</v>
      </c>
      <c r="I71">
        <v>1</v>
      </c>
      <c r="K71" t="b">
        <v>1</v>
      </c>
      <c r="L71" t="b">
        <v>0</v>
      </c>
      <c r="M71" t="b">
        <v>0</v>
      </c>
      <c r="N71" s="29" t="s">
        <v>152</v>
      </c>
    </row>
    <row r="72" spans="1:14" x14ac:dyDescent="0.25">
      <c r="A72" s="4" t="s">
        <v>358</v>
      </c>
      <c r="B72" s="4" t="s">
        <v>359</v>
      </c>
      <c r="C72" s="45" t="str">
        <f>"=1 if the authors use First Differences."</f>
        <v>=1 if the authors use First Differences.</v>
      </c>
      <c r="D72" t="s">
        <v>104</v>
      </c>
      <c r="E72">
        <v>35</v>
      </c>
      <c r="F72" t="s">
        <v>151</v>
      </c>
      <c r="G72" s="29" t="b">
        <v>1</v>
      </c>
      <c r="H72" s="29" t="b">
        <v>1</v>
      </c>
      <c r="I72">
        <v>1</v>
      </c>
      <c r="K72" t="b">
        <v>1</v>
      </c>
      <c r="L72" t="b">
        <v>0</v>
      </c>
      <c r="M72" t="b">
        <v>0</v>
      </c>
      <c r="N72" s="29" t="s">
        <v>152</v>
      </c>
    </row>
    <row r="73" spans="1:14" x14ac:dyDescent="0.25">
      <c r="A73" s="4" t="s">
        <v>387</v>
      </c>
      <c r="B73" s="4" t="s">
        <v>389</v>
      </c>
      <c r="C73" s="45" t="str">
        <f>"=1 if the authors use First-Differenced IV estimation."</f>
        <v>=1 if the authors use First-Differenced IV estimation.</v>
      </c>
      <c r="D73" t="s">
        <v>104</v>
      </c>
      <c r="E73">
        <v>35</v>
      </c>
      <c r="F73" t="s">
        <v>151</v>
      </c>
      <c r="G73" s="29" t="b">
        <v>1</v>
      </c>
      <c r="H73" s="29" t="b">
        <v>1</v>
      </c>
      <c r="I73">
        <v>1</v>
      </c>
      <c r="K73" t="b">
        <v>1</v>
      </c>
      <c r="L73" t="b">
        <v>0</v>
      </c>
      <c r="M73" t="b">
        <v>0</v>
      </c>
      <c r="N73" s="29" t="s">
        <v>152</v>
      </c>
    </row>
    <row r="74" spans="1:14" x14ac:dyDescent="0.25">
      <c r="A74" s="4" t="s">
        <v>33</v>
      </c>
      <c r="B74" s="4" t="s">
        <v>194</v>
      </c>
      <c r="C74" s="45" t="str">
        <f>"=1 if the authors include a direct measure of ability in their study."</f>
        <v>=1 if the authors include a direct measure of ability in their study.</v>
      </c>
      <c r="D74" t="s">
        <v>104</v>
      </c>
      <c r="E74">
        <v>36</v>
      </c>
      <c r="F74" t="s">
        <v>151</v>
      </c>
      <c r="G74" s="29" t="b">
        <v>1</v>
      </c>
      <c r="H74" s="29" t="b">
        <v>1</v>
      </c>
      <c r="I74">
        <v>1</v>
      </c>
      <c r="K74" t="b">
        <v>1</v>
      </c>
      <c r="L74" t="b">
        <v>0</v>
      </c>
      <c r="M74" t="b">
        <v>0</v>
      </c>
      <c r="N74" s="29" t="s">
        <v>152</v>
      </c>
    </row>
    <row r="75" spans="1:14" x14ac:dyDescent="0.25">
      <c r="A75" s="4" t="s">
        <v>34</v>
      </c>
      <c r="B75" s="4" t="s">
        <v>195</v>
      </c>
      <c r="C75" s="45" t="str">
        <f>"=1 if the authors use a proxy for ability in their study."</f>
        <v>=1 if the authors use a proxy for ability in their study.</v>
      </c>
      <c r="D75" t="s">
        <v>104</v>
      </c>
      <c r="E75">
        <v>36</v>
      </c>
      <c r="F75" t="s">
        <v>151</v>
      </c>
      <c r="G75" s="29" t="b">
        <v>1</v>
      </c>
      <c r="H75" s="29" t="b">
        <v>1</v>
      </c>
      <c r="I75">
        <v>1</v>
      </c>
      <c r="K75" t="b">
        <v>1</v>
      </c>
      <c r="L75" t="b">
        <v>0</v>
      </c>
      <c r="M75" t="b">
        <v>0</v>
      </c>
      <c r="N75" s="29" t="s">
        <v>152</v>
      </c>
    </row>
    <row r="76" spans="1:14" x14ac:dyDescent="0.25">
      <c r="A76" s="4" t="s">
        <v>80</v>
      </c>
      <c r="B76" s="4" t="s">
        <v>196</v>
      </c>
      <c r="C76" s="45" t="str">
        <f>"=1 if the authors acknowledge, but do not control for ability in any way in their study."</f>
        <v>=1 if the authors acknowledge, but do not control for ability in any way in their study.</v>
      </c>
      <c r="D76" t="s">
        <v>104</v>
      </c>
      <c r="E76">
        <v>36</v>
      </c>
      <c r="F76" t="s">
        <v>151</v>
      </c>
      <c r="G76" s="29" t="b">
        <v>1</v>
      </c>
      <c r="H76" s="29" t="b">
        <v>1</v>
      </c>
      <c r="I76">
        <v>1</v>
      </c>
      <c r="K76" t="b">
        <v>1</v>
      </c>
      <c r="L76" t="b">
        <v>0</v>
      </c>
      <c r="M76" t="b">
        <v>0</v>
      </c>
      <c r="N76" s="29" t="s">
        <v>152</v>
      </c>
    </row>
    <row r="77" spans="1:14" x14ac:dyDescent="0.25">
      <c r="A77" s="4" t="s">
        <v>81</v>
      </c>
      <c r="B77" s="4" t="s">
        <v>197</v>
      </c>
      <c r="C77" s="45" t="str">
        <f>"=1 if the authors do not mention ability anywhere in their study (reference category)."</f>
        <v>=1 if the authors do not mention ability anywhere in their study (reference category).</v>
      </c>
      <c r="D77" t="s">
        <v>104</v>
      </c>
      <c r="E77">
        <v>36</v>
      </c>
      <c r="F77" t="s">
        <v>151</v>
      </c>
      <c r="G77" s="29" t="b">
        <v>1</v>
      </c>
      <c r="H77" s="29" t="b">
        <v>1</v>
      </c>
      <c r="I77">
        <v>1</v>
      </c>
      <c r="K77" t="b">
        <v>0</v>
      </c>
      <c r="L77" t="b">
        <v>1</v>
      </c>
      <c r="M77" t="b">
        <v>0</v>
      </c>
      <c r="N77" s="29" t="s">
        <v>151</v>
      </c>
    </row>
    <row r="78" spans="1:14" x14ac:dyDescent="0.25">
      <c r="A78" s="4" t="s">
        <v>356</v>
      </c>
      <c r="B78" s="4" t="s">
        <v>357</v>
      </c>
      <c r="C78" s="45" t="str">
        <f>"=1 if the authors use sibling's education as an instrument in the regression."</f>
        <v>=1 if the authors use sibling's education as an instrument in the regression.</v>
      </c>
      <c r="D78" t="s">
        <v>105</v>
      </c>
      <c r="E78">
        <v>37</v>
      </c>
      <c r="F78" t="s">
        <v>151</v>
      </c>
      <c r="G78" s="29" t="b">
        <v>1</v>
      </c>
      <c r="H78" s="29" t="b">
        <v>1</v>
      </c>
      <c r="I78">
        <v>1</v>
      </c>
      <c r="K78" t="b">
        <v>0</v>
      </c>
      <c r="L78" t="b">
        <v>0</v>
      </c>
      <c r="M78" t="b">
        <v>0</v>
      </c>
      <c r="N78" s="29" t="s">
        <v>151</v>
      </c>
    </row>
    <row r="79" spans="1:14" x14ac:dyDescent="0.25">
      <c r="A79" s="4" t="s">
        <v>88</v>
      </c>
      <c r="B79" s="4" t="s">
        <v>198</v>
      </c>
      <c r="C79" s="45" t="str">
        <f>"=1 if the authors use distance to school as an instrument in the regression."</f>
        <v>=1 if the authors use distance to school as an instrument in the regression.</v>
      </c>
      <c r="D79" t="s">
        <v>105</v>
      </c>
      <c r="E79">
        <v>37</v>
      </c>
      <c r="F79" t="s">
        <v>151</v>
      </c>
      <c r="G79" s="29" t="b">
        <v>1</v>
      </c>
      <c r="H79" s="29" t="b">
        <v>1</v>
      </c>
      <c r="I79">
        <v>1</v>
      </c>
      <c r="K79" t="b">
        <v>0</v>
      </c>
      <c r="L79" t="b">
        <v>0</v>
      </c>
      <c r="M79" t="b">
        <v>0</v>
      </c>
      <c r="N79" s="29" t="s">
        <v>151</v>
      </c>
    </row>
    <row r="80" spans="1:14" x14ac:dyDescent="0.25">
      <c r="A80" s="4" t="s">
        <v>392</v>
      </c>
      <c r="B80" s="4" t="s">
        <v>393</v>
      </c>
      <c r="C80" s="45" t="str">
        <f>"=1 if the authors smoking as an instrument in the regression."</f>
        <v>=1 if the authors smoking as an instrument in the regression.</v>
      </c>
      <c r="D80" t="s">
        <v>105</v>
      </c>
      <c r="E80">
        <v>37</v>
      </c>
      <c r="F80" t="s">
        <v>151</v>
      </c>
      <c r="G80" s="29" t="b">
        <v>1</v>
      </c>
      <c r="H80" s="29" t="b">
        <v>1</v>
      </c>
      <c r="I80">
        <v>1</v>
      </c>
      <c r="K80" t="b">
        <v>0</v>
      </c>
      <c r="L80" t="b">
        <v>0</v>
      </c>
      <c r="M80" t="b">
        <v>0</v>
      </c>
      <c r="N80" s="29" t="s">
        <v>151</v>
      </c>
    </row>
    <row r="81" spans="1:14" x14ac:dyDescent="0.25">
      <c r="A81" s="4" t="s">
        <v>35</v>
      </c>
      <c r="B81" s="4" t="s">
        <v>199</v>
      </c>
      <c r="C81" s="45" t="str">
        <f>"=1 if the authors control for age in the regression."</f>
        <v>=1 if the authors control for age in the regression.</v>
      </c>
      <c r="D81" t="s">
        <v>105</v>
      </c>
      <c r="E81">
        <v>38</v>
      </c>
      <c r="F81" t="s">
        <v>151</v>
      </c>
      <c r="G81" s="29" t="b">
        <v>1</v>
      </c>
      <c r="H81" s="29" t="b">
        <v>1</v>
      </c>
      <c r="I81">
        <v>1</v>
      </c>
      <c r="K81" t="b">
        <v>1</v>
      </c>
      <c r="L81" t="b">
        <v>0</v>
      </c>
      <c r="M81" t="b">
        <v>0</v>
      </c>
      <c r="N81" s="29" t="s">
        <v>152</v>
      </c>
    </row>
    <row r="82" spans="1:14" x14ac:dyDescent="0.25">
      <c r="A82" s="4" t="s">
        <v>36</v>
      </c>
      <c r="B82" s="4" t="s">
        <v>212</v>
      </c>
      <c r="C82" s="45" t="str">
        <f>"=1 if the authors control for age in quadratic form in the regression."</f>
        <v>=1 if the authors control for age in quadratic form in the regression.</v>
      </c>
      <c r="D82" t="s">
        <v>105</v>
      </c>
      <c r="E82">
        <v>38</v>
      </c>
      <c r="F82" t="s">
        <v>151</v>
      </c>
      <c r="G82" s="29" t="b">
        <v>1</v>
      </c>
      <c r="H82" s="29" t="b">
        <v>1</v>
      </c>
      <c r="I82">
        <v>1</v>
      </c>
      <c r="K82" t="b">
        <v>1</v>
      </c>
      <c r="L82" t="b">
        <v>0</v>
      </c>
      <c r="M82" t="b">
        <v>0</v>
      </c>
      <c r="N82" s="29" t="s">
        <v>152</v>
      </c>
    </row>
    <row r="83" spans="1:14" x14ac:dyDescent="0.25">
      <c r="A83" s="4" t="s">
        <v>37</v>
      </c>
      <c r="B83" s="4" t="s">
        <v>200</v>
      </c>
      <c r="C83" s="45" t="str">
        <f>"=1 if the authors control for experience in the regression."</f>
        <v>=1 if the authors control for experience in the regression.</v>
      </c>
      <c r="D83" t="s">
        <v>105</v>
      </c>
      <c r="E83">
        <v>38</v>
      </c>
      <c r="F83" t="s">
        <v>151</v>
      </c>
      <c r="G83" s="29" t="b">
        <v>1</v>
      </c>
      <c r="H83" s="29" t="b">
        <v>1</v>
      </c>
      <c r="I83">
        <v>1</v>
      </c>
      <c r="K83" t="b">
        <v>1</v>
      </c>
      <c r="L83" t="b">
        <v>0</v>
      </c>
      <c r="M83" t="b">
        <v>0</v>
      </c>
      <c r="N83" s="29" t="s">
        <v>152</v>
      </c>
    </row>
    <row r="84" spans="1:14" x14ac:dyDescent="0.25">
      <c r="A84" s="4" t="s">
        <v>65</v>
      </c>
      <c r="B84" s="4" t="s">
        <v>211</v>
      </c>
      <c r="C84" s="45" t="str">
        <f>"=1 if the authors control for experience in quadratic form in the regression."</f>
        <v>=1 if the authors control for experience in quadratic form in the regression.</v>
      </c>
      <c r="D84" t="s">
        <v>105</v>
      </c>
      <c r="E84">
        <v>38</v>
      </c>
      <c r="F84" t="s">
        <v>151</v>
      </c>
      <c r="G84" s="29" t="b">
        <v>1</v>
      </c>
      <c r="H84" s="29" t="b">
        <v>1</v>
      </c>
      <c r="I84">
        <v>1</v>
      </c>
      <c r="K84" t="b">
        <v>1</v>
      </c>
      <c r="L84" t="b">
        <v>0</v>
      </c>
      <c r="M84" t="b">
        <v>0</v>
      </c>
      <c r="N84" s="29" t="s">
        <v>152</v>
      </c>
    </row>
    <row r="85" spans="1:14" x14ac:dyDescent="0.25">
      <c r="A85" s="4" t="s">
        <v>38</v>
      </c>
      <c r="B85" s="4" t="s">
        <v>201</v>
      </c>
      <c r="C85" s="45" t="str">
        <f>"=1 if the authors control for ethnicity in the regression."</f>
        <v>=1 if the authors control for ethnicity in the regression.</v>
      </c>
      <c r="D85" t="s">
        <v>105</v>
      </c>
      <c r="E85">
        <v>38</v>
      </c>
      <c r="F85" t="s">
        <v>151</v>
      </c>
      <c r="G85" s="29" t="b">
        <v>1</v>
      </c>
      <c r="H85" s="29" t="b">
        <v>1</v>
      </c>
      <c r="I85">
        <v>1</v>
      </c>
      <c r="K85" t="b">
        <v>1</v>
      </c>
      <c r="L85" t="b">
        <v>0</v>
      </c>
      <c r="M85" t="b">
        <v>0</v>
      </c>
      <c r="N85" s="29" t="s">
        <v>152</v>
      </c>
    </row>
    <row r="86" spans="1:14" x14ac:dyDescent="0.25">
      <c r="A86" s="4" t="s">
        <v>39</v>
      </c>
      <c r="B86" s="4" t="s">
        <v>202</v>
      </c>
      <c r="C86" s="45" t="str">
        <f>"=1 if the authors control for health in the regression."</f>
        <v>=1 if the authors control for health in the regression.</v>
      </c>
      <c r="D86" t="s">
        <v>105</v>
      </c>
      <c r="E86">
        <v>38</v>
      </c>
      <c r="F86" t="s">
        <v>151</v>
      </c>
      <c r="G86" s="29" t="b">
        <v>1</v>
      </c>
      <c r="H86" s="29" t="b">
        <v>1</v>
      </c>
      <c r="I86">
        <v>1</v>
      </c>
      <c r="K86" t="b">
        <v>1</v>
      </c>
      <c r="L86" t="b">
        <v>0</v>
      </c>
      <c r="M86" t="b">
        <v>0</v>
      </c>
      <c r="N86" s="29" t="s">
        <v>152</v>
      </c>
    </row>
    <row r="87" spans="1:14" x14ac:dyDescent="0.25">
      <c r="A87" s="4" t="s">
        <v>40</v>
      </c>
      <c r="B87" s="4" t="s">
        <v>203</v>
      </c>
      <c r="C87" s="45" t="str">
        <f>"=1 if the authors control for gender in the regression."</f>
        <v>=1 if the authors control for gender in the regression.</v>
      </c>
      <c r="D87" t="s">
        <v>105</v>
      </c>
      <c r="E87">
        <v>38</v>
      </c>
      <c r="F87" t="s">
        <v>151</v>
      </c>
      <c r="G87" s="29" t="b">
        <v>1</v>
      </c>
      <c r="H87" s="29" t="b">
        <v>1</v>
      </c>
      <c r="I87">
        <v>1</v>
      </c>
      <c r="K87" t="b">
        <v>1</v>
      </c>
      <c r="L87" t="b">
        <v>0</v>
      </c>
      <c r="M87" t="b">
        <v>0</v>
      </c>
      <c r="N87" s="29" t="s">
        <v>152</v>
      </c>
    </row>
    <row r="88" spans="1:14" x14ac:dyDescent="0.25">
      <c r="A88" s="4" t="s">
        <v>165</v>
      </c>
      <c r="B88" s="4" t="s">
        <v>204</v>
      </c>
      <c r="C88" s="45" t="str">
        <f>"=1 if the authors control for marriage in the regression."</f>
        <v>=1 if the authors control for marriage in the regression.</v>
      </c>
      <c r="D88" t="s">
        <v>105</v>
      </c>
      <c r="E88">
        <v>38</v>
      </c>
      <c r="F88" t="s">
        <v>151</v>
      </c>
      <c r="G88" s="29" t="b">
        <v>1</v>
      </c>
      <c r="H88" s="29" t="b">
        <v>1</v>
      </c>
      <c r="I88">
        <v>1</v>
      </c>
      <c r="K88" t="b">
        <v>1</v>
      </c>
      <c r="L88" t="b">
        <v>0</v>
      </c>
      <c r="M88" t="b">
        <v>0</v>
      </c>
      <c r="N88" s="29" t="s">
        <v>152</v>
      </c>
    </row>
    <row r="89" spans="1:14" x14ac:dyDescent="0.25">
      <c r="A89" s="4" t="s">
        <v>41</v>
      </c>
      <c r="B89" s="4" t="s">
        <v>205</v>
      </c>
      <c r="C89" s="45" t="str">
        <f>"=1 if the authors control for occupation of the subjects in the regression."</f>
        <v>=1 if the authors control for occupation of the subjects in the regression.</v>
      </c>
      <c r="D89" t="s">
        <v>105</v>
      </c>
      <c r="E89">
        <v>38</v>
      </c>
      <c r="F89" t="s">
        <v>151</v>
      </c>
      <c r="G89" s="29" t="b">
        <v>1</v>
      </c>
      <c r="H89" s="29" t="b">
        <v>1</v>
      </c>
      <c r="I89">
        <v>1</v>
      </c>
      <c r="K89" t="b">
        <v>1</v>
      </c>
      <c r="L89" t="b">
        <v>0</v>
      </c>
      <c r="M89" t="b">
        <v>0</v>
      </c>
      <c r="N89" s="29" t="s">
        <v>152</v>
      </c>
    </row>
    <row r="90" spans="1:14" x14ac:dyDescent="0.25">
      <c r="A90" s="4" t="s">
        <v>43</v>
      </c>
      <c r="B90" s="4" t="s">
        <v>261</v>
      </c>
      <c r="C90" s="45" t="str">
        <f>"=1 if the authors control for firm characteristics in the regression."</f>
        <v>=1 if the authors control for firm characteristics in the regression.</v>
      </c>
      <c r="D90" t="s">
        <v>105</v>
      </c>
      <c r="E90">
        <v>38</v>
      </c>
      <c r="F90" t="s">
        <v>151</v>
      </c>
      <c r="G90" s="29" t="b">
        <v>1</v>
      </c>
      <c r="H90" s="29" t="b">
        <v>1</v>
      </c>
      <c r="I90">
        <v>1</v>
      </c>
      <c r="K90" t="b">
        <v>1</v>
      </c>
      <c r="L90" t="b">
        <v>0</v>
      </c>
      <c r="M90" t="b">
        <v>0</v>
      </c>
      <c r="N90" s="29" t="s">
        <v>152</v>
      </c>
    </row>
    <row r="91" spans="1:14" x14ac:dyDescent="0.25">
      <c r="A91" s="4" t="s">
        <v>86</v>
      </c>
      <c r="B91" s="4" t="s">
        <v>206</v>
      </c>
      <c r="C91" s="45" t="str">
        <f>"=1 if the authors control for area type in the regression (e.g., urban, rural)."</f>
        <v>=1 if the authors control for area type in the regression (e.g., urban, rural).</v>
      </c>
      <c r="D91" t="s">
        <v>105</v>
      </c>
      <c r="E91">
        <v>38</v>
      </c>
      <c r="F91" t="s">
        <v>151</v>
      </c>
      <c r="G91" s="29" t="b">
        <v>1</v>
      </c>
      <c r="H91" s="29" t="b">
        <v>1</v>
      </c>
      <c r="I91">
        <v>1</v>
      </c>
      <c r="K91" t="b">
        <v>1</v>
      </c>
      <c r="L91" t="b">
        <v>0</v>
      </c>
      <c r="M91" t="b">
        <v>0</v>
      </c>
      <c r="N91" s="29" t="s">
        <v>152</v>
      </c>
    </row>
    <row r="92" spans="1:14" x14ac:dyDescent="0.25">
      <c r="A92" s="4" t="s">
        <v>42</v>
      </c>
      <c r="B92" s="4" t="s">
        <v>263</v>
      </c>
      <c r="C92" s="45" t="str">
        <f>"=1 if the authors control for macroeconomic variables in the regression."</f>
        <v>=1 if the authors control for macroeconomic variables in the regression.</v>
      </c>
      <c r="D92" t="s">
        <v>105</v>
      </c>
      <c r="E92">
        <v>38</v>
      </c>
      <c r="F92" t="s">
        <v>151</v>
      </c>
      <c r="G92" s="29" t="b">
        <v>1</v>
      </c>
      <c r="H92" s="29" t="b">
        <v>1</v>
      </c>
      <c r="I92">
        <v>1</v>
      </c>
      <c r="K92" t="b">
        <v>1</v>
      </c>
      <c r="L92" t="b">
        <v>0</v>
      </c>
      <c r="M92" t="b">
        <v>0</v>
      </c>
      <c r="N92" s="29" t="s">
        <v>152</v>
      </c>
    </row>
    <row r="93" spans="1:14" x14ac:dyDescent="0.25">
      <c r="A93" s="30" t="s">
        <v>44</v>
      </c>
      <c r="B93" s="30" t="s">
        <v>123</v>
      </c>
      <c r="C93" s="46" t="s">
        <v>245</v>
      </c>
      <c r="D93" t="s">
        <v>106</v>
      </c>
      <c r="E93">
        <v>39</v>
      </c>
      <c r="F93" t="s">
        <v>151</v>
      </c>
      <c r="G93" s="29" t="b">
        <v>1</v>
      </c>
      <c r="H93" s="29" t="b">
        <v>1</v>
      </c>
      <c r="J93" s="12" t="s">
        <v>153</v>
      </c>
      <c r="K93" t="b">
        <v>1</v>
      </c>
      <c r="L93" t="b">
        <v>0</v>
      </c>
      <c r="M93" t="b">
        <v>1</v>
      </c>
      <c r="N93" s="29" t="s">
        <v>168</v>
      </c>
    </row>
    <row r="94" spans="1:14" x14ac:dyDescent="0.25">
      <c r="A94" s="30" t="s">
        <v>45</v>
      </c>
      <c r="B94" s="30" t="s">
        <v>124</v>
      </c>
      <c r="C94" s="46" t="s">
        <v>246</v>
      </c>
      <c r="D94" t="s">
        <v>105</v>
      </c>
      <c r="E94">
        <v>40</v>
      </c>
      <c r="F94" t="s">
        <v>151</v>
      </c>
      <c r="G94" s="29" t="b">
        <v>1</v>
      </c>
      <c r="H94" s="29" t="b">
        <v>1</v>
      </c>
      <c r="J94" s="12" t="s">
        <v>153</v>
      </c>
      <c r="K94" t="b">
        <v>1</v>
      </c>
      <c r="L94" t="b">
        <v>0</v>
      </c>
      <c r="M94" t="b">
        <v>1</v>
      </c>
      <c r="N94" s="29" t="s">
        <v>168</v>
      </c>
    </row>
    <row r="95" spans="1:14" x14ac:dyDescent="0.25">
      <c r="A95" s="30" t="s">
        <v>46</v>
      </c>
      <c r="B95" s="30" t="s">
        <v>207</v>
      </c>
      <c r="C95" s="46" t="str">
        <f>"=1 if the study was published in a journal."</f>
        <v>=1 if the study was published in a journal.</v>
      </c>
      <c r="D95" t="s">
        <v>104</v>
      </c>
      <c r="E95">
        <v>41</v>
      </c>
      <c r="F95" t="s">
        <v>151</v>
      </c>
      <c r="G95" s="29" t="b">
        <v>1</v>
      </c>
      <c r="H95" s="29" t="b">
        <v>1</v>
      </c>
      <c r="I95">
        <v>1</v>
      </c>
      <c r="K95" t="b">
        <v>1</v>
      </c>
      <c r="L95" t="b">
        <v>0</v>
      </c>
      <c r="M95" t="b">
        <v>0</v>
      </c>
      <c r="N95" s="29" t="s">
        <v>152</v>
      </c>
    </row>
    <row r="96" spans="1:14" x14ac:dyDescent="0.25">
      <c r="A96" s="30" t="s">
        <v>109</v>
      </c>
      <c r="B96" s="30" t="s">
        <v>208</v>
      </c>
      <c r="C96" s="46" t="str">
        <f>"=1 if the study was not published in a journal (reference category)."</f>
        <v>=1 if the study was not published in a journal (reference category).</v>
      </c>
      <c r="D96" t="s">
        <v>104</v>
      </c>
      <c r="E96">
        <v>41</v>
      </c>
      <c r="F96" t="s">
        <v>151</v>
      </c>
      <c r="G96" s="29" t="b">
        <v>1</v>
      </c>
      <c r="H96" s="29" t="b">
        <v>1</v>
      </c>
      <c r="I96">
        <v>1</v>
      </c>
      <c r="K96" t="b">
        <v>0</v>
      </c>
      <c r="L96" t="b">
        <v>1</v>
      </c>
      <c r="M96" t="b">
        <v>0</v>
      </c>
      <c r="N96" s="29" t="s">
        <v>151</v>
      </c>
    </row>
    <row r="97" spans="1:14" x14ac:dyDescent="0.25">
      <c r="A97" s="30" t="s">
        <v>47</v>
      </c>
      <c r="B97" s="30" t="s">
        <v>125</v>
      </c>
      <c r="C97" s="46" t="s">
        <v>353</v>
      </c>
      <c r="D97" t="s">
        <v>105</v>
      </c>
      <c r="E97">
        <v>42</v>
      </c>
      <c r="F97" t="s">
        <v>151</v>
      </c>
      <c r="G97" s="29" t="b">
        <v>1</v>
      </c>
      <c r="H97" s="29" t="b">
        <v>1</v>
      </c>
      <c r="J97" s="12" t="s">
        <v>153</v>
      </c>
      <c r="K97" t="b">
        <v>1</v>
      </c>
      <c r="L97" t="b">
        <v>0</v>
      </c>
      <c r="M97" t="b">
        <v>1</v>
      </c>
      <c r="N97" s="29" t="s">
        <v>152</v>
      </c>
    </row>
  </sheetData>
  <conditionalFormatting sqref="A2:C97">
    <cfRule type="containsBlanks" dxfId="81" priority="7">
      <formula>LEN(TRIM(A2))=0</formula>
    </cfRule>
  </conditionalFormatting>
  <conditionalFormatting sqref="N2:N1992">
    <cfRule type="notContainsText" dxfId="80" priority="2" operator="notContains" text="stop">
      <formula>ISERROR(SEARCH("stop",N2))</formula>
    </cfRule>
    <cfRule type="containsText" dxfId="79" priority="3" operator="containsText" text="stop">
      <formula>NOT(ISERROR(SEARCH("stop",N2)))</formula>
    </cfRule>
  </conditionalFormatting>
  <conditionalFormatting sqref="G2:H1992 K2:M1992">
    <cfRule type="containsText" dxfId="78" priority="4" operator="containsText" text="FALSE">
      <formula>NOT(ISERROR(SEARCH("FALSE",G2)))</formula>
    </cfRule>
    <cfRule type="containsText" dxfId="77"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8"/>
  <sheetViews>
    <sheetView tabSelected="1" workbookViewId="0">
      <pane ySplit="1" topLeftCell="A2" activePane="bottomLeft" state="frozen"/>
      <selection activeCell="D1" sqref="D1"/>
      <selection pane="bottomLeft" activeCell="I9" sqref="I9"/>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52" t="s">
        <v>127</v>
      </c>
      <c r="B1" s="53" t="s">
        <v>128</v>
      </c>
      <c r="C1" s="54" t="s">
        <v>129</v>
      </c>
      <c r="D1" s="53" t="s">
        <v>98</v>
      </c>
      <c r="E1" s="53" t="s">
        <v>130</v>
      </c>
      <c r="F1" s="53" t="s">
        <v>131</v>
      </c>
      <c r="G1" s="53" t="s">
        <v>143</v>
      </c>
      <c r="H1" s="53" t="s">
        <v>140</v>
      </c>
      <c r="I1" s="53" t="s">
        <v>141</v>
      </c>
      <c r="J1" s="53" t="s">
        <v>139</v>
      </c>
      <c r="K1" s="53" t="s">
        <v>132</v>
      </c>
      <c r="L1" s="53" t="s">
        <v>133</v>
      </c>
      <c r="M1" s="53" t="s">
        <v>134</v>
      </c>
      <c r="N1" s="53" t="s">
        <v>135</v>
      </c>
      <c r="O1" s="55"/>
      <c r="P1" s="55" t="s">
        <v>136</v>
      </c>
      <c r="Q1" s="55" t="s">
        <v>137</v>
      </c>
      <c r="R1" s="53" t="s">
        <v>138</v>
      </c>
      <c r="S1" s="91" t="s">
        <v>346</v>
      </c>
    </row>
    <row r="2" spans="1:19" x14ac:dyDescent="0.25">
      <c r="A2">
        <v>1</v>
      </c>
      <c r="B2" t="s">
        <v>267</v>
      </c>
      <c r="C2" t="s">
        <v>268</v>
      </c>
      <c r="D2">
        <v>1998</v>
      </c>
      <c r="E2" t="s">
        <v>269</v>
      </c>
      <c r="F2" t="s">
        <v>270</v>
      </c>
      <c r="G2" t="s">
        <v>162</v>
      </c>
      <c r="H2" t="b">
        <v>1</v>
      </c>
      <c r="I2">
        <f>D2-MIN($D$2:$D$140)</f>
        <v>4</v>
      </c>
      <c r="J2">
        <v>3.0920000000000001</v>
      </c>
      <c r="K2">
        <v>908</v>
      </c>
      <c r="L2" t="s">
        <v>271</v>
      </c>
      <c r="M2" t="s">
        <v>272</v>
      </c>
      <c r="N2" s="56" t="s">
        <v>272</v>
      </c>
      <c r="O2" s="56" t="s">
        <v>267</v>
      </c>
      <c r="P2" t="s">
        <v>92</v>
      </c>
      <c r="Q2" t="s">
        <v>92</v>
      </c>
      <c r="R2" s="17" t="s">
        <v>92</v>
      </c>
    </row>
    <row r="3" spans="1:19" x14ac:dyDescent="0.25">
      <c r="A3">
        <v>2</v>
      </c>
      <c r="B3" t="s">
        <v>273</v>
      </c>
      <c r="C3" t="s">
        <v>274</v>
      </c>
      <c r="D3">
        <v>1994</v>
      </c>
      <c r="E3" t="s">
        <v>275</v>
      </c>
      <c r="F3" t="s">
        <v>276</v>
      </c>
      <c r="G3" t="s">
        <v>350</v>
      </c>
      <c r="H3" t="b">
        <v>1</v>
      </c>
      <c r="I3">
        <f t="shared" ref="I3:I15" si="0">D3-MIN($D$2:$D$140)</f>
        <v>0</v>
      </c>
      <c r="J3">
        <v>3.0070000000000001</v>
      </c>
      <c r="K3">
        <v>1812</v>
      </c>
      <c r="L3" t="s">
        <v>277</v>
      </c>
      <c r="M3" t="s">
        <v>278</v>
      </c>
      <c r="N3" t="s">
        <v>278</v>
      </c>
      <c r="O3" t="s">
        <v>273</v>
      </c>
      <c r="P3" t="s">
        <v>92</v>
      </c>
      <c r="Q3" t="s">
        <v>92</v>
      </c>
      <c r="R3" s="17" t="s">
        <v>92</v>
      </c>
    </row>
    <row r="4" spans="1:19" x14ac:dyDescent="0.25">
      <c r="A4">
        <v>3</v>
      </c>
      <c r="B4" t="s">
        <v>279</v>
      </c>
      <c r="C4" t="s">
        <v>280</v>
      </c>
      <c r="D4">
        <v>1999</v>
      </c>
      <c r="E4" t="s">
        <v>281</v>
      </c>
      <c r="F4" t="s">
        <v>282</v>
      </c>
      <c r="G4" t="s">
        <v>145</v>
      </c>
      <c r="H4" t="b">
        <v>1</v>
      </c>
      <c r="I4">
        <f t="shared" si="0"/>
        <v>5</v>
      </c>
      <c r="J4">
        <v>0.29799999999999999</v>
      </c>
      <c r="K4">
        <v>188</v>
      </c>
      <c r="L4" t="s">
        <v>283</v>
      </c>
      <c r="M4" t="s">
        <v>284</v>
      </c>
      <c r="N4" t="s">
        <v>285</v>
      </c>
      <c r="O4" t="s">
        <v>279</v>
      </c>
      <c r="P4" t="s">
        <v>92</v>
      </c>
      <c r="Q4" t="s">
        <v>92</v>
      </c>
      <c r="R4" s="17" t="s">
        <v>92</v>
      </c>
    </row>
    <row r="5" spans="1:19" x14ac:dyDescent="0.25">
      <c r="A5">
        <v>4</v>
      </c>
      <c r="B5" t="s">
        <v>286</v>
      </c>
      <c r="C5" t="s">
        <v>287</v>
      </c>
      <c r="D5">
        <v>2003</v>
      </c>
      <c r="E5" t="s">
        <v>288</v>
      </c>
      <c r="F5" t="s">
        <v>289</v>
      </c>
      <c r="G5" t="s">
        <v>146</v>
      </c>
      <c r="H5" t="b">
        <v>1</v>
      </c>
      <c r="I5">
        <f t="shared" si="0"/>
        <v>9</v>
      </c>
      <c r="J5">
        <v>3.0070000000000001</v>
      </c>
      <c r="K5">
        <v>158</v>
      </c>
      <c r="L5" t="s">
        <v>290</v>
      </c>
      <c r="M5" t="s">
        <v>291</v>
      </c>
      <c r="N5" t="s">
        <v>291</v>
      </c>
      <c r="O5" t="s">
        <v>286</v>
      </c>
      <c r="P5" t="s">
        <v>92</v>
      </c>
      <c r="Q5" t="s">
        <v>92</v>
      </c>
      <c r="R5" s="17" t="s">
        <v>92</v>
      </c>
    </row>
    <row r="6" spans="1:19" x14ac:dyDescent="0.25">
      <c r="A6">
        <v>5</v>
      </c>
      <c r="B6" t="s">
        <v>292</v>
      </c>
      <c r="C6" t="s">
        <v>293</v>
      </c>
      <c r="D6">
        <v>2012</v>
      </c>
      <c r="E6" t="s">
        <v>294</v>
      </c>
      <c r="F6" t="s">
        <v>295</v>
      </c>
      <c r="G6" t="s">
        <v>164</v>
      </c>
      <c r="H6" t="b">
        <v>1</v>
      </c>
      <c r="I6">
        <f t="shared" si="0"/>
        <v>18</v>
      </c>
      <c r="J6">
        <v>0.76700000000000002</v>
      </c>
      <c r="K6">
        <v>176</v>
      </c>
      <c r="L6" t="s">
        <v>296</v>
      </c>
      <c r="M6" t="s">
        <v>297</v>
      </c>
      <c r="N6" t="s">
        <v>297</v>
      </c>
      <c r="O6" t="s">
        <v>292</v>
      </c>
      <c r="P6" t="s">
        <v>92</v>
      </c>
      <c r="Q6" t="s">
        <v>92</v>
      </c>
      <c r="R6" s="17" t="s">
        <v>92</v>
      </c>
    </row>
    <row r="7" spans="1:19" x14ac:dyDescent="0.25">
      <c r="A7">
        <v>6</v>
      </c>
      <c r="B7" t="s">
        <v>298</v>
      </c>
      <c r="C7" t="s">
        <v>299</v>
      </c>
      <c r="D7">
        <v>1995</v>
      </c>
      <c r="E7" t="s">
        <v>300</v>
      </c>
      <c r="F7" t="s">
        <v>301</v>
      </c>
      <c r="G7" t="s">
        <v>146</v>
      </c>
      <c r="H7" t="b">
        <v>1</v>
      </c>
      <c r="I7">
        <f t="shared" si="0"/>
        <v>1</v>
      </c>
      <c r="J7">
        <v>3.0070000000000001</v>
      </c>
      <c r="K7">
        <v>372</v>
      </c>
      <c r="L7" t="s">
        <v>302</v>
      </c>
      <c r="M7" t="s">
        <v>303</v>
      </c>
      <c r="N7" t="s">
        <v>303</v>
      </c>
      <c r="O7" t="s">
        <v>298</v>
      </c>
      <c r="P7" t="s">
        <v>92</v>
      </c>
      <c r="Q7" t="s">
        <v>92</v>
      </c>
      <c r="R7" s="17" t="s">
        <v>92</v>
      </c>
    </row>
    <row r="8" spans="1:19" x14ac:dyDescent="0.25">
      <c r="A8">
        <v>7</v>
      </c>
      <c r="B8" t="s">
        <v>304</v>
      </c>
      <c r="C8" t="s">
        <v>305</v>
      </c>
      <c r="D8">
        <v>1994</v>
      </c>
      <c r="E8" t="s">
        <v>306</v>
      </c>
      <c r="F8" t="s">
        <v>307</v>
      </c>
      <c r="G8" t="s">
        <v>347</v>
      </c>
      <c r="H8" t="b">
        <v>1</v>
      </c>
      <c r="I8">
        <f t="shared" si="0"/>
        <v>0</v>
      </c>
      <c r="J8">
        <v>1.8520000000000001</v>
      </c>
      <c r="K8">
        <v>616</v>
      </c>
      <c r="L8" t="s">
        <v>308</v>
      </c>
      <c r="M8" t="s">
        <v>309</v>
      </c>
      <c r="O8" t="s">
        <v>304</v>
      </c>
      <c r="P8" t="s">
        <v>92</v>
      </c>
      <c r="Q8" t="s">
        <v>92</v>
      </c>
      <c r="R8" s="17" t="s">
        <v>92</v>
      </c>
    </row>
    <row r="9" spans="1:19" x14ac:dyDescent="0.25">
      <c r="A9">
        <v>8</v>
      </c>
      <c r="B9" t="s">
        <v>310</v>
      </c>
      <c r="C9" t="s">
        <v>311</v>
      </c>
      <c r="D9">
        <v>1999</v>
      </c>
      <c r="E9" t="s">
        <v>312</v>
      </c>
      <c r="F9" t="s">
        <v>313</v>
      </c>
      <c r="G9" t="s">
        <v>348</v>
      </c>
      <c r="H9" t="b">
        <v>1</v>
      </c>
      <c r="I9">
        <f t="shared" si="0"/>
        <v>5</v>
      </c>
      <c r="J9">
        <v>0.29799999999999999</v>
      </c>
      <c r="K9">
        <v>196</v>
      </c>
      <c r="L9" t="s">
        <v>314</v>
      </c>
      <c r="M9" t="s">
        <v>315</v>
      </c>
      <c r="N9" t="s">
        <v>315</v>
      </c>
      <c r="O9" t="s">
        <v>310</v>
      </c>
      <c r="P9" t="s">
        <v>92</v>
      </c>
      <c r="Q9" t="s">
        <v>92</v>
      </c>
      <c r="R9" s="17" t="s">
        <v>92</v>
      </c>
    </row>
    <row r="10" spans="1:19" x14ac:dyDescent="0.25">
      <c r="A10">
        <v>9</v>
      </c>
      <c r="B10" t="s">
        <v>316</v>
      </c>
      <c r="C10" t="s">
        <v>317</v>
      </c>
      <c r="D10">
        <v>2012</v>
      </c>
      <c r="E10" t="s">
        <v>318</v>
      </c>
      <c r="F10" t="s">
        <v>319</v>
      </c>
      <c r="G10" t="s">
        <v>147</v>
      </c>
      <c r="H10" t="b">
        <v>0</v>
      </c>
      <c r="I10">
        <f t="shared" si="0"/>
        <v>18</v>
      </c>
      <c r="J10">
        <v>0</v>
      </c>
      <c r="K10">
        <v>18</v>
      </c>
      <c r="L10" t="s">
        <v>320</v>
      </c>
      <c r="M10" t="s">
        <v>321</v>
      </c>
      <c r="N10" t="s">
        <v>321</v>
      </c>
      <c r="O10" t="s">
        <v>316</v>
      </c>
      <c r="P10" t="s">
        <v>92</v>
      </c>
      <c r="Q10" t="s">
        <v>92</v>
      </c>
      <c r="R10" s="17" t="s">
        <v>92</v>
      </c>
    </row>
    <row r="11" spans="1:19" x14ac:dyDescent="0.25">
      <c r="A11">
        <v>10</v>
      </c>
      <c r="B11" t="s">
        <v>322</v>
      </c>
      <c r="C11" t="s">
        <v>323</v>
      </c>
      <c r="D11">
        <v>2020</v>
      </c>
      <c r="E11" t="s">
        <v>324</v>
      </c>
      <c r="F11" t="s">
        <v>325</v>
      </c>
      <c r="G11" t="s">
        <v>349</v>
      </c>
      <c r="H11" t="b">
        <v>1</v>
      </c>
      <c r="I11">
        <f t="shared" si="0"/>
        <v>26</v>
      </c>
      <c r="J11">
        <v>8.1000000000000003E-2</v>
      </c>
      <c r="K11">
        <v>11</v>
      </c>
      <c r="L11" t="s">
        <v>326</v>
      </c>
      <c r="M11" t="s">
        <v>327</v>
      </c>
      <c r="N11" t="s">
        <v>327</v>
      </c>
      <c r="O11" t="s">
        <v>322</v>
      </c>
      <c r="P11" t="s">
        <v>92</v>
      </c>
      <c r="Q11" t="s">
        <v>92</v>
      </c>
      <c r="R11" s="17" t="s">
        <v>92</v>
      </c>
    </row>
    <row r="12" spans="1:19" x14ac:dyDescent="0.25">
      <c r="A12">
        <v>11</v>
      </c>
      <c r="B12" t="s">
        <v>328</v>
      </c>
      <c r="C12" t="s">
        <v>329</v>
      </c>
      <c r="D12">
        <v>2005</v>
      </c>
      <c r="E12" t="s">
        <v>330</v>
      </c>
      <c r="F12" t="s">
        <v>331</v>
      </c>
      <c r="G12" t="s">
        <v>147</v>
      </c>
      <c r="H12" t="b">
        <v>0</v>
      </c>
      <c r="I12">
        <f t="shared" si="0"/>
        <v>11</v>
      </c>
      <c r="J12">
        <v>0</v>
      </c>
      <c r="K12">
        <v>1</v>
      </c>
      <c r="L12" t="s">
        <v>332</v>
      </c>
      <c r="M12" t="s">
        <v>333</v>
      </c>
      <c r="N12" t="s">
        <v>333</v>
      </c>
      <c r="O12" t="s">
        <v>328</v>
      </c>
      <c r="P12" t="s">
        <v>92</v>
      </c>
      <c r="Q12" t="s">
        <v>92</v>
      </c>
      <c r="R12" s="17" t="s">
        <v>92</v>
      </c>
      <c r="S12" t="s">
        <v>334</v>
      </c>
    </row>
    <row r="13" spans="1:19" x14ac:dyDescent="0.25">
      <c r="A13">
        <v>12</v>
      </c>
      <c r="B13" t="s">
        <v>335</v>
      </c>
      <c r="C13" t="s">
        <v>299</v>
      </c>
      <c r="D13">
        <v>2004</v>
      </c>
      <c r="E13" t="s">
        <v>336</v>
      </c>
      <c r="F13" t="s">
        <v>337</v>
      </c>
      <c r="G13" t="s">
        <v>145</v>
      </c>
      <c r="H13" t="b">
        <v>1</v>
      </c>
      <c r="I13">
        <f t="shared" si="0"/>
        <v>10</v>
      </c>
      <c r="J13">
        <v>0.29799999999999999</v>
      </c>
      <c r="K13">
        <v>19</v>
      </c>
      <c r="L13" t="s">
        <v>338</v>
      </c>
      <c r="M13" t="s">
        <v>339</v>
      </c>
      <c r="N13" t="s">
        <v>340</v>
      </c>
      <c r="O13" t="s">
        <v>335</v>
      </c>
      <c r="P13" t="s">
        <v>92</v>
      </c>
      <c r="Q13" t="s">
        <v>92</v>
      </c>
      <c r="R13" s="17" t="s">
        <v>92</v>
      </c>
      <c r="S13" t="s">
        <v>334</v>
      </c>
    </row>
    <row r="14" spans="1:19" x14ac:dyDescent="0.25">
      <c r="A14">
        <v>13</v>
      </c>
      <c r="B14" t="s">
        <v>341</v>
      </c>
      <c r="C14" t="s">
        <v>342</v>
      </c>
      <c r="D14">
        <v>1999</v>
      </c>
      <c r="E14" t="s">
        <v>343</v>
      </c>
      <c r="F14" t="s">
        <v>344</v>
      </c>
      <c r="G14" t="s">
        <v>163</v>
      </c>
      <c r="H14" t="b">
        <v>1</v>
      </c>
      <c r="I14">
        <f t="shared" si="0"/>
        <v>5</v>
      </c>
      <c r="J14">
        <v>0.52800000000000002</v>
      </c>
      <c r="K14">
        <v>177</v>
      </c>
      <c r="L14" t="s">
        <v>48</v>
      </c>
      <c r="M14" t="s">
        <v>351</v>
      </c>
      <c r="N14" t="s">
        <v>352</v>
      </c>
      <c r="O14" t="s">
        <v>341</v>
      </c>
      <c r="P14" t="s">
        <v>92</v>
      </c>
      <c r="Q14" t="s">
        <v>92</v>
      </c>
      <c r="R14" s="17" t="s">
        <v>92</v>
      </c>
      <c r="S14" t="s">
        <v>345</v>
      </c>
    </row>
    <row r="15" spans="1:19" x14ac:dyDescent="0.25">
      <c r="A15">
        <v>14</v>
      </c>
      <c r="B15" t="s">
        <v>395</v>
      </c>
      <c r="C15" t="s">
        <v>396</v>
      </c>
      <c r="D15">
        <v>1999</v>
      </c>
      <c r="E15" t="s">
        <v>397</v>
      </c>
      <c r="F15" t="s">
        <v>398</v>
      </c>
      <c r="G15" t="s">
        <v>147</v>
      </c>
      <c r="H15" t="b">
        <v>0</v>
      </c>
      <c r="I15">
        <f t="shared" si="0"/>
        <v>5</v>
      </c>
      <c r="J15">
        <v>0</v>
      </c>
      <c r="K15">
        <v>17</v>
      </c>
      <c r="L15" t="s">
        <v>48</v>
      </c>
      <c r="M15" t="s">
        <v>399</v>
      </c>
      <c r="N15" t="s">
        <v>399</v>
      </c>
      <c r="O15" t="s">
        <v>395</v>
      </c>
      <c r="P15" t="s">
        <v>92</v>
      </c>
      <c r="Q15" t="s">
        <v>92</v>
      </c>
      <c r="R15" s="17" t="s">
        <v>91</v>
      </c>
    </row>
    <row r="16" spans="1:19" x14ac:dyDescent="0.25">
      <c r="A16">
        <v>15</v>
      </c>
      <c r="B16" t="s">
        <v>400</v>
      </c>
      <c r="C16" t="s">
        <v>401</v>
      </c>
      <c r="D16">
        <v>2005</v>
      </c>
      <c r="E16" t="s">
        <v>402</v>
      </c>
      <c r="F16" t="s">
        <v>403</v>
      </c>
      <c r="G16" t="s">
        <v>147</v>
      </c>
      <c r="H16" t="b">
        <v>0</v>
      </c>
      <c r="I16">
        <f>D16-MIN($D$2:$D$140)</f>
        <v>11</v>
      </c>
      <c r="J16">
        <v>0</v>
      </c>
      <c r="K16">
        <v>19</v>
      </c>
      <c r="L16" t="s">
        <v>48</v>
      </c>
      <c r="M16" t="s">
        <v>404</v>
      </c>
      <c r="N16" t="s">
        <v>404</v>
      </c>
      <c r="O16" t="s">
        <v>400</v>
      </c>
      <c r="P16" t="s">
        <v>92</v>
      </c>
      <c r="Q16" t="s">
        <v>92</v>
      </c>
      <c r="R16" s="17" t="s">
        <v>91</v>
      </c>
    </row>
    <row r="17" spans="1:18" x14ac:dyDescent="0.25">
      <c r="A17">
        <v>16</v>
      </c>
      <c r="B17" t="s">
        <v>405</v>
      </c>
      <c r="C17" t="s">
        <v>406</v>
      </c>
      <c r="D17">
        <v>2009</v>
      </c>
      <c r="E17" t="s">
        <v>407</v>
      </c>
      <c r="F17" t="s">
        <v>408</v>
      </c>
      <c r="G17" t="s">
        <v>147</v>
      </c>
      <c r="H17" t="b">
        <v>0</v>
      </c>
      <c r="I17">
        <f>D17-MIN($D$2:$D$140)</f>
        <v>15</v>
      </c>
      <c r="J17">
        <v>0</v>
      </c>
      <c r="K17">
        <v>8</v>
      </c>
      <c r="L17" t="s">
        <v>48</v>
      </c>
      <c r="M17" t="s">
        <v>409</v>
      </c>
      <c r="N17" t="s">
        <v>404</v>
      </c>
      <c r="O17" t="s">
        <v>405</v>
      </c>
      <c r="P17" t="s">
        <v>92</v>
      </c>
      <c r="Q17" t="s">
        <v>92</v>
      </c>
      <c r="R17" s="17" t="s">
        <v>91</v>
      </c>
    </row>
    <row r="18" spans="1:18" x14ac:dyDescent="0.25">
      <c r="A18">
        <v>17</v>
      </c>
      <c r="B18" t="s">
        <v>410</v>
      </c>
      <c r="C18" t="s">
        <v>342</v>
      </c>
      <c r="D18">
        <v>2004</v>
      </c>
      <c r="E18" t="s">
        <v>411</v>
      </c>
      <c r="F18" t="s">
        <v>412</v>
      </c>
      <c r="G18" t="s">
        <v>414</v>
      </c>
      <c r="H18" t="b">
        <v>1</v>
      </c>
      <c r="I18">
        <f>D18-MIN($D$2:$D$140)</f>
        <v>10</v>
      </c>
      <c r="J18">
        <v>0.96399999999999997</v>
      </c>
      <c r="K18">
        <v>85</v>
      </c>
      <c r="L18" t="s">
        <v>48</v>
      </c>
      <c r="M18" t="s">
        <v>413</v>
      </c>
      <c r="N18" t="s">
        <v>413</v>
      </c>
      <c r="O18" t="s">
        <v>410</v>
      </c>
      <c r="P18" t="s">
        <v>92</v>
      </c>
      <c r="Q18" t="s">
        <v>92</v>
      </c>
      <c r="R18" s="17" t="s">
        <v>91</v>
      </c>
    </row>
  </sheetData>
  <conditionalFormatting sqref="F1">
    <cfRule type="containsBlanks" dxfId="76" priority="814">
      <formula>LEN(TRIM(F1))=0</formula>
    </cfRule>
  </conditionalFormatting>
  <conditionalFormatting sqref="P2:R2 R3:R14">
    <cfRule type="containsText" dxfId="75" priority="201" operator="containsText" text="PRIMARY STUDY">
      <formula>NOT(ISERROR(SEARCH("PRIMARY STUDY",P2)))</formula>
    </cfRule>
    <cfRule type="notContainsText" dxfId="74" priority="202" operator="notContains" text="YES">
      <formula>ISERROR(SEARCH("YES",P2))</formula>
    </cfRule>
    <cfRule type="containsText" dxfId="73" priority="203" operator="containsText" text="YES">
      <formula>NOT(ISERROR(SEARCH("YES",P2)))</formula>
    </cfRule>
  </conditionalFormatting>
  <conditionalFormatting sqref="P3:Q3">
    <cfRule type="containsText" dxfId="72" priority="195" operator="containsText" text="PRIMARY STUDY">
      <formula>NOT(ISERROR(SEARCH("PRIMARY STUDY",P3)))</formula>
    </cfRule>
    <cfRule type="notContainsText" dxfId="71" priority="196" operator="notContains" text="YES">
      <formula>ISERROR(SEARCH("YES",P3))</formula>
    </cfRule>
    <cfRule type="containsText" dxfId="70" priority="197" operator="containsText" text="YES">
      <formula>NOT(ISERROR(SEARCH("YES",P3)))</formula>
    </cfRule>
  </conditionalFormatting>
  <conditionalFormatting sqref="P4:Q4">
    <cfRule type="containsText" dxfId="69" priority="189" operator="containsText" text="PRIMARY STUDY">
      <formula>NOT(ISERROR(SEARCH("PRIMARY STUDY",P4)))</formula>
    </cfRule>
    <cfRule type="notContainsText" dxfId="68" priority="190" operator="notContains" text="YES">
      <formula>ISERROR(SEARCH("YES",P4))</formula>
    </cfRule>
    <cfRule type="containsText" dxfId="67" priority="191" operator="containsText" text="YES">
      <formula>NOT(ISERROR(SEARCH("YES",P4)))</formula>
    </cfRule>
  </conditionalFormatting>
  <conditionalFormatting sqref="P6:Q6">
    <cfRule type="containsText" dxfId="66" priority="183" operator="containsText" text="PRIMARY STUDY">
      <formula>NOT(ISERROR(SEARCH("PRIMARY STUDY",P6)))</formula>
    </cfRule>
    <cfRule type="notContainsText" dxfId="65" priority="184" operator="notContains" text="YES">
      <formula>ISERROR(SEARCH("YES",P6))</formula>
    </cfRule>
    <cfRule type="containsText" dxfId="64" priority="185" operator="containsText" text="YES">
      <formula>NOT(ISERROR(SEARCH("YES",P6)))</formula>
    </cfRule>
  </conditionalFormatting>
  <conditionalFormatting sqref="P7:Q7">
    <cfRule type="containsText" dxfId="63" priority="177" operator="containsText" text="PRIMARY STUDY">
      <formula>NOT(ISERROR(SEARCH("PRIMARY STUDY",P7)))</formula>
    </cfRule>
    <cfRule type="notContainsText" dxfId="62" priority="178" operator="notContains" text="YES">
      <formula>ISERROR(SEARCH("YES",P7))</formula>
    </cfRule>
    <cfRule type="containsText" dxfId="61" priority="179" operator="containsText" text="YES">
      <formula>NOT(ISERROR(SEARCH("YES",P7)))</formula>
    </cfRule>
  </conditionalFormatting>
  <conditionalFormatting sqref="P8:Q8">
    <cfRule type="containsText" dxfId="60" priority="165" operator="containsText" text="PRIMARY STUDY">
      <formula>NOT(ISERROR(SEARCH("PRIMARY STUDY",P8)))</formula>
    </cfRule>
    <cfRule type="notContainsText" dxfId="59" priority="166" operator="notContains" text="YES">
      <formula>ISERROR(SEARCH("YES",P8))</formula>
    </cfRule>
    <cfRule type="containsText" dxfId="58" priority="167" operator="containsText" text="YES">
      <formula>NOT(ISERROR(SEARCH("YES",P8)))</formula>
    </cfRule>
  </conditionalFormatting>
  <conditionalFormatting sqref="P9:Q9">
    <cfRule type="containsText" dxfId="57" priority="159" operator="containsText" text="PRIMARY STUDY">
      <formula>NOT(ISERROR(SEARCH("PRIMARY STUDY",P9)))</formula>
    </cfRule>
    <cfRule type="notContainsText" dxfId="56" priority="160" operator="notContains" text="YES">
      <formula>ISERROR(SEARCH("YES",P9))</formula>
    </cfRule>
    <cfRule type="containsText" dxfId="55" priority="161" operator="containsText" text="YES">
      <formula>NOT(ISERROR(SEARCH("YES",P9)))</formula>
    </cfRule>
  </conditionalFormatting>
  <conditionalFormatting sqref="P10:Q10">
    <cfRule type="containsText" dxfId="54" priority="135" operator="containsText" text="PRIMARY STUDY">
      <formula>NOT(ISERROR(SEARCH("PRIMARY STUDY",P10)))</formula>
    </cfRule>
    <cfRule type="notContainsText" dxfId="53" priority="136" operator="notContains" text="YES">
      <formula>ISERROR(SEARCH("YES",P10))</formula>
    </cfRule>
    <cfRule type="containsText" dxfId="52" priority="137" operator="containsText" text="YES">
      <formula>NOT(ISERROR(SEARCH("YES",P10)))</formula>
    </cfRule>
  </conditionalFormatting>
  <conditionalFormatting sqref="P6:Q6">
    <cfRule type="containsText" dxfId="51" priority="129" operator="containsText" text="PRIMARY STUDY">
      <formula>NOT(ISERROR(SEARCH("PRIMARY STUDY",P6)))</formula>
    </cfRule>
    <cfRule type="notContainsText" dxfId="50" priority="130" operator="notContains" text="YES">
      <formula>ISERROR(SEARCH("YES",P6))</formula>
    </cfRule>
    <cfRule type="containsText" dxfId="49" priority="131" operator="containsText" text="YES">
      <formula>NOT(ISERROR(SEARCH("YES",P6)))</formula>
    </cfRule>
  </conditionalFormatting>
  <conditionalFormatting sqref="P7:Q7">
    <cfRule type="containsText" dxfId="48" priority="123" operator="containsText" text="PRIMARY STUDY">
      <formula>NOT(ISERROR(SEARCH("PRIMARY STUDY",P7)))</formula>
    </cfRule>
    <cfRule type="notContainsText" dxfId="47" priority="124" operator="notContains" text="YES">
      <formula>ISERROR(SEARCH("YES",P7))</formula>
    </cfRule>
    <cfRule type="containsText" dxfId="46" priority="125" operator="containsText" text="YES">
      <formula>NOT(ISERROR(SEARCH("YES",P7)))</formula>
    </cfRule>
  </conditionalFormatting>
  <conditionalFormatting sqref="P8:Q8">
    <cfRule type="containsText" dxfId="45" priority="111" operator="containsText" text="PRIMARY STUDY">
      <formula>NOT(ISERROR(SEARCH("PRIMARY STUDY",P8)))</formula>
    </cfRule>
    <cfRule type="notContainsText" dxfId="44" priority="112" operator="notContains" text="YES">
      <formula>ISERROR(SEARCH("YES",P8))</formula>
    </cfRule>
    <cfRule type="containsText" dxfId="43" priority="113" operator="containsText" text="YES">
      <formula>NOT(ISERROR(SEARCH("YES",P8)))</formula>
    </cfRule>
  </conditionalFormatting>
  <conditionalFormatting sqref="P9:Q9">
    <cfRule type="containsText" dxfId="42" priority="105" operator="containsText" text="PRIMARY STUDY">
      <formula>NOT(ISERROR(SEARCH("PRIMARY STUDY",P9)))</formula>
    </cfRule>
    <cfRule type="notContainsText" dxfId="41" priority="106" operator="notContains" text="YES">
      <formula>ISERROR(SEARCH("YES",P9))</formula>
    </cfRule>
    <cfRule type="containsText" dxfId="40" priority="107" operator="containsText" text="YES">
      <formula>NOT(ISERROR(SEARCH("YES",P9)))</formula>
    </cfRule>
  </conditionalFormatting>
  <conditionalFormatting sqref="P10:Q10">
    <cfRule type="containsText" dxfId="39" priority="81" operator="containsText" text="PRIMARY STUDY">
      <formula>NOT(ISERROR(SEARCH("PRIMARY STUDY",P10)))</formula>
    </cfRule>
    <cfRule type="notContainsText" dxfId="38" priority="82" operator="notContains" text="YES">
      <formula>ISERROR(SEARCH("YES",P10))</formula>
    </cfRule>
    <cfRule type="containsText" dxfId="37" priority="83" operator="containsText" text="YES">
      <formula>NOT(ISERROR(SEARCH("YES",P10)))</formula>
    </cfRule>
  </conditionalFormatting>
  <conditionalFormatting sqref="P11:Q11">
    <cfRule type="containsText" dxfId="36" priority="75" operator="containsText" text="PRIMARY STUDY">
      <formula>NOT(ISERROR(SEARCH("PRIMARY STUDY",P11)))</formula>
    </cfRule>
    <cfRule type="notContainsText" dxfId="35" priority="76" operator="notContains" text="YES">
      <formula>ISERROR(SEARCH("YES",P11))</formula>
    </cfRule>
    <cfRule type="containsText" dxfId="34" priority="77" operator="containsText" text="YES">
      <formula>NOT(ISERROR(SEARCH("YES",P11)))</formula>
    </cfRule>
  </conditionalFormatting>
  <conditionalFormatting sqref="P5:Q5">
    <cfRule type="containsText" dxfId="33" priority="69" operator="containsText" text="PRIMARY STUDY">
      <formula>NOT(ISERROR(SEARCH("PRIMARY STUDY",P5)))</formula>
    </cfRule>
    <cfRule type="notContainsText" dxfId="32" priority="70" operator="notContains" text="YES">
      <formula>ISERROR(SEARCH("YES",P5))</formula>
    </cfRule>
    <cfRule type="containsText" dxfId="31" priority="71" operator="containsText" text="YES">
      <formula>NOT(ISERROR(SEARCH("YES",P5)))</formula>
    </cfRule>
  </conditionalFormatting>
  <conditionalFormatting sqref="P12:Q12">
    <cfRule type="containsText" dxfId="30" priority="63" operator="containsText" text="PRIMARY STUDY">
      <formula>NOT(ISERROR(SEARCH("PRIMARY STUDY",P12)))</formula>
    </cfRule>
    <cfRule type="notContainsText" dxfId="29" priority="64" operator="notContains" text="YES">
      <formula>ISERROR(SEARCH("YES",P12))</formula>
    </cfRule>
    <cfRule type="containsText" dxfId="28" priority="65" operator="containsText" text="YES">
      <formula>NOT(ISERROR(SEARCH("YES",P12)))</formula>
    </cfRule>
  </conditionalFormatting>
  <conditionalFormatting sqref="P12:Q12">
    <cfRule type="containsText" dxfId="27" priority="57" operator="containsText" text="PRIMARY STUDY">
      <formula>NOT(ISERROR(SEARCH("PRIMARY STUDY",P12)))</formula>
    </cfRule>
    <cfRule type="notContainsText" dxfId="26" priority="58" operator="notContains" text="YES">
      <formula>ISERROR(SEARCH("YES",P12))</formula>
    </cfRule>
    <cfRule type="containsText" dxfId="25" priority="59" operator="containsText" text="YES">
      <formula>NOT(ISERROR(SEARCH("YES",P12)))</formula>
    </cfRule>
  </conditionalFormatting>
  <conditionalFormatting sqref="P13:Q13">
    <cfRule type="containsText" dxfId="24" priority="45" operator="containsText" text="PRIMARY STUDY">
      <formula>NOT(ISERROR(SEARCH("PRIMARY STUDY",P13)))</formula>
    </cfRule>
    <cfRule type="notContainsText" dxfId="23" priority="46" operator="notContains" text="YES">
      <formula>ISERROR(SEARCH("YES",P13))</formula>
    </cfRule>
    <cfRule type="containsText" dxfId="22" priority="47" operator="containsText" text="YES">
      <formula>NOT(ISERROR(SEARCH("YES",P13)))</formula>
    </cfRule>
  </conditionalFormatting>
  <conditionalFormatting sqref="P12:Q12">
    <cfRule type="containsText" dxfId="21" priority="39" operator="containsText" text="PRIMARY STUDY">
      <formula>NOT(ISERROR(SEARCH("PRIMARY STUDY",P12)))</formula>
    </cfRule>
    <cfRule type="notContainsText" dxfId="20" priority="40" operator="notContains" text="YES">
      <formula>ISERROR(SEARCH("YES",P12))</formula>
    </cfRule>
    <cfRule type="containsText" dxfId="19" priority="41" operator="containsText" text="YES">
      <formula>NOT(ISERROR(SEARCH("YES",P12)))</formula>
    </cfRule>
  </conditionalFormatting>
  <conditionalFormatting sqref="P13:Q13">
    <cfRule type="containsText" dxfId="18" priority="27" operator="containsText" text="PRIMARY STUDY">
      <formula>NOT(ISERROR(SEARCH("PRIMARY STUDY",P13)))</formula>
    </cfRule>
    <cfRule type="notContainsText" dxfId="17" priority="28" operator="notContains" text="YES">
      <formula>ISERROR(SEARCH("YES",P13))</formula>
    </cfRule>
    <cfRule type="containsText" dxfId="16" priority="29" operator="containsText" text="YES">
      <formula>NOT(ISERROR(SEARCH("YES",P13)))</formula>
    </cfRule>
  </conditionalFormatting>
  <conditionalFormatting sqref="P14:Q14">
    <cfRule type="containsText" dxfId="15" priority="21" operator="containsText" text="PRIMARY STUDY">
      <formula>NOT(ISERROR(SEARCH("PRIMARY STUDY",P14)))</formula>
    </cfRule>
    <cfRule type="notContainsText" dxfId="14" priority="22" operator="notContains" text="YES">
      <formula>ISERROR(SEARCH("YES",P14))</formula>
    </cfRule>
    <cfRule type="containsText" dxfId="13" priority="23" operator="containsText" text="YES">
      <formula>NOT(ISERROR(SEARCH("YES",P14)))</formula>
    </cfRule>
  </conditionalFormatting>
  <conditionalFormatting sqref="B1">
    <cfRule type="duplicateValues" dxfId="12" priority="858"/>
  </conditionalFormatting>
  <conditionalFormatting sqref="K15">
    <cfRule type="containsBlanks" dxfId="11" priority="12">
      <formula>LEN(TRIM(K15))=0</formula>
    </cfRule>
  </conditionalFormatting>
  <conditionalFormatting sqref="P15:R15">
    <cfRule type="containsText" dxfId="10" priority="9" operator="containsText" text="PRIMARY STUDY">
      <formula>NOT(ISERROR(SEARCH("PRIMARY STUDY",P15)))</formula>
    </cfRule>
    <cfRule type="notContainsText" dxfId="9" priority="10" operator="notContains" text="YES">
      <formula>ISERROR(SEARCH("YES",P15))</formula>
    </cfRule>
    <cfRule type="containsText" dxfId="8" priority="11" operator="containsText" text="YES">
      <formula>NOT(ISERROR(SEARCH("YES",P15)))</formula>
    </cfRule>
  </conditionalFormatting>
  <conditionalFormatting sqref="K16:L16">
    <cfRule type="containsBlanks" dxfId="7" priority="8">
      <formula>LEN(TRIM(K16))=0</formula>
    </cfRule>
  </conditionalFormatting>
  <conditionalFormatting sqref="P16:R16">
    <cfRule type="containsText" dxfId="6" priority="5" operator="containsText" text="PRIMARY STUDY">
      <formula>NOT(ISERROR(SEARCH("PRIMARY STUDY",P16)))</formula>
    </cfRule>
    <cfRule type="notContainsText" dxfId="5" priority="6" operator="notContains" text="YES">
      <formula>ISERROR(SEARCH("YES",P16))</formula>
    </cfRule>
    <cfRule type="containsText" dxfId="4" priority="7" operator="containsText" text="YES">
      <formula>NOT(ISERROR(SEARCH("YES",P16)))</formula>
    </cfRule>
  </conditionalFormatting>
  <conditionalFormatting sqref="K17:L18">
    <cfRule type="containsBlanks" dxfId="3" priority="4">
      <formula>LEN(TRIM(K17))=0</formula>
    </cfRule>
  </conditionalFormatting>
  <conditionalFormatting sqref="P17:R18">
    <cfRule type="containsText" dxfId="2" priority="1" operator="containsText" text="PRIMARY STUDY">
      <formula>NOT(ISERROR(SEARCH("PRIMARY STUDY",P17)))</formula>
    </cfRule>
    <cfRule type="notContainsText" dxfId="1" priority="2" operator="notContains" text="YES">
      <formula>ISERROR(SEARCH("YES",P17))</formula>
    </cfRule>
    <cfRule type="containsText" dxfId="0" priority="3" operator="containsText" text="YES">
      <formula>NOT(ISERROR(SEARCH("YES",P17)))</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57</v>
      </c>
      <c r="B1" s="34" t="s">
        <v>59</v>
      </c>
      <c r="C1" s="25" t="s">
        <v>58</v>
      </c>
    </row>
    <row r="2" spans="1:8" x14ac:dyDescent="0.25">
      <c r="A2" s="19"/>
      <c r="B2" t="s">
        <v>74</v>
      </c>
      <c r="C2" s="23" t="s">
        <v>67</v>
      </c>
    </row>
    <row r="3" spans="1:8" x14ac:dyDescent="0.25">
      <c r="A3" s="32"/>
      <c r="B3" t="s">
        <v>75</v>
      </c>
      <c r="C3" s="23" t="s">
        <v>68</v>
      </c>
    </row>
    <row r="4" spans="1:8" x14ac:dyDescent="0.25">
      <c r="A4" s="14"/>
      <c r="B4" t="s">
        <v>60</v>
      </c>
      <c r="C4" s="23" t="s">
        <v>69</v>
      </c>
    </row>
    <row r="5" spans="1:8" x14ac:dyDescent="0.25">
      <c r="A5" s="15"/>
      <c r="B5" t="s">
        <v>79</v>
      </c>
      <c r="C5" s="23" t="s">
        <v>70</v>
      </c>
      <c r="H5" s="37"/>
    </row>
    <row r="6" spans="1:8" x14ac:dyDescent="0.25">
      <c r="A6" s="16"/>
      <c r="B6" t="s">
        <v>76</v>
      </c>
      <c r="C6" s="23" t="s">
        <v>71</v>
      </c>
    </row>
    <row r="7" spans="1:8" x14ac:dyDescent="0.25">
      <c r="A7" s="18"/>
      <c r="B7" t="s">
        <v>78</v>
      </c>
      <c r="C7" s="23" t="s">
        <v>72</v>
      </c>
      <c r="H7" s="37"/>
    </row>
    <row r="8" spans="1:8" x14ac:dyDescent="0.25">
      <c r="A8" s="31"/>
      <c r="B8" t="s">
        <v>77</v>
      </c>
      <c r="C8" s="23" t="s">
        <v>73</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2023-07-13T07:48:12Z</dcterms:modified>
</cp:coreProperties>
</file>