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
    </mc:Choice>
  </mc:AlternateContent>
  <xr:revisionPtr revIDLastSave="0" documentId="13_ncr:1_{FC844CD3-E542-40DD-902E-DD07E6A20325}" xr6:coauthVersionLast="47" xr6:coauthVersionMax="47" xr10:uidLastSave="{00000000-0000-0000-0000-000000000000}"/>
  <bookViews>
    <workbookView xWindow="28690" yWindow="-110" windowWidth="29020" windowHeight="15820"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<sst xmlns="http://schemas.openxmlformats.org/spreadsheetml/2006/main" count="2083" uniqueCount="345">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</sst>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16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5"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5" fontId="0" fillId="0" borderId="2" xfId="0" applyNumberFormat="1" applyBorder="1"/>
    <xf numFmtId="165"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6">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E2" activePane="bottomRight" state="frozen"/>
      <selection pane="topRight" activeCell="E1" sqref="E1"/>
      <selection pane="bottomLeft" activeCell="A2" sqref="A2"/>
      <selection pane="bottomRight" activeCell="B2" sqref="B2"/>
    </sheetView>
  </sheetViews>
  <sheetFormatPr defaultRowHeight="14.5" x14ac:dyDescent="0.35"/>
  <cols>
    <col min="1" max="1" width="5.1796875" customWidth="1"/>
    <col min="2" max="2" width="4.1796875" customWidth="1"/>
    <col min="4" max="4" width="9.1796875" style="79"/>
    <col min="5" max="6" width="9.1796875" style="6"/>
    <col min="7" max="7" width="9.1796875" style="78"/>
    <col min="8" max="9" width="9.1796875" style="70"/>
    <col min="10" max="10" width="9.1796875" style="78"/>
    <col min="11" max="12" width="9.1796875" style="70"/>
    <col min="13" max="13" width="9.1796875" style="69" customWidth="1"/>
    <col min="14" max="15" width="9.1796875" style="70"/>
    <col min="16" max="16" width="9.1796875" style="78"/>
    <col min="17" max="17" width="9.1796875" style="70"/>
    <col min="18" max="18" width="9.1796875" style="78"/>
    <col min="19" max="22" width="9.1796875" style="70"/>
    <col min="23" max="23" width="9.1796875" style="78"/>
    <col min="24" max="24" width="9.1796875" style="70"/>
    <col min="25" max="25" width="9.1796875" style="69"/>
    <col min="26" max="26" width="9.1796875" style="28"/>
    <col min="28" max="28" width="9.1796875" style="28"/>
    <col min="30" max="30" width="9.1796875" style="28"/>
    <col min="32" max="32" width="9.1796875" style="28" customWidth="1"/>
    <col min="33" max="33" width="9.1796875" customWidth="1"/>
    <col min="34" max="34" width="9.1796875" style="28"/>
    <col min="35" max="35" width="9.1796875" style="12"/>
    <col min="39" max="39" width="9.1796875" style="28"/>
    <col min="40" max="40" width="9.1796875" style="28" customWidth="1"/>
    <col min="41" max="41" width="9.1796875" customWidth="1"/>
    <col min="42" max="42" width="9.1796875" style="28" customWidth="1"/>
    <col min="43" max="44" width="9.1796875" customWidth="1"/>
    <col min="45" max="45" width="9.1796875" style="64"/>
    <col min="52" max="52" width="9.1796875" style="28"/>
    <col min="55" max="55" width="9.1796875" style="28"/>
    <col min="63" max="63" width="9.1796875" style="16"/>
    <col min="64" max="64" width="9.1796875" customWidth="1"/>
    <col min="65" max="66" width="9.1796875" style="28" customWidth="1"/>
    <col min="67" max="67" width="9.1796875" customWidth="1"/>
    <col min="68" max="68" width="9.1796875" style="64" customWidth="1"/>
  </cols>
  <sheetData>
    <row r="1" spans="1:69" x14ac:dyDescent="0.3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343</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3" t="s">
        <v>305</v>
      </c>
      <c r="AK1" s="3"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341</v>
      </c>
      <c r="AZ1" s="65" t="s">
        <v>284</v>
      </c>
      <c r="BA1" s="4" t="s">
        <v>319</v>
      </c>
      <c r="BB1" s="4" t="s">
        <v>338</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3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 t="shared" ref="M2:M65" si="2">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3">1-AD2</f>
        <v>7.999999999999996E-2</v>
      </c>
      <c r="AF2">
        <v>0</v>
      </c>
      <c r="AG2">
        <v>1</v>
      </c>
      <c r="AH2" s="28">
        <v>0.64</v>
      </c>
      <c r="AI2" s="12">
        <f t="shared" ref="AI2:AI23" si="4">1-AH2</f>
        <v>0.36</v>
      </c>
      <c r="AJ2">
        <v>1</v>
      </c>
      <c r="AK2">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35">
      <c r="A3">
        <v>2</v>
      </c>
      <c r="B3">
        <v>1</v>
      </c>
      <c r="C3" t="s">
        <v>195</v>
      </c>
      <c r="D3" s="10">
        <v>6.6</v>
      </c>
      <c r="E3" s="6">
        <v>1.8</v>
      </c>
      <c r="F3" s="6">
        <f t="shared" si="0"/>
        <v>3.6666666666666665</v>
      </c>
      <c r="G3" s="7">
        <v>1</v>
      </c>
      <c r="H3" s="8">
        <v>0</v>
      </c>
      <c r="I3" s="8">
        <v>0</v>
      </c>
      <c r="J3" s="7">
        <v>680</v>
      </c>
      <c r="K3" s="8">
        <v>6</v>
      </c>
      <c r="L3" s="8">
        <f t="shared" si="1"/>
        <v>673</v>
      </c>
      <c r="M3" s="60">
        <f t="shared" si="2"/>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3"/>
        <v>7.999999999999996E-2</v>
      </c>
      <c r="AF3">
        <v>0</v>
      </c>
      <c r="AG3">
        <v>1</v>
      </c>
      <c r="AH3" s="28">
        <v>0.64</v>
      </c>
      <c r="AI3" s="12">
        <f t="shared" si="4"/>
        <v>0.36</v>
      </c>
      <c r="AJ3">
        <v>1</v>
      </c>
      <c r="AK3">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35">
      <c r="A4">
        <v>3</v>
      </c>
      <c r="B4">
        <v>1</v>
      </c>
      <c r="C4" t="s">
        <v>195</v>
      </c>
      <c r="D4" s="10">
        <v>9.1</v>
      </c>
      <c r="E4" s="6">
        <v>2.4</v>
      </c>
      <c r="F4" s="6">
        <f t="shared" si="0"/>
        <v>3.7916666666666665</v>
      </c>
      <c r="G4" s="7">
        <v>1</v>
      </c>
      <c r="H4" s="8">
        <v>0</v>
      </c>
      <c r="I4" s="8">
        <v>0</v>
      </c>
      <c r="J4" s="7">
        <v>680</v>
      </c>
      <c r="K4" s="8">
        <v>6</v>
      </c>
      <c r="L4" s="8">
        <f t="shared" si="1"/>
        <v>673</v>
      </c>
      <c r="M4" s="60">
        <f t="shared" si="2"/>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3"/>
        <v>7.999999999999996E-2</v>
      </c>
      <c r="AF4">
        <v>0</v>
      </c>
      <c r="AG4">
        <v>1</v>
      </c>
      <c r="AH4" s="28">
        <v>0.64</v>
      </c>
      <c r="AI4" s="12">
        <f t="shared" si="4"/>
        <v>0.36</v>
      </c>
      <c r="AJ4">
        <v>1</v>
      </c>
      <c r="AK4">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35">
      <c r="A5">
        <v>4</v>
      </c>
      <c r="B5">
        <v>1</v>
      </c>
      <c r="C5" t="s">
        <v>195</v>
      </c>
      <c r="D5" s="10">
        <v>7</v>
      </c>
      <c r="E5" s="6">
        <v>1.9</v>
      </c>
      <c r="F5" s="6">
        <f t="shared" si="0"/>
        <v>3.6842105263157898</v>
      </c>
      <c r="G5" s="7">
        <v>1</v>
      </c>
      <c r="H5" s="8">
        <v>0</v>
      </c>
      <c r="I5" s="8">
        <v>0</v>
      </c>
      <c r="J5" s="7">
        <v>340</v>
      </c>
      <c r="K5" s="8">
        <v>1</v>
      </c>
      <c r="L5" s="8">
        <f t="shared" si="1"/>
        <v>338</v>
      </c>
      <c r="M5" s="60">
        <f t="shared" si="2"/>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3"/>
        <v>7.999999999999996E-2</v>
      </c>
      <c r="AF5">
        <v>0</v>
      </c>
      <c r="AG5">
        <v>1</v>
      </c>
      <c r="AH5" s="28">
        <v>0.64</v>
      </c>
      <c r="AI5" s="12">
        <f t="shared" si="4"/>
        <v>0.36</v>
      </c>
      <c r="AJ5">
        <v>1</v>
      </c>
      <c r="AK5">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35">
      <c r="A6">
        <v>5</v>
      </c>
      <c r="B6">
        <v>1</v>
      </c>
      <c r="C6" t="s">
        <v>195</v>
      </c>
      <c r="D6" s="10">
        <v>8.8000000000000007</v>
      </c>
      <c r="E6" s="6">
        <v>2.5</v>
      </c>
      <c r="F6" s="6">
        <f t="shared" si="0"/>
        <v>3.5200000000000005</v>
      </c>
      <c r="G6" s="7">
        <v>1</v>
      </c>
      <c r="H6" s="8">
        <v>0</v>
      </c>
      <c r="I6" s="8">
        <v>0</v>
      </c>
      <c r="J6" s="7">
        <v>340</v>
      </c>
      <c r="K6" s="8">
        <v>1</v>
      </c>
      <c r="L6" s="8">
        <f t="shared" si="1"/>
        <v>338</v>
      </c>
      <c r="M6" s="60">
        <f t="shared" si="2"/>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3"/>
        <v>7.999999999999996E-2</v>
      </c>
      <c r="AF6">
        <v>0</v>
      </c>
      <c r="AG6">
        <v>1</v>
      </c>
      <c r="AH6" s="28">
        <v>0.64</v>
      </c>
      <c r="AI6" s="12">
        <f t="shared" si="4"/>
        <v>0.36</v>
      </c>
      <c r="AJ6">
        <v>1</v>
      </c>
      <c r="AK6">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35">
      <c r="A7">
        <v>6</v>
      </c>
      <c r="B7">
        <v>1</v>
      </c>
      <c r="C7" t="s">
        <v>195</v>
      </c>
      <c r="D7" s="10">
        <v>11.3</v>
      </c>
      <c r="E7" s="6">
        <v>1</v>
      </c>
      <c r="F7" s="6">
        <f t="shared" si="0"/>
        <v>11.3</v>
      </c>
      <c r="G7" s="7">
        <v>1</v>
      </c>
      <c r="H7" s="8">
        <v>0</v>
      </c>
      <c r="I7" s="8">
        <v>0</v>
      </c>
      <c r="J7" s="7">
        <v>666</v>
      </c>
      <c r="K7" s="8">
        <v>8</v>
      </c>
      <c r="L7" s="8">
        <f t="shared" si="1"/>
        <v>657</v>
      </c>
      <c r="M7" s="60">
        <f t="shared" si="2"/>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3"/>
        <v>7.999999999999996E-2</v>
      </c>
      <c r="AF7">
        <v>0</v>
      </c>
      <c r="AG7">
        <v>1</v>
      </c>
      <c r="AH7" s="28">
        <v>0.64</v>
      </c>
      <c r="AI7" s="12">
        <f t="shared" si="4"/>
        <v>0.36</v>
      </c>
      <c r="AJ7">
        <v>1</v>
      </c>
      <c r="AK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35">
      <c r="A8">
        <v>7</v>
      </c>
      <c r="B8">
        <v>1</v>
      </c>
      <c r="C8" t="s">
        <v>195</v>
      </c>
      <c r="D8" s="10">
        <v>7.4</v>
      </c>
      <c r="E8" s="6">
        <v>1.7</v>
      </c>
      <c r="F8" s="6">
        <f t="shared" si="0"/>
        <v>4.3529411764705888</v>
      </c>
      <c r="G8" s="7">
        <v>1</v>
      </c>
      <c r="H8" s="8">
        <v>0</v>
      </c>
      <c r="I8" s="8">
        <v>0</v>
      </c>
      <c r="J8" s="7">
        <v>666</v>
      </c>
      <c r="K8" s="8">
        <v>9</v>
      </c>
      <c r="L8" s="8">
        <f t="shared" si="1"/>
        <v>656</v>
      </c>
      <c r="M8" s="60">
        <f t="shared" si="2"/>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3"/>
        <v>7.999999999999996E-2</v>
      </c>
      <c r="AF8">
        <v>0</v>
      </c>
      <c r="AG8">
        <v>1</v>
      </c>
      <c r="AH8" s="28">
        <v>0.64</v>
      </c>
      <c r="AI8" s="12">
        <f t="shared" si="4"/>
        <v>0.36</v>
      </c>
      <c r="AJ8">
        <v>1</v>
      </c>
      <c r="AK8">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35">
      <c r="A9">
        <v>8</v>
      </c>
      <c r="B9">
        <v>1</v>
      </c>
      <c r="C9" t="s">
        <v>195</v>
      </c>
      <c r="D9" s="10">
        <v>10.6</v>
      </c>
      <c r="E9" s="6">
        <v>2.2000000000000002</v>
      </c>
      <c r="F9" s="6">
        <f t="shared" si="0"/>
        <v>4.8181818181818175</v>
      </c>
      <c r="G9" s="7">
        <v>1</v>
      </c>
      <c r="H9" s="8">
        <v>0</v>
      </c>
      <c r="I9" s="8">
        <v>0</v>
      </c>
      <c r="J9" s="7">
        <v>666</v>
      </c>
      <c r="K9" s="8">
        <v>9</v>
      </c>
      <c r="L9" s="8">
        <f t="shared" si="1"/>
        <v>656</v>
      </c>
      <c r="M9" s="60">
        <f t="shared" si="2"/>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3"/>
        <v>7.999999999999996E-2</v>
      </c>
      <c r="AF9">
        <v>0</v>
      </c>
      <c r="AG9">
        <v>1</v>
      </c>
      <c r="AH9" s="28">
        <v>0.64</v>
      </c>
      <c r="AI9" s="12">
        <f t="shared" si="4"/>
        <v>0.36</v>
      </c>
      <c r="AJ9">
        <v>1</v>
      </c>
      <c r="AK9">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35">
      <c r="A10">
        <v>9</v>
      </c>
      <c r="B10">
        <v>1</v>
      </c>
      <c r="C10" t="s">
        <v>195</v>
      </c>
      <c r="D10" s="10">
        <v>7.8</v>
      </c>
      <c r="E10" s="6">
        <v>1.8</v>
      </c>
      <c r="F10" s="6">
        <f t="shared" si="0"/>
        <v>4.333333333333333</v>
      </c>
      <c r="G10" s="7">
        <v>1</v>
      </c>
      <c r="H10" s="8">
        <v>0</v>
      </c>
      <c r="I10" s="8">
        <v>0</v>
      </c>
      <c r="J10" s="7">
        <v>333</v>
      </c>
      <c r="K10" s="8">
        <v>4</v>
      </c>
      <c r="L10" s="8">
        <f t="shared" si="1"/>
        <v>328</v>
      </c>
      <c r="M10" s="60">
        <f t="shared" si="2"/>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3"/>
        <v>7.999999999999996E-2</v>
      </c>
      <c r="AF10">
        <v>0</v>
      </c>
      <c r="AG10">
        <v>1</v>
      </c>
      <c r="AH10" s="28">
        <v>0.64</v>
      </c>
      <c r="AI10" s="12">
        <f t="shared" si="4"/>
        <v>0.36</v>
      </c>
      <c r="AJ10">
        <v>1</v>
      </c>
      <c r="AK10">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35">
      <c r="A11">
        <v>10</v>
      </c>
      <c r="B11">
        <v>1</v>
      </c>
      <c r="C11" t="s">
        <v>195</v>
      </c>
      <c r="D11" s="10">
        <v>10</v>
      </c>
      <c r="E11" s="6">
        <v>2.2999999999999998</v>
      </c>
      <c r="F11" s="6">
        <f t="shared" si="0"/>
        <v>4.3478260869565224</v>
      </c>
      <c r="G11" s="7">
        <v>1</v>
      </c>
      <c r="H11" s="8">
        <v>0</v>
      </c>
      <c r="I11" s="8">
        <v>0</v>
      </c>
      <c r="J11" s="7">
        <v>333</v>
      </c>
      <c r="K11" s="8">
        <v>4</v>
      </c>
      <c r="L11" s="8">
        <f t="shared" si="1"/>
        <v>328</v>
      </c>
      <c r="M11" s="60">
        <f t="shared" si="2"/>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3"/>
        <v>7.999999999999996E-2</v>
      </c>
      <c r="AF11">
        <v>0</v>
      </c>
      <c r="AG11">
        <v>1</v>
      </c>
      <c r="AH11" s="28">
        <v>0.64</v>
      </c>
      <c r="AI11" s="12">
        <f t="shared" si="4"/>
        <v>0.36</v>
      </c>
      <c r="AJ11">
        <v>1</v>
      </c>
      <c r="AK11">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35">
      <c r="A12">
        <v>11</v>
      </c>
      <c r="B12">
        <v>1</v>
      </c>
      <c r="C12" t="s">
        <v>195</v>
      </c>
      <c r="D12" s="10">
        <v>6.6</v>
      </c>
      <c r="E12" s="6">
        <v>1.8</v>
      </c>
      <c r="F12" s="6">
        <f t="shared" si="0"/>
        <v>3.6666666666666665</v>
      </c>
      <c r="G12" s="7">
        <v>1</v>
      </c>
      <c r="H12" s="8">
        <v>0</v>
      </c>
      <c r="I12" s="8">
        <v>0</v>
      </c>
      <c r="J12" s="7">
        <v>395</v>
      </c>
      <c r="K12" s="8">
        <v>5</v>
      </c>
      <c r="L12" s="8">
        <f t="shared" si="1"/>
        <v>389</v>
      </c>
      <c r="M12" s="60">
        <f t="shared" si="2"/>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3"/>
        <v>7.999999999999996E-2</v>
      </c>
      <c r="AF12">
        <v>0</v>
      </c>
      <c r="AG12">
        <v>1</v>
      </c>
      <c r="AH12" s="28">
        <v>0.64</v>
      </c>
      <c r="AI12" s="12">
        <f t="shared" si="4"/>
        <v>0.36</v>
      </c>
      <c r="AJ12">
        <v>1</v>
      </c>
      <c r="AK12">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35">
      <c r="A13">
        <v>12</v>
      </c>
      <c r="B13">
        <v>1</v>
      </c>
      <c r="C13" t="s">
        <v>195</v>
      </c>
      <c r="D13" s="10">
        <v>6.4</v>
      </c>
      <c r="E13" s="6">
        <v>1.9</v>
      </c>
      <c r="F13" s="6">
        <f t="shared" si="0"/>
        <v>3.3684210526315792</v>
      </c>
      <c r="G13" s="7">
        <v>1</v>
      </c>
      <c r="H13" s="8">
        <v>0</v>
      </c>
      <c r="I13" s="8">
        <v>0</v>
      </c>
      <c r="J13" s="7">
        <v>353</v>
      </c>
      <c r="K13" s="8">
        <v>5</v>
      </c>
      <c r="L13" s="8">
        <f t="shared" si="1"/>
        <v>347</v>
      </c>
      <c r="M13" s="60">
        <f t="shared" si="2"/>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3"/>
        <v>7.999999999999996E-2</v>
      </c>
      <c r="AF13">
        <v>0</v>
      </c>
      <c r="AG13">
        <v>1</v>
      </c>
      <c r="AH13" s="28">
        <v>0.64</v>
      </c>
      <c r="AI13" s="12">
        <f t="shared" si="4"/>
        <v>0.36</v>
      </c>
      <c r="AJ13">
        <v>1</v>
      </c>
      <c r="AK13">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35">
      <c r="A14">
        <v>13</v>
      </c>
      <c r="B14">
        <v>1</v>
      </c>
      <c r="C14" t="s">
        <v>195</v>
      </c>
      <c r="D14" s="10">
        <v>5.8</v>
      </c>
      <c r="E14" s="6">
        <v>1.9</v>
      </c>
      <c r="F14" s="6">
        <f t="shared" si="0"/>
        <v>3.0526315789473686</v>
      </c>
      <c r="G14" s="7">
        <v>1</v>
      </c>
      <c r="H14" s="8">
        <v>0</v>
      </c>
      <c r="I14" s="8">
        <v>0</v>
      </c>
      <c r="J14" s="7">
        <v>342</v>
      </c>
      <c r="K14" s="8">
        <v>5</v>
      </c>
      <c r="L14" s="8">
        <f t="shared" si="1"/>
        <v>336</v>
      </c>
      <c r="M14" s="60">
        <f t="shared" si="2"/>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3"/>
        <v>7.999999999999996E-2</v>
      </c>
      <c r="AF14">
        <v>0</v>
      </c>
      <c r="AG14">
        <v>1</v>
      </c>
      <c r="AH14" s="28">
        <v>0.64</v>
      </c>
      <c r="AI14" s="12">
        <f t="shared" si="4"/>
        <v>0.36</v>
      </c>
      <c r="AJ14">
        <v>1</v>
      </c>
      <c r="AK14">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35">
      <c r="A15">
        <v>14</v>
      </c>
      <c r="B15">
        <v>1</v>
      </c>
      <c r="C15" t="s">
        <v>195</v>
      </c>
      <c r="D15" s="10">
        <v>6.6</v>
      </c>
      <c r="E15" s="6">
        <v>1.9</v>
      </c>
      <c r="F15" s="6">
        <f t="shared" si="0"/>
        <v>3.4736842105263159</v>
      </c>
      <c r="G15" s="7">
        <v>1</v>
      </c>
      <c r="H15" s="8">
        <v>0</v>
      </c>
      <c r="I15" s="8">
        <v>0</v>
      </c>
      <c r="J15" s="7">
        <v>335</v>
      </c>
      <c r="K15" s="8">
        <v>5</v>
      </c>
      <c r="L15" s="8">
        <f t="shared" si="1"/>
        <v>329</v>
      </c>
      <c r="M15" s="60">
        <f t="shared" si="2"/>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3"/>
        <v>7.999999999999996E-2</v>
      </c>
      <c r="AF15">
        <v>0</v>
      </c>
      <c r="AG15">
        <v>1</v>
      </c>
      <c r="AH15" s="28">
        <v>0.64</v>
      </c>
      <c r="AI15" s="12">
        <f t="shared" si="4"/>
        <v>0.36</v>
      </c>
      <c r="AJ15">
        <v>1</v>
      </c>
      <c r="AK15">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35">
      <c r="A16">
        <v>15</v>
      </c>
      <c r="B16">
        <v>1</v>
      </c>
      <c r="C16" t="s">
        <v>195</v>
      </c>
      <c r="D16" s="10">
        <v>6.7</v>
      </c>
      <c r="E16" s="6">
        <v>2</v>
      </c>
      <c r="F16" s="6">
        <f t="shared" si="0"/>
        <v>3.35</v>
      </c>
      <c r="G16" s="7">
        <v>1</v>
      </c>
      <c r="H16" s="8">
        <v>0</v>
      </c>
      <c r="I16" s="8">
        <v>0</v>
      </c>
      <c r="J16" s="7">
        <v>297</v>
      </c>
      <c r="K16" s="8">
        <v>5</v>
      </c>
      <c r="L16" s="8">
        <f t="shared" si="1"/>
        <v>291</v>
      </c>
      <c r="M16" s="60">
        <f t="shared" si="2"/>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3"/>
        <v>7.999999999999996E-2</v>
      </c>
      <c r="AF16">
        <v>0</v>
      </c>
      <c r="AG16">
        <v>1</v>
      </c>
      <c r="AH16" s="28">
        <v>0.64</v>
      </c>
      <c r="AI16" s="12">
        <f t="shared" si="4"/>
        <v>0.36</v>
      </c>
      <c r="AJ16">
        <v>1</v>
      </c>
      <c r="AK16">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35">
      <c r="A17">
        <v>16</v>
      </c>
      <c r="B17">
        <v>1</v>
      </c>
      <c r="C17" t="s">
        <v>195</v>
      </c>
      <c r="D17" s="10">
        <v>8.9</v>
      </c>
      <c r="E17" s="6">
        <v>3.3</v>
      </c>
      <c r="F17" s="6">
        <f t="shared" si="0"/>
        <v>2.6969696969696972</v>
      </c>
      <c r="G17" s="7">
        <v>1</v>
      </c>
      <c r="H17" s="8">
        <v>0</v>
      </c>
      <c r="I17" s="8">
        <v>0</v>
      </c>
      <c r="J17" s="7">
        <v>52</v>
      </c>
      <c r="K17" s="8">
        <v>5</v>
      </c>
      <c r="L17" s="8">
        <f t="shared" si="1"/>
        <v>46</v>
      </c>
      <c r="M17" s="60">
        <f t="shared" si="2"/>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3"/>
        <v>7.999999999999996E-2</v>
      </c>
      <c r="AF17">
        <v>0</v>
      </c>
      <c r="AG17">
        <v>1</v>
      </c>
      <c r="AH17" s="28">
        <v>0.64</v>
      </c>
      <c r="AI17" s="12">
        <f t="shared" si="4"/>
        <v>0.36</v>
      </c>
      <c r="AJ17">
        <v>1</v>
      </c>
      <c r="AK1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35">
      <c r="A18">
        <v>17</v>
      </c>
      <c r="B18">
        <v>1</v>
      </c>
      <c r="C18" t="s">
        <v>195</v>
      </c>
      <c r="D18" s="10">
        <v>8.5</v>
      </c>
      <c r="E18" s="6">
        <v>2.2999999999999998</v>
      </c>
      <c r="F18" s="6">
        <f t="shared" si="0"/>
        <v>3.6956521739130439</v>
      </c>
      <c r="G18" s="7">
        <v>1</v>
      </c>
      <c r="H18" s="8">
        <v>0</v>
      </c>
      <c r="I18" s="8">
        <v>0</v>
      </c>
      <c r="J18" s="7">
        <v>395</v>
      </c>
      <c r="K18" s="8">
        <v>4</v>
      </c>
      <c r="L18" s="8">
        <f t="shared" si="1"/>
        <v>390</v>
      </c>
      <c r="M18" s="60">
        <f t="shared" si="2"/>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3"/>
        <v>7.999999999999996E-2</v>
      </c>
      <c r="AF18">
        <v>0</v>
      </c>
      <c r="AG18">
        <v>1</v>
      </c>
      <c r="AH18" s="28">
        <v>0.64</v>
      </c>
      <c r="AI18" s="12">
        <f t="shared" si="4"/>
        <v>0.36</v>
      </c>
      <c r="AJ18">
        <v>1</v>
      </c>
      <c r="AK18">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35">
      <c r="A19">
        <v>18</v>
      </c>
      <c r="B19">
        <v>1</v>
      </c>
      <c r="C19" t="s">
        <v>195</v>
      </c>
      <c r="D19" s="10">
        <v>8.6</v>
      </c>
      <c r="E19" s="6">
        <v>2.5</v>
      </c>
      <c r="F19" s="6">
        <f t="shared" si="0"/>
        <v>3.44</v>
      </c>
      <c r="G19" s="7">
        <v>1</v>
      </c>
      <c r="H19" s="8">
        <v>0</v>
      </c>
      <c r="I19" s="8">
        <v>0</v>
      </c>
      <c r="J19" s="7">
        <v>353</v>
      </c>
      <c r="K19" s="8">
        <v>4</v>
      </c>
      <c r="L19" s="8">
        <f t="shared" si="1"/>
        <v>348</v>
      </c>
      <c r="M19" s="60">
        <f t="shared" si="2"/>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3"/>
        <v>7.999999999999996E-2</v>
      </c>
      <c r="AF19">
        <v>0</v>
      </c>
      <c r="AG19">
        <v>1</v>
      </c>
      <c r="AH19" s="28">
        <v>0.64</v>
      </c>
      <c r="AI19" s="12">
        <f t="shared" si="4"/>
        <v>0.36</v>
      </c>
      <c r="AJ19">
        <v>1</v>
      </c>
      <c r="AK19">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35">
      <c r="A20">
        <v>19</v>
      </c>
      <c r="B20">
        <v>1</v>
      </c>
      <c r="C20" t="s">
        <v>195</v>
      </c>
      <c r="D20" s="10">
        <v>7.7</v>
      </c>
      <c r="E20" s="6">
        <v>2.6</v>
      </c>
      <c r="F20" s="6">
        <f t="shared" si="0"/>
        <v>2.9615384615384617</v>
      </c>
      <c r="G20" s="7">
        <v>1</v>
      </c>
      <c r="H20" s="8">
        <v>0</v>
      </c>
      <c r="I20" s="8">
        <v>0</v>
      </c>
      <c r="J20" s="7">
        <v>342</v>
      </c>
      <c r="K20" s="8">
        <v>4</v>
      </c>
      <c r="L20" s="8">
        <f t="shared" si="1"/>
        <v>337</v>
      </c>
      <c r="M20" s="60">
        <f t="shared" si="2"/>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3"/>
        <v>7.999999999999996E-2</v>
      </c>
      <c r="AF20">
        <v>0</v>
      </c>
      <c r="AG20">
        <v>1</v>
      </c>
      <c r="AH20" s="28">
        <v>0.64</v>
      </c>
      <c r="AI20" s="12">
        <f t="shared" si="4"/>
        <v>0.36</v>
      </c>
      <c r="AJ20">
        <v>1</v>
      </c>
      <c r="AK20">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35">
      <c r="A21">
        <v>20</v>
      </c>
      <c r="B21">
        <v>1</v>
      </c>
      <c r="C21" t="s">
        <v>195</v>
      </c>
      <c r="D21" s="10">
        <v>8.3000000000000007</v>
      </c>
      <c r="E21" s="6">
        <v>2.5</v>
      </c>
      <c r="F21" s="6">
        <f t="shared" si="0"/>
        <v>3.3200000000000003</v>
      </c>
      <c r="G21" s="7">
        <v>1</v>
      </c>
      <c r="H21" s="8">
        <v>0</v>
      </c>
      <c r="I21" s="8">
        <v>0</v>
      </c>
      <c r="J21" s="7">
        <v>335</v>
      </c>
      <c r="K21" s="8">
        <v>4</v>
      </c>
      <c r="L21" s="8">
        <f t="shared" si="1"/>
        <v>330</v>
      </c>
      <c r="M21" s="60">
        <f t="shared" si="2"/>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3"/>
        <v>7.999999999999996E-2</v>
      </c>
      <c r="AF21">
        <v>0</v>
      </c>
      <c r="AG21">
        <v>1</v>
      </c>
      <c r="AH21" s="28">
        <v>0.64</v>
      </c>
      <c r="AI21" s="12">
        <f t="shared" si="4"/>
        <v>0.36</v>
      </c>
      <c r="AJ21">
        <v>1</v>
      </c>
      <c r="AK21">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35">
      <c r="A22">
        <v>21</v>
      </c>
      <c r="B22">
        <v>1</v>
      </c>
      <c r="C22" t="s">
        <v>195</v>
      </c>
      <c r="D22" s="10">
        <v>8.3000000000000007</v>
      </c>
      <c r="E22" s="6">
        <v>2.7</v>
      </c>
      <c r="F22" s="6">
        <f t="shared" si="0"/>
        <v>3.074074074074074</v>
      </c>
      <c r="G22" s="7">
        <v>1</v>
      </c>
      <c r="H22" s="8">
        <v>0</v>
      </c>
      <c r="I22" s="8">
        <v>0</v>
      </c>
      <c r="J22" s="7">
        <v>297</v>
      </c>
      <c r="K22" s="8">
        <v>4</v>
      </c>
      <c r="L22" s="8">
        <f t="shared" si="1"/>
        <v>292</v>
      </c>
      <c r="M22" s="60">
        <f t="shared" si="2"/>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3"/>
        <v>7.999999999999996E-2</v>
      </c>
      <c r="AF22">
        <v>0</v>
      </c>
      <c r="AG22">
        <v>1</v>
      </c>
      <c r="AH22" s="28">
        <v>0.64</v>
      </c>
      <c r="AI22" s="12">
        <f t="shared" si="4"/>
        <v>0.36</v>
      </c>
      <c r="AJ22">
        <v>1</v>
      </c>
      <c r="AK22">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35">
      <c r="A23">
        <v>22</v>
      </c>
      <c r="B23">
        <v>1</v>
      </c>
      <c r="C23" t="s">
        <v>195</v>
      </c>
      <c r="D23" s="10">
        <v>16.3</v>
      </c>
      <c r="E23" s="6">
        <v>4.7</v>
      </c>
      <c r="F23" s="6">
        <f t="shared" si="0"/>
        <v>3.4680851063829787</v>
      </c>
      <c r="G23" s="7">
        <v>1</v>
      </c>
      <c r="H23" s="8">
        <v>0</v>
      </c>
      <c r="I23" s="8">
        <v>0</v>
      </c>
      <c r="J23" s="7">
        <v>52</v>
      </c>
      <c r="K23" s="8">
        <v>4</v>
      </c>
      <c r="L23" s="8">
        <f t="shared" si="1"/>
        <v>47</v>
      </c>
      <c r="M23" s="60">
        <f t="shared" si="2"/>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3"/>
        <v>7.999999999999996E-2</v>
      </c>
      <c r="AF23">
        <v>0</v>
      </c>
      <c r="AG23">
        <v>1</v>
      </c>
      <c r="AH23" s="28">
        <v>0.64</v>
      </c>
      <c r="AI23" s="12">
        <f t="shared" si="4"/>
        <v>0.36</v>
      </c>
      <c r="AJ23">
        <v>1</v>
      </c>
      <c r="AK23">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35">
      <c r="A24">
        <v>23</v>
      </c>
      <c r="B24">
        <v>2</v>
      </c>
      <c r="C24" t="s">
        <v>201</v>
      </c>
      <c r="D24" s="10">
        <v>8.4</v>
      </c>
      <c r="E24" s="6">
        <v>1.4</v>
      </c>
      <c r="F24" s="6">
        <f t="shared" si="0"/>
        <v>6.0000000000000009</v>
      </c>
      <c r="G24" s="7">
        <v>1</v>
      </c>
      <c r="H24" s="8">
        <v>0</v>
      </c>
      <c r="I24" s="8">
        <v>0</v>
      </c>
      <c r="J24" s="7">
        <v>298</v>
      </c>
      <c r="K24" s="8">
        <v>5</v>
      </c>
      <c r="L24" s="8">
        <f t="shared" si="1"/>
        <v>292</v>
      </c>
      <c r="M24" s="60">
        <f t="shared" si="2"/>
        <v>15</v>
      </c>
      <c r="N24" s="6">
        <v>14.11</v>
      </c>
      <c r="O24" s="6">
        <f t="shared" ref="O24:O52" si="5">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v>1</v>
      </c>
      <c r="AK24">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35">
      <c r="A25">
        <v>24</v>
      </c>
      <c r="B25">
        <v>2</v>
      </c>
      <c r="C25" t="s">
        <v>201</v>
      </c>
      <c r="D25" s="10">
        <v>8.6999999999999993</v>
      </c>
      <c r="E25" s="6">
        <v>1.5</v>
      </c>
      <c r="F25" s="6">
        <f t="shared" si="0"/>
        <v>5.8</v>
      </c>
      <c r="G25" s="7">
        <v>1</v>
      </c>
      <c r="H25" s="8">
        <v>0</v>
      </c>
      <c r="I25" s="8">
        <v>0</v>
      </c>
      <c r="J25" s="7">
        <v>298</v>
      </c>
      <c r="K25" s="8">
        <v>5</v>
      </c>
      <c r="L25" s="8">
        <f t="shared" si="1"/>
        <v>292</v>
      </c>
      <c r="M25" s="60">
        <f t="shared" si="2"/>
        <v>15</v>
      </c>
      <c r="N25" s="6">
        <v>14.11</v>
      </c>
      <c r="O25" s="6">
        <f t="shared" si="5"/>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v>1</v>
      </c>
      <c r="AK25">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35">
      <c r="A26">
        <v>25</v>
      </c>
      <c r="B26">
        <v>2</v>
      </c>
      <c r="C26" t="s">
        <v>201</v>
      </c>
      <c r="D26" s="10">
        <v>8.8000000000000007</v>
      </c>
      <c r="E26" s="6">
        <v>1.5</v>
      </c>
      <c r="F26" s="6">
        <f t="shared" si="0"/>
        <v>5.8666666666666671</v>
      </c>
      <c r="G26" s="7">
        <v>1</v>
      </c>
      <c r="H26" s="8">
        <v>0</v>
      </c>
      <c r="I26" s="8">
        <v>0</v>
      </c>
      <c r="J26" s="7">
        <v>298</v>
      </c>
      <c r="K26" s="8">
        <v>6</v>
      </c>
      <c r="L26" s="8">
        <f t="shared" si="1"/>
        <v>291</v>
      </c>
      <c r="M26" s="60">
        <f t="shared" si="2"/>
        <v>15</v>
      </c>
      <c r="N26" s="6">
        <v>14.11</v>
      </c>
      <c r="O26" s="6">
        <f t="shared" si="5"/>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v>1</v>
      </c>
      <c r="AK26">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35">
      <c r="A27">
        <v>26</v>
      </c>
      <c r="B27">
        <v>2</v>
      </c>
      <c r="C27" t="s">
        <v>201</v>
      </c>
      <c r="D27" s="10">
        <v>11.6</v>
      </c>
      <c r="E27" s="6">
        <v>3</v>
      </c>
      <c r="F27" s="6">
        <f t="shared" si="0"/>
        <v>3.8666666666666667</v>
      </c>
      <c r="G27" s="7">
        <v>1</v>
      </c>
      <c r="H27" s="8">
        <v>0</v>
      </c>
      <c r="I27" s="8">
        <v>0</v>
      </c>
      <c r="J27" s="7">
        <v>298</v>
      </c>
      <c r="K27" s="8">
        <v>6</v>
      </c>
      <c r="L27" s="8">
        <f t="shared" si="1"/>
        <v>291</v>
      </c>
      <c r="M27" s="60">
        <f t="shared" si="2"/>
        <v>15</v>
      </c>
      <c r="N27" s="6">
        <v>14.11</v>
      </c>
      <c r="O27" s="6">
        <f t="shared" si="5"/>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v>1</v>
      </c>
      <c r="AK2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35">
      <c r="A28">
        <v>27</v>
      </c>
      <c r="B28">
        <v>2</v>
      </c>
      <c r="C28" t="s">
        <v>201</v>
      </c>
      <c r="D28" s="10">
        <v>9.1999999999999993</v>
      </c>
      <c r="E28" s="6">
        <v>2.4</v>
      </c>
      <c r="F28" s="6">
        <f t="shared" si="0"/>
        <v>3.833333333333333</v>
      </c>
      <c r="G28" s="7">
        <v>1</v>
      </c>
      <c r="H28" s="8">
        <v>0</v>
      </c>
      <c r="I28" s="8">
        <v>0</v>
      </c>
      <c r="J28" s="7">
        <v>149</v>
      </c>
      <c r="K28" s="8">
        <v>1</v>
      </c>
      <c r="L28" s="8">
        <f t="shared" si="1"/>
        <v>147</v>
      </c>
      <c r="M28" s="60">
        <f t="shared" si="2"/>
        <v>15</v>
      </c>
      <c r="N28" s="6">
        <v>14.11</v>
      </c>
      <c r="O28" s="6">
        <f t="shared" si="5"/>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v>1</v>
      </c>
      <c r="AK28">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35">
      <c r="A29">
        <v>28</v>
      </c>
      <c r="B29">
        <v>2</v>
      </c>
      <c r="C29" t="s">
        <v>201</v>
      </c>
      <c r="D29" s="10">
        <v>16.7</v>
      </c>
      <c r="E29" s="6">
        <v>4.3</v>
      </c>
      <c r="F29" s="6">
        <f t="shared" si="0"/>
        <v>3.8837209302325579</v>
      </c>
      <c r="G29" s="7">
        <v>1</v>
      </c>
      <c r="H29" s="8">
        <v>0</v>
      </c>
      <c r="I29" s="8">
        <v>0</v>
      </c>
      <c r="J29" s="7">
        <v>149</v>
      </c>
      <c r="K29" s="8">
        <v>1</v>
      </c>
      <c r="L29" s="8">
        <f t="shared" si="1"/>
        <v>147</v>
      </c>
      <c r="M29" s="60">
        <f t="shared" si="2"/>
        <v>15</v>
      </c>
      <c r="N29" s="6">
        <v>14.11</v>
      </c>
      <c r="O29" s="6">
        <f t="shared" si="5"/>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v>1</v>
      </c>
      <c r="AK29">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35">
      <c r="A30">
        <v>29</v>
      </c>
      <c r="B30">
        <v>2</v>
      </c>
      <c r="C30" t="s">
        <v>201</v>
      </c>
      <c r="D30" s="10">
        <v>8.6999999999999993</v>
      </c>
      <c r="E30" s="6">
        <v>1.5</v>
      </c>
      <c r="F30" s="6">
        <f t="shared" si="0"/>
        <v>5.8</v>
      </c>
      <c r="G30" s="7">
        <v>1</v>
      </c>
      <c r="H30" s="8">
        <v>0</v>
      </c>
      <c r="I30" s="8">
        <v>0</v>
      </c>
      <c r="J30" s="7">
        <v>298</v>
      </c>
      <c r="K30" s="8">
        <v>5</v>
      </c>
      <c r="L30" s="8">
        <f t="shared" si="1"/>
        <v>292</v>
      </c>
      <c r="M30" s="60">
        <f t="shared" si="2"/>
        <v>15</v>
      </c>
      <c r="N30" s="6">
        <v>14.11</v>
      </c>
      <c r="O30" s="6">
        <f t="shared" si="5"/>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v>1</v>
      </c>
      <c r="AK30">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35">
      <c r="A31">
        <v>30</v>
      </c>
      <c r="B31">
        <v>2</v>
      </c>
      <c r="C31" t="s">
        <v>201</v>
      </c>
      <c r="D31" s="10">
        <v>9.4</v>
      </c>
      <c r="E31" s="6">
        <v>1.6</v>
      </c>
      <c r="F31" s="6">
        <f t="shared" si="0"/>
        <v>5.875</v>
      </c>
      <c r="G31" s="7">
        <v>1</v>
      </c>
      <c r="H31" s="8">
        <v>0</v>
      </c>
      <c r="I31" s="8">
        <v>0</v>
      </c>
      <c r="J31" s="7">
        <v>298</v>
      </c>
      <c r="K31" s="8">
        <v>5</v>
      </c>
      <c r="L31" s="8">
        <f t="shared" si="1"/>
        <v>292</v>
      </c>
      <c r="M31" s="60">
        <f t="shared" si="2"/>
        <v>15</v>
      </c>
      <c r="N31" s="6">
        <v>14.11</v>
      </c>
      <c r="O31" s="6">
        <f t="shared" si="5"/>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v>1</v>
      </c>
      <c r="AK31">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35">
      <c r="A32">
        <v>31</v>
      </c>
      <c r="B32">
        <v>2</v>
      </c>
      <c r="C32" t="s">
        <v>201</v>
      </c>
      <c r="D32" s="10">
        <v>9.8000000000000007</v>
      </c>
      <c r="E32" s="6">
        <v>1.6</v>
      </c>
      <c r="F32" s="6">
        <f t="shared" si="0"/>
        <v>6.125</v>
      </c>
      <c r="G32" s="7">
        <v>1</v>
      </c>
      <c r="H32" s="8">
        <v>0</v>
      </c>
      <c r="I32" s="8">
        <v>0</v>
      </c>
      <c r="J32" s="7">
        <v>298</v>
      </c>
      <c r="K32" s="8">
        <v>6</v>
      </c>
      <c r="L32" s="8">
        <f t="shared" si="1"/>
        <v>291</v>
      </c>
      <c r="M32" s="60">
        <f t="shared" si="2"/>
        <v>15</v>
      </c>
      <c r="N32" s="6">
        <v>14.11</v>
      </c>
      <c r="O32" s="6">
        <f t="shared" si="5"/>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v>1</v>
      </c>
      <c r="AK32">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35">
      <c r="A33">
        <v>32</v>
      </c>
      <c r="B33">
        <v>2</v>
      </c>
      <c r="C33" t="s">
        <v>201</v>
      </c>
      <c r="D33" s="10">
        <v>11.7</v>
      </c>
      <c r="E33" s="6">
        <v>2.6</v>
      </c>
      <c r="F33" s="6">
        <f t="shared" si="0"/>
        <v>4.5</v>
      </c>
      <c r="G33" s="7">
        <v>1</v>
      </c>
      <c r="H33" s="8">
        <v>0</v>
      </c>
      <c r="I33" s="8">
        <v>0</v>
      </c>
      <c r="J33" s="7">
        <v>149</v>
      </c>
      <c r="K33" s="8">
        <v>1</v>
      </c>
      <c r="L33" s="8">
        <f t="shared" si="1"/>
        <v>147</v>
      </c>
      <c r="M33" s="60">
        <f t="shared" si="2"/>
        <v>15</v>
      </c>
      <c r="N33" s="6">
        <v>14.11</v>
      </c>
      <c r="O33" s="6">
        <f t="shared" si="5"/>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v>1</v>
      </c>
      <c r="AK33">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35">
      <c r="A34">
        <v>33</v>
      </c>
      <c r="B34">
        <v>2</v>
      </c>
      <c r="C34" t="s">
        <v>201</v>
      </c>
      <c r="D34" s="10">
        <v>10.5</v>
      </c>
      <c r="E34" s="6">
        <v>1.6</v>
      </c>
      <c r="F34" s="6">
        <f t="shared" si="0"/>
        <v>6.5625</v>
      </c>
      <c r="G34" s="7">
        <v>1</v>
      </c>
      <c r="H34" s="8">
        <v>0</v>
      </c>
      <c r="I34" s="8">
        <v>0</v>
      </c>
      <c r="J34" s="7">
        <v>284</v>
      </c>
      <c r="K34" s="8">
        <v>10</v>
      </c>
      <c r="L34" s="8">
        <f t="shared" si="1"/>
        <v>273</v>
      </c>
      <c r="M34" s="60">
        <f t="shared" si="2"/>
        <v>15</v>
      </c>
      <c r="N34" s="6">
        <v>14.11</v>
      </c>
      <c r="O34" s="6">
        <f t="shared" si="5"/>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v>1</v>
      </c>
      <c r="AK34">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35">
      <c r="A35">
        <v>34</v>
      </c>
      <c r="B35">
        <v>2</v>
      </c>
      <c r="C35" t="s">
        <v>201</v>
      </c>
      <c r="D35" s="10">
        <v>10.5</v>
      </c>
      <c r="E35" s="6">
        <v>1.6</v>
      </c>
      <c r="F35" s="6">
        <f t="shared" si="0"/>
        <v>6.5625</v>
      </c>
      <c r="G35" s="7">
        <v>1</v>
      </c>
      <c r="H35" s="8">
        <v>0</v>
      </c>
      <c r="I35" s="8">
        <v>0</v>
      </c>
      <c r="J35" s="7">
        <v>284</v>
      </c>
      <c r="K35" s="8">
        <v>11</v>
      </c>
      <c r="L35" s="8">
        <f t="shared" si="1"/>
        <v>272</v>
      </c>
      <c r="M35" s="60">
        <f t="shared" si="2"/>
        <v>15</v>
      </c>
      <c r="N35" s="6">
        <v>14.11</v>
      </c>
      <c r="O35" s="6">
        <f t="shared" si="5"/>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v>1</v>
      </c>
      <c r="AK35">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35">
      <c r="A36">
        <v>35</v>
      </c>
      <c r="B36">
        <v>2</v>
      </c>
      <c r="C36" t="s">
        <v>201</v>
      </c>
      <c r="D36" s="10">
        <v>14.7</v>
      </c>
      <c r="E36" s="6">
        <v>3.4</v>
      </c>
      <c r="F36" s="6">
        <f t="shared" si="0"/>
        <v>4.3235294117647056</v>
      </c>
      <c r="G36" s="7">
        <v>1</v>
      </c>
      <c r="H36" s="8">
        <v>0</v>
      </c>
      <c r="I36" s="8">
        <v>0</v>
      </c>
      <c r="J36" s="7">
        <v>284</v>
      </c>
      <c r="K36" s="8">
        <v>11</v>
      </c>
      <c r="L36" s="8">
        <f t="shared" si="1"/>
        <v>272</v>
      </c>
      <c r="M36" s="60">
        <f t="shared" si="2"/>
        <v>15</v>
      </c>
      <c r="N36" s="6">
        <v>14.11</v>
      </c>
      <c r="O36" s="6">
        <f t="shared" si="5"/>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v>1</v>
      </c>
      <c r="AK36">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35">
      <c r="A37">
        <v>36</v>
      </c>
      <c r="B37">
        <v>2</v>
      </c>
      <c r="C37" t="s">
        <v>201</v>
      </c>
      <c r="D37" s="10">
        <v>9.1</v>
      </c>
      <c r="E37" s="6">
        <v>2.2000000000000002</v>
      </c>
      <c r="F37" s="6">
        <f t="shared" si="0"/>
        <v>4.1363636363636358</v>
      </c>
      <c r="G37" s="7">
        <v>1</v>
      </c>
      <c r="H37" s="8">
        <v>0</v>
      </c>
      <c r="I37" s="8">
        <v>0</v>
      </c>
      <c r="J37" s="7">
        <v>147</v>
      </c>
      <c r="K37" s="8">
        <v>5</v>
      </c>
      <c r="L37" s="8">
        <f t="shared" si="1"/>
        <v>141</v>
      </c>
      <c r="M37" s="60">
        <f t="shared" si="2"/>
        <v>15</v>
      </c>
      <c r="N37" s="6">
        <v>14.11</v>
      </c>
      <c r="O37" s="6">
        <f t="shared" si="5"/>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v>1</v>
      </c>
      <c r="AK3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35">
      <c r="A38">
        <v>37</v>
      </c>
      <c r="B38">
        <v>2</v>
      </c>
      <c r="C38" t="s">
        <v>201</v>
      </c>
      <c r="D38" s="10">
        <v>17</v>
      </c>
      <c r="E38" s="6">
        <v>4.0999999999999996</v>
      </c>
      <c r="F38" s="6">
        <f t="shared" si="0"/>
        <v>4.1463414634146343</v>
      </c>
      <c r="G38" s="7">
        <v>1</v>
      </c>
      <c r="H38" s="8">
        <v>0</v>
      </c>
      <c r="I38" s="8">
        <v>0</v>
      </c>
      <c r="J38" s="7">
        <v>147</v>
      </c>
      <c r="K38" s="8">
        <v>4</v>
      </c>
      <c r="L38" s="8">
        <f t="shared" si="1"/>
        <v>142</v>
      </c>
      <c r="M38" s="60">
        <f t="shared" si="2"/>
        <v>15</v>
      </c>
      <c r="N38" s="6">
        <v>14.11</v>
      </c>
      <c r="O38" s="6">
        <f t="shared" si="5"/>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v>1</v>
      </c>
      <c r="AK38">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35">
      <c r="A39">
        <v>38</v>
      </c>
      <c r="B39">
        <v>3</v>
      </c>
      <c r="C39" t="s">
        <v>207</v>
      </c>
      <c r="D39" s="10">
        <v>10.5</v>
      </c>
      <c r="E39" s="6">
        <v>0.8</v>
      </c>
      <c r="F39" s="6">
        <f t="shared" si="0"/>
        <v>13.125</v>
      </c>
      <c r="G39" s="78">
        <v>1</v>
      </c>
      <c r="H39" s="8">
        <v>0</v>
      </c>
      <c r="I39" s="8">
        <v>0</v>
      </c>
      <c r="J39" s="7">
        <v>906</v>
      </c>
      <c r="K39" s="8">
        <v>5</v>
      </c>
      <c r="L39" s="8">
        <f t="shared" si="1"/>
        <v>900</v>
      </c>
      <c r="M39" s="60">
        <f t="shared" si="2"/>
        <v>14</v>
      </c>
      <c r="N39" s="6">
        <v>14.08</v>
      </c>
      <c r="O39" s="6">
        <f t="shared" si="5"/>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6">1-AD39</f>
        <v>6.0000000000000053E-2</v>
      </c>
      <c r="AF39">
        <v>0</v>
      </c>
      <c r="AG39">
        <v>1</v>
      </c>
      <c r="AH39" s="28">
        <v>0.45</v>
      </c>
      <c r="AI39" s="12">
        <f t="shared" ref="AI39:AI95" si="7">1-AH39</f>
        <v>0.55000000000000004</v>
      </c>
      <c r="AJ39">
        <v>1</v>
      </c>
      <c r="AK39">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35">
      <c r="A40">
        <v>39</v>
      </c>
      <c r="B40">
        <v>3</v>
      </c>
      <c r="C40" t="s">
        <v>207</v>
      </c>
      <c r="D40" s="10">
        <v>10.1</v>
      </c>
      <c r="E40" s="6">
        <v>0.9</v>
      </c>
      <c r="F40" s="6">
        <f t="shared" si="0"/>
        <v>11.222222222222221</v>
      </c>
      <c r="G40" s="78">
        <v>1</v>
      </c>
      <c r="H40" s="8">
        <v>0</v>
      </c>
      <c r="I40" s="8">
        <v>0</v>
      </c>
      <c r="J40" s="7">
        <v>906</v>
      </c>
      <c r="K40" s="8">
        <v>5</v>
      </c>
      <c r="L40" s="8">
        <f t="shared" si="1"/>
        <v>900</v>
      </c>
      <c r="M40" s="60">
        <f t="shared" si="2"/>
        <v>14</v>
      </c>
      <c r="N40" s="6">
        <v>14.08</v>
      </c>
      <c r="O40" s="6">
        <f t="shared" si="5"/>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6"/>
        <v>6.0000000000000053E-2</v>
      </c>
      <c r="AF40">
        <v>0</v>
      </c>
      <c r="AG40">
        <v>1</v>
      </c>
      <c r="AH40" s="28">
        <v>0.45</v>
      </c>
      <c r="AI40" s="12">
        <f t="shared" si="7"/>
        <v>0.55000000000000004</v>
      </c>
      <c r="AJ40">
        <v>1</v>
      </c>
      <c r="AK40">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35">
      <c r="A41">
        <v>40</v>
      </c>
      <c r="B41">
        <v>3</v>
      </c>
      <c r="C41" t="s">
        <v>207</v>
      </c>
      <c r="D41" s="10">
        <v>7.5</v>
      </c>
      <c r="E41" s="6">
        <v>1.7</v>
      </c>
      <c r="F41" s="6">
        <f t="shared" si="0"/>
        <v>4.4117647058823533</v>
      </c>
      <c r="G41" s="78">
        <v>1</v>
      </c>
      <c r="H41" s="8">
        <v>0</v>
      </c>
      <c r="I41" s="8">
        <v>0</v>
      </c>
      <c r="J41" s="7">
        <v>453</v>
      </c>
      <c r="K41" s="8">
        <v>1</v>
      </c>
      <c r="L41" s="8">
        <f t="shared" si="1"/>
        <v>451</v>
      </c>
      <c r="M41" s="60">
        <f t="shared" si="2"/>
        <v>14</v>
      </c>
      <c r="N41" s="6">
        <v>14.08</v>
      </c>
      <c r="O41" s="6">
        <f t="shared" si="5"/>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6"/>
        <v>6.0000000000000053E-2</v>
      </c>
      <c r="AF41">
        <v>0</v>
      </c>
      <c r="AG41">
        <v>1</v>
      </c>
      <c r="AH41" s="28">
        <v>0.45</v>
      </c>
      <c r="AI41" s="12">
        <f t="shared" si="7"/>
        <v>0.55000000000000004</v>
      </c>
      <c r="AJ41">
        <v>1</v>
      </c>
      <c r="AK41">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35">
      <c r="A42">
        <v>41</v>
      </c>
      <c r="B42">
        <v>3</v>
      </c>
      <c r="C42" t="s">
        <v>207</v>
      </c>
      <c r="D42" s="10">
        <v>9.5</v>
      </c>
      <c r="E42" s="6">
        <v>2.7</v>
      </c>
      <c r="F42" s="6">
        <f t="shared" si="0"/>
        <v>3.5185185185185182</v>
      </c>
      <c r="G42" s="78">
        <v>1</v>
      </c>
      <c r="H42" s="8">
        <v>0</v>
      </c>
      <c r="I42" s="8">
        <v>0</v>
      </c>
      <c r="J42" s="7">
        <v>453</v>
      </c>
      <c r="K42" s="8">
        <v>1</v>
      </c>
      <c r="L42" s="8">
        <f t="shared" si="1"/>
        <v>451</v>
      </c>
      <c r="M42" s="60">
        <f t="shared" si="2"/>
        <v>14</v>
      </c>
      <c r="N42" s="6">
        <v>14.08</v>
      </c>
      <c r="O42" s="6">
        <f t="shared" si="5"/>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6"/>
        <v>6.0000000000000053E-2</v>
      </c>
      <c r="AF42">
        <v>0</v>
      </c>
      <c r="AG42">
        <v>1</v>
      </c>
      <c r="AH42" s="28">
        <v>0.45</v>
      </c>
      <c r="AI42" s="12">
        <f t="shared" si="7"/>
        <v>0.55000000000000004</v>
      </c>
      <c r="AJ42">
        <v>1</v>
      </c>
      <c r="AK42">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35">
      <c r="A43">
        <v>42</v>
      </c>
      <c r="B43">
        <v>3</v>
      </c>
      <c r="C43" t="s">
        <v>207</v>
      </c>
      <c r="D43" s="10">
        <v>11.1</v>
      </c>
      <c r="E43" s="6">
        <v>0.9</v>
      </c>
      <c r="F43" s="6">
        <f t="shared" si="0"/>
        <v>12.333333333333332</v>
      </c>
      <c r="G43" s="78">
        <v>1</v>
      </c>
      <c r="H43" s="8">
        <v>0</v>
      </c>
      <c r="I43" s="8">
        <v>0</v>
      </c>
      <c r="J43" s="7">
        <v>890</v>
      </c>
      <c r="K43" s="8">
        <v>8</v>
      </c>
      <c r="L43" s="8">
        <f t="shared" si="1"/>
        <v>881</v>
      </c>
      <c r="M43" s="60">
        <f t="shared" si="2"/>
        <v>14</v>
      </c>
      <c r="N43" s="6">
        <v>14.08</v>
      </c>
      <c r="O43" s="6">
        <f t="shared" si="5"/>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6"/>
        <v>6.0000000000000053E-2</v>
      </c>
      <c r="AF43">
        <v>0</v>
      </c>
      <c r="AG43">
        <v>1</v>
      </c>
      <c r="AH43" s="28">
        <v>0.45</v>
      </c>
      <c r="AI43" s="12">
        <f t="shared" si="7"/>
        <v>0.55000000000000004</v>
      </c>
      <c r="AJ43">
        <v>1</v>
      </c>
      <c r="AK43">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35">
      <c r="A44">
        <v>43</v>
      </c>
      <c r="B44">
        <v>3</v>
      </c>
      <c r="C44" t="s">
        <v>207</v>
      </c>
      <c r="D44" s="10">
        <v>8.9</v>
      </c>
      <c r="E44" s="6">
        <v>1.6</v>
      </c>
      <c r="F44" s="6">
        <f t="shared" si="0"/>
        <v>5.5625</v>
      </c>
      <c r="G44" s="78">
        <v>1</v>
      </c>
      <c r="H44" s="8">
        <v>0</v>
      </c>
      <c r="I44" s="8">
        <v>0</v>
      </c>
      <c r="J44" s="7">
        <v>445</v>
      </c>
      <c r="K44" s="8">
        <v>4</v>
      </c>
      <c r="L44" s="8">
        <f t="shared" si="1"/>
        <v>440</v>
      </c>
      <c r="M44" s="60">
        <f t="shared" si="2"/>
        <v>14</v>
      </c>
      <c r="N44" s="6">
        <v>14.08</v>
      </c>
      <c r="O44" s="6">
        <f t="shared" si="5"/>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6"/>
        <v>6.0000000000000053E-2</v>
      </c>
      <c r="AF44">
        <v>0</v>
      </c>
      <c r="AG44">
        <v>1</v>
      </c>
      <c r="AH44" s="28">
        <v>0.45</v>
      </c>
      <c r="AI44" s="12">
        <f t="shared" si="7"/>
        <v>0.55000000000000004</v>
      </c>
      <c r="AJ44">
        <v>1</v>
      </c>
      <c r="AK44">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35">
      <c r="A45">
        <v>44</v>
      </c>
      <c r="B45">
        <v>3</v>
      </c>
      <c r="C45" t="s">
        <v>207</v>
      </c>
      <c r="D45" s="10">
        <v>11</v>
      </c>
      <c r="E45" s="6">
        <v>2.7</v>
      </c>
      <c r="F45" s="6">
        <f t="shared" si="0"/>
        <v>4.0740740740740735</v>
      </c>
      <c r="G45" s="78">
        <v>1</v>
      </c>
      <c r="H45" s="8">
        <v>0</v>
      </c>
      <c r="I45" s="8">
        <v>0</v>
      </c>
      <c r="J45" s="7">
        <v>445</v>
      </c>
      <c r="K45" s="8">
        <v>4</v>
      </c>
      <c r="L45" s="8">
        <f t="shared" si="1"/>
        <v>440</v>
      </c>
      <c r="M45" s="60">
        <f t="shared" si="2"/>
        <v>14</v>
      </c>
      <c r="N45" s="6">
        <v>14.08</v>
      </c>
      <c r="O45" s="6">
        <f t="shared" si="5"/>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6"/>
        <v>6.0000000000000053E-2</v>
      </c>
      <c r="AF45">
        <v>0</v>
      </c>
      <c r="AG45">
        <v>1</v>
      </c>
      <c r="AH45" s="28">
        <v>0.45</v>
      </c>
      <c r="AI45" s="12">
        <f t="shared" si="7"/>
        <v>0.55000000000000004</v>
      </c>
      <c r="AJ45">
        <v>1</v>
      </c>
      <c r="AK45">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35">
      <c r="A46">
        <v>45</v>
      </c>
      <c r="B46">
        <v>3</v>
      </c>
      <c r="C46" t="s">
        <v>207</v>
      </c>
      <c r="D46" s="10">
        <v>7.1</v>
      </c>
      <c r="E46" s="6">
        <v>1.6</v>
      </c>
      <c r="F46" s="6">
        <f t="shared" si="0"/>
        <v>4.4374999999999991</v>
      </c>
      <c r="G46" s="78">
        <v>1</v>
      </c>
      <c r="H46" s="8">
        <v>0</v>
      </c>
      <c r="I46" s="8">
        <v>0</v>
      </c>
      <c r="J46" s="7">
        <v>445</v>
      </c>
      <c r="K46" s="8">
        <v>4</v>
      </c>
      <c r="L46" s="8">
        <f t="shared" si="1"/>
        <v>440</v>
      </c>
      <c r="M46" s="60">
        <f t="shared" si="2"/>
        <v>14</v>
      </c>
      <c r="N46" s="6">
        <v>14.08</v>
      </c>
      <c r="O46" s="6">
        <f t="shared" si="5"/>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6"/>
        <v>6.0000000000000053E-2</v>
      </c>
      <c r="AF46">
        <v>0</v>
      </c>
      <c r="AG46">
        <v>1</v>
      </c>
      <c r="AH46" s="28">
        <v>0.45</v>
      </c>
      <c r="AI46" s="12">
        <f t="shared" si="7"/>
        <v>0.55000000000000004</v>
      </c>
      <c r="AJ46">
        <v>1</v>
      </c>
      <c r="AK46">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35">
      <c r="A47">
        <v>46</v>
      </c>
      <c r="B47">
        <v>3</v>
      </c>
      <c r="C47" t="s">
        <v>207</v>
      </c>
      <c r="D47" s="10">
        <v>11.9</v>
      </c>
      <c r="E47" s="6">
        <v>2.1</v>
      </c>
      <c r="F47" s="6">
        <f t="shared" si="0"/>
        <v>5.666666666666667</v>
      </c>
      <c r="G47" s="78">
        <v>1</v>
      </c>
      <c r="H47" s="8">
        <v>0</v>
      </c>
      <c r="I47" s="8">
        <v>0</v>
      </c>
      <c r="J47" s="7">
        <v>445</v>
      </c>
      <c r="K47" s="8">
        <v>4</v>
      </c>
      <c r="L47" s="8">
        <f t="shared" si="1"/>
        <v>440</v>
      </c>
      <c r="M47" s="60">
        <f t="shared" si="2"/>
        <v>14</v>
      </c>
      <c r="N47" s="6">
        <v>14.08</v>
      </c>
      <c r="O47" s="6">
        <f t="shared" si="5"/>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6"/>
        <v>6.0000000000000053E-2</v>
      </c>
      <c r="AF47">
        <v>0</v>
      </c>
      <c r="AG47">
        <v>1</v>
      </c>
      <c r="AH47" s="28">
        <v>0.45</v>
      </c>
      <c r="AI47" s="12">
        <f t="shared" si="7"/>
        <v>0.55000000000000004</v>
      </c>
      <c r="AJ47">
        <v>1</v>
      </c>
      <c r="AK4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35">
      <c r="A48">
        <v>47</v>
      </c>
      <c r="B48">
        <v>3</v>
      </c>
      <c r="C48" t="s">
        <v>207</v>
      </c>
      <c r="D48" s="10">
        <v>11.5</v>
      </c>
      <c r="E48" s="6">
        <v>1</v>
      </c>
      <c r="F48" s="6">
        <f t="shared" si="0"/>
        <v>11.5</v>
      </c>
      <c r="G48" s="78">
        <v>1</v>
      </c>
      <c r="H48" s="8">
        <v>0</v>
      </c>
      <c r="I48" s="8">
        <v>0</v>
      </c>
      <c r="J48" s="7">
        <v>588</v>
      </c>
      <c r="K48" s="8">
        <v>8</v>
      </c>
      <c r="L48" s="8">
        <f t="shared" si="1"/>
        <v>579</v>
      </c>
      <c r="M48" s="60">
        <f t="shared" si="2"/>
        <v>14</v>
      </c>
      <c r="N48" s="6">
        <v>14.08</v>
      </c>
      <c r="O48" s="6">
        <f t="shared" si="5"/>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6"/>
        <v>6.0000000000000053E-2</v>
      </c>
      <c r="AF48">
        <v>0</v>
      </c>
      <c r="AG48">
        <v>1</v>
      </c>
      <c r="AH48" s="28">
        <v>0.45</v>
      </c>
      <c r="AI48" s="12">
        <f t="shared" si="7"/>
        <v>0.55000000000000004</v>
      </c>
      <c r="AJ48">
        <v>1</v>
      </c>
      <c r="AK48">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35">
      <c r="A49">
        <v>48</v>
      </c>
      <c r="B49">
        <v>3</v>
      </c>
      <c r="C49" t="s">
        <v>207</v>
      </c>
      <c r="D49" s="10">
        <v>6.9</v>
      </c>
      <c r="E49" s="6">
        <v>2.2000000000000002</v>
      </c>
      <c r="F49" s="6">
        <f t="shared" si="0"/>
        <v>3.1363636363636362</v>
      </c>
      <c r="G49" s="78">
        <v>1</v>
      </c>
      <c r="H49" s="8">
        <v>0</v>
      </c>
      <c r="I49" s="8">
        <v>0</v>
      </c>
      <c r="J49" s="7">
        <v>294</v>
      </c>
      <c r="K49" s="8">
        <v>4</v>
      </c>
      <c r="L49" s="8">
        <f t="shared" si="1"/>
        <v>289</v>
      </c>
      <c r="M49" s="60">
        <f t="shared" si="2"/>
        <v>14</v>
      </c>
      <c r="N49" s="70">
        <v>14.11</v>
      </c>
      <c r="O49" s="6">
        <f t="shared" si="5"/>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6"/>
        <v>0.52</v>
      </c>
      <c r="AF49">
        <v>0</v>
      </c>
      <c r="AG49">
        <v>1</v>
      </c>
      <c r="AH49" s="28">
        <v>0.92</v>
      </c>
      <c r="AI49" s="12">
        <f t="shared" si="7"/>
        <v>7.999999999999996E-2</v>
      </c>
      <c r="AJ49">
        <v>1</v>
      </c>
      <c r="AK49">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35">
      <c r="A50">
        <v>49</v>
      </c>
      <c r="B50">
        <v>3</v>
      </c>
      <c r="C50" t="s">
        <v>207</v>
      </c>
      <c r="D50" s="10">
        <v>7.6</v>
      </c>
      <c r="E50" s="6">
        <v>3.9</v>
      </c>
      <c r="F50" s="6">
        <f t="shared" si="0"/>
        <v>1.9487179487179487</v>
      </c>
      <c r="G50" s="78">
        <v>1</v>
      </c>
      <c r="H50" s="8">
        <v>0</v>
      </c>
      <c r="I50" s="8">
        <v>0</v>
      </c>
      <c r="J50" s="7">
        <v>294</v>
      </c>
      <c r="K50" s="8">
        <v>4</v>
      </c>
      <c r="L50" s="8">
        <f t="shared" si="1"/>
        <v>289</v>
      </c>
      <c r="M50" s="60">
        <f t="shared" si="2"/>
        <v>14</v>
      </c>
      <c r="N50" s="70">
        <v>14.11</v>
      </c>
      <c r="O50" s="6">
        <f t="shared" si="5"/>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6"/>
        <v>0.52</v>
      </c>
      <c r="AF50">
        <v>0</v>
      </c>
      <c r="AG50">
        <v>1</v>
      </c>
      <c r="AH50" s="28">
        <v>0.92</v>
      </c>
      <c r="AI50" s="12">
        <f t="shared" si="7"/>
        <v>7.999999999999996E-2</v>
      </c>
      <c r="AJ50">
        <v>1</v>
      </c>
      <c r="AK50">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35">
      <c r="A51">
        <v>50</v>
      </c>
      <c r="B51">
        <v>3</v>
      </c>
      <c r="C51" t="s">
        <v>207</v>
      </c>
      <c r="D51" s="10">
        <v>4</v>
      </c>
      <c r="E51" s="6">
        <v>2.1</v>
      </c>
      <c r="F51" s="6">
        <f t="shared" si="0"/>
        <v>1.9047619047619047</v>
      </c>
      <c r="G51" s="78">
        <v>1</v>
      </c>
      <c r="H51" s="8">
        <v>0</v>
      </c>
      <c r="I51" s="8">
        <v>0</v>
      </c>
      <c r="J51" s="7">
        <v>294</v>
      </c>
      <c r="K51" s="8">
        <v>4</v>
      </c>
      <c r="L51" s="8">
        <f t="shared" si="1"/>
        <v>289</v>
      </c>
      <c r="M51" s="60">
        <f t="shared" si="2"/>
        <v>14</v>
      </c>
      <c r="N51" s="70">
        <v>14.11</v>
      </c>
      <c r="O51" s="6">
        <f t="shared" si="5"/>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6"/>
        <v>0.52</v>
      </c>
      <c r="AF51">
        <v>0</v>
      </c>
      <c r="AG51">
        <v>1</v>
      </c>
      <c r="AH51" s="28">
        <v>0.92</v>
      </c>
      <c r="AI51" s="12">
        <f t="shared" si="7"/>
        <v>7.999999999999996E-2</v>
      </c>
      <c r="AJ51">
        <v>1</v>
      </c>
      <c r="AK51">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35">
      <c r="A52">
        <v>51</v>
      </c>
      <c r="B52">
        <v>3</v>
      </c>
      <c r="C52" t="s">
        <v>207</v>
      </c>
      <c r="D52" s="10">
        <v>10.4</v>
      </c>
      <c r="E52" s="6">
        <v>3</v>
      </c>
      <c r="F52" s="6">
        <f t="shared" si="0"/>
        <v>3.4666666666666668</v>
      </c>
      <c r="G52" s="78">
        <v>1</v>
      </c>
      <c r="H52" s="8">
        <v>0</v>
      </c>
      <c r="I52" s="8">
        <v>0</v>
      </c>
      <c r="J52" s="7">
        <v>294</v>
      </c>
      <c r="K52" s="8">
        <v>4</v>
      </c>
      <c r="L52" s="8">
        <f t="shared" si="1"/>
        <v>289</v>
      </c>
      <c r="M52" s="60">
        <f t="shared" si="2"/>
        <v>14</v>
      </c>
      <c r="N52" s="70">
        <v>14.11</v>
      </c>
      <c r="O52" s="6">
        <f t="shared" si="5"/>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6"/>
        <v>0.52</v>
      </c>
      <c r="AF52">
        <v>0</v>
      </c>
      <c r="AG52">
        <v>1</v>
      </c>
      <c r="AH52" s="28">
        <v>0.92</v>
      </c>
      <c r="AI52" s="12">
        <f t="shared" si="7"/>
        <v>7.999999999999996E-2</v>
      </c>
      <c r="AJ52">
        <v>1</v>
      </c>
      <c r="AK52">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35">
      <c r="A53">
        <v>52</v>
      </c>
      <c r="B53">
        <v>4</v>
      </c>
      <c r="C53" t="s">
        <v>214</v>
      </c>
      <c r="D53" s="10">
        <v>7.8</v>
      </c>
      <c r="E53" s="6">
        <v>0.2</v>
      </c>
      <c r="F53" s="6">
        <f t="shared" si="0"/>
        <v>39</v>
      </c>
      <c r="G53" s="78">
        <v>1</v>
      </c>
      <c r="H53" s="8">
        <v>0</v>
      </c>
      <c r="I53" s="8">
        <v>0</v>
      </c>
      <c r="J53" s="78">
        <v>4398</v>
      </c>
      <c r="K53" s="70">
        <v>3</v>
      </c>
      <c r="L53" s="70">
        <f t="shared" si="1"/>
        <v>4394</v>
      </c>
      <c r="M53" s="60">
        <f t="shared" si="2"/>
        <v>12</v>
      </c>
      <c r="N53" s="70">
        <v>12.1</v>
      </c>
      <c r="O53" s="70">
        <v>6.9</v>
      </c>
      <c r="P53" s="78">
        <v>0</v>
      </c>
      <c r="Q53" s="70">
        <v>1</v>
      </c>
      <c r="R53" s="78">
        <v>1</v>
      </c>
      <c r="S53" s="8">
        <v>0</v>
      </c>
      <c r="T53" s="70">
        <v>0</v>
      </c>
      <c r="U53" s="70">
        <v>1</v>
      </c>
      <c r="V53" s="70">
        <v>0</v>
      </c>
      <c r="W53" s="78">
        <v>1</v>
      </c>
      <c r="X53" s="70">
        <v>0</v>
      </c>
      <c r="Y53" s="69">
        <v>1999</v>
      </c>
      <c r="Z53" s="28">
        <f t="shared" ref="Z53:Z64" si="8">1-AA53</f>
        <v>0.95199999999999996</v>
      </c>
      <c r="AA53">
        <v>4.8000000000000001E-2</v>
      </c>
      <c r="AB53" s="28">
        <v>0</v>
      </c>
      <c r="AC53">
        <v>1</v>
      </c>
      <c r="AD53" s="28">
        <v>0.59499999999999997</v>
      </c>
      <c r="AE53" s="66">
        <f t="shared" si="6"/>
        <v>0.40500000000000003</v>
      </c>
      <c r="AF53">
        <v>1</v>
      </c>
      <c r="AG53">
        <v>0</v>
      </c>
      <c r="AH53" s="28">
        <v>0.94899999999999995</v>
      </c>
      <c r="AI53" s="12">
        <f t="shared" si="7"/>
        <v>5.1000000000000045E-2</v>
      </c>
      <c r="AJ53">
        <v>0</v>
      </c>
      <c r="AK53">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35">
      <c r="A54">
        <v>53</v>
      </c>
      <c r="B54">
        <v>4</v>
      </c>
      <c r="C54" t="s">
        <v>214</v>
      </c>
      <c r="D54" s="10">
        <v>7.7</v>
      </c>
      <c r="E54" s="6">
        <v>1.1000000000000001</v>
      </c>
      <c r="F54" s="6">
        <f t="shared" si="0"/>
        <v>7</v>
      </c>
      <c r="G54" s="78">
        <v>1</v>
      </c>
      <c r="H54" s="8">
        <v>0</v>
      </c>
      <c r="I54" s="8">
        <v>0</v>
      </c>
      <c r="J54" s="78">
        <v>428</v>
      </c>
      <c r="K54" s="70">
        <v>3</v>
      </c>
      <c r="L54" s="70">
        <f t="shared" si="1"/>
        <v>424</v>
      </c>
      <c r="M54" s="60">
        <f t="shared" si="2"/>
        <v>12</v>
      </c>
      <c r="N54" s="70">
        <v>13.2</v>
      </c>
      <c r="O54" s="70">
        <v>11.9</v>
      </c>
      <c r="P54" s="78">
        <v>0</v>
      </c>
      <c r="Q54" s="70">
        <v>1</v>
      </c>
      <c r="R54" s="78">
        <v>1</v>
      </c>
      <c r="S54" s="8">
        <v>0</v>
      </c>
      <c r="T54" s="70">
        <v>0</v>
      </c>
      <c r="U54" s="70">
        <v>1</v>
      </c>
      <c r="V54" s="70">
        <v>0</v>
      </c>
      <c r="W54" s="78">
        <v>1</v>
      </c>
      <c r="X54" s="70">
        <v>0</v>
      </c>
      <c r="Y54" s="69">
        <v>1999</v>
      </c>
      <c r="Z54" s="28">
        <f t="shared" si="8"/>
        <v>0.95099999999999996</v>
      </c>
      <c r="AA54">
        <v>4.9000000000000002E-2</v>
      </c>
      <c r="AB54" s="28">
        <v>0</v>
      </c>
      <c r="AC54">
        <v>1</v>
      </c>
      <c r="AD54" s="28">
        <v>0.61299999999999999</v>
      </c>
      <c r="AE54" s="66">
        <f t="shared" si="6"/>
        <v>0.38700000000000001</v>
      </c>
      <c r="AF54">
        <v>1</v>
      </c>
      <c r="AG54">
        <v>0</v>
      </c>
      <c r="AH54" s="28">
        <v>0.98299999999999998</v>
      </c>
      <c r="AI54" s="12">
        <f t="shared" si="7"/>
        <v>1.7000000000000015E-2</v>
      </c>
      <c r="AJ54">
        <v>1</v>
      </c>
      <c r="AK54">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35">
      <c r="A55">
        <v>54</v>
      </c>
      <c r="B55">
        <v>4</v>
      </c>
      <c r="C55" t="s">
        <v>214</v>
      </c>
      <c r="D55" s="10">
        <v>8.5</v>
      </c>
      <c r="E55" s="6">
        <v>1.2</v>
      </c>
      <c r="F55" s="6">
        <f t="shared" si="0"/>
        <v>7.0833333333333339</v>
      </c>
      <c r="G55" s="78">
        <v>1</v>
      </c>
      <c r="H55" s="8">
        <v>0</v>
      </c>
      <c r="I55" s="8">
        <v>0</v>
      </c>
      <c r="J55" s="78">
        <v>428</v>
      </c>
      <c r="K55" s="70">
        <v>3</v>
      </c>
      <c r="L55" s="70">
        <f t="shared" si="1"/>
        <v>424</v>
      </c>
      <c r="M55" s="60">
        <f t="shared" si="2"/>
        <v>12</v>
      </c>
      <c r="N55" s="70">
        <v>13.2</v>
      </c>
      <c r="O55" s="70">
        <v>11.9</v>
      </c>
      <c r="P55" s="78">
        <v>0</v>
      </c>
      <c r="Q55" s="70">
        <v>1</v>
      </c>
      <c r="R55" s="78">
        <v>1</v>
      </c>
      <c r="S55" s="8">
        <v>0</v>
      </c>
      <c r="T55" s="70">
        <v>0</v>
      </c>
      <c r="U55" s="70">
        <v>1</v>
      </c>
      <c r="V55" s="70">
        <v>0</v>
      </c>
      <c r="W55" s="78">
        <v>1</v>
      </c>
      <c r="X55" s="70">
        <v>0</v>
      </c>
      <c r="Y55" s="69">
        <v>1999</v>
      </c>
      <c r="Z55" s="28">
        <f t="shared" si="8"/>
        <v>0.95099999999999996</v>
      </c>
      <c r="AA55">
        <v>4.9000000000000002E-2</v>
      </c>
      <c r="AB55" s="28">
        <v>0</v>
      </c>
      <c r="AC55">
        <v>1</v>
      </c>
      <c r="AD55" s="28">
        <v>0.61299999999999999</v>
      </c>
      <c r="AE55" s="66">
        <f t="shared" si="6"/>
        <v>0.38700000000000001</v>
      </c>
      <c r="AF55">
        <v>1</v>
      </c>
      <c r="AG55">
        <v>0</v>
      </c>
      <c r="AH55" s="28">
        <v>0.98299999999999998</v>
      </c>
      <c r="AI55" s="12">
        <f t="shared" si="7"/>
        <v>1.7000000000000015E-2</v>
      </c>
      <c r="AJ55">
        <v>1</v>
      </c>
      <c r="AK55">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35">
      <c r="A56">
        <v>55</v>
      </c>
      <c r="B56">
        <v>4</v>
      </c>
      <c r="C56" t="s">
        <v>214</v>
      </c>
      <c r="D56" s="10">
        <v>3.9</v>
      </c>
      <c r="E56" s="6">
        <v>2.2999999999999998</v>
      </c>
      <c r="F56" s="6">
        <f t="shared" si="0"/>
        <v>1.6956521739130437</v>
      </c>
      <c r="G56" s="78">
        <v>1</v>
      </c>
      <c r="H56" s="8">
        <v>0</v>
      </c>
      <c r="I56" s="8">
        <v>0</v>
      </c>
      <c r="J56" s="78">
        <v>214</v>
      </c>
      <c r="K56" s="70">
        <v>1</v>
      </c>
      <c r="L56" s="70">
        <f t="shared" si="1"/>
        <v>212</v>
      </c>
      <c r="M56" s="60">
        <f t="shared" si="2"/>
        <v>12</v>
      </c>
      <c r="N56" s="70">
        <v>13.2</v>
      </c>
      <c r="O56" s="70">
        <v>11.9</v>
      </c>
      <c r="P56" s="78">
        <v>0</v>
      </c>
      <c r="Q56" s="70">
        <v>1</v>
      </c>
      <c r="R56" s="78">
        <v>1</v>
      </c>
      <c r="S56" s="8">
        <v>0</v>
      </c>
      <c r="T56" s="70">
        <v>0</v>
      </c>
      <c r="U56" s="70">
        <v>1</v>
      </c>
      <c r="V56" s="70">
        <v>0</v>
      </c>
      <c r="W56" s="78">
        <v>1</v>
      </c>
      <c r="X56" s="70">
        <v>0</v>
      </c>
      <c r="Y56" s="69">
        <v>1999</v>
      </c>
      <c r="Z56" s="28">
        <f t="shared" si="8"/>
        <v>0.95099999999999996</v>
      </c>
      <c r="AA56">
        <v>4.9000000000000002E-2</v>
      </c>
      <c r="AB56" s="28">
        <v>0</v>
      </c>
      <c r="AC56">
        <v>1</v>
      </c>
      <c r="AD56" s="28">
        <v>0.61299999999999999</v>
      </c>
      <c r="AE56" s="66">
        <f t="shared" si="6"/>
        <v>0.38700000000000001</v>
      </c>
      <c r="AF56">
        <v>1</v>
      </c>
      <c r="AG56">
        <v>0</v>
      </c>
      <c r="AH56" s="28">
        <v>0.98299999999999998</v>
      </c>
      <c r="AI56" s="12">
        <f t="shared" si="7"/>
        <v>1.7000000000000015E-2</v>
      </c>
      <c r="AJ56">
        <v>1</v>
      </c>
      <c r="AK56">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35">
      <c r="A57">
        <v>56</v>
      </c>
      <c r="B57">
        <v>4</v>
      </c>
      <c r="C57" t="s">
        <v>214</v>
      </c>
      <c r="D57" s="10">
        <v>7.7</v>
      </c>
      <c r="E57" s="6">
        <v>3.3</v>
      </c>
      <c r="F57" s="6">
        <f t="shared" si="0"/>
        <v>2.3333333333333335</v>
      </c>
      <c r="G57" s="78">
        <v>1</v>
      </c>
      <c r="H57" s="8">
        <v>0</v>
      </c>
      <c r="I57" s="8">
        <v>0</v>
      </c>
      <c r="J57" s="78">
        <v>214</v>
      </c>
      <c r="K57" s="70">
        <v>1</v>
      </c>
      <c r="L57" s="70">
        <f t="shared" si="1"/>
        <v>212</v>
      </c>
      <c r="M57" s="60">
        <f t="shared" si="2"/>
        <v>12</v>
      </c>
      <c r="N57" s="70">
        <v>13.2</v>
      </c>
      <c r="O57" s="70">
        <v>11.9</v>
      </c>
      <c r="P57" s="78">
        <v>0</v>
      </c>
      <c r="Q57" s="70">
        <v>1</v>
      </c>
      <c r="R57" s="78">
        <v>1</v>
      </c>
      <c r="S57" s="8">
        <v>0</v>
      </c>
      <c r="T57" s="70">
        <v>0</v>
      </c>
      <c r="U57" s="70">
        <v>1</v>
      </c>
      <c r="V57" s="70">
        <v>0</v>
      </c>
      <c r="W57" s="78">
        <v>1</v>
      </c>
      <c r="X57" s="70">
        <v>0</v>
      </c>
      <c r="Y57" s="69">
        <v>1999</v>
      </c>
      <c r="Z57" s="28">
        <f t="shared" si="8"/>
        <v>0.95099999999999996</v>
      </c>
      <c r="AA57">
        <v>4.9000000000000002E-2</v>
      </c>
      <c r="AB57" s="28">
        <v>0</v>
      </c>
      <c r="AC57">
        <v>1</v>
      </c>
      <c r="AD57" s="28">
        <v>0.61299999999999999</v>
      </c>
      <c r="AE57" s="66">
        <f t="shared" si="6"/>
        <v>0.38700000000000001</v>
      </c>
      <c r="AF57">
        <v>1</v>
      </c>
      <c r="AG57">
        <v>0</v>
      </c>
      <c r="AH57" s="28">
        <v>0.98299999999999998</v>
      </c>
      <c r="AI57" s="12">
        <f t="shared" si="7"/>
        <v>1.7000000000000015E-2</v>
      </c>
      <c r="AJ57">
        <v>1</v>
      </c>
      <c r="AK5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35">
      <c r="A58">
        <v>57</v>
      </c>
      <c r="B58">
        <v>4</v>
      </c>
      <c r="C58" t="s">
        <v>214</v>
      </c>
      <c r="D58" s="10">
        <v>7.2</v>
      </c>
      <c r="E58" s="6">
        <v>1.1000000000000001</v>
      </c>
      <c r="F58" s="6">
        <f t="shared" si="0"/>
        <v>6.545454545454545</v>
      </c>
      <c r="G58" s="78">
        <v>1</v>
      </c>
      <c r="H58" s="8">
        <v>0</v>
      </c>
      <c r="I58" s="8">
        <v>0</v>
      </c>
      <c r="J58" s="78">
        <v>374</v>
      </c>
      <c r="K58" s="70">
        <v>6</v>
      </c>
      <c r="L58" s="70">
        <f t="shared" si="1"/>
        <v>367</v>
      </c>
      <c r="M58" s="60">
        <f t="shared" si="2"/>
        <v>12</v>
      </c>
      <c r="N58" s="70">
        <v>13.2</v>
      </c>
      <c r="O58" s="70">
        <v>11.9</v>
      </c>
      <c r="P58" s="78">
        <v>0</v>
      </c>
      <c r="Q58" s="70">
        <v>1</v>
      </c>
      <c r="R58" s="78">
        <v>1</v>
      </c>
      <c r="S58" s="8">
        <v>0</v>
      </c>
      <c r="T58" s="70">
        <v>0</v>
      </c>
      <c r="U58" s="70">
        <v>1</v>
      </c>
      <c r="V58" s="70">
        <v>0</v>
      </c>
      <c r="W58" s="78">
        <v>1</v>
      </c>
      <c r="X58" s="70">
        <v>0</v>
      </c>
      <c r="Y58" s="69">
        <v>1999</v>
      </c>
      <c r="Z58" s="28">
        <f t="shared" si="8"/>
        <v>0.95099999999999996</v>
      </c>
      <c r="AA58">
        <v>4.9000000000000002E-2</v>
      </c>
      <c r="AB58" s="28">
        <v>0</v>
      </c>
      <c r="AC58">
        <v>1</v>
      </c>
      <c r="AD58" s="28">
        <v>0.61299999999999999</v>
      </c>
      <c r="AE58" s="66">
        <f t="shared" si="6"/>
        <v>0.38700000000000001</v>
      </c>
      <c r="AF58">
        <v>1</v>
      </c>
      <c r="AG58">
        <v>0</v>
      </c>
      <c r="AH58" s="28">
        <v>0.98299999999999998</v>
      </c>
      <c r="AI58" s="12">
        <f t="shared" si="7"/>
        <v>1.7000000000000015E-2</v>
      </c>
      <c r="AJ58">
        <v>1</v>
      </c>
      <c r="AK58">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35">
      <c r="A59">
        <v>58</v>
      </c>
      <c r="B59">
        <v>4</v>
      </c>
      <c r="C59" t="s">
        <v>214</v>
      </c>
      <c r="D59" s="10">
        <v>7.9</v>
      </c>
      <c r="E59" s="6">
        <v>1.2</v>
      </c>
      <c r="F59" s="6">
        <f t="shared" si="0"/>
        <v>6.5833333333333339</v>
      </c>
      <c r="G59" s="78">
        <v>1</v>
      </c>
      <c r="H59" s="8">
        <v>0</v>
      </c>
      <c r="I59" s="8">
        <v>0</v>
      </c>
      <c r="J59" s="78">
        <v>374</v>
      </c>
      <c r="K59" s="70">
        <v>6</v>
      </c>
      <c r="L59" s="70">
        <f t="shared" si="1"/>
        <v>367</v>
      </c>
      <c r="M59" s="60">
        <f t="shared" si="2"/>
        <v>12</v>
      </c>
      <c r="N59" s="70">
        <v>13.2</v>
      </c>
      <c r="O59" s="70">
        <v>11.9</v>
      </c>
      <c r="P59" s="78">
        <v>0</v>
      </c>
      <c r="Q59" s="70">
        <v>1</v>
      </c>
      <c r="R59" s="78">
        <v>1</v>
      </c>
      <c r="S59" s="8">
        <v>0</v>
      </c>
      <c r="T59" s="70">
        <v>0</v>
      </c>
      <c r="U59" s="70">
        <v>1</v>
      </c>
      <c r="V59" s="70">
        <v>0</v>
      </c>
      <c r="W59" s="78">
        <v>1</v>
      </c>
      <c r="X59" s="70">
        <v>0</v>
      </c>
      <c r="Y59" s="69">
        <v>1999</v>
      </c>
      <c r="Z59" s="28">
        <f t="shared" si="8"/>
        <v>0.95099999999999996</v>
      </c>
      <c r="AA59">
        <v>4.9000000000000002E-2</v>
      </c>
      <c r="AB59" s="28">
        <v>0</v>
      </c>
      <c r="AC59">
        <v>1</v>
      </c>
      <c r="AD59" s="28">
        <v>0.61299999999999999</v>
      </c>
      <c r="AE59" s="66">
        <f t="shared" si="6"/>
        <v>0.38700000000000001</v>
      </c>
      <c r="AF59">
        <v>1</v>
      </c>
      <c r="AG59">
        <v>0</v>
      </c>
      <c r="AH59" s="28">
        <v>0.98299999999999998</v>
      </c>
      <c r="AI59" s="12">
        <f t="shared" si="7"/>
        <v>1.7000000000000015E-2</v>
      </c>
      <c r="AJ59">
        <v>1</v>
      </c>
      <c r="AK59">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35">
      <c r="A60">
        <v>59</v>
      </c>
      <c r="B60">
        <v>4</v>
      </c>
      <c r="C60" t="s">
        <v>214</v>
      </c>
      <c r="D60" s="10">
        <v>3.8</v>
      </c>
      <c r="E60" s="6">
        <v>2.4</v>
      </c>
      <c r="F60" s="6">
        <f t="shared" si="0"/>
        <v>1.5833333333333333</v>
      </c>
      <c r="G60" s="78">
        <v>1</v>
      </c>
      <c r="H60" s="8">
        <v>0</v>
      </c>
      <c r="I60" s="8">
        <v>0</v>
      </c>
      <c r="J60" s="78">
        <v>187</v>
      </c>
      <c r="K60" s="70">
        <v>4</v>
      </c>
      <c r="L60" s="70">
        <f t="shared" si="1"/>
        <v>182</v>
      </c>
      <c r="M60" s="60">
        <f t="shared" si="2"/>
        <v>12</v>
      </c>
      <c r="N60" s="70">
        <v>13.2</v>
      </c>
      <c r="O60" s="70">
        <v>11.9</v>
      </c>
      <c r="P60" s="78">
        <v>0</v>
      </c>
      <c r="Q60" s="70">
        <v>1</v>
      </c>
      <c r="R60" s="78">
        <v>1</v>
      </c>
      <c r="S60" s="8">
        <v>0</v>
      </c>
      <c r="T60" s="70">
        <v>0</v>
      </c>
      <c r="U60" s="70">
        <v>1</v>
      </c>
      <c r="V60" s="70">
        <v>0</v>
      </c>
      <c r="W60" s="78">
        <v>1</v>
      </c>
      <c r="X60" s="70">
        <v>0</v>
      </c>
      <c r="Y60" s="69">
        <v>1999</v>
      </c>
      <c r="Z60" s="28">
        <f t="shared" si="8"/>
        <v>0.95099999999999996</v>
      </c>
      <c r="AA60">
        <v>4.9000000000000002E-2</v>
      </c>
      <c r="AB60" s="28">
        <v>0</v>
      </c>
      <c r="AC60">
        <v>1</v>
      </c>
      <c r="AD60" s="28">
        <v>0.61299999999999999</v>
      </c>
      <c r="AE60" s="66">
        <f t="shared" si="6"/>
        <v>0.38700000000000001</v>
      </c>
      <c r="AF60">
        <v>1</v>
      </c>
      <c r="AG60">
        <v>0</v>
      </c>
      <c r="AH60" s="28">
        <v>0.98299999999999998</v>
      </c>
      <c r="AI60" s="12">
        <f t="shared" si="7"/>
        <v>1.7000000000000015E-2</v>
      </c>
      <c r="AJ60">
        <v>1</v>
      </c>
      <c r="AK60">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35">
      <c r="A61">
        <v>60</v>
      </c>
      <c r="B61">
        <v>4</v>
      </c>
      <c r="C61" t="s">
        <v>214</v>
      </c>
      <c r="D61" s="10">
        <v>7.9</v>
      </c>
      <c r="E61" s="6">
        <v>3.6</v>
      </c>
      <c r="F61" s="6">
        <f t="shared" si="0"/>
        <v>2.1944444444444446</v>
      </c>
      <c r="G61" s="78">
        <v>1</v>
      </c>
      <c r="H61" s="8">
        <v>0</v>
      </c>
      <c r="I61" s="8">
        <v>0</v>
      </c>
      <c r="J61" s="78">
        <v>187</v>
      </c>
      <c r="K61" s="70">
        <v>4</v>
      </c>
      <c r="L61" s="70">
        <f t="shared" si="1"/>
        <v>182</v>
      </c>
      <c r="M61" s="60">
        <f t="shared" si="2"/>
        <v>12</v>
      </c>
      <c r="N61" s="70">
        <v>13.2</v>
      </c>
      <c r="O61" s="70">
        <v>11.9</v>
      </c>
      <c r="P61" s="78">
        <v>0</v>
      </c>
      <c r="Q61" s="70">
        <v>1</v>
      </c>
      <c r="R61" s="78">
        <v>1</v>
      </c>
      <c r="S61" s="8">
        <v>0</v>
      </c>
      <c r="T61" s="70">
        <v>0</v>
      </c>
      <c r="U61" s="70">
        <v>1</v>
      </c>
      <c r="V61" s="70">
        <v>0</v>
      </c>
      <c r="W61" s="78">
        <v>1</v>
      </c>
      <c r="X61" s="70">
        <v>0</v>
      </c>
      <c r="Y61" s="69">
        <v>1999</v>
      </c>
      <c r="Z61" s="28">
        <f t="shared" si="8"/>
        <v>0.95099999999999996</v>
      </c>
      <c r="AA61">
        <v>4.9000000000000002E-2</v>
      </c>
      <c r="AB61" s="28">
        <v>0</v>
      </c>
      <c r="AC61">
        <v>1</v>
      </c>
      <c r="AD61" s="28">
        <v>0.61299999999999999</v>
      </c>
      <c r="AE61" s="66">
        <f t="shared" si="6"/>
        <v>0.38700000000000001</v>
      </c>
      <c r="AF61">
        <v>1</v>
      </c>
      <c r="AG61">
        <v>0</v>
      </c>
      <c r="AH61" s="28">
        <v>0.98299999999999998</v>
      </c>
      <c r="AI61" s="12">
        <f t="shared" si="7"/>
        <v>1.7000000000000015E-2</v>
      </c>
      <c r="AJ61">
        <v>1</v>
      </c>
      <c r="AK61">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35">
      <c r="A62">
        <v>61</v>
      </c>
      <c r="B62">
        <v>4</v>
      </c>
      <c r="C62" t="s">
        <v>214</v>
      </c>
      <c r="D62" s="10">
        <v>7.7</v>
      </c>
      <c r="E62" s="6">
        <v>1.1000000000000001</v>
      </c>
      <c r="F62" s="6">
        <f t="shared" si="0"/>
        <v>7</v>
      </c>
      <c r="G62" s="78">
        <v>1</v>
      </c>
      <c r="H62" s="8">
        <v>0</v>
      </c>
      <c r="I62" s="8">
        <v>0</v>
      </c>
      <c r="J62" s="78">
        <v>428</v>
      </c>
      <c r="K62" s="70">
        <v>3</v>
      </c>
      <c r="L62" s="70">
        <f t="shared" si="1"/>
        <v>424</v>
      </c>
      <c r="M62" s="60">
        <f t="shared" si="2"/>
        <v>12</v>
      </c>
      <c r="N62" s="70">
        <v>13.2</v>
      </c>
      <c r="O62" s="70">
        <v>11.9</v>
      </c>
      <c r="P62" s="78">
        <v>0</v>
      </c>
      <c r="Q62" s="70">
        <v>1</v>
      </c>
      <c r="R62" s="78">
        <v>1</v>
      </c>
      <c r="S62" s="8">
        <v>0</v>
      </c>
      <c r="T62" s="70">
        <v>0</v>
      </c>
      <c r="U62" s="70">
        <v>1</v>
      </c>
      <c r="V62" s="70">
        <v>0</v>
      </c>
      <c r="W62" s="78">
        <v>1</v>
      </c>
      <c r="X62" s="70">
        <v>0</v>
      </c>
      <c r="Y62" s="69">
        <v>1999</v>
      </c>
      <c r="Z62" s="28">
        <f t="shared" si="8"/>
        <v>0.95099999999999996</v>
      </c>
      <c r="AA62">
        <v>4.9000000000000002E-2</v>
      </c>
      <c r="AB62" s="28">
        <v>0</v>
      </c>
      <c r="AC62">
        <v>1</v>
      </c>
      <c r="AD62" s="28">
        <v>0.61299999999999999</v>
      </c>
      <c r="AE62" s="66">
        <f t="shared" si="6"/>
        <v>0.38700000000000001</v>
      </c>
      <c r="AF62">
        <v>1</v>
      </c>
      <c r="AG62">
        <v>0</v>
      </c>
      <c r="AH62" s="28">
        <v>0.98299999999999998</v>
      </c>
      <c r="AI62" s="12">
        <f t="shared" si="7"/>
        <v>1.7000000000000015E-2</v>
      </c>
      <c r="AJ62">
        <v>1</v>
      </c>
      <c r="AK62">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35">
      <c r="A63">
        <v>62</v>
      </c>
      <c r="B63">
        <v>4</v>
      </c>
      <c r="C63" t="s">
        <v>214</v>
      </c>
      <c r="D63" s="10">
        <v>11</v>
      </c>
      <c r="E63" s="6">
        <v>4.4000000000000004</v>
      </c>
      <c r="F63" s="6">
        <f t="shared" si="0"/>
        <v>2.5</v>
      </c>
      <c r="G63" s="78">
        <v>1</v>
      </c>
      <c r="H63" s="8">
        <v>0</v>
      </c>
      <c r="I63" s="8">
        <v>0</v>
      </c>
      <c r="J63" s="78">
        <v>428</v>
      </c>
      <c r="K63" s="70">
        <v>3</v>
      </c>
      <c r="L63" s="70">
        <f t="shared" si="1"/>
        <v>424</v>
      </c>
      <c r="M63" s="60">
        <f t="shared" si="2"/>
        <v>12</v>
      </c>
      <c r="N63" s="70">
        <v>13.2</v>
      </c>
      <c r="O63" s="70">
        <v>11.9</v>
      </c>
      <c r="P63" s="78">
        <v>0</v>
      </c>
      <c r="Q63" s="70">
        <v>1</v>
      </c>
      <c r="R63" s="78">
        <v>1</v>
      </c>
      <c r="S63" s="8">
        <v>0</v>
      </c>
      <c r="T63" s="70">
        <v>0</v>
      </c>
      <c r="U63" s="70">
        <v>1</v>
      </c>
      <c r="V63" s="70">
        <v>0</v>
      </c>
      <c r="W63" s="78">
        <v>1</v>
      </c>
      <c r="X63" s="70">
        <v>0</v>
      </c>
      <c r="Y63" s="69">
        <v>1999</v>
      </c>
      <c r="Z63" s="28">
        <f t="shared" si="8"/>
        <v>0.95099999999999996</v>
      </c>
      <c r="AA63">
        <v>4.9000000000000002E-2</v>
      </c>
      <c r="AB63" s="28">
        <v>0</v>
      </c>
      <c r="AC63">
        <v>1</v>
      </c>
      <c r="AD63" s="28">
        <v>0.61299999999999999</v>
      </c>
      <c r="AE63" s="66">
        <f t="shared" si="6"/>
        <v>0.38700000000000001</v>
      </c>
      <c r="AF63">
        <v>1</v>
      </c>
      <c r="AG63">
        <v>0</v>
      </c>
      <c r="AH63" s="28">
        <v>0.98299999999999998</v>
      </c>
      <c r="AI63" s="12">
        <f t="shared" si="7"/>
        <v>1.7000000000000015E-2</v>
      </c>
      <c r="AJ63">
        <v>1</v>
      </c>
      <c r="AK63">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35">
      <c r="A64">
        <v>63</v>
      </c>
      <c r="B64">
        <v>4</v>
      </c>
      <c r="C64" t="s">
        <v>214</v>
      </c>
      <c r="D64" s="10">
        <v>10.4</v>
      </c>
      <c r="E64" s="6">
        <v>4.5</v>
      </c>
      <c r="F64" s="6">
        <f t="shared" si="0"/>
        <v>2.3111111111111113</v>
      </c>
      <c r="G64" s="78">
        <v>1</v>
      </c>
      <c r="H64" s="8">
        <v>0</v>
      </c>
      <c r="I64" s="8">
        <v>0</v>
      </c>
      <c r="J64" s="78">
        <v>428</v>
      </c>
      <c r="K64" s="70">
        <v>3</v>
      </c>
      <c r="L64" s="70">
        <f t="shared" si="1"/>
        <v>424</v>
      </c>
      <c r="M64" s="60">
        <f t="shared" si="2"/>
        <v>12</v>
      </c>
      <c r="N64" s="70">
        <v>13.2</v>
      </c>
      <c r="O64" s="70">
        <v>11.9</v>
      </c>
      <c r="P64" s="78">
        <v>0</v>
      </c>
      <c r="Q64" s="70">
        <v>1</v>
      </c>
      <c r="R64" s="78">
        <v>1</v>
      </c>
      <c r="S64" s="8">
        <v>0</v>
      </c>
      <c r="T64" s="70">
        <v>0</v>
      </c>
      <c r="U64" s="70">
        <v>1</v>
      </c>
      <c r="V64" s="70">
        <v>0</v>
      </c>
      <c r="W64" s="78">
        <v>1</v>
      </c>
      <c r="X64" s="70">
        <v>0</v>
      </c>
      <c r="Y64" s="69">
        <v>1999</v>
      </c>
      <c r="Z64" s="28">
        <f t="shared" si="8"/>
        <v>0.95099999999999996</v>
      </c>
      <c r="AA64">
        <v>4.9000000000000002E-2</v>
      </c>
      <c r="AB64" s="28">
        <v>0</v>
      </c>
      <c r="AC64">
        <v>1</v>
      </c>
      <c r="AD64" s="28">
        <v>0.61299999999999999</v>
      </c>
      <c r="AE64" s="66">
        <f t="shared" si="6"/>
        <v>0.38700000000000001</v>
      </c>
      <c r="AF64">
        <v>1</v>
      </c>
      <c r="AG64">
        <v>0</v>
      </c>
      <c r="AH64" s="28">
        <v>0.98299999999999998</v>
      </c>
      <c r="AI64" s="12">
        <f t="shared" si="7"/>
        <v>1.7000000000000015E-2</v>
      </c>
      <c r="AJ64">
        <v>1</v>
      </c>
      <c r="AK64">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35">
      <c r="A65">
        <v>64</v>
      </c>
      <c r="B65">
        <v>5</v>
      </c>
      <c r="C65" t="s">
        <v>220</v>
      </c>
      <c r="D65" s="10">
        <v>6.6</v>
      </c>
      <c r="E65" s="6">
        <v>0.4</v>
      </c>
      <c r="F65" s="6">
        <f t="shared" si="0"/>
        <v>16.499999999999996</v>
      </c>
      <c r="G65" s="78">
        <v>0</v>
      </c>
      <c r="H65" s="70">
        <v>1</v>
      </c>
      <c r="I65" s="70">
        <v>0</v>
      </c>
      <c r="J65" s="78">
        <v>2253</v>
      </c>
      <c r="K65" s="70">
        <v>4</v>
      </c>
      <c r="L65" s="70">
        <f t="shared" si="1"/>
        <v>2248</v>
      </c>
      <c r="M65" s="60">
        <f t="shared" si="2"/>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9">1-AB65</f>
        <v>0.41000000000000003</v>
      </c>
      <c r="AD65" s="28">
        <v>0</v>
      </c>
      <c r="AE65" s="66">
        <f t="shared" si="6"/>
        <v>1</v>
      </c>
      <c r="AF65">
        <v>0</v>
      </c>
      <c r="AG65">
        <v>1</v>
      </c>
      <c r="AH65" s="28">
        <v>0.64</v>
      </c>
      <c r="AI65" s="12">
        <f t="shared" si="7"/>
        <v>0.36</v>
      </c>
      <c r="AJ65">
        <f>1-AL65</f>
        <v>0.43330000000000002</v>
      </c>
      <c r="AK65">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35">
      <c r="A66">
        <v>65</v>
      </c>
      <c r="B66">
        <v>5</v>
      </c>
      <c r="C66" t="s">
        <v>220</v>
      </c>
      <c r="D66" s="10">
        <v>6.6</v>
      </c>
      <c r="E66" s="6">
        <v>0.4</v>
      </c>
      <c r="F66" s="6">
        <f t="shared" ref="F66:F80" si="10">D66/E66</f>
        <v>16.499999999999996</v>
      </c>
      <c r="G66" s="78">
        <v>0</v>
      </c>
      <c r="H66" s="70">
        <v>1</v>
      </c>
      <c r="I66" s="70">
        <v>0</v>
      </c>
      <c r="J66" s="78">
        <v>2253</v>
      </c>
      <c r="K66" s="70">
        <v>6</v>
      </c>
      <c r="L66" s="70">
        <f t="shared" ref="L66:L129" si="11">J66-K66-1</f>
        <v>2246</v>
      </c>
      <c r="M66" s="60">
        <f t="shared" ref="M66:M129" si="12">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9"/>
        <v>0.41000000000000003</v>
      </c>
      <c r="AD66" s="28">
        <v>0</v>
      </c>
      <c r="AE66" s="66">
        <f t="shared" si="6"/>
        <v>1</v>
      </c>
      <c r="AF66">
        <v>0</v>
      </c>
      <c r="AG66">
        <v>1</v>
      </c>
      <c r="AH66" s="28">
        <v>0.64</v>
      </c>
      <c r="AI66" s="12">
        <f t="shared" si="7"/>
        <v>0.36</v>
      </c>
      <c r="AJ66">
        <f>1-AL66</f>
        <v>0.43330000000000002</v>
      </c>
      <c r="AK66">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35">
      <c r="A67">
        <v>66</v>
      </c>
      <c r="B67">
        <v>5</v>
      </c>
      <c r="C67" t="s">
        <v>220</v>
      </c>
      <c r="D67" s="10">
        <v>8.3000000000000007</v>
      </c>
      <c r="E67" s="6">
        <v>0.6</v>
      </c>
      <c r="F67" s="6">
        <f t="shared" si="10"/>
        <v>13.833333333333336</v>
      </c>
      <c r="G67" s="78">
        <v>0</v>
      </c>
      <c r="H67" s="70">
        <v>1</v>
      </c>
      <c r="I67" s="70">
        <v>0</v>
      </c>
      <c r="J67" s="78">
        <v>976</v>
      </c>
      <c r="K67" s="70">
        <v>4</v>
      </c>
      <c r="L67" s="70">
        <f t="shared" si="11"/>
        <v>971</v>
      </c>
      <c r="M67" s="60">
        <f t="shared" si="12"/>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9"/>
        <v>0.41000000000000003</v>
      </c>
      <c r="AD67" s="28">
        <v>0</v>
      </c>
      <c r="AE67" s="66">
        <f t="shared" si="6"/>
        <v>1</v>
      </c>
      <c r="AF67">
        <v>0</v>
      </c>
      <c r="AG67">
        <v>1</v>
      </c>
      <c r="AH67" s="28">
        <v>0.64</v>
      </c>
      <c r="AI67" s="12">
        <f t="shared" si="7"/>
        <v>0.36</v>
      </c>
      <c r="AJ67">
        <v>1</v>
      </c>
      <c r="AK6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35">
      <c r="A68">
        <v>67</v>
      </c>
      <c r="B68">
        <v>5</v>
      </c>
      <c r="C68" t="s">
        <v>220</v>
      </c>
      <c r="D68" s="10">
        <v>8.4</v>
      </c>
      <c r="E68" s="6">
        <v>0.6</v>
      </c>
      <c r="F68" s="6">
        <f t="shared" si="10"/>
        <v>14.000000000000002</v>
      </c>
      <c r="G68" s="78">
        <v>0</v>
      </c>
      <c r="H68" s="70">
        <v>1</v>
      </c>
      <c r="I68" s="70">
        <v>0</v>
      </c>
      <c r="J68" s="78">
        <v>976</v>
      </c>
      <c r="K68" s="70">
        <v>6</v>
      </c>
      <c r="L68" s="70">
        <f t="shared" si="11"/>
        <v>969</v>
      </c>
      <c r="M68" s="60">
        <f t="shared" si="12"/>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9"/>
        <v>0.41000000000000003</v>
      </c>
      <c r="AD68" s="28">
        <v>0</v>
      </c>
      <c r="AE68" s="66">
        <f t="shared" si="6"/>
        <v>1</v>
      </c>
      <c r="AF68">
        <v>0</v>
      </c>
      <c r="AG68">
        <v>1</v>
      </c>
      <c r="AH68" s="28">
        <v>0.64</v>
      </c>
      <c r="AI68" s="12">
        <f t="shared" si="7"/>
        <v>0.36</v>
      </c>
      <c r="AJ68">
        <v>1</v>
      </c>
      <c r="AK68">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35">
      <c r="A69">
        <v>68</v>
      </c>
      <c r="B69">
        <v>5</v>
      </c>
      <c r="C69" t="s">
        <v>220</v>
      </c>
      <c r="D69" s="10">
        <v>2.5</v>
      </c>
      <c r="E69" s="6">
        <v>1.5</v>
      </c>
      <c r="F69" s="6">
        <f t="shared" si="10"/>
        <v>1.6666666666666667</v>
      </c>
      <c r="G69" s="78">
        <v>0</v>
      </c>
      <c r="H69" s="70">
        <v>1</v>
      </c>
      <c r="I69" s="70">
        <v>0</v>
      </c>
      <c r="J69" s="78">
        <v>976</v>
      </c>
      <c r="K69" s="70">
        <v>1</v>
      </c>
      <c r="L69" s="70">
        <f t="shared" si="11"/>
        <v>974</v>
      </c>
      <c r="M69" s="60">
        <f t="shared" si="12"/>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9"/>
        <v>0.41000000000000003</v>
      </c>
      <c r="AD69" s="28">
        <v>0</v>
      </c>
      <c r="AE69" s="66">
        <f t="shared" si="6"/>
        <v>1</v>
      </c>
      <c r="AF69">
        <v>0</v>
      </c>
      <c r="AG69">
        <v>1</v>
      </c>
      <c r="AH69" s="28">
        <v>0.64</v>
      </c>
      <c r="AI69" s="12">
        <f t="shared" si="7"/>
        <v>0.36</v>
      </c>
      <c r="AJ69">
        <v>1</v>
      </c>
      <c r="AK69">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35">
      <c r="A70">
        <v>69</v>
      </c>
      <c r="B70">
        <v>5</v>
      </c>
      <c r="C70" t="s">
        <v>220</v>
      </c>
      <c r="D70" s="10">
        <v>2.7</v>
      </c>
      <c r="E70" s="6">
        <v>1.5</v>
      </c>
      <c r="F70" s="6">
        <f t="shared" si="10"/>
        <v>1.8</v>
      </c>
      <c r="G70" s="78">
        <v>0</v>
      </c>
      <c r="H70" s="70">
        <v>1</v>
      </c>
      <c r="I70" s="70">
        <v>0</v>
      </c>
      <c r="J70" s="78">
        <v>976</v>
      </c>
      <c r="K70" s="70">
        <v>3</v>
      </c>
      <c r="L70" s="70">
        <f t="shared" si="11"/>
        <v>972</v>
      </c>
      <c r="M70" s="60">
        <f t="shared" si="12"/>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9"/>
        <v>0.41000000000000003</v>
      </c>
      <c r="AD70" s="28">
        <v>0</v>
      </c>
      <c r="AE70" s="66">
        <f t="shared" si="6"/>
        <v>1</v>
      </c>
      <c r="AF70">
        <v>0</v>
      </c>
      <c r="AG70">
        <v>1</v>
      </c>
      <c r="AH70" s="28">
        <v>0.64</v>
      </c>
      <c r="AI70" s="12">
        <f t="shared" si="7"/>
        <v>0.36</v>
      </c>
      <c r="AJ70">
        <v>1</v>
      </c>
      <c r="AK70">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35">
      <c r="A71">
        <v>70</v>
      </c>
      <c r="B71">
        <v>5</v>
      </c>
      <c r="C71" t="s">
        <v>220</v>
      </c>
      <c r="D71" s="10">
        <v>2.5</v>
      </c>
      <c r="E71" s="6">
        <v>1.2</v>
      </c>
      <c r="F71" s="6">
        <f t="shared" si="10"/>
        <v>2.0833333333333335</v>
      </c>
      <c r="G71" s="78">
        <v>0</v>
      </c>
      <c r="H71" s="70">
        <v>1</v>
      </c>
      <c r="I71" s="70">
        <v>0</v>
      </c>
      <c r="J71" s="78">
        <v>976</v>
      </c>
      <c r="K71" s="70">
        <v>5</v>
      </c>
      <c r="L71" s="70">
        <f t="shared" si="11"/>
        <v>970</v>
      </c>
      <c r="M71" s="60">
        <f t="shared" si="12"/>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9"/>
        <v>0.41000000000000003</v>
      </c>
      <c r="AD71" s="28">
        <v>0</v>
      </c>
      <c r="AE71" s="66">
        <f t="shared" si="6"/>
        <v>1</v>
      </c>
      <c r="AF71">
        <v>0</v>
      </c>
      <c r="AG71">
        <v>1</v>
      </c>
      <c r="AH71" s="28">
        <v>0.64</v>
      </c>
      <c r="AI71" s="12">
        <f t="shared" si="7"/>
        <v>0.36</v>
      </c>
      <c r="AJ71">
        <v>1</v>
      </c>
      <c r="AK71">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35">
      <c r="A72">
        <v>71</v>
      </c>
      <c r="B72">
        <v>5</v>
      </c>
      <c r="C72" t="s">
        <v>220</v>
      </c>
      <c r="D72" s="10">
        <v>2.7</v>
      </c>
      <c r="E72" s="6">
        <v>1.2</v>
      </c>
      <c r="F72" s="6">
        <f t="shared" si="10"/>
        <v>2.2500000000000004</v>
      </c>
      <c r="G72" s="78">
        <v>0</v>
      </c>
      <c r="H72" s="70">
        <v>1</v>
      </c>
      <c r="I72" s="70">
        <v>0</v>
      </c>
      <c r="J72" s="78">
        <v>976</v>
      </c>
      <c r="K72" s="70">
        <v>7</v>
      </c>
      <c r="L72" s="70">
        <f t="shared" si="11"/>
        <v>968</v>
      </c>
      <c r="M72" s="60">
        <f t="shared" si="12"/>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9"/>
        <v>0.41000000000000003</v>
      </c>
      <c r="AD72" s="28">
        <v>0</v>
      </c>
      <c r="AE72" s="66">
        <f t="shared" si="6"/>
        <v>1</v>
      </c>
      <c r="AF72">
        <v>0</v>
      </c>
      <c r="AG72">
        <v>1</v>
      </c>
      <c r="AH72" s="28">
        <v>0.64</v>
      </c>
      <c r="AI72" s="12">
        <f t="shared" si="7"/>
        <v>0.36</v>
      </c>
      <c r="AJ72">
        <v>1</v>
      </c>
      <c r="AK72">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35">
      <c r="A73">
        <v>72</v>
      </c>
      <c r="B73">
        <v>5</v>
      </c>
      <c r="C73" t="s">
        <v>220</v>
      </c>
      <c r="D73" s="10">
        <v>3.2</v>
      </c>
      <c r="E73" s="6">
        <v>1.9</v>
      </c>
      <c r="F73" s="6">
        <f t="shared" si="10"/>
        <v>1.6842105263157896</v>
      </c>
      <c r="G73" s="78">
        <v>0</v>
      </c>
      <c r="H73" s="70">
        <v>1</v>
      </c>
      <c r="I73" s="70">
        <v>0</v>
      </c>
      <c r="J73" s="78">
        <v>976</v>
      </c>
      <c r="K73" s="70">
        <v>1</v>
      </c>
      <c r="L73" s="70">
        <f t="shared" si="11"/>
        <v>974</v>
      </c>
      <c r="M73" s="60">
        <f t="shared" si="12"/>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9"/>
        <v>0.41000000000000003</v>
      </c>
      <c r="AD73" s="28">
        <v>0</v>
      </c>
      <c r="AE73" s="66">
        <f t="shared" si="6"/>
        <v>1</v>
      </c>
      <c r="AF73">
        <v>0</v>
      </c>
      <c r="AG73">
        <v>1</v>
      </c>
      <c r="AH73" s="28">
        <v>0.64</v>
      </c>
      <c r="AI73" s="12">
        <f t="shared" si="7"/>
        <v>0.36</v>
      </c>
      <c r="AJ73">
        <v>1</v>
      </c>
      <c r="AK73">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35">
      <c r="A74">
        <v>73</v>
      </c>
      <c r="B74">
        <v>5</v>
      </c>
      <c r="C74" t="s">
        <v>220</v>
      </c>
      <c r="D74" s="10">
        <v>3.3</v>
      </c>
      <c r="E74" s="6">
        <v>1.9</v>
      </c>
      <c r="F74" s="6">
        <f t="shared" si="10"/>
        <v>1.736842105263158</v>
      </c>
      <c r="G74" s="78">
        <v>0</v>
      </c>
      <c r="H74" s="70">
        <v>1</v>
      </c>
      <c r="I74" s="70">
        <v>0</v>
      </c>
      <c r="J74" s="78">
        <v>976</v>
      </c>
      <c r="K74" s="70">
        <v>3</v>
      </c>
      <c r="L74" s="70">
        <f t="shared" si="11"/>
        <v>972</v>
      </c>
      <c r="M74" s="60">
        <f t="shared" si="12"/>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9"/>
        <v>0.41000000000000003</v>
      </c>
      <c r="AD74" s="28">
        <v>0</v>
      </c>
      <c r="AE74" s="66">
        <f t="shared" si="6"/>
        <v>1</v>
      </c>
      <c r="AF74">
        <v>0</v>
      </c>
      <c r="AG74">
        <v>1</v>
      </c>
      <c r="AH74" s="28">
        <v>0.64</v>
      </c>
      <c r="AI74" s="12">
        <f t="shared" si="7"/>
        <v>0.36</v>
      </c>
      <c r="AJ74">
        <v>1</v>
      </c>
      <c r="AK74">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35">
      <c r="A75">
        <v>74</v>
      </c>
      <c r="B75">
        <v>5</v>
      </c>
      <c r="C75" t="s">
        <v>220</v>
      </c>
      <c r="D75" s="10">
        <v>3.6</v>
      </c>
      <c r="E75" s="6">
        <v>1.8</v>
      </c>
      <c r="F75" s="6">
        <f t="shared" si="10"/>
        <v>2</v>
      </c>
      <c r="G75" s="78">
        <v>0</v>
      </c>
      <c r="H75" s="70">
        <v>1</v>
      </c>
      <c r="I75" s="70">
        <v>0</v>
      </c>
      <c r="J75" s="78">
        <v>976</v>
      </c>
      <c r="K75" s="70">
        <v>1</v>
      </c>
      <c r="L75" s="70">
        <f t="shared" si="11"/>
        <v>974</v>
      </c>
      <c r="M75" s="60">
        <f t="shared" si="12"/>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9"/>
        <v>0.41000000000000003</v>
      </c>
      <c r="AD75" s="28">
        <v>0</v>
      </c>
      <c r="AE75" s="66">
        <f t="shared" si="6"/>
        <v>1</v>
      </c>
      <c r="AF75">
        <v>0</v>
      </c>
      <c r="AG75">
        <v>1</v>
      </c>
      <c r="AH75" s="28">
        <v>0.64</v>
      </c>
      <c r="AI75" s="12">
        <f t="shared" si="7"/>
        <v>0.36</v>
      </c>
      <c r="AJ75">
        <v>1</v>
      </c>
      <c r="AK75">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35">
      <c r="A76">
        <v>75</v>
      </c>
      <c r="B76">
        <v>5</v>
      </c>
      <c r="C76" t="s">
        <v>220</v>
      </c>
      <c r="D76" s="10">
        <v>3.8</v>
      </c>
      <c r="E76" s="6">
        <v>1.8</v>
      </c>
      <c r="F76" s="6">
        <f t="shared" si="10"/>
        <v>2.1111111111111112</v>
      </c>
      <c r="G76" s="78">
        <v>0</v>
      </c>
      <c r="H76" s="70">
        <v>1</v>
      </c>
      <c r="I76" s="70">
        <v>0</v>
      </c>
      <c r="J76" s="78">
        <v>976</v>
      </c>
      <c r="K76" s="70">
        <v>3</v>
      </c>
      <c r="L76" s="70">
        <f t="shared" si="11"/>
        <v>972</v>
      </c>
      <c r="M76" s="60">
        <f t="shared" si="12"/>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9"/>
        <v>0.41000000000000003</v>
      </c>
      <c r="AD76" s="28">
        <v>0</v>
      </c>
      <c r="AE76" s="66">
        <f t="shared" si="6"/>
        <v>1</v>
      </c>
      <c r="AF76">
        <v>0</v>
      </c>
      <c r="AG76">
        <v>1</v>
      </c>
      <c r="AH76" s="28">
        <v>0.64</v>
      </c>
      <c r="AI76" s="12">
        <f t="shared" si="7"/>
        <v>0.36</v>
      </c>
      <c r="AJ76">
        <v>1</v>
      </c>
      <c r="AK76">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35">
      <c r="A77">
        <v>76</v>
      </c>
      <c r="B77">
        <v>5</v>
      </c>
      <c r="C77" t="s">
        <v>220</v>
      </c>
      <c r="D77" s="10">
        <v>8.5</v>
      </c>
      <c r="E77" s="6">
        <v>0.8</v>
      </c>
      <c r="F77" s="6">
        <f t="shared" si="10"/>
        <v>10.625</v>
      </c>
      <c r="G77" s="78">
        <v>0</v>
      </c>
      <c r="H77" s="70">
        <v>1</v>
      </c>
      <c r="I77" s="70">
        <v>0</v>
      </c>
      <c r="J77" s="78">
        <v>632</v>
      </c>
      <c r="K77" s="70">
        <v>6</v>
      </c>
      <c r="L77" s="70">
        <f t="shared" si="11"/>
        <v>625</v>
      </c>
      <c r="M77" s="60">
        <f t="shared" si="12"/>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9"/>
        <v>0.41000000000000003</v>
      </c>
      <c r="AD77" s="28">
        <v>0</v>
      </c>
      <c r="AE77" s="66">
        <f t="shared" si="6"/>
        <v>1</v>
      </c>
      <c r="AF77">
        <v>0</v>
      </c>
      <c r="AG77">
        <v>1</v>
      </c>
      <c r="AH77" s="28">
        <v>0.64</v>
      </c>
      <c r="AI77" s="12">
        <f t="shared" si="7"/>
        <v>0.36</v>
      </c>
      <c r="AJ77">
        <v>0</v>
      </c>
      <c r="AK7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35">
      <c r="A78">
        <v>77</v>
      </c>
      <c r="B78">
        <v>5</v>
      </c>
      <c r="C78" t="s">
        <v>220</v>
      </c>
      <c r="D78" s="10">
        <v>4.4000000000000004</v>
      </c>
      <c r="E78" s="6">
        <v>1.2</v>
      </c>
      <c r="F78" s="6">
        <f t="shared" si="10"/>
        <v>3.666666666666667</v>
      </c>
      <c r="G78" s="78">
        <v>0</v>
      </c>
      <c r="H78" s="70">
        <v>1</v>
      </c>
      <c r="I78" s="70">
        <v>0</v>
      </c>
      <c r="J78" s="78">
        <v>632</v>
      </c>
      <c r="K78" s="70">
        <v>3</v>
      </c>
      <c r="L78" s="70">
        <f t="shared" si="11"/>
        <v>628</v>
      </c>
      <c r="M78" s="60">
        <f t="shared" si="12"/>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9"/>
        <v>0.41000000000000003</v>
      </c>
      <c r="AD78" s="28">
        <v>0</v>
      </c>
      <c r="AE78" s="66">
        <f t="shared" si="6"/>
        <v>1</v>
      </c>
      <c r="AF78">
        <v>0</v>
      </c>
      <c r="AG78">
        <v>1</v>
      </c>
      <c r="AH78" s="28">
        <v>0.64</v>
      </c>
      <c r="AI78" s="12">
        <f t="shared" si="7"/>
        <v>0.36</v>
      </c>
      <c r="AJ78">
        <v>0</v>
      </c>
      <c r="AK78">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35">
      <c r="A79">
        <v>78</v>
      </c>
      <c r="B79">
        <v>5</v>
      </c>
      <c r="C79" t="s">
        <v>220</v>
      </c>
      <c r="D79" s="10">
        <v>5.4</v>
      </c>
      <c r="E79" s="6">
        <v>1.7</v>
      </c>
      <c r="F79" s="6">
        <f t="shared" si="10"/>
        <v>3.1764705882352944</v>
      </c>
      <c r="G79" s="78">
        <v>0</v>
      </c>
      <c r="H79" s="70">
        <v>1</v>
      </c>
      <c r="I79" s="70">
        <v>0</v>
      </c>
      <c r="J79" s="78">
        <v>632</v>
      </c>
      <c r="K79" s="70">
        <v>3</v>
      </c>
      <c r="L79" s="70">
        <f t="shared" si="11"/>
        <v>628</v>
      </c>
      <c r="M79" s="60">
        <f t="shared" si="12"/>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9"/>
        <v>0.41000000000000003</v>
      </c>
      <c r="AD79" s="28">
        <v>0</v>
      </c>
      <c r="AE79" s="66">
        <f t="shared" si="6"/>
        <v>1</v>
      </c>
      <c r="AF79">
        <v>0</v>
      </c>
      <c r="AG79">
        <v>1</v>
      </c>
      <c r="AH79" s="28">
        <v>0.64</v>
      </c>
      <c r="AI79" s="12">
        <f t="shared" si="7"/>
        <v>0.36</v>
      </c>
      <c r="AJ79">
        <v>0</v>
      </c>
      <c r="AK79">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35">
      <c r="A80">
        <v>79</v>
      </c>
      <c r="B80">
        <v>5</v>
      </c>
      <c r="C80" t="s">
        <v>220</v>
      </c>
      <c r="D80" s="10">
        <v>5.6</v>
      </c>
      <c r="E80" s="6">
        <v>1.8</v>
      </c>
      <c r="F80" s="6">
        <f t="shared" si="10"/>
        <v>3.1111111111111107</v>
      </c>
      <c r="G80" s="78">
        <v>0</v>
      </c>
      <c r="H80" s="70">
        <v>1</v>
      </c>
      <c r="I80" s="70">
        <v>0</v>
      </c>
      <c r="J80" s="78">
        <v>632</v>
      </c>
      <c r="K80" s="70">
        <v>3</v>
      </c>
      <c r="L80" s="70">
        <f t="shared" si="11"/>
        <v>628</v>
      </c>
      <c r="M80" s="60">
        <f t="shared" si="12"/>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9"/>
        <v>0.41000000000000003</v>
      </c>
      <c r="AD80" s="28">
        <v>0</v>
      </c>
      <c r="AE80" s="66">
        <f t="shared" si="6"/>
        <v>1</v>
      </c>
      <c r="AF80">
        <v>0</v>
      </c>
      <c r="AG80">
        <v>1</v>
      </c>
      <c r="AH80" s="28">
        <v>0.64</v>
      </c>
      <c r="AI80" s="12">
        <f t="shared" si="7"/>
        <v>0.36</v>
      </c>
      <c r="AJ80">
        <v>0</v>
      </c>
      <c r="AK80">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35">
      <c r="A81">
        <v>80</v>
      </c>
      <c r="B81">
        <v>6</v>
      </c>
      <c r="C81" t="s">
        <v>226</v>
      </c>
      <c r="D81" s="10">
        <v>4.8</v>
      </c>
      <c r="E81" s="6">
        <f t="shared" ref="E81:E114" si="13">D81/F81</f>
        <v>0.28828828828828829</v>
      </c>
      <c r="F81" s="6">
        <v>16.649999999999999</v>
      </c>
      <c r="G81" s="78">
        <v>0</v>
      </c>
      <c r="H81" s="70">
        <v>0</v>
      </c>
      <c r="I81" s="70">
        <v>1</v>
      </c>
      <c r="J81" s="78">
        <v>1204</v>
      </c>
      <c r="K81" s="70">
        <v>5</v>
      </c>
      <c r="L81" s="70">
        <f t="shared" si="11"/>
        <v>1198</v>
      </c>
      <c r="M81" s="60">
        <f t="shared" si="12"/>
        <v>15</v>
      </c>
      <c r="N81" s="70">
        <v>12.513999999999999</v>
      </c>
      <c r="O81" s="70">
        <f t="shared" ref="O81:O109" si="14">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9"/>
        <v>0.53200000000000003</v>
      </c>
      <c r="AD81" s="28" t="s">
        <v>45</v>
      </c>
      <c r="AE81" t="s">
        <v>45</v>
      </c>
      <c r="AF81">
        <v>0</v>
      </c>
      <c r="AG81">
        <v>1</v>
      </c>
      <c r="AH81" s="28">
        <v>0.75900000000000001</v>
      </c>
      <c r="AI81" s="12">
        <f t="shared" si="7"/>
        <v>0.24099999999999999</v>
      </c>
      <c r="AJ81">
        <v>1</v>
      </c>
      <c r="AK81">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35">
      <c r="A82">
        <v>81</v>
      </c>
      <c r="B82">
        <v>6</v>
      </c>
      <c r="C82" t="s">
        <v>226</v>
      </c>
      <c r="D82" s="10">
        <v>2.5</v>
      </c>
      <c r="E82" s="6">
        <f t="shared" si="13"/>
        <v>0.50813008130081305</v>
      </c>
      <c r="F82" s="6">
        <v>4.92</v>
      </c>
      <c r="G82" s="78">
        <v>0</v>
      </c>
      <c r="H82" s="70">
        <v>0</v>
      </c>
      <c r="I82" s="70">
        <v>1</v>
      </c>
      <c r="J82" s="78">
        <v>602</v>
      </c>
      <c r="K82" s="70">
        <v>2</v>
      </c>
      <c r="L82" s="70">
        <f t="shared" si="11"/>
        <v>599</v>
      </c>
      <c r="M82" s="60">
        <f t="shared" si="12"/>
        <v>15</v>
      </c>
      <c r="N82" s="70">
        <v>12.513999999999999</v>
      </c>
      <c r="O82" s="70">
        <f t="shared" si="14"/>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9"/>
        <v>0.53200000000000003</v>
      </c>
      <c r="AD82" s="28" t="s">
        <v>45</v>
      </c>
      <c r="AE82" t="s">
        <v>45</v>
      </c>
      <c r="AF82">
        <v>0</v>
      </c>
      <c r="AG82">
        <v>1</v>
      </c>
      <c r="AH82" s="28">
        <v>0.75900000000000001</v>
      </c>
      <c r="AI82" s="12">
        <f t="shared" si="7"/>
        <v>0.24099999999999999</v>
      </c>
      <c r="AJ82">
        <v>1</v>
      </c>
      <c r="AK82">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35">
      <c r="A83">
        <v>82</v>
      </c>
      <c r="B83">
        <v>6</v>
      </c>
      <c r="C83" t="s">
        <v>226</v>
      </c>
      <c r="D83" s="10">
        <v>6</v>
      </c>
      <c r="E83" s="6">
        <f t="shared" si="13"/>
        <v>0.27985074626865669</v>
      </c>
      <c r="F83" s="6">
        <v>21.44</v>
      </c>
      <c r="G83" s="78">
        <v>0</v>
      </c>
      <c r="H83" s="70">
        <v>0</v>
      </c>
      <c r="I83" s="70">
        <v>1</v>
      </c>
      <c r="J83" s="78">
        <v>1176</v>
      </c>
      <c r="K83" s="70">
        <v>5</v>
      </c>
      <c r="L83" s="70">
        <f t="shared" si="11"/>
        <v>1170</v>
      </c>
      <c r="M83" s="60">
        <f t="shared" si="12"/>
        <v>15</v>
      </c>
      <c r="N83" s="70">
        <v>12.695</v>
      </c>
      <c r="O83" s="70">
        <f t="shared" si="14"/>
        <v>16.643000000000001</v>
      </c>
      <c r="P83" s="78">
        <v>1</v>
      </c>
      <c r="Q83" s="70">
        <v>0</v>
      </c>
      <c r="R83" s="78">
        <v>0</v>
      </c>
      <c r="S83" s="70">
        <v>0</v>
      </c>
      <c r="T83" s="70">
        <v>1</v>
      </c>
      <c r="U83" s="70">
        <v>1</v>
      </c>
      <c r="V83" s="70">
        <v>0</v>
      </c>
      <c r="W83" s="78">
        <v>0</v>
      </c>
      <c r="X83" s="70">
        <v>1</v>
      </c>
      <c r="Y83" s="69">
        <v>1981</v>
      </c>
      <c r="Z83" s="28" t="s">
        <v>45</v>
      </c>
      <c r="AA83" t="s">
        <v>45</v>
      </c>
      <c r="AB83" s="28">
        <v>0.505</v>
      </c>
      <c r="AC83">
        <f t="shared" si="9"/>
        <v>0.495</v>
      </c>
      <c r="AD83" s="28" t="s">
        <v>45</v>
      </c>
      <c r="AE83" t="s">
        <v>45</v>
      </c>
      <c r="AF83">
        <v>0</v>
      </c>
      <c r="AG83">
        <v>1</v>
      </c>
      <c r="AH83" s="28">
        <v>0.72199999999999998</v>
      </c>
      <c r="AI83" s="12">
        <f t="shared" si="7"/>
        <v>0.27800000000000002</v>
      </c>
      <c r="AJ83">
        <v>0</v>
      </c>
      <c r="AK83">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35">
      <c r="A84">
        <v>83</v>
      </c>
      <c r="B84">
        <v>6</v>
      </c>
      <c r="C84" t="s">
        <v>226</v>
      </c>
      <c r="D84" s="10">
        <v>4.5</v>
      </c>
      <c r="E84" s="6">
        <f t="shared" si="13"/>
        <v>0.48335123523093443</v>
      </c>
      <c r="F84" s="6">
        <v>9.31</v>
      </c>
      <c r="G84" s="78">
        <v>0</v>
      </c>
      <c r="H84" s="70">
        <v>0</v>
      </c>
      <c r="I84" s="70">
        <v>1</v>
      </c>
      <c r="J84" s="78">
        <v>568</v>
      </c>
      <c r="K84" s="70">
        <v>3</v>
      </c>
      <c r="L84" s="70">
        <f t="shared" si="11"/>
        <v>564</v>
      </c>
      <c r="M84" s="60">
        <f t="shared" si="12"/>
        <v>15</v>
      </c>
      <c r="N84" s="70">
        <v>12.695</v>
      </c>
      <c r="O84" s="70">
        <f t="shared" si="14"/>
        <v>16.643000000000001</v>
      </c>
      <c r="P84" s="78">
        <v>1</v>
      </c>
      <c r="Q84" s="70">
        <v>0</v>
      </c>
      <c r="R84" s="78">
        <v>0</v>
      </c>
      <c r="S84" s="70">
        <v>0</v>
      </c>
      <c r="T84" s="70">
        <v>1</v>
      </c>
      <c r="U84" s="70">
        <v>1</v>
      </c>
      <c r="V84" s="70">
        <v>0</v>
      </c>
      <c r="W84" s="78">
        <v>0</v>
      </c>
      <c r="X84" s="70">
        <v>1</v>
      </c>
      <c r="Y84" s="69">
        <v>1981</v>
      </c>
      <c r="Z84" s="28" t="s">
        <v>45</v>
      </c>
      <c r="AA84" t="s">
        <v>45</v>
      </c>
      <c r="AB84" s="28">
        <v>0.505</v>
      </c>
      <c r="AC84">
        <f t="shared" si="9"/>
        <v>0.495</v>
      </c>
      <c r="AD84" s="28" t="s">
        <v>45</v>
      </c>
      <c r="AE84" t="s">
        <v>45</v>
      </c>
      <c r="AF84">
        <v>0</v>
      </c>
      <c r="AG84">
        <v>1</v>
      </c>
      <c r="AH84" s="28">
        <v>0.72199999999999998</v>
      </c>
      <c r="AI84" s="12">
        <f t="shared" si="7"/>
        <v>0.27800000000000002</v>
      </c>
      <c r="AJ84">
        <v>0</v>
      </c>
      <c r="AK84">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35">
      <c r="A85">
        <v>84</v>
      </c>
      <c r="B85">
        <v>6</v>
      </c>
      <c r="C85" t="s">
        <v>226</v>
      </c>
      <c r="D85" s="79">
        <v>6.4</v>
      </c>
      <c r="E85" s="6">
        <f t="shared" si="13"/>
        <v>0.24024024024024024</v>
      </c>
      <c r="F85" s="6">
        <v>26.64</v>
      </c>
      <c r="G85" s="78">
        <v>0</v>
      </c>
      <c r="H85" s="70">
        <v>0</v>
      </c>
      <c r="I85" s="70">
        <v>1</v>
      </c>
      <c r="J85" s="78">
        <v>1204</v>
      </c>
      <c r="K85" s="70">
        <v>4</v>
      </c>
      <c r="L85" s="70">
        <f t="shared" si="11"/>
        <v>1199</v>
      </c>
      <c r="M85" s="60">
        <f t="shared" si="12"/>
        <v>15</v>
      </c>
      <c r="N85" s="70">
        <v>12.513999999999999</v>
      </c>
      <c r="O85" s="70">
        <f t="shared" si="14"/>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9"/>
        <v>0.53200000000000003</v>
      </c>
      <c r="AD85" s="28" t="s">
        <v>45</v>
      </c>
      <c r="AE85" t="s">
        <v>45</v>
      </c>
      <c r="AF85">
        <v>0</v>
      </c>
      <c r="AG85">
        <v>1</v>
      </c>
      <c r="AH85" s="28">
        <v>0.75900000000000001</v>
      </c>
      <c r="AI85" s="12">
        <f t="shared" si="7"/>
        <v>0.24099999999999999</v>
      </c>
      <c r="AJ85">
        <v>1</v>
      </c>
      <c r="AK85">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35">
      <c r="A86">
        <v>85</v>
      </c>
      <c r="B86">
        <v>6</v>
      </c>
      <c r="C86" t="s">
        <v>226</v>
      </c>
      <c r="D86" s="79">
        <v>2.5</v>
      </c>
      <c r="E86" s="6">
        <f t="shared" si="13"/>
        <v>0.50813008130081305</v>
      </c>
      <c r="F86" s="6">
        <v>4.92</v>
      </c>
      <c r="G86" s="78">
        <v>0</v>
      </c>
      <c r="H86" s="70">
        <v>0</v>
      </c>
      <c r="I86" s="70">
        <v>1</v>
      </c>
      <c r="J86" s="78">
        <v>602</v>
      </c>
      <c r="K86" s="70">
        <v>2</v>
      </c>
      <c r="L86" s="70">
        <f t="shared" si="11"/>
        <v>599</v>
      </c>
      <c r="M86" s="60">
        <f t="shared" si="12"/>
        <v>15</v>
      </c>
      <c r="N86" s="70">
        <v>12.513999999999999</v>
      </c>
      <c r="O86" s="70">
        <f t="shared" si="14"/>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9"/>
        <v>0.53200000000000003</v>
      </c>
      <c r="AD86" s="28" t="s">
        <v>45</v>
      </c>
      <c r="AE86" t="s">
        <v>45</v>
      </c>
      <c r="AF86">
        <v>0</v>
      </c>
      <c r="AG86">
        <v>1</v>
      </c>
      <c r="AH86" s="28">
        <v>0.75900000000000001</v>
      </c>
      <c r="AI86" s="12">
        <f t="shared" si="7"/>
        <v>0.24099999999999999</v>
      </c>
      <c r="AJ86">
        <v>1</v>
      </c>
      <c r="AK86">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35">
      <c r="A87">
        <v>86</v>
      </c>
      <c r="B87">
        <v>6</v>
      </c>
      <c r="C87" t="s">
        <v>226</v>
      </c>
      <c r="D87" s="79">
        <v>4.8</v>
      </c>
      <c r="E87" s="6">
        <f t="shared" si="13"/>
        <v>0.28828828828828829</v>
      </c>
      <c r="F87" s="6">
        <v>16.649999999999999</v>
      </c>
      <c r="G87" s="78">
        <v>0</v>
      </c>
      <c r="H87" s="70">
        <v>0</v>
      </c>
      <c r="I87" s="70">
        <v>1</v>
      </c>
      <c r="J87" s="78">
        <v>1204</v>
      </c>
      <c r="K87" s="70">
        <v>5</v>
      </c>
      <c r="L87" s="70">
        <f t="shared" si="11"/>
        <v>1198</v>
      </c>
      <c r="M87" s="60">
        <f t="shared" si="12"/>
        <v>15</v>
      </c>
      <c r="N87" s="70">
        <v>12.513999999999999</v>
      </c>
      <c r="O87" s="70">
        <f t="shared" si="14"/>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9"/>
        <v>0.53200000000000003</v>
      </c>
      <c r="AD87" s="28" t="s">
        <v>45</v>
      </c>
      <c r="AE87" t="s">
        <v>45</v>
      </c>
      <c r="AF87">
        <v>0</v>
      </c>
      <c r="AG87">
        <v>1</v>
      </c>
      <c r="AH87" s="28">
        <v>0.75900000000000001</v>
      </c>
      <c r="AI87" s="12">
        <f t="shared" si="7"/>
        <v>0.24099999999999999</v>
      </c>
      <c r="AJ87">
        <v>1</v>
      </c>
      <c r="AK8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35">
      <c r="A88">
        <v>87</v>
      </c>
      <c r="B88">
        <v>6</v>
      </c>
      <c r="C88" t="s">
        <v>226</v>
      </c>
      <c r="D88" s="79">
        <v>7.3</v>
      </c>
      <c r="E88" s="6">
        <f t="shared" si="13"/>
        <v>0.28250773993808048</v>
      </c>
      <c r="F88" s="6">
        <v>25.84</v>
      </c>
      <c r="G88" s="78">
        <v>0</v>
      </c>
      <c r="H88" s="70">
        <v>0</v>
      </c>
      <c r="I88" s="70">
        <v>1</v>
      </c>
      <c r="J88" s="78">
        <v>1204</v>
      </c>
      <c r="K88" s="70">
        <v>5</v>
      </c>
      <c r="L88" s="70">
        <f t="shared" si="11"/>
        <v>1198</v>
      </c>
      <c r="M88" s="60">
        <f t="shared" si="12"/>
        <v>15</v>
      </c>
      <c r="N88" s="70">
        <v>12.513999999999999</v>
      </c>
      <c r="O88" s="70">
        <f t="shared" si="14"/>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9"/>
        <v>0.53200000000000003</v>
      </c>
      <c r="AD88" s="28" t="s">
        <v>45</v>
      </c>
      <c r="AE88" t="s">
        <v>45</v>
      </c>
      <c r="AF88">
        <v>0</v>
      </c>
      <c r="AG88">
        <v>1</v>
      </c>
      <c r="AH88" s="28">
        <v>0.75900000000000001</v>
      </c>
      <c r="AI88" s="12">
        <f t="shared" si="7"/>
        <v>0.24099999999999999</v>
      </c>
      <c r="AJ88">
        <v>1</v>
      </c>
      <c r="AK88">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35">
      <c r="A89">
        <v>88</v>
      </c>
      <c r="B89">
        <v>6</v>
      </c>
      <c r="C89" t="s">
        <v>226</v>
      </c>
      <c r="D89" s="79">
        <v>7.8</v>
      </c>
      <c r="E89" s="6">
        <f t="shared" si="13"/>
        <v>0.92746730083234241</v>
      </c>
      <c r="F89" s="6">
        <v>8.41</v>
      </c>
      <c r="G89" s="78">
        <v>0</v>
      </c>
      <c r="H89" s="70">
        <v>0</v>
      </c>
      <c r="I89" s="70">
        <v>1</v>
      </c>
      <c r="J89" s="78">
        <v>1204</v>
      </c>
      <c r="K89" s="70">
        <v>6</v>
      </c>
      <c r="L89" s="70">
        <f t="shared" si="11"/>
        <v>1197</v>
      </c>
      <c r="M89" s="60">
        <f t="shared" si="12"/>
        <v>15</v>
      </c>
      <c r="N89" s="70">
        <v>12.513999999999999</v>
      </c>
      <c r="O89" s="70">
        <f t="shared" si="14"/>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9"/>
        <v>0.53200000000000003</v>
      </c>
      <c r="AD89" s="28" t="s">
        <v>45</v>
      </c>
      <c r="AE89" t="s">
        <v>45</v>
      </c>
      <c r="AF89">
        <v>0</v>
      </c>
      <c r="AG89">
        <v>1</v>
      </c>
      <c r="AH89" s="28">
        <v>0.75900000000000001</v>
      </c>
      <c r="AI89" s="12">
        <f t="shared" si="7"/>
        <v>0.24099999999999999</v>
      </c>
      <c r="AJ89">
        <v>1</v>
      </c>
      <c r="AK89">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35">
      <c r="A90">
        <v>89</v>
      </c>
      <c r="B90">
        <v>6</v>
      </c>
      <c r="C90" t="s">
        <v>226</v>
      </c>
      <c r="D90" s="79">
        <v>8.3000000000000007</v>
      </c>
      <c r="E90" s="6">
        <f t="shared" si="13"/>
        <v>1.9856459330143543</v>
      </c>
      <c r="F90" s="6">
        <v>4.18</v>
      </c>
      <c r="G90" s="78">
        <v>0</v>
      </c>
      <c r="H90" s="70">
        <v>0</v>
      </c>
      <c r="I90" s="70">
        <v>1</v>
      </c>
      <c r="J90" s="78">
        <v>602</v>
      </c>
      <c r="K90" s="70">
        <v>3</v>
      </c>
      <c r="L90" s="70">
        <f t="shared" si="11"/>
        <v>598</v>
      </c>
      <c r="M90" s="60">
        <f t="shared" si="12"/>
        <v>15</v>
      </c>
      <c r="N90" s="70">
        <v>12.513999999999999</v>
      </c>
      <c r="O90" s="70">
        <f t="shared" si="14"/>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9"/>
        <v>0.53200000000000003</v>
      </c>
      <c r="AD90" s="28" t="s">
        <v>45</v>
      </c>
      <c r="AE90" t="s">
        <v>45</v>
      </c>
      <c r="AF90">
        <v>0</v>
      </c>
      <c r="AG90">
        <v>1</v>
      </c>
      <c r="AH90" s="28">
        <v>0.75900000000000001</v>
      </c>
      <c r="AI90" s="12">
        <f t="shared" si="7"/>
        <v>0.24099999999999999</v>
      </c>
      <c r="AJ90">
        <v>1</v>
      </c>
      <c r="AK90">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35">
      <c r="A91">
        <v>90</v>
      </c>
      <c r="B91">
        <v>6</v>
      </c>
      <c r="C91" t="s">
        <v>226</v>
      </c>
      <c r="D91" s="79">
        <v>4.5</v>
      </c>
      <c r="E91" s="6">
        <f t="shared" si="13"/>
        <v>0.92402464065708412</v>
      </c>
      <c r="F91" s="6">
        <v>4.87</v>
      </c>
      <c r="G91" s="78">
        <v>0</v>
      </c>
      <c r="H91" s="70">
        <v>0</v>
      </c>
      <c r="I91" s="70">
        <v>1</v>
      </c>
      <c r="J91" s="78">
        <v>602</v>
      </c>
      <c r="K91" s="70">
        <v>3</v>
      </c>
      <c r="L91" s="70">
        <f t="shared" si="11"/>
        <v>598</v>
      </c>
      <c r="M91" s="60">
        <f t="shared" si="12"/>
        <v>15</v>
      </c>
      <c r="N91" s="70">
        <v>12.513999999999999</v>
      </c>
      <c r="O91" s="70">
        <f t="shared" si="14"/>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9"/>
        <v>0.53200000000000003</v>
      </c>
      <c r="AD91" s="28" t="s">
        <v>45</v>
      </c>
      <c r="AE91" t="s">
        <v>45</v>
      </c>
      <c r="AF91">
        <v>0</v>
      </c>
      <c r="AG91">
        <v>1</v>
      </c>
      <c r="AH91" s="28">
        <v>0.75900000000000001</v>
      </c>
      <c r="AI91" s="12">
        <f t="shared" si="7"/>
        <v>0.24099999999999999</v>
      </c>
      <c r="AJ91">
        <v>1</v>
      </c>
      <c r="AK91">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35">
      <c r="A92">
        <v>91</v>
      </c>
      <c r="B92">
        <v>6</v>
      </c>
      <c r="C92" t="s">
        <v>226</v>
      </c>
      <c r="D92" s="79">
        <v>7.9</v>
      </c>
      <c r="E92" s="6">
        <f t="shared" si="13"/>
        <v>0.32510288065843623</v>
      </c>
      <c r="F92" s="6">
        <v>24.3</v>
      </c>
      <c r="G92" s="78">
        <v>0</v>
      </c>
      <c r="H92" s="70">
        <v>0</v>
      </c>
      <c r="I92" s="70">
        <v>1</v>
      </c>
      <c r="J92" s="78">
        <v>1136</v>
      </c>
      <c r="K92" s="70">
        <v>5</v>
      </c>
      <c r="L92" s="70">
        <f t="shared" si="11"/>
        <v>1130</v>
      </c>
      <c r="M92" s="60">
        <f t="shared" si="12"/>
        <v>15</v>
      </c>
      <c r="N92" s="70">
        <v>12.695</v>
      </c>
      <c r="O92" s="70">
        <f t="shared" si="14"/>
        <v>16.643000000000001</v>
      </c>
      <c r="P92" s="78">
        <v>1</v>
      </c>
      <c r="Q92" s="70">
        <v>0</v>
      </c>
      <c r="R92" s="78">
        <v>0</v>
      </c>
      <c r="S92" s="70">
        <v>0</v>
      </c>
      <c r="T92" s="70">
        <v>1</v>
      </c>
      <c r="U92" s="70">
        <v>1</v>
      </c>
      <c r="V92" s="70">
        <v>0</v>
      </c>
      <c r="W92" s="78">
        <v>0</v>
      </c>
      <c r="X92" s="70">
        <v>1</v>
      </c>
      <c r="Y92" s="69">
        <v>1981</v>
      </c>
      <c r="Z92" s="28" t="s">
        <v>45</v>
      </c>
      <c r="AA92" t="s">
        <v>45</v>
      </c>
      <c r="AB92" s="28">
        <v>0.505</v>
      </c>
      <c r="AC92">
        <f t="shared" si="9"/>
        <v>0.495</v>
      </c>
      <c r="AD92" s="28" t="s">
        <v>45</v>
      </c>
      <c r="AE92" t="s">
        <v>45</v>
      </c>
      <c r="AF92">
        <v>0</v>
      </c>
      <c r="AG92">
        <v>1</v>
      </c>
      <c r="AH92" s="28">
        <v>0.72199999999999998</v>
      </c>
      <c r="AI92" s="12">
        <f t="shared" si="7"/>
        <v>0.27800000000000002</v>
      </c>
      <c r="AJ92">
        <v>0</v>
      </c>
      <c r="AK92">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35">
      <c r="A93">
        <v>92</v>
      </c>
      <c r="B93">
        <v>6</v>
      </c>
      <c r="C93" t="s">
        <v>226</v>
      </c>
      <c r="D93" s="79">
        <v>7.9</v>
      </c>
      <c r="E93" s="6">
        <f t="shared" si="13"/>
        <v>0.4376731301939058</v>
      </c>
      <c r="F93" s="6">
        <v>18.05</v>
      </c>
      <c r="G93" s="78">
        <v>0</v>
      </c>
      <c r="H93" s="70">
        <v>0</v>
      </c>
      <c r="I93" s="70">
        <v>1</v>
      </c>
      <c r="J93" s="78">
        <v>1136</v>
      </c>
      <c r="K93" s="70">
        <v>6</v>
      </c>
      <c r="L93" s="70">
        <f t="shared" si="11"/>
        <v>1129</v>
      </c>
      <c r="M93" s="60">
        <f t="shared" si="12"/>
        <v>15</v>
      </c>
      <c r="N93" s="70">
        <v>12.695</v>
      </c>
      <c r="O93" s="70">
        <f t="shared" si="14"/>
        <v>16.643000000000001</v>
      </c>
      <c r="P93" s="78">
        <v>1</v>
      </c>
      <c r="Q93" s="70">
        <v>0</v>
      </c>
      <c r="R93" s="78">
        <v>0</v>
      </c>
      <c r="S93" s="70">
        <v>0</v>
      </c>
      <c r="T93" s="70">
        <v>1</v>
      </c>
      <c r="U93" s="70">
        <v>1</v>
      </c>
      <c r="V93" s="70">
        <v>0</v>
      </c>
      <c r="W93" s="78">
        <v>0</v>
      </c>
      <c r="X93" s="70">
        <v>1</v>
      </c>
      <c r="Y93" s="69">
        <v>1981</v>
      </c>
      <c r="Z93" s="28" t="s">
        <v>45</v>
      </c>
      <c r="AA93" t="s">
        <v>45</v>
      </c>
      <c r="AB93" s="28">
        <v>0.505</v>
      </c>
      <c r="AC93">
        <f t="shared" si="9"/>
        <v>0.495</v>
      </c>
      <c r="AD93" s="28" t="s">
        <v>45</v>
      </c>
      <c r="AE93" t="s">
        <v>45</v>
      </c>
      <c r="AF93">
        <v>0</v>
      </c>
      <c r="AG93">
        <v>1</v>
      </c>
      <c r="AH93" s="28">
        <v>0.72199999999999998</v>
      </c>
      <c r="AI93" s="12">
        <f t="shared" si="7"/>
        <v>0.27800000000000002</v>
      </c>
      <c r="AJ93">
        <v>0</v>
      </c>
      <c r="AK93">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35">
      <c r="A94">
        <v>93</v>
      </c>
      <c r="B94">
        <v>6</v>
      </c>
      <c r="C94" t="s">
        <v>226</v>
      </c>
      <c r="D94" s="79">
        <v>7.8</v>
      </c>
      <c r="E94" s="6">
        <f t="shared" si="13"/>
        <v>0.87346024636058228</v>
      </c>
      <c r="F94" s="6">
        <v>8.93</v>
      </c>
      <c r="G94" s="78">
        <v>0</v>
      </c>
      <c r="H94" s="70">
        <v>0</v>
      </c>
      <c r="I94" s="70">
        <v>1</v>
      </c>
      <c r="J94" s="78">
        <v>568</v>
      </c>
      <c r="K94" s="70">
        <v>3</v>
      </c>
      <c r="L94" s="70">
        <f t="shared" si="11"/>
        <v>564</v>
      </c>
      <c r="M94" s="60">
        <f t="shared" si="12"/>
        <v>15</v>
      </c>
      <c r="N94" s="70">
        <v>12.695</v>
      </c>
      <c r="O94" s="70">
        <f t="shared" si="14"/>
        <v>16.643000000000001</v>
      </c>
      <c r="P94" s="78">
        <v>1</v>
      </c>
      <c r="Q94" s="70">
        <v>0</v>
      </c>
      <c r="R94" s="78">
        <v>0</v>
      </c>
      <c r="S94" s="70">
        <v>0</v>
      </c>
      <c r="T94" s="70">
        <v>1</v>
      </c>
      <c r="U94" s="70">
        <v>1</v>
      </c>
      <c r="V94" s="70">
        <v>0</v>
      </c>
      <c r="W94" s="78">
        <v>0</v>
      </c>
      <c r="X94" s="70">
        <v>1</v>
      </c>
      <c r="Y94" s="69">
        <v>1981</v>
      </c>
      <c r="Z94" s="28" t="s">
        <v>45</v>
      </c>
      <c r="AA94" t="s">
        <v>45</v>
      </c>
      <c r="AB94" s="28">
        <v>0.505</v>
      </c>
      <c r="AC94">
        <f t="shared" si="9"/>
        <v>0.495</v>
      </c>
      <c r="AD94" s="28" t="s">
        <v>45</v>
      </c>
      <c r="AE94" t="s">
        <v>45</v>
      </c>
      <c r="AF94">
        <v>0</v>
      </c>
      <c r="AG94">
        <v>1</v>
      </c>
      <c r="AH94" s="28">
        <v>0.72199999999999998</v>
      </c>
      <c r="AI94" s="12">
        <f t="shared" si="7"/>
        <v>0.27800000000000002</v>
      </c>
      <c r="AJ94">
        <v>0</v>
      </c>
      <c r="AK94">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35">
      <c r="A95">
        <v>94</v>
      </c>
      <c r="B95">
        <v>6</v>
      </c>
      <c r="C95" t="s">
        <v>226</v>
      </c>
      <c r="D95" s="79">
        <v>7.4</v>
      </c>
      <c r="E95" s="6">
        <f t="shared" si="13"/>
        <v>0.79059829059829068</v>
      </c>
      <c r="F95" s="6">
        <v>9.36</v>
      </c>
      <c r="G95" s="78">
        <v>0</v>
      </c>
      <c r="H95" s="70">
        <v>0</v>
      </c>
      <c r="I95" s="70">
        <v>1</v>
      </c>
      <c r="J95" s="78">
        <v>568</v>
      </c>
      <c r="K95" s="70">
        <v>3</v>
      </c>
      <c r="L95" s="70">
        <f t="shared" si="11"/>
        <v>564</v>
      </c>
      <c r="M95" s="60">
        <f t="shared" si="12"/>
        <v>15</v>
      </c>
      <c r="N95" s="70">
        <v>12.695</v>
      </c>
      <c r="O95" s="70">
        <f t="shared" si="14"/>
        <v>16.643000000000001</v>
      </c>
      <c r="P95" s="78">
        <v>1</v>
      </c>
      <c r="Q95" s="70">
        <v>0</v>
      </c>
      <c r="R95" s="78">
        <v>0</v>
      </c>
      <c r="S95" s="70">
        <v>0</v>
      </c>
      <c r="T95" s="70">
        <v>1</v>
      </c>
      <c r="U95" s="70">
        <v>1</v>
      </c>
      <c r="V95" s="70">
        <v>0</v>
      </c>
      <c r="W95" s="78">
        <v>0</v>
      </c>
      <c r="X95" s="70">
        <v>1</v>
      </c>
      <c r="Y95" s="69">
        <v>1981</v>
      </c>
      <c r="Z95" s="28" t="s">
        <v>45</v>
      </c>
      <c r="AA95" t="s">
        <v>45</v>
      </c>
      <c r="AB95" s="28">
        <v>0.505</v>
      </c>
      <c r="AC95">
        <f t="shared" si="9"/>
        <v>0.495</v>
      </c>
      <c r="AD95" s="28" t="s">
        <v>45</v>
      </c>
      <c r="AE95" t="s">
        <v>45</v>
      </c>
      <c r="AF95">
        <v>0</v>
      </c>
      <c r="AG95">
        <v>1</v>
      </c>
      <c r="AH95" s="28">
        <v>0.72199999999999998</v>
      </c>
      <c r="AI95" s="12">
        <f t="shared" si="7"/>
        <v>0.27800000000000002</v>
      </c>
      <c r="AJ95">
        <v>0</v>
      </c>
      <c r="AK95">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35">
      <c r="A96">
        <v>95</v>
      </c>
      <c r="B96">
        <v>7</v>
      </c>
      <c r="C96" t="s">
        <v>232</v>
      </c>
      <c r="D96" s="79">
        <v>5.5</v>
      </c>
      <c r="E96" s="6">
        <f t="shared" si="13"/>
        <v>0.20446096654275095</v>
      </c>
      <c r="F96" s="6">
        <v>26.9</v>
      </c>
      <c r="G96" s="78">
        <v>0</v>
      </c>
      <c r="H96" s="70">
        <v>0</v>
      </c>
      <c r="I96" s="70">
        <v>1</v>
      </c>
      <c r="J96" s="78">
        <v>3048</v>
      </c>
      <c r="K96" s="70">
        <v>1</v>
      </c>
      <c r="L96" s="70">
        <f t="shared" si="11"/>
        <v>3046</v>
      </c>
      <c r="M96" s="60">
        <f t="shared" si="12"/>
        <v>14</v>
      </c>
      <c r="N96" s="70">
        <v>14.5</v>
      </c>
      <c r="O96" s="70">
        <f t="shared" si="14"/>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5">1-AI96</f>
        <v>0.84599999999999997</v>
      </c>
      <c r="AI96" s="12">
        <v>0.154</v>
      </c>
      <c r="AJ96">
        <v>0.55969999999999998</v>
      </c>
      <c r="AK96">
        <f t="shared" ref="AK96:AK109" si="16">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35">
      <c r="A97">
        <v>96</v>
      </c>
      <c r="B97">
        <v>7</v>
      </c>
      <c r="C97" t="s">
        <v>232</v>
      </c>
      <c r="D97" s="79">
        <v>5.0999999999999996</v>
      </c>
      <c r="E97" s="6">
        <f t="shared" si="13"/>
        <v>0.23611111111111108</v>
      </c>
      <c r="F97" s="6">
        <v>21.6</v>
      </c>
      <c r="G97" s="78">
        <v>0</v>
      </c>
      <c r="H97" s="70">
        <v>0</v>
      </c>
      <c r="I97" s="70">
        <v>1</v>
      </c>
      <c r="J97" s="78">
        <v>2588</v>
      </c>
      <c r="K97" s="70">
        <v>1</v>
      </c>
      <c r="L97" s="70">
        <f t="shared" si="11"/>
        <v>2586</v>
      </c>
      <c r="M97" s="60">
        <f t="shared" si="12"/>
        <v>14</v>
      </c>
      <c r="N97" s="70">
        <v>13.6</v>
      </c>
      <c r="O97" s="70">
        <f t="shared" si="14"/>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5"/>
        <v>0.84599999999999997</v>
      </c>
      <c r="AI97" s="12">
        <v>0.154</v>
      </c>
      <c r="AJ97">
        <v>0.53700000000000003</v>
      </c>
      <c r="AK97">
        <f t="shared" si="16"/>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35">
      <c r="A98">
        <v>97</v>
      </c>
      <c r="B98">
        <v>7</v>
      </c>
      <c r="C98" t="s">
        <v>232</v>
      </c>
      <c r="D98" s="79">
        <v>4.0999999999999996</v>
      </c>
      <c r="E98" s="6">
        <f t="shared" si="13"/>
        <v>0.41836734693877542</v>
      </c>
      <c r="F98" s="6">
        <v>9.8000000000000007</v>
      </c>
      <c r="G98" s="78">
        <v>0</v>
      </c>
      <c r="H98" s="70">
        <v>0</v>
      </c>
      <c r="I98" s="70">
        <v>1</v>
      </c>
      <c r="J98" s="78">
        <v>3048</v>
      </c>
      <c r="K98" s="70">
        <v>1</v>
      </c>
      <c r="L98" s="70">
        <f t="shared" si="11"/>
        <v>3046</v>
      </c>
      <c r="M98" s="60">
        <f t="shared" si="12"/>
        <v>14</v>
      </c>
      <c r="N98" s="70">
        <v>14.5</v>
      </c>
      <c r="O98" s="70">
        <f t="shared" si="14"/>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5"/>
        <v>0.84599999999999997</v>
      </c>
      <c r="AI98" s="12">
        <v>0.154</v>
      </c>
      <c r="AJ98">
        <v>0.55969999999999998</v>
      </c>
      <c r="AK98">
        <f t="shared" si="16"/>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35">
      <c r="A99">
        <v>98</v>
      </c>
      <c r="B99">
        <v>7</v>
      </c>
      <c r="C99" t="s">
        <v>232</v>
      </c>
      <c r="D99" s="79">
        <v>4.3</v>
      </c>
      <c r="E99" s="6">
        <f t="shared" si="13"/>
        <v>0.40186915887850466</v>
      </c>
      <c r="F99" s="6">
        <v>10.7</v>
      </c>
      <c r="G99" s="78">
        <v>0</v>
      </c>
      <c r="H99" s="70">
        <v>0</v>
      </c>
      <c r="I99" s="70">
        <v>1</v>
      </c>
      <c r="J99" s="78">
        <v>2588</v>
      </c>
      <c r="K99" s="70">
        <v>1</v>
      </c>
      <c r="L99" s="70">
        <f t="shared" si="11"/>
        <v>2586</v>
      </c>
      <c r="M99" s="60">
        <f t="shared" si="12"/>
        <v>14</v>
      </c>
      <c r="N99" s="70">
        <v>13.6</v>
      </c>
      <c r="O99" s="70">
        <f t="shared" si="14"/>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5"/>
        <v>0.84599999999999997</v>
      </c>
      <c r="AI99" s="12">
        <v>0.154</v>
      </c>
      <c r="AJ99">
        <v>0.53700000000000003</v>
      </c>
      <c r="AK99">
        <f t="shared" si="16"/>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35">
      <c r="A100">
        <v>99</v>
      </c>
      <c r="B100">
        <v>7</v>
      </c>
      <c r="C100" t="s">
        <v>232</v>
      </c>
      <c r="D100" s="79">
        <v>7.6</v>
      </c>
      <c r="E100" s="6">
        <f t="shared" si="13"/>
        <v>0.44970414201183434</v>
      </c>
      <c r="F100" s="6">
        <v>16.899999999999999</v>
      </c>
      <c r="G100" s="78">
        <v>0</v>
      </c>
      <c r="H100" s="70">
        <v>0</v>
      </c>
      <c r="I100" s="70">
        <v>1</v>
      </c>
      <c r="J100" s="78">
        <v>3048</v>
      </c>
      <c r="K100" s="70">
        <v>1</v>
      </c>
      <c r="L100" s="70">
        <f t="shared" si="11"/>
        <v>3046</v>
      </c>
      <c r="M100" s="60">
        <f t="shared" si="12"/>
        <v>14</v>
      </c>
      <c r="N100" s="70">
        <v>14.5</v>
      </c>
      <c r="O100" s="70">
        <f t="shared" si="14"/>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5"/>
        <v>0.84599999999999997</v>
      </c>
      <c r="AI100" s="12">
        <v>0.154</v>
      </c>
      <c r="AJ100">
        <v>0.55969999999999998</v>
      </c>
      <c r="AK100">
        <f t="shared" si="16"/>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35">
      <c r="A101">
        <v>100</v>
      </c>
      <c r="B101">
        <v>7</v>
      </c>
      <c r="C101" t="s">
        <v>232</v>
      </c>
      <c r="D101" s="79">
        <v>8</v>
      </c>
      <c r="E101" s="6">
        <f t="shared" si="13"/>
        <v>0.48192771084337344</v>
      </c>
      <c r="F101" s="6">
        <v>16.600000000000001</v>
      </c>
      <c r="G101" s="78">
        <v>0</v>
      </c>
      <c r="H101" s="70">
        <v>0</v>
      </c>
      <c r="I101" s="70">
        <v>1</v>
      </c>
      <c r="J101" s="78">
        <v>2588</v>
      </c>
      <c r="K101" s="70">
        <v>1</v>
      </c>
      <c r="L101" s="70">
        <f t="shared" si="11"/>
        <v>2586</v>
      </c>
      <c r="M101" s="60">
        <f t="shared" si="12"/>
        <v>14</v>
      </c>
      <c r="N101" s="70">
        <v>13.6</v>
      </c>
      <c r="O101" s="70">
        <f t="shared" si="14"/>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5"/>
        <v>0.84599999999999997</v>
      </c>
      <c r="AI101" s="12">
        <v>0.154</v>
      </c>
      <c r="AJ101">
        <v>0.53700000000000003</v>
      </c>
      <c r="AK101">
        <f t="shared" si="16"/>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35">
      <c r="A102">
        <v>101</v>
      </c>
      <c r="B102">
        <v>7</v>
      </c>
      <c r="C102" t="s">
        <v>232</v>
      </c>
      <c r="D102" s="79">
        <v>3.1</v>
      </c>
      <c r="E102" s="6">
        <f t="shared" si="13"/>
        <v>0.70454545454545447</v>
      </c>
      <c r="F102" s="6">
        <v>4.4000000000000004</v>
      </c>
      <c r="G102" s="78">
        <v>0</v>
      </c>
      <c r="H102" s="70">
        <v>0</v>
      </c>
      <c r="I102" s="70">
        <v>1</v>
      </c>
      <c r="J102" s="78">
        <v>3048</v>
      </c>
      <c r="K102" s="70">
        <v>1</v>
      </c>
      <c r="L102" s="70">
        <f t="shared" si="11"/>
        <v>3046</v>
      </c>
      <c r="M102" s="60">
        <f t="shared" si="12"/>
        <v>14</v>
      </c>
      <c r="N102" s="70">
        <v>14.5</v>
      </c>
      <c r="O102" s="70">
        <f t="shared" si="14"/>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5"/>
        <v>0.84599999999999997</v>
      </c>
      <c r="AI102" s="12">
        <v>0.154</v>
      </c>
      <c r="AJ102">
        <v>0.55969999999999998</v>
      </c>
      <c r="AK102">
        <f t="shared" si="16"/>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35">
      <c r="A103">
        <v>102</v>
      </c>
      <c r="B103">
        <v>7</v>
      </c>
      <c r="C103" t="s">
        <v>232</v>
      </c>
      <c r="D103" s="79">
        <v>6.3</v>
      </c>
      <c r="E103" s="6">
        <f t="shared" si="13"/>
        <v>0.7078651685393258</v>
      </c>
      <c r="F103" s="6">
        <v>8.9</v>
      </c>
      <c r="G103" s="78">
        <v>0</v>
      </c>
      <c r="H103" s="70">
        <v>0</v>
      </c>
      <c r="I103" s="70">
        <v>1</v>
      </c>
      <c r="J103" s="78">
        <v>2588</v>
      </c>
      <c r="K103" s="70">
        <v>1</v>
      </c>
      <c r="L103" s="70">
        <f t="shared" si="11"/>
        <v>2586</v>
      </c>
      <c r="M103" s="60">
        <f t="shared" si="12"/>
        <v>14</v>
      </c>
      <c r="N103" s="70">
        <v>13.6</v>
      </c>
      <c r="O103" s="70">
        <f t="shared" si="14"/>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5"/>
        <v>0.84599999999999997</v>
      </c>
      <c r="AI103" s="12">
        <v>0.154</v>
      </c>
      <c r="AJ103">
        <v>0.53700000000000003</v>
      </c>
      <c r="AK103">
        <f t="shared" si="16"/>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35">
      <c r="A104">
        <v>103</v>
      </c>
      <c r="B104">
        <v>7</v>
      </c>
      <c r="C104" t="s">
        <v>232</v>
      </c>
      <c r="D104" s="79">
        <v>7.1</v>
      </c>
      <c r="E104" s="6">
        <f t="shared" si="13"/>
        <v>0.23666666666666666</v>
      </c>
      <c r="F104" s="6">
        <v>30</v>
      </c>
      <c r="G104" s="78">
        <v>0</v>
      </c>
      <c r="H104" s="70">
        <v>0</v>
      </c>
      <c r="I104" s="70">
        <v>1</v>
      </c>
      <c r="J104" s="78">
        <v>3048</v>
      </c>
      <c r="K104" s="70">
        <v>1</v>
      </c>
      <c r="L104" s="70">
        <f t="shared" si="11"/>
        <v>3046</v>
      </c>
      <c r="M104" s="60">
        <f t="shared" si="12"/>
        <v>14</v>
      </c>
      <c r="N104" s="70">
        <v>14.5</v>
      </c>
      <c r="O104" s="70">
        <f t="shared" si="14"/>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5"/>
        <v>0.84599999999999997</v>
      </c>
      <c r="AI104" s="12">
        <v>0.154</v>
      </c>
      <c r="AJ104">
        <v>0.55969999999999998</v>
      </c>
      <c r="AK104">
        <f t="shared" si="16"/>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35">
      <c r="A105">
        <v>104</v>
      </c>
      <c r="B105">
        <v>7</v>
      </c>
      <c r="C105" t="s">
        <v>232</v>
      </c>
      <c r="D105" s="79">
        <v>7.3</v>
      </c>
      <c r="E105" s="6">
        <f t="shared" si="13"/>
        <v>0.2786259541984733</v>
      </c>
      <c r="F105" s="6">
        <v>26.2</v>
      </c>
      <c r="G105" s="78">
        <v>0</v>
      </c>
      <c r="H105" s="70">
        <v>0</v>
      </c>
      <c r="I105" s="70">
        <v>1</v>
      </c>
      <c r="J105" s="78">
        <v>2588</v>
      </c>
      <c r="K105" s="70">
        <v>1</v>
      </c>
      <c r="L105" s="70">
        <f t="shared" si="11"/>
        <v>2586</v>
      </c>
      <c r="M105" s="60">
        <f t="shared" si="12"/>
        <v>14</v>
      </c>
      <c r="N105" s="70">
        <v>13.6</v>
      </c>
      <c r="O105" s="70">
        <f t="shared" si="14"/>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5"/>
        <v>0.84599999999999997</v>
      </c>
      <c r="AI105" s="12">
        <v>0.154</v>
      </c>
      <c r="AJ105">
        <v>0.53700000000000003</v>
      </c>
      <c r="AK105">
        <f t="shared" si="16"/>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35">
      <c r="A106">
        <v>105</v>
      </c>
      <c r="B106">
        <v>7</v>
      </c>
      <c r="C106" t="s">
        <v>232</v>
      </c>
      <c r="D106" s="79">
        <v>9.4</v>
      </c>
      <c r="E106" s="6">
        <f t="shared" si="13"/>
        <v>1.0930232558139537</v>
      </c>
      <c r="F106" s="6">
        <v>8.6</v>
      </c>
      <c r="G106" s="78">
        <v>0</v>
      </c>
      <c r="H106" s="70">
        <v>0</v>
      </c>
      <c r="I106" s="70">
        <v>1</v>
      </c>
      <c r="J106" s="78">
        <v>282</v>
      </c>
      <c r="K106" s="70">
        <v>1</v>
      </c>
      <c r="L106" s="70">
        <f t="shared" si="11"/>
        <v>280</v>
      </c>
      <c r="M106" s="60">
        <f t="shared" si="12"/>
        <v>14</v>
      </c>
      <c r="N106" s="70">
        <v>13.6</v>
      </c>
      <c r="O106" s="70">
        <f t="shared" si="14"/>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5"/>
        <v>0.84599999999999997</v>
      </c>
      <c r="AI106" s="12">
        <v>0.154</v>
      </c>
      <c r="AJ106">
        <v>0.53700000000000003</v>
      </c>
      <c r="AK106">
        <f t="shared" si="16"/>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35">
      <c r="A107">
        <v>106</v>
      </c>
      <c r="B107">
        <v>7</v>
      </c>
      <c r="C107" t="s">
        <v>232</v>
      </c>
      <c r="D107" s="79">
        <v>10.1</v>
      </c>
      <c r="E107" s="6">
        <f t="shared" si="13"/>
        <v>1.2023809523809523</v>
      </c>
      <c r="F107" s="6">
        <v>8.4</v>
      </c>
      <c r="G107" s="78">
        <v>0</v>
      </c>
      <c r="H107" s="70">
        <v>0</v>
      </c>
      <c r="I107" s="70">
        <v>1</v>
      </c>
      <c r="J107" s="78">
        <v>282</v>
      </c>
      <c r="K107" s="70">
        <v>1</v>
      </c>
      <c r="L107" s="70">
        <f t="shared" si="11"/>
        <v>280</v>
      </c>
      <c r="M107" s="60">
        <f t="shared" si="12"/>
        <v>14</v>
      </c>
      <c r="N107" s="70">
        <v>13.6</v>
      </c>
      <c r="O107" s="70">
        <f t="shared" si="14"/>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5"/>
        <v>0.84599999999999997</v>
      </c>
      <c r="AI107" s="12">
        <v>0.154</v>
      </c>
      <c r="AJ107">
        <v>0.53700000000000003</v>
      </c>
      <c r="AK107">
        <f t="shared" si="16"/>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35">
      <c r="A108">
        <v>107</v>
      </c>
      <c r="B108">
        <v>7</v>
      </c>
      <c r="C108" t="s">
        <v>232</v>
      </c>
      <c r="D108" s="79">
        <v>3.5</v>
      </c>
      <c r="E108" s="6">
        <f t="shared" si="13"/>
        <v>0.44871794871794873</v>
      </c>
      <c r="F108" s="6">
        <v>7.8</v>
      </c>
      <c r="G108" s="78">
        <v>0</v>
      </c>
      <c r="H108" s="70">
        <v>0</v>
      </c>
      <c r="I108" s="70">
        <v>1</v>
      </c>
      <c r="J108" s="78">
        <v>282</v>
      </c>
      <c r="K108" s="70">
        <v>1</v>
      </c>
      <c r="L108" s="70">
        <f t="shared" si="11"/>
        <v>280</v>
      </c>
      <c r="M108" s="60">
        <f t="shared" si="12"/>
        <v>14</v>
      </c>
      <c r="N108" s="70">
        <v>13.6</v>
      </c>
      <c r="O108" s="70">
        <f t="shared" si="14"/>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5"/>
        <v>0.84599999999999997</v>
      </c>
      <c r="AI108" s="12">
        <v>0.154</v>
      </c>
      <c r="AJ108">
        <v>0.53700000000000003</v>
      </c>
      <c r="AK108">
        <f t="shared" si="16"/>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35">
      <c r="A109">
        <v>108</v>
      </c>
      <c r="B109">
        <v>7</v>
      </c>
      <c r="C109" t="s">
        <v>232</v>
      </c>
      <c r="D109" s="79">
        <v>5</v>
      </c>
      <c r="E109" s="6">
        <f t="shared" si="13"/>
        <v>2.9411764705882355</v>
      </c>
      <c r="F109" s="6">
        <v>1.7</v>
      </c>
      <c r="G109" s="78">
        <v>0</v>
      </c>
      <c r="H109" s="70">
        <v>0</v>
      </c>
      <c r="I109" s="70">
        <v>1</v>
      </c>
      <c r="J109" s="78">
        <v>282</v>
      </c>
      <c r="K109" s="70">
        <v>1</v>
      </c>
      <c r="L109" s="70">
        <f t="shared" si="11"/>
        <v>280</v>
      </c>
      <c r="M109" s="60">
        <f t="shared" si="12"/>
        <v>14</v>
      </c>
      <c r="N109" s="70">
        <v>13.6</v>
      </c>
      <c r="O109" s="70">
        <f t="shared" si="14"/>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5"/>
        <v>0.84599999999999997</v>
      </c>
      <c r="AI109" s="12">
        <v>0.154</v>
      </c>
      <c r="AJ109">
        <v>0.53700000000000003</v>
      </c>
      <c r="AK109">
        <f t="shared" si="16"/>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35">
      <c r="A110">
        <v>109</v>
      </c>
      <c r="B110">
        <v>8</v>
      </c>
      <c r="C110" t="s">
        <v>238</v>
      </c>
      <c r="D110" s="79">
        <v>11.3</v>
      </c>
      <c r="E110" s="6">
        <f t="shared" si="13"/>
        <v>0.51598173515981738</v>
      </c>
      <c r="F110" s="6">
        <v>21.9</v>
      </c>
      <c r="G110" s="78">
        <v>0</v>
      </c>
      <c r="H110" s="70">
        <v>0</v>
      </c>
      <c r="I110" s="70">
        <v>1</v>
      </c>
      <c r="J110" s="78">
        <v>1440</v>
      </c>
      <c r="K110" s="70">
        <v>3</v>
      </c>
      <c r="L110" s="70">
        <f t="shared" si="11"/>
        <v>1436</v>
      </c>
      <c r="M110" s="60">
        <f t="shared" si="12"/>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35">
      <c r="A111">
        <v>110</v>
      </c>
      <c r="B111">
        <v>8</v>
      </c>
      <c r="C111" t="s">
        <v>238</v>
      </c>
      <c r="D111" s="79">
        <v>11.8</v>
      </c>
      <c r="E111" s="6">
        <f t="shared" si="13"/>
        <v>0.50212765957446814</v>
      </c>
      <c r="F111" s="6">
        <v>23.5</v>
      </c>
      <c r="G111" s="78">
        <v>0</v>
      </c>
      <c r="H111" s="70">
        <v>0</v>
      </c>
      <c r="I111" s="70">
        <v>1</v>
      </c>
      <c r="J111" s="78">
        <v>1440</v>
      </c>
      <c r="K111" s="70">
        <v>4</v>
      </c>
      <c r="L111" s="70">
        <f t="shared" si="11"/>
        <v>1435</v>
      </c>
      <c r="M111" s="60">
        <f t="shared" si="12"/>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35">
      <c r="A112">
        <v>111</v>
      </c>
      <c r="B112">
        <v>8</v>
      </c>
      <c r="C112" t="s">
        <v>238</v>
      </c>
      <c r="D112" s="79">
        <v>10.5</v>
      </c>
      <c r="E112" s="6">
        <f t="shared" si="13"/>
        <v>1.8584070796460175</v>
      </c>
      <c r="F112" s="6">
        <v>5.65</v>
      </c>
      <c r="G112" s="78">
        <v>0</v>
      </c>
      <c r="H112" s="70">
        <v>0</v>
      </c>
      <c r="I112" s="70">
        <v>1</v>
      </c>
      <c r="J112" s="78">
        <v>720</v>
      </c>
      <c r="K112" s="70">
        <v>1</v>
      </c>
      <c r="L112" s="70">
        <f t="shared" si="11"/>
        <v>718</v>
      </c>
      <c r="M112" s="60">
        <f t="shared" si="12"/>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35">
      <c r="A113">
        <v>112</v>
      </c>
      <c r="B113">
        <v>8</v>
      </c>
      <c r="C113" t="s">
        <v>238</v>
      </c>
      <c r="D113" s="79">
        <v>10.4</v>
      </c>
      <c r="E113" s="6">
        <f t="shared" si="13"/>
        <v>1.6965742251223492</v>
      </c>
      <c r="F113" s="6">
        <v>6.13</v>
      </c>
      <c r="G113" s="78">
        <v>0</v>
      </c>
      <c r="H113" s="70">
        <v>0</v>
      </c>
      <c r="I113" s="70">
        <v>1</v>
      </c>
      <c r="J113" s="78">
        <v>720</v>
      </c>
      <c r="K113" s="70">
        <v>3</v>
      </c>
      <c r="L113" s="70">
        <f t="shared" si="11"/>
        <v>716</v>
      </c>
      <c r="M113" s="60">
        <f t="shared" si="12"/>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35">
      <c r="A114">
        <v>113</v>
      </c>
      <c r="B114">
        <v>8</v>
      </c>
      <c r="C114" t="s">
        <v>238</v>
      </c>
      <c r="D114" s="79">
        <v>10.4</v>
      </c>
      <c r="E114" s="6">
        <f t="shared" si="13"/>
        <v>1.7449664429530203</v>
      </c>
      <c r="F114" s="6">
        <v>5.96</v>
      </c>
      <c r="G114" s="78">
        <v>0</v>
      </c>
      <c r="H114" s="70">
        <v>0</v>
      </c>
      <c r="I114" s="70">
        <v>1</v>
      </c>
      <c r="J114" s="78">
        <v>720</v>
      </c>
      <c r="K114" s="70">
        <v>3</v>
      </c>
      <c r="L114" s="70">
        <f t="shared" si="11"/>
        <v>716</v>
      </c>
      <c r="M114" s="60">
        <f t="shared" si="12"/>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35">
      <c r="A115">
        <v>114</v>
      </c>
      <c r="B115">
        <v>9</v>
      </c>
      <c r="C115" t="s">
        <v>244</v>
      </c>
      <c r="D115" s="79">
        <v>10</v>
      </c>
      <c r="E115" s="6">
        <v>0.7</v>
      </c>
      <c r="F115" s="6">
        <f t="shared" ref="F115:F166" si="17">D115/E115</f>
        <v>14.285714285714286</v>
      </c>
      <c r="G115" s="78">
        <v>0</v>
      </c>
      <c r="H115" s="70">
        <v>0</v>
      </c>
      <c r="I115" s="70">
        <v>1</v>
      </c>
      <c r="J115" s="78">
        <v>2257</v>
      </c>
      <c r="K115" s="70">
        <v>7</v>
      </c>
      <c r="L115" s="70">
        <f t="shared" si="11"/>
        <v>2249</v>
      </c>
      <c r="M115" s="60">
        <f t="shared" si="12"/>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8">1-AB115</f>
        <v>0.44999999999999996</v>
      </c>
      <c r="AD115" s="28">
        <v>0</v>
      </c>
      <c r="AE115">
        <v>1</v>
      </c>
      <c r="AF115">
        <v>0</v>
      </c>
      <c r="AG115">
        <v>1</v>
      </c>
      <c r="AH115" s="28">
        <v>0.67</v>
      </c>
      <c r="AI115" s="12">
        <f t="shared" ref="AI115:AI178" si="19">1-AH115</f>
        <v>0.32999999999999996</v>
      </c>
      <c r="AJ115">
        <v>1</v>
      </c>
      <c r="AK115">
        <f t="shared" ref="AK115:AK128" si="20">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35">
      <c r="A116">
        <v>115</v>
      </c>
      <c r="B116">
        <v>9</v>
      </c>
      <c r="C116" t="s">
        <v>244</v>
      </c>
      <c r="D116" s="79">
        <v>4.5</v>
      </c>
      <c r="E116" s="6">
        <v>1.2</v>
      </c>
      <c r="F116" s="6">
        <f t="shared" si="17"/>
        <v>3.75</v>
      </c>
      <c r="G116" s="78">
        <v>0</v>
      </c>
      <c r="H116" s="70">
        <v>0</v>
      </c>
      <c r="I116" s="70">
        <v>1</v>
      </c>
      <c r="J116" s="78">
        <v>2257</v>
      </c>
      <c r="K116" s="70">
        <v>4</v>
      </c>
      <c r="L116" s="70">
        <f t="shared" si="11"/>
        <v>2252</v>
      </c>
      <c r="M116" s="60">
        <f t="shared" si="12"/>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8"/>
        <v>0.44999999999999996</v>
      </c>
      <c r="AD116" s="28">
        <v>0</v>
      </c>
      <c r="AE116">
        <v>1</v>
      </c>
      <c r="AF116">
        <v>0</v>
      </c>
      <c r="AG116">
        <v>1</v>
      </c>
      <c r="AH116" s="28">
        <v>0.67</v>
      </c>
      <c r="AI116" s="12">
        <f t="shared" si="19"/>
        <v>0.32999999999999996</v>
      </c>
      <c r="AJ116">
        <v>1</v>
      </c>
      <c r="AK116">
        <f t="shared" si="20"/>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35">
      <c r="A117">
        <v>116</v>
      </c>
      <c r="B117">
        <v>9</v>
      </c>
      <c r="C117" t="s">
        <v>244</v>
      </c>
      <c r="D117" s="79">
        <v>4.5999999999999996</v>
      </c>
      <c r="E117" s="6">
        <v>1.2</v>
      </c>
      <c r="F117" s="6">
        <f t="shared" si="17"/>
        <v>3.833333333333333</v>
      </c>
      <c r="G117" s="78">
        <v>0</v>
      </c>
      <c r="H117" s="70">
        <v>0</v>
      </c>
      <c r="I117" s="70">
        <v>1</v>
      </c>
      <c r="J117" s="78">
        <v>2257</v>
      </c>
      <c r="K117" s="70">
        <v>8</v>
      </c>
      <c r="L117" s="70">
        <f t="shared" si="11"/>
        <v>2248</v>
      </c>
      <c r="M117" s="60">
        <f t="shared" si="12"/>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8"/>
        <v>0.44999999999999996</v>
      </c>
      <c r="AD117" s="28">
        <v>0</v>
      </c>
      <c r="AE117">
        <v>1</v>
      </c>
      <c r="AF117">
        <v>0</v>
      </c>
      <c r="AG117">
        <v>1</v>
      </c>
      <c r="AH117" s="28">
        <v>0.67</v>
      </c>
      <c r="AI117" s="12">
        <f t="shared" si="19"/>
        <v>0.32999999999999996</v>
      </c>
      <c r="AJ117">
        <v>1</v>
      </c>
      <c r="AK117">
        <f t="shared" si="20"/>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35">
      <c r="A118">
        <v>117</v>
      </c>
      <c r="B118">
        <v>9</v>
      </c>
      <c r="C118" t="s">
        <v>244</v>
      </c>
      <c r="D118" s="79">
        <v>9.3000000000000007</v>
      </c>
      <c r="E118" s="6">
        <v>4.5</v>
      </c>
      <c r="F118" s="6">
        <f t="shared" si="17"/>
        <v>2.0666666666666669</v>
      </c>
      <c r="G118" s="78">
        <v>0</v>
      </c>
      <c r="H118" s="70">
        <v>0</v>
      </c>
      <c r="I118" s="70">
        <v>1</v>
      </c>
      <c r="J118" s="78">
        <v>1320</v>
      </c>
      <c r="K118" s="70">
        <v>4</v>
      </c>
      <c r="L118" s="70">
        <f t="shared" si="11"/>
        <v>1315</v>
      </c>
      <c r="M118" s="60">
        <f t="shared" si="12"/>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8"/>
        <v>0.44999999999999996</v>
      </c>
      <c r="AD118" s="28">
        <v>0</v>
      </c>
      <c r="AE118">
        <v>1</v>
      </c>
      <c r="AF118">
        <v>0</v>
      </c>
      <c r="AG118">
        <v>1</v>
      </c>
      <c r="AH118" s="28">
        <v>0.67</v>
      </c>
      <c r="AI118" s="12">
        <f t="shared" si="19"/>
        <v>0.32999999999999996</v>
      </c>
      <c r="AJ118">
        <v>1</v>
      </c>
      <c r="AK118">
        <f t="shared" si="20"/>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35">
      <c r="A119">
        <v>118</v>
      </c>
      <c r="B119">
        <v>9</v>
      </c>
      <c r="C119" t="s">
        <v>244</v>
      </c>
      <c r="D119" s="79">
        <v>5.4</v>
      </c>
      <c r="E119" s="6">
        <v>1.9</v>
      </c>
      <c r="F119" s="6">
        <f t="shared" si="17"/>
        <v>2.8421052631578951</v>
      </c>
      <c r="G119" s="78">
        <v>0</v>
      </c>
      <c r="H119" s="70">
        <v>0</v>
      </c>
      <c r="I119" s="70">
        <v>1</v>
      </c>
      <c r="J119" s="78">
        <v>1390</v>
      </c>
      <c r="K119" s="70">
        <v>5</v>
      </c>
      <c r="L119" s="70">
        <f t="shared" si="11"/>
        <v>1384</v>
      </c>
      <c r="M119" s="60">
        <f t="shared" si="12"/>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8"/>
        <v>0.5</v>
      </c>
      <c r="AD119" s="28">
        <v>0</v>
      </c>
      <c r="AE119">
        <v>1</v>
      </c>
      <c r="AF119">
        <v>0</v>
      </c>
      <c r="AG119">
        <v>1</v>
      </c>
      <c r="AH119" s="28">
        <v>0.64</v>
      </c>
      <c r="AI119" s="12">
        <f t="shared" si="19"/>
        <v>0.36</v>
      </c>
      <c r="AJ119">
        <v>0</v>
      </c>
      <c r="AK119">
        <f t="shared" si="20"/>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35">
      <c r="A120">
        <v>119</v>
      </c>
      <c r="B120">
        <v>9</v>
      </c>
      <c r="C120" t="s">
        <v>244</v>
      </c>
      <c r="D120" s="79">
        <v>5.0999999999999996</v>
      </c>
      <c r="E120" s="6">
        <v>1.8</v>
      </c>
      <c r="F120" s="6">
        <f t="shared" si="17"/>
        <v>2.833333333333333</v>
      </c>
      <c r="G120" s="78">
        <v>0</v>
      </c>
      <c r="H120" s="70">
        <v>0</v>
      </c>
      <c r="I120" s="70">
        <v>1</v>
      </c>
      <c r="J120" s="78">
        <v>1390</v>
      </c>
      <c r="K120" s="70">
        <v>8</v>
      </c>
      <c r="L120" s="70">
        <f t="shared" si="11"/>
        <v>1381</v>
      </c>
      <c r="M120" s="60">
        <f t="shared" si="12"/>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8"/>
        <v>0.5</v>
      </c>
      <c r="AD120" s="28">
        <v>0</v>
      </c>
      <c r="AE120">
        <v>1</v>
      </c>
      <c r="AF120">
        <v>0</v>
      </c>
      <c r="AG120">
        <v>1</v>
      </c>
      <c r="AH120" s="28">
        <v>0.64</v>
      </c>
      <c r="AI120" s="12">
        <f t="shared" si="19"/>
        <v>0.36</v>
      </c>
      <c r="AJ120">
        <v>0</v>
      </c>
      <c r="AK120">
        <f t="shared" si="20"/>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35">
      <c r="A121">
        <v>120</v>
      </c>
      <c r="B121">
        <v>9</v>
      </c>
      <c r="C121" t="s">
        <v>244</v>
      </c>
      <c r="D121" s="79">
        <v>14.1</v>
      </c>
      <c r="E121" s="6">
        <v>4.7</v>
      </c>
      <c r="F121" s="6">
        <f t="shared" si="17"/>
        <v>3</v>
      </c>
      <c r="G121" s="78">
        <v>0</v>
      </c>
      <c r="H121" s="70">
        <v>0</v>
      </c>
      <c r="I121" s="70">
        <v>1</v>
      </c>
      <c r="J121" s="78">
        <v>712</v>
      </c>
      <c r="K121" s="70">
        <v>5</v>
      </c>
      <c r="L121" s="70">
        <f t="shared" si="11"/>
        <v>706</v>
      </c>
      <c r="M121" s="60">
        <f t="shared" si="12"/>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8"/>
        <v>0.5</v>
      </c>
      <c r="AD121" s="28">
        <v>0</v>
      </c>
      <c r="AE121">
        <v>1</v>
      </c>
      <c r="AF121">
        <v>0</v>
      </c>
      <c r="AG121">
        <v>1</v>
      </c>
      <c r="AH121" s="28">
        <v>0.64</v>
      </c>
      <c r="AI121" s="12">
        <f t="shared" si="19"/>
        <v>0.36</v>
      </c>
      <c r="AJ121">
        <v>0</v>
      </c>
      <c r="AK121">
        <f t="shared" si="20"/>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35">
      <c r="A122">
        <v>121</v>
      </c>
      <c r="B122">
        <v>9</v>
      </c>
      <c r="C122" t="s">
        <v>244</v>
      </c>
      <c r="D122" s="79">
        <v>8.8000000000000007</v>
      </c>
      <c r="E122" s="6">
        <v>0.7</v>
      </c>
      <c r="F122" s="6">
        <f t="shared" si="17"/>
        <v>12.571428571428573</v>
      </c>
      <c r="G122" s="78">
        <v>0</v>
      </c>
      <c r="H122" s="70">
        <v>0</v>
      </c>
      <c r="I122" s="70">
        <v>1</v>
      </c>
      <c r="J122" s="78">
        <v>2160</v>
      </c>
      <c r="K122" s="70">
        <v>7</v>
      </c>
      <c r="L122" s="70">
        <f t="shared" si="11"/>
        <v>2152</v>
      </c>
      <c r="M122" s="60">
        <f t="shared" si="12"/>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8"/>
        <v>0.44999999999999996</v>
      </c>
      <c r="AD122" s="28">
        <v>0</v>
      </c>
      <c r="AE122">
        <v>1</v>
      </c>
      <c r="AF122">
        <v>0</v>
      </c>
      <c r="AG122">
        <v>1</v>
      </c>
      <c r="AH122" s="28">
        <v>0.67</v>
      </c>
      <c r="AI122" s="12">
        <f t="shared" si="19"/>
        <v>0.32999999999999996</v>
      </c>
      <c r="AJ122">
        <v>1</v>
      </c>
      <c r="AK122">
        <f t="shared" si="20"/>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35">
      <c r="A123">
        <v>122</v>
      </c>
      <c r="B123">
        <v>9</v>
      </c>
      <c r="C123" t="s">
        <v>244</v>
      </c>
      <c r="D123" s="79">
        <v>4.5</v>
      </c>
      <c r="E123" s="6">
        <v>1.2</v>
      </c>
      <c r="F123" s="6">
        <f t="shared" si="17"/>
        <v>3.75</v>
      </c>
      <c r="G123" s="78">
        <v>0</v>
      </c>
      <c r="H123" s="70">
        <v>0</v>
      </c>
      <c r="I123" s="70">
        <v>1</v>
      </c>
      <c r="J123" s="78">
        <v>2160</v>
      </c>
      <c r="K123" s="70">
        <v>4</v>
      </c>
      <c r="L123" s="70">
        <f t="shared" si="11"/>
        <v>2155</v>
      </c>
      <c r="M123" s="60">
        <f t="shared" si="12"/>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8"/>
        <v>0.44999999999999996</v>
      </c>
      <c r="AD123" s="28">
        <v>0</v>
      </c>
      <c r="AE123">
        <v>1</v>
      </c>
      <c r="AF123">
        <v>0</v>
      </c>
      <c r="AG123">
        <v>1</v>
      </c>
      <c r="AH123" s="28">
        <v>0.67</v>
      </c>
      <c r="AI123" s="12">
        <f t="shared" si="19"/>
        <v>0.32999999999999996</v>
      </c>
      <c r="AJ123">
        <v>1</v>
      </c>
      <c r="AK123">
        <f t="shared" si="20"/>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35">
      <c r="A124">
        <v>123</v>
      </c>
      <c r="B124">
        <v>9</v>
      </c>
      <c r="C124" t="s">
        <v>244</v>
      </c>
      <c r="D124" s="79">
        <v>4.3</v>
      </c>
      <c r="E124" s="6">
        <v>1.1000000000000001</v>
      </c>
      <c r="F124" s="6">
        <f t="shared" si="17"/>
        <v>3.9090909090909087</v>
      </c>
      <c r="G124" s="78">
        <v>0</v>
      </c>
      <c r="H124" s="70">
        <v>0</v>
      </c>
      <c r="I124" s="70">
        <v>1</v>
      </c>
      <c r="J124" s="78">
        <v>2160</v>
      </c>
      <c r="K124" s="70">
        <v>8</v>
      </c>
      <c r="L124" s="70">
        <f t="shared" si="11"/>
        <v>2151</v>
      </c>
      <c r="M124" s="60">
        <f t="shared" si="12"/>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8"/>
        <v>0.44999999999999996</v>
      </c>
      <c r="AD124" s="28">
        <v>0</v>
      </c>
      <c r="AE124">
        <v>1</v>
      </c>
      <c r="AF124">
        <v>0</v>
      </c>
      <c r="AG124">
        <v>1</v>
      </c>
      <c r="AH124" s="28">
        <v>0.67</v>
      </c>
      <c r="AI124" s="12">
        <f t="shared" si="19"/>
        <v>0.32999999999999996</v>
      </c>
      <c r="AJ124">
        <v>1</v>
      </c>
      <c r="AK124">
        <f t="shared" si="20"/>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35">
      <c r="A125">
        <v>124</v>
      </c>
      <c r="B125">
        <v>9</v>
      </c>
      <c r="C125" t="s">
        <v>244</v>
      </c>
      <c r="D125" s="79">
        <v>8.3000000000000007</v>
      </c>
      <c r="E125" s="6">
        <v>4</v>
      </c>
      <c r="F125" s="6">
        <f t="shared" si="17"/>
        <v>2.0750000000000002</v>
      </c>
      <c r="G125" s="78">
        <v>0</v>
      </c>
      <c r="H125" s="70">
        <v>0</v>
      </c>
      <c r="I125" s="70">
        <v>1</v>
      </c>
      <c r="J125" s="78">
        <v>1320</v>
      </c>
      <c r="K125" s="70">
        <v>4</v>
      </c>
      <c r="L125" s="70">
        <f t="shared" si="11"/>
        <v>1315</v>
      </c>
      <c r="M125" s="60">
        <f t="shared" si="12"/>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8"/>
        <v>0.44999999999999996</v>
      </c>
      <c r="AD125" s="28">
        <v>0</v>
      </c>
      <c r="AE125">
        <v>1</v>
      </c>
      <c r="AF125">
        <v>0</v>
      </c>
      <c r="AG125">
        <v>1</v>
      </c>
      <c r="AH125" s="28">
        <v>0.67</v>
      </c>
      <c r="AI125" s="12">
        <f t="shared" si="19"/>
        <v>0.32999999999999996</v>
      </c>
      <c r="AJ125">
        <v>1</v>
      </c>
      <c r="AK125">
        <f t="shared" si="20"/>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35">
      <c r="A126">
        <v>125</v>
      </c>
      <c r="B126">
        <v>9</v>
      </c>
      <c r="C126" t="s">
        <v>244</v>
      </c>
      <c r="D126" s="79">
        <v>4.5</v>
      </c>
      <c r="E126" s="6">
        <v>1.9</v>
      </c>
      <c r="F126" s="6">
        <f t="shared" si="17"/>
        <v>2.3684210526315792</v>
      </c>
      <c r="G126" s="78">
        <v>0</v>
      </c>
      <c r="H126" s="70">
        <v>0</v>
      </c>
      <c r="I126" s="70">
        <v>1</v>
      </c>
      <c r="J126" s="78">
        <v>1331</v>
      </c>
      <c r="K126" s="70">
        <v>5</v>
      </c>
      <c r="L126" s="70">
        <f t="shared" si="11"/>
        <v>1325</v>
      </c>
      <c r="M126" s="60">
        <f t="shared" si="12"/>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8"/>
        <v>0.5</v>
      </c>
      <c r="AD126" s="28">
        <v>0</v>
      </c>
      <c r="AE126">
        <v>1</v>
      </c>
      <c r="AF126">
        <v>0</v>
      </c>
      <c r="AG126">
        <v>1</v>
      </c>
      <c r="AH126" s="28">
        <v>0.64</v>
      </c>
      <c r="AI126" s="12">
        <f t="shared" si="19"/>
        <v>0.36</v>
      </c>
      <c r="AJ126">
        <v>0</v>
      </c>
      <c r="AK126">
        <f t="shared" si="20"/>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35">
      <c r="A127">
        <v>126</v>
      </c>
      <c r="B127">
        <v>9</v>
      </c>
      <c r="C127" t="s">
        <v>244</v>
      </c>
      <c r="D127" s="79">
        <v>5.2</v>
      </c>
      <c r="E127" s="6">
        <v>1.7</v>
      </c>
      <c r="F127" s="6">
        <f t="shared" si="17"/>
        <v>3.0588235294117649</v>
      </c>
      <c r="G127" s="78">
        <v>0</v>
      </c>
      <c r="H127" s="70">
        <v>0</v>
      </c>
      <c r="I127" s="70">
        <v>1</v>
      </c>
      <c r="J127" s="78">
        <v>1331</v>
      </c>
      <c r="K127" s="70">
        <v>8</v>
      </c>
      <c r="L127" s="70">
        <f t="shared" si="11"/>
        <v>1322</v>
      </c>
      <c r="M127" s="60">
        <f t="shared" si="12"/>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8"/>
        <v>0.5</v>
      </c>
      <c r="AD127" s="28">
        <v>0</v>
      </c>
      <c r="AE127">
        <v>1</v>
      </c>
      <c r="AF127">
        <v>0</v>
      </c>
      <c r="AG127">
        <v>1</v>
      </c>
      <c r="AH127" s="28">
        <v>0.64</v>
      </c>
      <c r="AI127" s="12">
        <f t="shared" si="19"/>
        <v>0.36</v>
      </c>
      <c r="AJ127">
        <v>0</v>
      </c>
      <c r="AK127">
        <f t="shared" si="20"/>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35">
      <c r="A128">
        <v>127</v>
      </c>
      <c r="B128">
        <v>9</v>
      </c>
      <c r="C128" t="s">
        <v>244</v>
      </c>
      <c r="D128" s="79">
        <v>12.5</v>
      </c>
      <c r="E128" s="6">
        <v>4.0999999999999996</v>
      </c>
      <c r="F128" s="6">
        <f t="shared" si="17"/>
        <v>3.0487804878048781</v>
      </c>
      <c r="G128" s="78">
        <v>0</v>
      </c>
      <c r="H128" s="70">
        <v>0</v>
      </c>
      <c r="I128" s="70">
        <v>1</v>
      </c>
      <c r="J128" s="78">
        <v>712</v>
      </c>
      <c r="K128" s="70">
        <v>5</v>
      </c>
      <c r="L128" s="70">
        <f t="shared" si="11"/>
        <v>706</v>
      </c>
      <c r="M128" s="60">
        <f t="shared" si="12"/>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8"/>
        <v>0.5</v>
      </c>
      <c r="AD128" s="28">
        <v>0</v>
      </c>
      <c r="AE128">
        <v>1</v>
      </c>
      <c r="AF128">
        <v>0</v>
      </c>
      <c r="AG128">
        <v>1</v>
      </c>
      <c r="AH128" s="28">
        <v>0.64</v>
      </c>
      <c r="AI128" s="12">
        <f t="shared" si="19"/>
        <v>0.36</v>
      </c>
      <c r="AJ128">
        <v>0</v>
      </c>
      <c r="AK128">
        <f t="shared" si="20"/>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35">
      <c r="A129">
        <v>128</v>
      </c>
      <c r="B129">
        <v>10</v>
      </c>
      <c r="C129" t="s">
        <v>250</v>
      </c>
      <c r="D129" s="79">
        <v>4.5999999999999996</v>
      </c>
      <c r="E129" s="6">
        <v>0.05</v>
      </c>
      <c r="F129" s="6">
        <f t="shared" si="17"/>
        <v>91.999999999999986</v>
      </c>
      <c r="G129" s="78">
        <v>0</v>
      </c>
      <c r="H129" s="70">
        <v>0</v>
      </c>
      <c r="I129" s="70">
        <v>1</v>
      </c>
      <c r="J129" s="78">
        <v>191110</v>
      </c>
      <c r="K129" s="70">
        <v>1</v>
      </c>
      <c r="L129" s="70">
        <f t="shared" si="11"/>
        <v>191108</v>
      </c>
      <c r="M129" s="60">
        <f t="shared" si="12"/>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21">1-AD129</f>
        <v>6.9999999999999951E-2</v>
      </c>
      <c r="AF129">
        <v>0</v>
      </c>
      <c r="AG129">
        <v>1</v>
      </c>
      <c r="AH129" s="28">
        <v>0.75</v>
      </c>
      <c r="AI129" s="12">
        <f t="shared" si="19"/>
        <v>0.25</v>
      </c>
      <c r="AJ129">
        <v>0.10100000000000001</v>
      </c>
      <c r="AK129">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35">
      <c r="A130">
        <v>129</v>
      </c>
      <c r="B130">
        <v>10</v>
      </c>
      <c r="C130" t="s">
        <v>250</v>
      </c>
      <c r="D130" s="79">
        <v>5.5</v>
      </c>
      <c r="E130" s="6">
        <v>0.05</v>
      </c>
      <c r="F130" s="6">
        <f t="shared" si="17"/>
        <v>110</v>
      </c>
      <c r="G130" s="78">
        <v>0</v>
      </c>
      <c r="H130" s="70">
        <v>0</v>
      </c>
      <c r="I130" s="70">
        <v>1</v>
      </c>
      <c r="J130" s="78">
        <v>191110</v>
      </c>
      <c r="K130" s="70">
        <v>4</v>
      </c>
      <c r="L130" s="70">
        <f t="shared" ref="L130:L193" si="22">J130-K130-1</f>
        <v>191105</v>
      </c>
      <c r="M130" s="60">
        <f t="shared" ref="M130:M193" si="23">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21"/>
        <v>6.9999999999999951E-2</v>
      </c>
      <c r="AF130">
        <v>0</v>
      </c>
      <c r="AG130">
        <v>1</v>
      </c>
      <c r="AH130" s="28">
        <v>0.75</v>
      </c>
      <c r="AI130" s="12">
        <f t="shared" si="19"/>
        <v>0.25</v>
      </c>
      <c r="AJ130">
        <v>0.10100000000000001</v>
      </c>
      <c r="AK130">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35">
      <c r="A131">
        <v>130</v>
      </c>
      <c r="B131">
        <v>10</v>
      </c>
      <c r="C131" t="s">
        <v>250</v>
      </c>
      <c r="D131" s="79">
        <v>3.8</v>
      </c>
      <c r="E131" s="6">
        <v>0.1</v>
      </c>
      <c r="F131" s="6">
        <f t="shared" si="17"/>
        <v>37.999999999999993</v>
      </c>
      <c r="G131" s="78">
        <v>0</v>
      </c>
      <c r="H131" s="70">
        <v>0</v>
      </c>
      <c r="I131" s="70">
        <v>1</v>
      </c>
      <c r="J131" s="78">
        <v>191110</v>
      </c>
      <c r="K131" s="70">
        <v>4</v>
      </c>
      <c r="L131" s="70">
        <f t="shared" si="22"/>
        <v>191105</v>
      </c>
      <c r="M131" s="60">
        <f t="shared" si="23"/>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21"/>
        <v>6.9999999999999951E-2</v>
      </c>
      <c r="AF131">
        <v>0</v>
      </c>
      <c r="AG131">
        <v>1</v>
      </c>
      <c r="AH131" s="28">
        <v>0.75</v>
      </c>
      <c r="AI131" s="12">
        <f t="shared" si="19"/>
        <v>0.25</v>
      </c>
      <c r="AJ131">
        <v>0.10100000000000001</v>
      </c>
      <c r="AK131">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35">
      <c r="A132">
        <v>131</v>
      </c>
      <c r="B132">
        <v>10</v>
      </c>
      <c r="C132" t="s">
        <v>250</v>
      </c>
      <c r="D132" s="79">
        <v>5</v>
      </c>
      <c r="E132" s="6">
        <v>0.1</v>
      </c>
      <c r="F132" s="6">
        <f t="shared" si="17"/>
        <v>50</v>
      </c>
      <c r="G132" s="78">
        <v>0</v>
      </c>
      <c r="H132" s="70">
        <v>0</v>
      </c>
      <c r="I132" s="70">
        <v>1</v>
      </c>
      <c r="J132" s="78">
        <v>38652</v>
      </c>
      <c r="K132" s="70">
        <v>1</v>
      </c>
      <c r="L132" s="70">
        <f t="shared" si="22"/>
        <v>38650</v>
      </c>
      <c r="M132" s="60">
        <f t="shared" si="23"/>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21"/>
        <v>4.0000000000000036E-2</v>
      </c>
      <c r="AF132">
        <v>0</v>
      </c>
      <c r="AG132">
        <v>1</v>
      </c>
      <c r="AH132" s="28">
        <v>0.75</v>
      </c>
      <c r="AI132" s="12">
        <f t="shared" si="19"/>
        <v>0.25</v>
      </c>
      <c r="AJ132">
        <v>0.5</v>
      </c>
      <c r="AK132">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35">
      <c r="A133">
        <v>132</v>
      </c>
      <c r="B133">
        <v>10</v>
      </c>
      <c r="C133" t="s">
        <v>250</v>
      </c>
      <c r="D133" s="79">
        <v>5.6</v>
      </c>
      <c r="E133" s="6">
        <v>0.1</v>
      </c>
      <c r="F133" s="6">
        <f t="shared" si="17"/>
        <v>55.999999999999993</v>
      </c>
      <c r="G133" s="78">
        <v>0</v>
      </c>
      <c r="H133" s="70">
        <v>0</v>
      </c>
      <c r="I133" s="70">
        <v>1</v>
      </c>
      <c r="J133" s="78">
        <v>38652</v>
      </c>
      <c r="K133" s="70">
        <v>4</v>
      </c>
      <c r="L133" s="70">
        <f t="shared" si="22"/>
        <v>38647</v>
      </c>
      <c r="M133" s="60">
        <f t="shared" si="23"/>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21"/>
        <v>4.0000000000000036E-2</v>
      </c>
      <c r="AF133">
        <v>0</v>
      </c>
      <c r="AG133">
        <v>1</v>
      </c>
      <c r="AH133" s="28">
        <v>0.75</v>
      </c>
      <c r="AI133" s="12">
        <f t="shared" si="19"/>
        <v>0.25</v>
      </c>
      <c r="AJ133">
        <v>0.5</v>
      </c>
      <c r="AK133">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35">
      <c r="A134">
        <v>133</v>
      </c>
      <c r="B134">
        <v>10</v>
      </c>
      <c r="C134" t="s">
        <v>250</v>
      </c>
      <c r="D134" s="79">
        <v>3.6</v>
      </c>
      <c r="E134" s="6">
        <v>0.2</v>
      </c>
      <c r="F134" s="6">
        <f t="shared" si="17"/>
        <v>18</v>
      </c>
      <c r="G134" s="78">
        <v>0</v>
      </c>
      <c r="H134" s="70">
        <v>0</v>
      </c>
      <c r="I134" s="70">
        <v>1</v>
      </c>
      <c r="J134" s="78">
        <v>38652</v>
      </c>
      <c r="K134" s="70">
        <v>4</v>
      </c>
      <c r="L134" s="70">
        <f t="shared" si="22"/>
        <v>38647</v>
      </c>
      <c r="M134" s="60">
        <f t="shared" si="23"/>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21"/>
        <v>4.0000000000000036E-2</v>
      </c>
      <c r="AF134">
        <v>0</v>
      </c>
      <c r="AG134">
        <v>1</v>
      </c>
      <c r="AH134" s="28">
        <v>0.75</v>
      </c>
      <c r="AI134" s="12">
        <f t="shared" si="19"/>
        <v>0.25</v>
      </c>
      <c r="AJ134">
        <v>0.5</v>
      </c>
      <c r="AK134">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35">
      <c r="A135">
        <v>134</v>
      </c>
      <c r="B135">
        <v>10</v>
      </c>
      <c r="C135" t="s">
        <v>250</v>
      </c>
      <c r="D135" s="79">
        <v>4.4000000000000004</v>
      </c>
      <c r="E135" s="6">
        <v>0.2</v>
      </c>
      <c r="F135" s="6">
        <f t="shared" si="17"/>
        <v>22</v>
      </c>
      <c r="G135" s="78">
        <v>0</v>
      </c>
      <c r="H135" s="70">
        <v>0</v>
      </c>
      <c r="I135" s="70">
        <v>1</v>
      </c>
      <c r="J135" s="78">
        <v>38652</v>
      </c>
      <c r="K135" s="70">
        <v>1</v>
      </c>
      <c r="L135" s="70">
        <f t="shared" si="22"/>
        <v>38650</v>
      </c>
      <c r="M135" s="60">
        <f t="shared" si="23"/>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21"/>
        <v>4.0000000000000036E-2</v>
      </c>
      <c r="AF135">
        <v>0</v>
      </c>
      <c r="AG135">
        <v>1</v>
      </c>
      <c r="AH135" s="28">
        <v>0.75</v>
      </c>
      <c r="AI135" s="12">
        <f t="shared" si="19"/>
        <v>0.25</v>
      </c>
      <c r="AJ135">
        <v>0.5</v>
      </c>
      <c r="AK135">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35">
      <c r="A136">
        <v>135</v>
      </c>
      <c r="B136">
        <v>10</v>
      </c>
      <c r="C136" t="s">
        <v>250</v>
      </c>
      <c r="D136" s="79">
        <v>3.5</v>
      </c>
      <c r="E136" s="6">
        <v>0.3</v>
      </c>
      <c r="F136" s="6">
        <f t="shared" si="17"/>
        <v>11.666666666666668</v>
      </c>
      <c r="G136" s="78">
        <v>0</v>
      </c>
      <c r="H136" s="70">
        <v>0</v>
      </c>
      <c r="I136" s="70">
        <v>1</v>
      </c>
      <c r="J136" s="78">
        <v>38652</v>
      </c>
      <c r="K136" s="70">
        <v>1</v>
      </c>
      <c r="L136" s="70">
        <f t="shared" si="22"/>
        <v>38650</v>
      </c>
      <c r="M136" s="60">
        <f t="shared" si="23"/>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21"/>
        <v>4.0000000000000036E-2</v>
      </c>
      <c r="AF136">
        <v>0</v>
      </c>
      <c r="AG136">
        <v>1</v>
      </c>
      <c r="AH136" s="28">
        <v>0.75</v>
      </c>
      <c r="AI136" s="12">
        <f t="shared" si="19"/>
        <v>0.25</v>
      </c>
      <c r="AJ136">
        <v>0.5</v>
      </c>
      <c r="AK136">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35">
      <c r="A137">
        <v>136</v>
      </c>
      <c r="B137">
        <v>10</v>
      </c>
      <c r="C137" t="s">
        <v>250</v>
      </c>
      <c r="D137" s="79">
        <v>4.4000000000000004</v>
      </c>
      <c r="E137" s="6">
        <v>0.1</v>
      </c>
      <c r="F137" s="6">
        <f t="shared" si="17"/>
        <v>44</v>
      </c>
      <c r="G137" s="78">
        <v>0</v>
      </c>
      <c r="H137" s="70">
        <v>0</v>
      </c>
      <c r="I137" s="70">
        <v>1</v>
      </c>
      <c r="J137" s="78">
        <v>97100</v>
      </c>
      <c r="K137" s="70">
        <v>1</v>
      </c>
      <c r="L137" s="70">
        <f t="shared" si="22"/>
        <v>97098</v>
      </c>
      <c r="M137" s="60">
        <f t="shared" si="23"/>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21"/>
        <v>6.9999999999999951E-2</v>
      </c>
      <c r="AF137">
        <v>0</v>
      </c>
      <c r="AG137">
        <v>1</v>
      </c>
      <c r="AH137" s="28">
        <v>0.75</v>
      </c>
      <c r="AI137" s="12">
        <f t="shared" si="19"/>
        <v>0.25</v>
      </c>
      <c r="AJ137">
        <v>0.10100000000000001</v>
      </c>
      <c r="AK13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35">
      <c r="A138">
        <v>137</v>
      </c>
      <c r="B138">
        <v>10</v>
      </c>
      <c r="C138" t="s">
        <v>250</v>
      </c>
      <c r="D138" s="79">
        <v>6.1</v>
      </c>
      <c r="E138" s="6">
        <v>0.1</v>
      </c>
      <c r="F138" s="6">
        <f t="shared" si="17"/>
        <v>60.999999999999993</v>
      </c>
      <c r="G138" s="78">
        <v>0</v>
      </c>
      <c r="H138" s="70">
        <v>0</v>
      </c>
      <c r="I138" s="70">
        <v>1</v>
      </c>
      <c r="J138" s="78">
        <v>97100</v>
      </c>
      <c r="K138" s="70">
        <v>4</v>
      </c>
      <c r="L138" s="70">
        <f t="shared" si="22"/>
        <v>97095</v>
      </c>
      <c r="M138" s="60">
        <f t="shared" si="23"/>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21"/>
        <v>6.9999999999999951E-2</v>
      </c>
      <c r="AF138">
        <v>0</v>
      </c>
      <c r="AG138">
        <v>1</v>
      </c>
      <c r="AH138" s="28">
        <v>0.75</v>
      </c>
      <c r="AI138" s="12">
        <f t="shared" si="19"/>
        <v>0.25</v>
      </c>
      <c r="AJ138">
        <v>0.10100000000000001</v>
      </c>
      <c r="AK138">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35">
      <c r="A139">
        <v>138</v>
      </c>
      <c r="B139">
        <v>10</v>
      </c>
      <c r="C139" t="s">
        <v>250</v>
      </c>
      <c r="D139" s="79">
        <v>4.7</v>
      </c>
      <c r="E139" s="6">
        <v>0.2</v>
      </c>
      <c r="F139" s="6">
        <f t="shared" si="17"/>
        <v>23.5</v>
      </c>
      <c r="G139" s="78">
        <v>0</v>
      </c>
      <c r="H139" s="70">
        <v>0</v>
      </c>
      <c r="I139" s="70">
        <v>1</v>
      </c>
      <c r="J139" s="78">
        <v>13094</v>
      </c>
      <c r="K139" s="70">
        <v>1</v>
      </c>
      <c r="L139" s="70">
        <f t="shared" si="22"/>
        <v>13092</v>
      </c>
      <c r="M139" s="60">
        <f t="shared" si="23"/>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21"/>
        <v>4.0000000000000036E-2</v>
      </c>
      <c r="AF139">
        <v>0</v>
      </c>
      <c r="AG139">
        <v>1</v>
      </c>
      <c r="AH139" s="28">
        <v>0.75</v>
      </c>
      <c r="AI139" s="12">
        <f t="shared" si="19"/>
        <v>0.25</v>
      </c>
      <c r="AJ139">
        <v>0.5</v>
      </c>
      <c r="AK139">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35">
      <c r="A140">
        <v>139</v>
      </c>
      <c r="B140">
        <v>10</v>
      </c>
      <c r="C140" t="s">
        <v>250</v>
      </c>
      <c r="D140" s="79">
        <v>6.2</v>
      </c>
      <c r="E140" s="6">
        <v>0.2</v>
      </c>
      <c r="F140" s="6">
        <f t="shared" si="17"/>
        <v>31</v>
      </c>
      <c r="G140" s="78">
        <v>0</v>
      </c>
      <c r="H140" s="70">
        <v>0</v>
      </c>
      <c r="I140" s="70">
        <v>1</v>
      </c>
      <c r="J140" s="78">
        <v>13094</v>
      </c>
      <c r="K140" s="70">
        <v>4</v>
      </c>
      <c r="L140" s="70">
        <f t="shared" si="22"/>
        <v>13089</v>
      </c>
      <c r="M140" s="60">
        <f t="shared" si="23"/>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21"/>
        <v>4.0000000000000036E-2</v>
      </c>
      <c r="AF140">
        <v>0</v>
      </c>
      <c r="AG140">
        <v>1</v>
      </c>
      <c r="AH140" s="28">
        <v>0.75</v>
      </c>
      <c r="AI140" s="12">
        <f t="shared" si="19"/>
        <v>0.25</v>
      </c>
      <c r="AJ140">
        <v>0.5</v>
      </c>
      <c r="AK140">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35">
      <c r="A141">
        <v>140</v>
      </c>
      <c r="B141">
        <v>10</v>
      </c>
      <c r="C141" t="s">
        <v>250</v>
      </c>
      <c r="D141" s="79">
        <v>5.6</v>
      </c>
      <c r="E141" s="6">
        <v>0.4</v>
      </c>
      <c r="F141" s="6">
        <f t="shared" si="17"/>
        <v>13.999999999999998</v>
      </c>
      <c r="G141" s="78">
        <v>0</v>
      </c>
      <c r="H141" s="70">
        <v>0</v>
      </c>
      <c r="I141" s="70">
        <v>1</v>
      </c>
      <c r="J141" s="78">
        <v>13094</v>
      </c>
      <c r="K141" s="70">
        <v>1</v>
      </c>
      <c r="L141" s="70">
        <f t="shared" si="22"/>
        <v>13092</v>
      </c>
      <c r="M141" s="60">
        <f t="shared" si="23"/>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21"/>
        <v>4.0000000000000036E-2</v>
      </c>
      <c r="AF141">
        <v>0</v>
      </c>
      <c r="AG141">
        <v>1</v>
      </c>
      <c r="AH141" s="28">
        <v>0.75</v>
      </c>
      <c r="AI141" s="12">
        <f t="shared" si="19"/>
        <v>0.25</v>
      </c>
      <c r="AJ141">
        <v>0.5</v>
      </c>
      <c r="AK141">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35">
      <c r="A142">
        <v>141</v>
      </c>
      <c r="B142">
        <v>10</v>
      </c>
      <c r="C142" t="s">
        <v>250</v>
      </c>
      <c r="D142" s="79">
        <v>5.3</v>
      </c>
      <c r="E142" s="6">
        <v>0.2</v>
      </c>
      <c r="F142" s="6">
        <f t="shared" si="17"/>
        <v>26.499999999999996</v>
      </c>
      <c r="G142" s="78">
        <v>0</v>
      </c>
      <c r="H142" s="70">
        <v>0</v>
      </c>
      <c r="I142" s="70">
        <v>1</v>
      </c>
      <c r="J142" s="78">
        <v>8262</v>
      </c>
      <c r="K142" s="70">
        <v>4</v>
      </c>
      <c r="L142" s="70">
        <f t="shared" si="22"/>
        <v>8257</v>
      </c>
      <c r="M142" s="60">
        <f t="shared" si="23"/>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21"/>
        <v>4.0000000000000036E-2</v>
      </c>
      <c r="AF142">
        <v>0</v>
      </c>
      <c r="AG142">
        <v>1</v>
      </c>
      <c r="AH142" s="28">
        <v>0.75</v>
      </c>
      <c r="AI142" s="12">
        <f t="shared" si="19"/>
        <v>0.25</v>
      </c>
      <c r="AJ142">
        <v>0.5</v>
      </c>
      <c r="AK142">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35">
      <c r="A143">
        <v>142</v>
      </c>
      <c r="B143">
        <v>10</v>
      </c>
      <c r="C143" t="s">
        <v>250</v>
      </c>
      <c r="D143" s="79">
        <v>4.0999999999999996</v>
      </c>
      <c r="E143" s="6">
        <v>0.5</v>
      </c>
      <c r="F143" s="6">
        <f t="shared" si="17"/>
        <v>8.1999999999999993</v>
      </c>
      <c r="G143" s="78">
        <v>0</v>
      </c>
      <c r="H143" s="70">
        <v>0</v>
      </c>
      <c r="I143" s="70">
        <v>1</v>
      </c>
      <c r="J143" s="78">
        <v>8262</v>
      </c>
      <c r="K143" s="70">
        <v>1</v>
      </c>
      <c r="L143" s="70">
        <f t="shared" si="22"/>
        <v>8260</v>
      </c>
      <c r="M143" s="60">
        <f t="shared" si="23"/>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21"/>
        <v>4.0000000000000036E-2</v>
      </c>
      <c r="AF143">
        <v>0</v>
      </c>
      <c r="AG143">
        <v>1</v>
      </c>
      <c r="AH143" s="28">
        <v>0.75</v>
      </c>
      <c r="AI143" s="12">
        <f t="shared" si="19"/>
        <v>0.25</v>
      </c>
      <c r="AJ143">
        <v>0.5</v>
      </c>
      <c r="AK143">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35">
      <c r="A144">
        <v>143</v>
      </c>
      <c r="B144">
        <v>10</v>
      </c>
      <c r="C144" t="s">
        <v>250</v>
      </c>
      <c r="D144" s="79">
        <v>6.3</v>
      </c>
      <c r="E144" s="6">
        <v>0.5</v>
      </c>
      <c r="F144" s="6">
        <f t="shared" si="17"/>
        <v>12.6</v>
      </c>
      <c r="G144" s="78">
        <v>0</v>
      </c>
      <c r="H144" s="70">
        <v>0</v>
      </c>
      <c r="I144" s="70">
        <v>1</v>
      </c>
      <c r="J144" s="78">
        <v>1644</v>
      </c>
      <c r="K144" s="70">
        <v>4</v>
      </c>
      <c r="L144" s="70">
        <f t="shared" si="22"/>
        <v>1639</v>
      </c>
      <c r="M144" s="60">
        <f t="shared" si="23"/>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21"/>
        <v>4.0000000000000036E-2</v>
      </c>
      <c r="AF144">
        <v>0</v>
      </c>
      <c r="AG144">
        <v>1</v>
      </c>
      <c r="AH144" s="28">
        <v>0.75</v>
      </c>
      <c r="AI144" s="12">
        <f t="shared" si="19"/>
        <v>0.25</v>
      </c>
      <c r="AJ144">
        <v>0.5</v>
      </c>
      <c r="AK144">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35">
      <c r="A145">
        <v>144</v>
      </c>
      <c r="B145">
        <v>10</v>
      </c>
      <c r="C145" t="s">
        <v>250</v>
      </c>
      <c r="D145" s="79">
        <v>4.5</v>
      </c>
      <c r="E145" s="6">
        <v>1</v>
      </c>
      <c r="F145" s="6">
        <f t="shared" si="17"/>
        <v>4.5</v>
      </c>
      <c r="G145" s="78">
        <v>0</v>
      </c>
      <c r="H145" s="70">
        <v>0</v>
      </c>
      <c r="I145" s="70">
        <v>1</v>
      </c>
      <c r="J145" s="78">
        <v>1644</v>
      </c>
      <c r="K145" s="70">
        <v>1</v>
      </c>
      <c r="L145" s="70">
        <f t="shared" si="22"/>
        <v>1642</v>
      </c>
      <c r="M145" s="60">
        <f t="shared" si="23"/>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21"/>
        <v>4.0000000000000036E-2</v>
      </c>
      <c r="AF145">
        <v>0</v>
      </c>
      <c r="AG145">
        <v>1</v>
      </c>
      <c r="AH145" s="28">
        <v>0.75</v>
      </c>
      <c r="AI145" s="12">
        <f t="shared" si="19"/>
        <v>0.25</v>
      </c>
      <c r="AJ145">
        <v>0.5</v>
      </c>
      <c r="AK145">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35">
      <c r="A146">
        <v>145</v>
      </c>
      <c r="B146">
        <v>10</v>
      </c>
      <c r="C146" t="s">
        <v>250</v>
      </c>
      <c r="D146" s="79">
        <v>5.7</v>
      </c>
      <c r="E146" s="6">
        <v>0.9</v>
      </c>
      <c r="F146" s="6">
        <f t="shared" si="17"/>
        <v>6.333333333333333</v>
      </c>
      <c r="G146" s="78">
        <v>0</v>
      </c>
      <c r="H146" s="70">
        <v>0</v>
      </c>
      <c r="I146" s="70">
        <v>1</v>
      </c>
      <c r="J146" s="78">
        <v>312</v>
      </c>
      <c r="K146" s="70">
        <v>4</v>
      </c>
      <c r="L146" s="70">
        <f t="shared" si="22"/>
        <v>307</v>
      </c>
      <c r="M146" s="60">
        <f t="shared" si="23"/>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21"/>
        <v>4.0000000000000036E-2</v>
      </c>
      <c r="AF146">
        <v>0</v>
      </c>
      <c r="AG146">
        <v>1</v>
      </c>
      <c r="AH146" s="28">
        <v>0.75</v>
      </c>
      <c r="AI146" s="12">
        <f t="shared" si="19"/>
        <v>0.25</v>
      </c>
      <c r="AJ146">
        <v>0.5</v>
      </c>
      <c r="AK146">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35">
      <c r="A147">
        <v>146</v>
      </c>
      <c r="B147">
        <v>10</v>
      </c>
      <c r="C147" t="s">
        <v>250</v>
      </c>
      <c r="D147" s="79">
        <v>5.3</v>
      </c>
      <c r="E147" s="6">
        <v>2.6</v>
      </c>
      <c r="F147" s="6">
        <f t="shared" si="17"/>
        <v>2.0384615384615383</v>
      </c>
      <c r="G147" s="78">
        <v>0</v>
      </c>
      <c r="H147" s="70">
        <v>0</v>
      </c>
      <c r="I147" s="70">
        <v>1</v>
      </c>
      <c r="J147" s="78">
        <v>312</v>
      </c>
      <c r="K147" s="70">
        <v>1</v>
      </c>
      <c r="L147" s="70">
        <f t="shared" si="22"/>
        <v>310</v>
      </c>
      <c r="M147" s="60">
        <f t="shared" si="23"/>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21"/>
        <v>4.0000000000000036E-2</v>
      </c>
      <c r="AF147">
        <v>0</v>
      </c>
      <c r="AG147">
        <v>1</v>
      </c>
      <c r="AH147" s="28">
        <v>0.75</v>
      </c>
      <c r="AI147" s="12">
        <f t="shared" si="19"/>
        <v>0.25</v>
      </c>
      <c r="AJ147">
        <v>0.5</v>
      </c>
      <c r="AK14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35">
      <c r="A148">
        <v>147</v>
      </c>
      <c r="B148">
        <v>10</v>
      </c>
      <c r="C148" t="s">
        <v>250</v>
      </c>
      <c r="D148" s="79">
        <v>4.4000000000000004</v>
      </c>
      <c r="E148" s="6">
        <v>0.2</v>
      </c>
      <c r="F148" s="6">
        <f t="shared" si="17"/>
        <v>22</v>
      </c>
      <c r="G148" s="78">
        <v>0</v>
      </c>
      <c r="H148" s="70">
        <v>0</v>
      </c>
      <c r="I148" s="70">
        <v>1</v>
      </c>
      <c r="J148" s="78">
        <v>38652</v>
      </c>
      <c r="K148" s="70">
        <v>1</v>
      </c>
      <c r="L148" s="70">
        <f t="shared" si="22"/>
        <v>38650</v>
      </c>
      <c r="M148" s="60">
        <f t="shared" si="23"/>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21"/>
        <v>4.0000000000000036E-2</v>
      </c>
      <c r="AF148">
        <v>0</v>
      </c>
      <c r="AG148">
        <v>1</v>
      </c>
      <c r="AH148" s="28">
        <v>0.75</v>
      </c>
      <c r="AI148" s="12">
        <f t="shared" si="19"/>
        <v>0.25</v>
      </c>
      <c r="AJ148">
        <v>0.5</v>
      </c>
      <c r="AK148">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35">
      <c r="A149">
        <v>148</v>
      </c>
      <c r="B149">
        <v>10</v>
      </c>
      <c r="C149" t="s">
        <v>250</v>
      </c>
      <c r="D149" s="79">
        <v>3</v>
      </c>
      <c r="E149" s="6">
        <v>0.2</v>
      </c>
      <c r="F149" s="6">
        <f t="shared" si="17"/>
        <v>15</v>
      </c>
      <c r="G149" s="78">
        <v>0</v>
      </c>
      <c r="H149" s="70">
        <v>0</v>
      </c>
      <c r="I149" s="70">
        <v>1</v>
      </c>
      <c r="J149" s="78">
        <v>38652</v>
      </c>
      <c r="K149" s="70">
        <v>1</v>
      </c>
      <c r="L149" s="70">
        <f t="shared" si="22"/>
        <v>38650</v>
      </c>
      <c r="M149" s="60">
        <f t="shared" si="23"/>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21"/>
        <v>4.0000000000000036E-2</v>
      </c>
      <c r="AF149">
        <v>0</v>
      </c>
      <c r="AG149">
        <v>1</v>
      </c>
      <c r="AH149" s="28">
        <v>0.75</v>
      </c>
      <c r="AI149" s="12">
        <f t="shared" si="19"/>
        <v>0.25</v>
      </c>
      <c r="AJ149">
        <v>0.5</v>
      </c>
      <c r="AK149">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35">
      <c r="A150">
        <v>149</v>
      </c>
      <c r="B150">
        <v>10</v>
      </c>
      <c r="C150" t="s">
        <v>250</v>
      </c>
      <c r="D150" s="79">
        <v>2.9</v>
      </c>
      <c r="E150" s="6">
        <v>0.2</v>
      </c>
      <c r="F150" s="6">
        <f t="shared" si="17"/>
        <v>14.499999999999998</v>
      </c>
      <c r="G150" s="78">
        <v>0</v>
      </c>
      <c r="H150" s="70">
        <v>0</v>
      </c>
      <c r="I150" s="70">
        <v>1</v>
      </c>
      <c r="J150" s="78">
        <v>38652</v>
      </c>
      <c r="K150" s="70">
        <v>1</v>
      </c>
      <c r="L150" s="70">
        <f t="shared" si="22"/>
        <v>38650</v>
      </c>
      <c r="M150" s="60">
        <f t="shared" si="23"/>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21"/>
        <v>4.0000000000000036E-2</v>
      </c>
      <c r="AF150">
        <v>0</v>
      </c>
      <c r="AG150">
        <v>1</v>
      </c>
      <c r="AH150" s="28">
        <v>0.75</v>
      </c>
      <c r="AI150" s="12">
        <f t="shared" si="19"/>
        <v>0.25</v>
      </c>
      <c r="AJ150">
        <v>0.5</v>
      </c>
      <c r="AK150">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35">
      <c r="A151">
        <v>150</v>
      </c>
      <c r="B151">
        <v>10</v>
      </c>
      <c r="C151" t="s">
        <v>250</v>
      </c>
      <c r="D151" s="79">
        <v>2.8</v>
      </c>
      <c r="E151" s="6">
        <v>0.2</v>
      </c>
      <c r="F151" s="6">
        <f t="shared" si="17"/>
        <v>13.999999999999998</v>
      </c>
      <c r="G151" s="78">
        <v>0</v>
      </c>
      <c r="H151" s="70">
        <v>0</v>
      </c>
      <c r="I151" s="70">
        <v>1</v>
      </c>
      <c r="J151" s="78">
        <v>38652</v>
      </c>
      <c r="K151" s="70">
        <v>1</v>
      </c>
      <c r="L151" s="70">
        <f t="shared" si="22"/>
        <v>38650</v>
      </c>
      <c r="M151" s="60">
        <f t="shared" si="23"/>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21"/>
        <v>4.0000000000000036E-2</v>
      </c>
      <c r="AF151">
        <v>0</v>
      </c>
      <c r="AG151">
        <v>1</v>
      </c>
      <c r="AH151" s="28">
        <v>0.75</v>
      </c>
      <c r="AI151" s="12">
        <f t="shared" si="19"/>
        <v>0.25</v>
      </c>
      <c r="AJ151">
        <v>0.5</v>
      </c>
      <c r="AK151">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35">
      <c r="A152">
        <v>151</v>
      </c>
      <c r="B152">
        <v>10</v>
      </c>
      <c r="C152" t="s">
        <v>250</v>
      </c>
      <c r="D152" s="79">
        <v>1.9</v>
      </c>
      <c r="E152" s="6">
        <v>0.1</v>
      </c>
      <c r="F152" s="6">
        <f t="shared" si="17"/>
        <v>18.999999999999996</v>
      </c>
      <c r="G152" s="78">
        <v>0</v>
      </c>
      <c r="H152" s="70">
        <v>0</v>
      </c>
      <c r="I152" s="70">
        <v>1</v>
      </c>
      <c r="J152" s="78">
        <v>38652</v>
      </c>
      <c r="K152" s="70">
        <v>1</v>
      </c>
      <c r="L152" s="70">
        <f t="shared" si="22"/>
        <v>38650</v>
      </c>
      <c r="M152" s="60">
        <f t="shared" si="23"/>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21"/>
        <v>4.0000000000000036E-2</v>
      </c>
      <c r="AF152">
        <v>0</v>
      </c>
      <c r="AG152">
        <v>1</v>
      </c>
      <c r="AH152" s="28">
        <v>0.75</v>
      </c>
      <c r="AI152" s="12">
        <f t="shared" si="19"/>
        <v>0.25</v>
      </c>
      <c r="AJ152">
        <v>0.5</v>
      </c>
      <c r="AK152">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35">
      <c r="A153">
        <v>152</v>
      </c>
      <c r="B153">
        <v>10</v>
      </c>
      <c r="C153" t="s">
        <v>250</v>
      </c>
      <c r="D153" s="79">
        <v>4.9000000000000004</v>
      </c>
      <c r="E153" s="6">
        <v>0.2</v>
      </c>
      <c r="F153" s="6">
        <f t="shared" si="17"/>
        <v>24.5</v>
      </c>
      <c r="G153" s="78">
        <v>0</v>
      </c>
      <c r="H153" s="70">
        <v>0</v>
      </c>
      <c r="I153" s="70">
        <v>1</v>
      </c>
      <c r="J153" s="78">
        <v>10189</v>
      </c>
      <c r="K153" s="70">
        <v>4</v>
      </c>
      <c r="L153" s="70">
        <f t="shared" si="22"/>
        <v>10184</v>
      </c>
      <c r="M153" s="60">
        <f t="shared" si="23"/>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21"/>
        <v>4.0000000000000036E-2</v>
      </c>
      <c r="AF153">
        <v>0</v>
      </c>
      <c r="AG153">
        <v>1</v>
      </c>
      <c r="AH153" s="28">
        <v>0.75</v>
      </c>
      <c r="AI153" s="12">
        <f t="shared" si="19"/>
        <v>0.25</v>
      </c>
      <c r="AJ153">
        <v>0.5</v>
      </c>
      <c r="AK153">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35">
      <c r="A154">
        <v>153</v>
      </c>
      <c r="B154">
        <v>10</v>
      </c>
      <c r="C154" t="s">
        <v>250</v>
      </c>
      <c r="D154" s="79">
        <v>4.9000000000000004</v>
      </c>
      <c r="E154" s="6">
        <v>0.4</v>
      </c>
      <c r="F154" s="6">
        <f t="shared" si="17"/>
        <v>12.25</v>
      </c>
      <c r="G154" s="78">
        <v>0</v>
      </c>
      <c r="H154" s="70">
        <v>0</v>
      </c>
      <c r="I154" s="70">
        <v>1</v>
      </c>
      <c r="J154" s="78">
        <v>10189</v>
      </c>
      <c r="K154" s="70">
        <v>1</v>
      </c>
      <c r="L154" s="70">
        <f t="shared" si="22"/>
        <v>10187</v>
      </c>
      <c r="M154" s="60">
        <f t="shared" si="23"/>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21"/>
        <v>4.0000000000000036E-2</v>
      </c>
      <c r="AF154">
        <v>0</v>
      </c>
      <c r="AG154">
        <v>1</v>
      </c>
      <c r="AH154" s="28">
        <v>0.75</v>
      </c>
      <c r="AI154" s="12">
        <f t="shared" si="19"/>
        <v>0.25</v>
      </c>
      <c r="AJ154">
        <v>0.5</v>
      </c>
      <c r="AK154">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35">
      <c r="A155">
        <v>154</v>
      </c>
      <c r="B155">
        <v>10</v>
      </c>
      <c r="C155" t="s">
        <v>250</v>
      </c>
      <c r="D155" s="79">
        <v>4.3</v>
      </c>
      <c r="E155" s="6">
        <v>0.1</v>
      </c>
      <c r="F155" s="6">
        <f t="shared" si="17"/>
        <v>42.999999999999993</v>
      </c>
      <c r="G155" s="78">
        <v>0</v>
      </c>
      <c r="H155" s="70">
        <v>0</v>
      </c>
      <c r="I155" s="70">
        <v>1</v>
      </c>
      <c r="J155" s="78">
        <v>25468</v>
      </c>
      <c r="K155" s="70">
        <v>4</v>
      </c>
      <c r="L155" s="70">
        <f t="shared" si="22"/>
        <v>25463</v>
      </c>
      <c r="M155" s="60">
        <f t="shared" si="23"/>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21"/>
        <v>4.0000000000000036E-2</v>
      </c>
      <c r="AF155">
        <v>0</v>
      </c>
      <c r="AG155">
        <v>1</v>
      </c>
      <c r="AH155" s="28">
        <v>0.75</v>
      </c>
      <c r="AI155" s="12">
        <f t="shared" si="19"/>
        <v>0.25</v>
      </c>
      <c r="AJ155">
        <v>0.5</v>
      </c>
      <c r="AK155">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35">
      <c r="A156">
        <v>155</v>
      </c>
      <c r="B156">
        <v>10</v>
      </c>
      <c r="C156" t="s">
        <v>250</v>
      </c>
      <c r="D156" s="79">
        <v>4.0999999999999996</v>
      </c>
      <c r="E156" s="6">
        <v>0.3</v>
      </c>
      <c r="F156" s="6">
        <f t="shared" si="17"/>
        <v>13.666666666666666</v>
      </c>
      <c r="G156" s="78">
        <v>0</v>
      </c>
      <c r="H156" s="70">
        <v>0</v>
      </c>
      <c r="I156" s="70">
        <v>1</v>
      </c>
      <c r="J156" s="78">
        <v>25468</v>
      </c>
      <c r="K156" s="70">
        <v>1</v>
      </c>
      <c r="L156" s="70">
        <f t="shared" si="22"/>
        <v>25466</v>
      </c>
      <c r="M156" s="60">
        <f t="shared" si="23"/>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21"/>
        <v>4.0000000000000036E-2</v>
      </c>
      <c r="AF156">
        <v>0</v>
      </c>
      <c r="AG156">
        <v>1</v>
      </c>
      <c r="AH156" s="28">
        <v>0.75</v>
      </c>
      <c r="AI156" s="12">
        <f t="shared" si="19"/>
        <v>0.25</v>
      </c>
      <c r="AJ156">
        <v>0.5</v>
      </c>
      <c r="AK156">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35">
      <c r="A157">
        <v>156</v>
      </c>
      <c r="B157">
        <v>10</v>
      </c>
      <c r="C157" t="s">
        <v>250</v>
      </c>
      <c r="D157" s="79">
        <v>4.5</v>
      </c>
      <c r="E157" s="6">
        <v>0.2</v>
      </c>
      <c r="F157" s="6">
        <f t="shared" si="17"/>
        <v>22.5</v>
      </c>
      <c r="G157" s="78">
        <v>0</v>
      </c>
      <c r="H157" s="70">
        <v>0</v>
      </c>
      <c r="I157" s="70">
        <v>1</v>
      </c>
      <c r="J157" s="78">
        <v>12950</v>
      </c>
      <c r="K157" s="70">
        <v>4</v>
      </c>
      <c r="L157" s="70">
        <f t="shared" si="22"/>
        <v>12945</v>
      </c>
      <c r="M157" s="60">
        <f t="shared" si="23"/>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21"/>
        <v>4.0000000000000036E-2</v>
      </c>
      <c r="AF157">
        <v>0</v>
      </c>
      <c r="AG157">
        <v>1</v>
      </c>
      <c r="AH157" s="28">
        <v>0.75</v>
      </c>
      <c r="AI157" s="12">
        <f t="shared" si="19"/>
        <v>0.25</v>
      </c>
      <c r="AJ157">
        <v>0.5</v>
      </c>
      <c r="AK15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35">
      <c r="A158">
        <v>157</v>
      </c>
      <c r="B158">
        <v>10</v>
      </c>
      <c r="C158" t="s">
        <v>250</v>
      </c>
      <c r="D158" s="79">
        <v>4.4000000000000004</v>
      </c>
      <c r="E158" s="6">
        <v>0.4</v>
      </c>
      <c r="F158" s="6">
        <f t="shared" si="17"/>
        <v>11</v>
      </c>
      <c r="G158" s="78">
        <v>0</v>
      </c>
      <c r="H158" s="70">
        <v>0</v>
      </c>
      <c r="I158" s="70">
        <v>1</v>
      </c>
      <c r="J158" s="78">
        <v>12950</v>
      </c>
      <c r="K158" s="70">
        <v>1</v>
      </c>
      <c r="L158" s="70">
        <f t="shared" si="22"/>
        <v>12948</v>
      </c>
      <c r="M158" s="60">
        <f t="shared" si="23"/>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21"/>
        <v>4.0000000000000036E-2</v>
      </c>
      <c r="AF158">
        <v>0</v>
      </c>
      <c r="AG158">
        <v>1</v>
      </c>
      <c r="AH158" s="28">
        <v>0.75</v>
      </c>
      <c r="AI158" s="12">
        <f t="shared" si="19"/>
        <v>0.25</v>
      </c>
      <c r="AJ158">
        <v>0.5</v>
      </c>
      <c r="AK158">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35">
      <c r="A159">
        <v>158</v>
      </c>
      <c r="B159">
        <v>10</v>
      </c>
      <c r="C159" t="s">
        <v>250</v>
      </c>
      <c r="D159" s="79">
        <v>4</v>
      </c>
      <c r="E159" s="6">
        <v>0.2</v>
      </c>
      <c r="F159" s="6">
        <f t="shared" si="17"/>
        <v>20</v>
      </c>
      <c r="G159" s="78">
        <v>0</v>
      </c>
      <c r="H159" s="70">
        <v>0</v>
      </c>
      <c r="I159" s="70">
        <v>1</v>
      </c>
      <c r="J159" s="78">
        <v>12518</v>
      </c>
      <c r="K159" s="70">
        <v>4</v>
      </c>
      <c r="L159" s="70">
        <f t="shared" si="22"/>
        <v>12513</v>
      </c>
      <c r="M159" s="60">
        <f t="shared" si="23"/>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21"/>
        <v>4.0000000000000036E-2</v>
      </c>
      <c r="AF159">
        <v>0</v>
      </c>
      <c r="AG159">
        <v>1</v>
      </c>
      <c r="AH159" s="28">
        <v>0.75</v>
      </c>
      <c r="AI159" s="12">
        <f t="shared" si="19"/>
        <v>0.25</v>
      </c>
      <c r="AJ159">
        <v>0.5</v>
      </c>
      <c r="AK159">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35">
      <c r="A160">
        <v>159</v>
      </c>
      <c r="B160">
        <v>10</v>
      </c>
      <c r="C160" t="s">
        <v>250</v>
      </c>
      <c r="D160" s="79">
        <v>3.9</v>
      </c>
      <c r="E160" s="6">
        <v>0.4</v>
      </c>
      <c r="F160" s="6">
        <f t="shared" si="17"/>
        <v>9.75</v>
      </c>
      <c r="G160" s="78">
        <v>0</v>
      </c>
      <c r="H160" s="70">
        <v>0</v>
      </c>
      <c r="I160" s="70">
        <v>1</v>
      </c>
      <c r="J160" s="78">
        <v>12518</v>
      </c>
      <c r="K160" s="70">
        <v>1</v>
      </c>
      <c r="L160" s="70">
        <f t="shared" si="22"/>
        <v>12516</v>
      </c>
      <c r="M160" s="60">
        <f t="shared" si="23"/>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21"/>
        <v>4.0000000000000036E-2</v>
      </c>
      <c r="AF160">
        <v>0</v>
      </c>
      <c r="AG160">
        <v>1</v>
      </c>
      <c r="AH160" s="28">
        <v>0.75</v>
      </c>
      <c r="AI160" s="12">
        <f t="shared" si="19"/>
        <v>0.25</v>
      </c>
      <c r="AJ160">
        <v>0.5</v>
      </c>
      <c r="AK160">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35">
      <c r="A161">
        <v>160</v>
      </c>
      <c r="B161">
        <v>10</v>
      </c>
      <c r="C161" t="s">
        <v>250</v>
      </c>
      <c r="D161" s="79">
        <v>5.5</v>
      </c>
      <c r="E161" s="6">
        <v>0.2</v>
      </c>
      <c r="F161" s="6">
        <f t="shared" si="17"/>
        <v>27.5</v>
      </c>
      <c r="G161" s="78">
        <v>0</v>
      </c>
      <c r="H161" s="70">
        <v>0</v>
      </c>
      <c r="I161" s="70">
        <v>1</v>
      </c>
      <c r="J161" s="78">
        <v>14493</v>
      </c>
      <c r="K161" s="70">
        <v>4</v>
      </c>
      <c r="L161" s="70">
        <f t="shared" si="22"/>
        <v>14488</v>
      </c>
      <c r="M161" s="60">
        <f t="shared" si="23"/>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21"/>
        <v>4.0000000000000036E-2</v>
      </c>
      <c r="AF161">
        <v>0</v>
      </c>
      <c r="AG161">
        <v>1</v>
      </c>
      <c r="AH161" s="28">
        <v>0.75</v>
      </c>
      <c r="AI161" s="12">
        <f t="shared" si="19"/>
        <v>0.25</v>
      </c>
      <c r="AJ161">
        <v>0.5</v>
      </c>
      <c r="AK161">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35">
      <c r="A162">
        <v>161</v>
      </c>
      <c r="B162">
        <v>10</v>
      </c>
      <c r="C162" t="s">
        <v>250</v>
      </c>
      <c r="D162" s="79">
        <v>5</v>
      </c>
      <c r="E162" s="6">
        <v>0.3</v>
      </c>
      <c r="F162" s="6">
        <f t="shared" si="17"/>
        <v>16.666666666666668</v>
      </c>
      <c r="G162" s="78">
        <v>0</v>
      </c>
      <c r="H162" s="70">
        <v>0</v>
      </c>
      <c r="I162" s="70">
        <v>1</v>
      </c>
      <c r="J162" s="78">
        <v>14493</v>
      </c>
      <c r="K162" s="70">
        <v>1</v>
      </c>
      <c r="L162" s="70">
        <f t="shared" si="22"/>
        <v>14491</v>
      </c>
      <c r="M162" s="60">
        <f t="shared" si="23"/>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21"/>
        <v>4.0000000000000036E-2</v>
      </c>
      <c r="AF162">
        <v>0</v>
      </c>
      <c r="AG162">
        <v>1</v>
      </c>
      <c r="AH162" s="28">
        <v>0.75</v>
      </c>
      <c r="AI162" s="12">
        <f t="shared" si="19"/>
        <v>0.25</v>
      </c>
      <c r="AJ162">
        <v>0.5</v>
      </c>
      <c r="AK162">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35">
      <c r="A163">
        <v>162</v>
      </c>
      <c r="B163">
        <v>10</v>
      </c>
      <c r="C163" t="s">
        <v>250</v>
      </c>
      <c r="D163" s="79">
        <v>4.4000000000000004</v>
      </c>
      <c r="E163" s="6">
        <v>0.2</v>
      </c>
      <c r="F163" s="6">
        <f t="shared" si="17"/>
        <v>22</v>
      </c>
      <c r="G163" s="78">
        <v>0</v>
      </c>
      <c r="H163" s="70">
        <v>0</v>
      </c>
      <c r="I163" s="70">
        <v>1</v>
      </c>
      <c r="J163" s="78">
        <v>7154</v>
      </c>
      <c r="K163" s="70">
        <v>4</v>
      </c>
      <c r="L163" s="70">
        <f t="shared" si="22"/>
        <v>7149</v>
      </c>
      <c r="M163" s="60">
        <f t="shared" si="23"/>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21"/>
        <v>4.0000000000000036E-2</v>
      </c>
      <c r="AF163">
        <v>0</v>
      </c>
      <c r="AG163">
        <v>1</v>
      </c>
      <c r="AH163" s="28">
        <v>0.75</v>
      </c>
      <c r="AI163" s="12">
        <f t="shared" si="19"/>
        <v>0.25</v>
      </c>
      <c r="AJ163">
        <v>0.5</v>
      </c>
      <c r="AK163">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35">
      <c r="A164">
        <v>163</v>
      </c>
      <c r="B164">
        <v>10</v>
      </c>
      <c r="C164" t="s">
        <v>250</v>
      </c>
      <c r="D164" s="79">
        <v>4.3</v>
      </c>
      <c r="E164" s="6">
        <v>0.5</v>
      </c>
      <c r="F164" s="6">
        <f t="shared" si="17"/>
        <v>8.6</v>
      </c>
      <c r="G164" s="78">
        <v>0</v>
      </c>
      <c r="H164" s="70">
        <v>0</v>
      </c>
      <c r="I164" s="70">
        <v>1</v>
      </c>
      <c r="J164" s="78">
        <v>7154</v>
      </c>
      <c r="K164" s="70">
        <v>1</v>
      </c>
      <c r="L164" s="70">
        <f t="shared" si="22"/>
        <v>7152</v>
      </c>
      <c r="M164" s="60">
        <f t="shared" si="23"/>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21"/>
        <v>4.0000000000000036E-2</v>
      </c>
      <c r="AF164">
        <v>0</v>
      </c>
      <c r="AG164">
        <v>1</v>
      </c>
      <c r="AH164" s="28">
        <v>0.75</v>
      </c>
      <c r="AI164" s="12">
        <f t="shared" si="19"/>
        <v>0.25</v>
      </c>
      <c r="AJ164">
        <v>0.5</v>
      </c>
      <c r="AK164">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35">
      <c r="A165">
        <v>164</v>
      </c>
      <c r="B165">
        <v>10</v>
      </c>
      <c r="C165" t="s">
        <v>250</v>
      </c>
      <c r="D165" s="79">
        <v>3.8</v>
      </c>
      <c r="E165" s="6">
        <v>0.2</v>
      </c>
      <c r="F165" s="6">
        <f t="shared" si="17"/>
        <v>18.999999999999996</v>
      </c>
      <c r="G165" s="78">
        <v>0</v>
      </c>
      <c r="H165" s="70">
        <v>0</v>
      </c>
      <c r="I165" s="70">
        <v>1</v>
      </c>
      <c r="J165" s="78">
        <v>11369</v>
      </c>
      <c r="K165" s="70">
        <v>4</v>
      </c>
      <c r="L165" s="70">
        <f t="shared" si="22"/>
        <v>11364</v>
      </c>
      <c r="M165" s="60">
        <f t="shared" si="23"/>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21"/>
        <v>4.0000000000000036E-2</v>
      </c>
      <c r="AF165">
        <v>0</v>
      </c>
      <c r="AG165">
        <v>1</v>
      </c>
      <c r="AH165" s="28">
        <v>0.75</v>
      </c>
      <c r="AI165" s="12">
        <f t="shared" si="19"/>
        <v>0.25</v>
      </c>
      <c r="AJ165">
        <v>0.5</v>
      </c>
      <c r="AK165">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35">
      <c r="A166">
        <v>165</v>
      </c>
      <c r="B166">
        <v>10</v>
      </c>
      <c r="C1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21"/>
        <v>4.0000000000000036E-2</v>
      </c>
      <c r="AF166">
        <v>0</v>
      </c>
      <c r="AG166">
        <v>1</v>
      </c>
      <c r="AH166" s="28">
        <v>0.75</v>
      </c>
      <c r="AI166" s="12">
        <f t="shared" si="19"/>
        <v>0.25</v>
      </c>
      <c r="AJ166">
        <v>0.5</v>
      </c>
      <c r="AK166">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35">
      <c r="A167">
        <v>166</v>
      </c>
      <c r="B167">
        <v>11</v>
      </c>
      <c r="C167" t="s">
        <v>256</v>
      </c>
      <c r="D167" s="79">
        <v>6.7</v>
      </c>
      <c r="E167" s="6">
        <f t="shared" ref="E167:E202" si="24">D167/F167</f>
        <v>0.40095751047277078</v>
      </c>
      <c r="F167" s="6">
        <v>16.71</v>
      </c>
      <c r="G167" s="78">
        <v>1</v>
      </c>
      <c r="H167" s="70">
        <v>0</v>
      </c>
      <c r="I167" s="70">
        <v>0</v>
      </c>
      <c r="J167" s="78">
        <v>2253</v>
      </c>
      <c r="K167" s="70">
        <v>9</v>
      </c>
      <c r="L167" s="70">
        <f t="shared" si="22"/>
        <v>2243</v>
      </c>
      <c r="M167" s="60">
        <f t="shared" si="23"/>
        <v>36</v>
      </c>
      <c r="N167" s="6">
        <f t="shared" ref="N167:N202" si="25">12.22*AJ167+11.73*AL167</f>
        <v>11.94707</v>
      </c>
      <c r="O167" s="6">
        <f t="shared" ref="O167:O202" si="26">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7">0.66*AJ167+0.94*AL167</f>
        <v>0.81596000000000002</v>
      </c>
      <c r="AI167" s="82">
        <f t="shared" si="19"/>
        <v>0.18403999999999998</v>
      </c>
      <c r="AJ167">
        <v>0.443</v>
      </c>
      <c r="AK167">
        <v>0</v>
      </c>
      <c r="AL167">
        <f>1-AJ167</f>
        <v>0.55699999999999994</v>
      </c>
      <c r="AM167" s="62" t="s">
        <v>297</v>
      </c>
      <c r="AN167">
        <v>0</v>
      </c>
      <c r="AO167">
        <v>1</v>
      </c>
      <c r="AP167">
        <v>942</v>
      </c>
      <c r="AQ167">
        <v>131</v>
      </c>
      <c r="AR167">
        <v>0.29299999999999998</v>
      </c>
      <c r="AS167" s="80">
        <f t="shared" ref="AS167:AS202" si="28">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35">
      <c r="A168">
        <v>167</v>
      </c>
      <c r="B168">
        <v>11</v>
      </c>
      <c r="C168" t="s">
        <v>256</v>
      </c>
      <c r="D168" s="79">
        <v>6.7</v>
      </c>
      <c r="E168" s="6">
        <f t="shared" si="24"/>
        <v>0.39621525724423418</v>
      </c>
      <c r="F168" s="6">
        <v>16.91</v>
      </c>
      <c r="G168" s="78">
        <v>1</v>
      </c>
      <c r="H168" s="70">
        <v>0</v>
      </c>
      <c r="I168" s="70">
        <v>0</v>
      </c>
      <c r="J168" s="78">
        <v>2253</v>
      </c>
      <c r="K168" s="70">
        <v>11</v>
      </c>
      <c r="L168" s="70">
        <f t="shared" si="22"/>
        <v>2241</v>
      </c>
      <c r="M168" s="60">
        <f t="shared" si="23"/>
        <v>36</v>
      </c>
      <c r="N168" s="6">
        <f t="shared" si="25"/>
        <v>11.94707</v>
      </c>
      <c r="O168" s="6">
        <f t="shared" si="26"/>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7"/>
        <v>0.81596000000000002</v>
      </c>
      <c r="AI168" s="82">
        <f t="shared" si="19"/>
        <v>0.18403999999999998</v>
      </c>
      <c r="AJ168">
        <v>0.443</v>
      </c>
      <c r="AK168">
        <v>0</v>
      </c>
      <c r="AL168">
        <f>1-AJ168</f>
        <v>0.55699999999999994</v>
      </c>
      <c r="AM168" s="62" t="s">
        <v>297</v>
      </c>
      <c r="AN168">
        <v>0</v>
      </c>
      <c r="AO168">
        <v>1</v>
      </c>
      <c r="AP168">
        <v>942</v>
      </c>
      <c r="AQ168">
        <v>131</v>
      </c>
      <c r="AR168">
        <v>0.29299999999999998</v>
      </c>
      <c r="AS168" s="80">
        <f t="shared" si="28"/>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35">
      <c r="A169">
        <v>168</v>
      </c>
      <c r="B169">
        <v>11</v>
      </c>
      <c r="C169" t="s">
        <v>256</v>
      </c>
      <c r="D169" s="79">
        <v>8.1999999999999993</v>
      </c>
      <c r="E169" s="6">
        <f t="shared" si="24"/>
        <v>0.59205776173285196</v>
      </c>
      <c r="F169" s="6">
        <v>13.85</v>
      </c>
      <c r="G169" s="78">
        <v>1</v>
      </c>
      <c r="H169" s="70">
        <v>0</v>
      </c>
      <c r="I169" s="70">
        <v>0</v>
      </c>
      <c r="J169" s="78">
        <v>976</v>
      </c>
      <c r="K169" s="70">
        <v>9</v>
      </c>
      <c r="L169" s="70">
        <f t="shared" si="22"/>
        <v>966</v>
      </c>
      <c r="M169" s="60">
        <f t="shared" si="23"/>
        <v>36</v>
      </c>
      <c r="N169" s="6">
        <f t="shared" si="25"/>
        <v>12.22</v>
      </c>
      <c r="O169" s="6">
        <f t="shared" si="26"/>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7"/>
        <v>0.66</v>
      </c>
      <c r="AI169" s="82">
        <f t="shared" si="19"/>
        <v>0.33999999999999997</v>
      </c>
      <c r="AJ169">
        <v>1</v>
      </c>
      <c r="AK169">
        <v>0</v>
      </c>
      <c r="AL169">
        <v>0</v>
      </c>
      <c r="AM169" s="62" t="s">
        <v>297</v>
      </c>
      <c r="AN169">
        <v>0</v>
      </c>
      <c r="AO169">
        <v>1</v>
      </c>
      <c r="AP169">
        <v>942</v>
      </c>
      <c r="AQ169">
        <v>131</v>
      </c>
      <c r="AR169">
        <v>0.29299999999999998</v>
      </c>
      <c r="AS169" s="80">
        <f t="shared" si="28"/>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35">
      <c r="A170">
        <v>169</v>
      </c>
      <c r="B170">
        <v>11</v>
      </c>
      <c r="C170" t="s">
        <v>256</v>
      </c>
      <c r="D170" s="79">
        <v>2.5</v>
      </c>
      <c r="E170" s="6">
        <f t="shared" si="24"/>
        <v>1.4880952380952381</v>
      </c>
      <c r="F170" s="6">
        <v>1.68</v>
      </c>
      <c r="G170" s="78">
        <v>1</v>
      </c>
      <c r="H170" s="70">
        <v>0</v>
      </c>
      <c r="I170" s="70">
        <v>0</v>
      </c>
      <c r="J170" s="78">
        <v>976</v>
      </c>
      <c r="K170" s="70">
        <v>1</v>
      </c>
      <c r="L170" s="70">
        <f t="shared" si="22"/>
        <v>974</v>
      </c>
      <c r="M170" s="60">
        <f t="shared" si="23"/>
        <v>36</v>
      </c>
      <c r="N170" s="6">
        <f t="shared" si="25"/>
        <v>12.22</v>
      </c>
      <c r="O170" s="6">
        <f t="shared" si="26"/>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7"/>
        <v>0.66</v>
      </c>
      <c r="AI170" s="82">
        <f t="shared" si="19"/>
        <v>0.33999999999999997</v>
      </c>
      <c r="AJ170">
        <v>1</v>
      </c>
      <c r="AK170">
        <v>0</v>
      </c>
      <c r="AL170">
        <v>0</v>
      </c>
      <c r="AM170" s="62" t="s">
        <v>297</v>
      </c>
      <c r="AN170">
        <v>0</v>
      </c>
      <c r="AO170">
        <v>1</v>
      </c>
      <c r="AP170">
        <v>942</v>
      </c>
      <c r="AQ170">
        <v>131</v>
      </c>
      <c r="AR170">
        <v>0.29299999999999998</v>
      </c>
      <c r="AS170" s="80">
        <f t="shared" si="28"/>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35">
      <c r="A171">
        <v>170</v>
      </c>
      <c r="B171">
        <v>11</v>
      </c>
      <c r="C171" t="s">
        <v>256</v>
      </c>
      <c r="D171" s="79">
        <v>8.4</v>
      </c>
      <c r="E171" s="6">
        <f t="shared" si="24"/>
        <v>0.59405940594059403</v>
      </c>
      <c r="F171" s="6">
        <v>14.14</v>
      </c>
      <c r="G171" s="78">
        <v>1</v>
      </c>
      <c r="H171" s="70">
        <v>0</v>
      </c>
      <c r="I171" s="70">
        <v>0</v>
      </c>
      <c r="J171" s="78">
        <v>976</v>
      </c>
      <c r="K171" s="70">
        <v>11</v>
      </c>
      <c r="L171" s="70">
        <f t="shared" si="22"/>
        <v>964</v>
      </c>
      <c r="M171" s="60">
        <f t="shared" si="23"/>
        <v>36</v>
      </c>
      <c r="N171" s="6">
        <f t="shared" si="25"/>
        <v>12.22</v>
      </c>
      <c r="O171" s="6">
        <f t="shared" si="26"/>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7"/>
        <v>0.66</v>
      </c>
      <c r="AI171" s="82">
        <f t="shared" si="19"/>
        <v>0.33999999999999997</v>
      </c>
      <c r="AJ171">
        <v>1</v>
      </c>
      <c r="AK171">
        <v>0</v>
      </c>
      <c r="AL171">
        <v>0</v>
      </c>
      <c r="AM171" s="62" t="s">
        <v>297</v>
      </c>
      <c r="AN171">
        <v>0</v>
      </c>
      <c r="AO171">
        <v>1</v>
      </c>
      <c r="AP171">
        <v>942</v>
      </c>
      <c r="AQ171">
        <v>131</v>
      </c>
      <c r="AR171">
        <v>0.29299999999999998</v>
      </c>
      <c r="AS171" s="80">
        <f t="shared" si="28"/>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35">
      <c r="A172">
        <v>171</v>
      </c>
      <c r="B172">
        <v>11</v>
      </c>
      <c r="C172" t="s">
        <v>256</v>
      </c>
      <c r="D172" s="79">
        <v>2.7</v>
      </c>
      <c r="E172" s="6">
        <f t="shared" si="24"/>
        <v>1.4438502673796791</v>
      </c>
      <c r="F172" s="6">
        <v>1.87</v>
      </c>
      <c r="G172" s="78">
        <v>1</v>
      </c>
      <c r="H172" s="70">
        <v>0</v>
      </c>
      <c r="I172" s="70">
        <v>0</v>
      </c>
      <c r="J172" s="78">
        <v>976</v>
      </c>
      <c r="K172" s="70">
        <v>3</v>
      </c>
      <c r="L172" s="70">
        <f t="shared" si="22"/>
        <v>972</v>
      </c>
      <c r="M172" s="60">
        <f t="shared" si="23"/>
        <v>36</v>
      </c>
      <c r="N172" s="6">
        <f t="shared" si="25"/>
        <v>12.22</v>
      </c>
      <c r="O172" s="6">
        <f t="shared" si="26"/>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7"/>
        <v>0.66</v>
      </c>
      <c r="AI172" s="82">
        <f t="shared" si="19"/>
        <v>0.33999999999999997</v>
      </c>
      <c r="AJ172">
        <v>1</v>
      </c>
      <c r="AK172">
        <v>0</v>
      </c>
      <c r="AL172">
        <v>0</v>
      </c>
      <c r="AM172" s="62" t="s">
        <v>297</v>
      </c>
      <c r="AN172">
        <v>0</v>
      </c>
      <c r="AO172">
        <v>1</v>
      </c>
      <c r="AP172">
        <v>942</v>
      </c>
      <c r="AQ172">
        <v>131</v>
      </c>
      <c r="AR172">
        <v>0.29299999999999998</v>
      </c>
      <c r="AS172" s="80">
        <f t="shared" si="28"/>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35">
      <c r="A173">
        <v>172</v>
      </c>
      <c r="B173">
        <v>11</v>
      </c>
      <c r="C173" t="s">
        <v>256</v>
      </c>
      <c r="D173" s="79">
        <v>8.6999999999999993</v>
      </c>
      <c r="E173" s="6">
        <f t="shared" si="24"/>
        <v>0.66412213740458015</v>
      </c>
      <c r="F173" s="6">
        <v>13.1</v>
      </c>
      <c r="G173" s="78">
        <v>1</v>
      </c>
      <c r="H173" s="70">
        <v>0</v>
      </c>
      <c r="I173" s="70">
        <v>0</v>
      </c>
      <c r="J173" s="78">
        <v>976</v>
      </c>
      <c r="K173" s="70">
        <v>9</v>
      </c>
      <c r="L173" s="70">
        <f t="shared" si="22"/>
        <v>966</v>
      </c>
      <c r="M173" s="60">
        <f t="shared" si="23"/>
        <v>36</v>
      </c>
      <c r="N173" s="6">
        <f t="shared" si="25"/>
        <v>12.22</v>
      </c>
      <c r="O173" s="6">
        <f t="shared" si="26"/>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7"/>
        <v>0.66</v>
      </c>
      <c r="AI173" s="82">
        <f t="shared" si="19"/>
        <v>0.33999999999999997</v>
      </c>
      <c r="AJ173">
        <v>1</v>
      </c>
      <c r="AK173">
        <v>0</v>
      </c>
      <c r="AL173">
        <v>0</v>
      </c>
      <c r="AM173" s="62" t="s">
        <v>297</v>
      </c>
      <c r="AN173">
        <v>0</v>
      </c>
      <c r="AO173">
        <v>1</v>
      </c>
      <c r="AP173">
        <v>942</v>
      </c>
      <c r="AQ173">
        <v>131</v>
      </c>
      <c r="AR173">
        <v>0.29299999999999998</v>
      </c>
      <c r="AS173" s="80">
        <f t="shared" si="28"/>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35">
      <c r="A174">
        <v>173</v>
      </c>
      <c r="B174">
        <v>11</v>
      </c>
      <c r="C174" t="s">
        <v>256</v>
      </c>
      <c r="D174" s="79">
        <v>3.2</v>
      </c>
      <c r="E174" s="6">
        <f t="shared" si="24"/>
        <v>1.9393939393939397</v>
      </c>
      <c r="F174" s="6">
        <v>1.65</v>
      </c>
      <c r="G174" s="78">
        <v>1</v>
      </c>
      <c r="H174" s="70">
        <v>0</v>
      </c>
      <c r="I174" s="70">
        <v>0</v>
      </c>
      <c r="J174" s="78">
        <v>976</v>
      </c>
      <c r="K174" s="70">
        <v>1</v>
      </c>
      <c r="L174" s="70">
        <f t="shared" si="22"/>
        <v>974</v>
      </c>
      <c r="M174" s="60">
        <f t="shared" si="23"/>
        <v>36</v>
      </c>
      <c r="N174" s="6">
        <f t="shared" si="25"/>
        <v>12.22</v>
      </c>
      <c r="O174" s="6">
        <f t="shared" si="26"/>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7"/>
        <v>0.66</v>
      </c>
      <c r="AI174" s="82">
        <f t="shared" si="19"/>
        <v>0.33999999999999997</v>
      </c>
      <c r="AJ174">
        <v>1</v>
      </c>
      <c r="AK174">
        <v>0</v>
      </c>
      <c r="AL174">
        <v>0</v>
      </c>
      <c r="AM174" s="62" t="s">
        <v>297</v>
      </c>
      <c r="AN174">
        <v>0</v>
      </c>
      <c r="AO174">
        <v>1</v>
      </c>
      <c r="AP174">
        <v>942</v>
      </c>
      <c r="AQ174">
        <v>131</v>
      </c>
      <c r="AR174">
        <v>0.29299999999999998</v>
      </c>
      <c r="AS174" s="80">
        <f t="shared" si="28"/>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35">
      <c r="A175">
        <v>174</v>
      </c>
      <c r="B175">
        <v>11</v>
      </c>
      <c r="C175" t="s">
        <v>256</v>
      </c>
      <c r="D175" s="79">
        <v>8.8000000000000007</v>
      </c>
      <c r="E175" s="6">
        <f t="shared" si="24"/>
        <v>0.65868263473053901</v>
      </c>
      <c r="F175" s="6">
        <v>13.36</v>
      </c>
      <c r="G175" s="78">
        <v>1</v>
      </c>
      <c r="H175" s="70">
        <v>0</v>
      </c>
      <c r="I175" s="70">
        <v>0</v>
      </c>
      <c r="J175" s="78">
        <v>976</v>
      </c>
      <c r="K175" s="70">
        <v>11</v>
      </c>
      <c r="L175" s="70">
        <f t="shared" si="22"/>
        <v>964</v>
      </c>
      <c r="M175" s="60">
        <f t="shared" si="23"/>
        <v>36</v>
      </c>
      <c r="N175" s="6">
        <f t="shared" si="25"/>
        <v>12.22</v>
      </c>
      <c r="O175" s="6">
        <f t="shared" si="26"/>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7"/>
        <v>0.66</v>
      </c>
      <c r="AI175" s="82">
        <f t="shared" si="19"/>
        <v>0.33999999999999997</v>
      </c>
      <c r="AJ175">
        <v>1</v>
      </c>
      <c r="AK175">
        <v>0</v>
      </c>
      <c r="AL175">
        <v>0</v>
      </c>
      <c r="AM175" s="62" t="s">
        <v>297</v>
      </c>
      <c r="AN175">
        <v>0</v>
      </c>
      <c r="AO175">
        <v>1</v>
      </c>
      <c r="AP175">
        <v>942</v>
      </c>
      <c r="AQ175">
        <v>131</v>
      </c>
      <c r="AR175">
        <v>0.29299999999999998</v>
      </c>
      <c r="AS175" s="80">
        <f t="shared" si="28"/>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35">
      <c r="A176">
        <v>175</v>
      </c>
      <c r="B176">
        <v>11</v>
      </c>
      <c r="C176" t="s">
        <v>256</v>
      </c>
      <c r="D176" s="79">
        <v>3.3</v>
      </c>
      <c r="E176" s="6">
        <f t="shared" si="24"/>
        <v>1.8644067796610169</v>
      </c>
      <c r="F176" s="6">
        <v>1.77</v>
      </c>
      <c r="G176" s="78">
        <v>1</v>
      </c>
      <c r="H176" s="70">
        <v>0</v>
      </c>
      <c r="I176" s="70">
        <v>0</v>
      </c>
      <c r="J176" s="78">
        <v>976</v>
      </c>
      <c r="K176" s="70">
        <v>3</v>
      </c>
      <c r="L176" s="70">
        <f t="shared" si="22"/>
        <v>972</v>
      </c>
      <c r="M176" s="60">
        <f t="shared" si="23"/>
        <v>36</v>
      </c>
      <c r="N176" s="6">
        <f t="shared" si="25"/>
        <v>12.22</v>
      </c>
      <c r="O176" s="6">
        <f t="shared" si="26"/>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7"/>
        <v>0.66</v>
      </c>
      <c r="AI176" s="82">
        <f t="shared" si="19"/>
        <v>0.33999999999999997</v>
      </c>
      <c r="AJ176">
        <v>1</v>
      </c>
      <c r="AK176">
        <v>0</v>
      </c>
      <c r="AL176">
        <v>0</v>
      </c>
      <c r="AM176" s="62" t="s">
        <v>297</v>
      </c>
      <c r="AN176">
        <v>0</v>
      </c>
      <c r="AO176">
        <v>1</v>
      </c>
      <c r="AP176">
        <v>942</v>
      </c>
      <c r="AQ176">
        <v>131</v>
      </c>
      <c r="AR176">
        <v>0.29299999999999998</v>
      </c>
      <c r="AS176" s="80">
        <f t="shared" si="28"/>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35">
      <c r="A177">
        <v>176</v>
      </c>
      <c r="B177">
        <v>11</v>
      </c>
      <c r="C177" t="s">
        <v>256</v>
      </c>
      <c r="D177" s="79">
        <v>6.4</v>
      </c>
      <c r="E177" s="6">
        <f t="shared" si="24"/>
        <v>0.53112033195020747</v>
      </c>
      <c r="F177" s="6">
        <v>12.05</v>
      </c>
      <c r="G177" s="78">
        <v>1</v>
      </c>
      <c r="H177" s="70">
        <v>0</v>
      </c>
      <c r="I177" s="70">
        <v>0</v>
      </c>
      <c r="J177" s="78">
        <v>1189</v>
      </c>
      <c r="K177" s="70">
        <v>9</v>
      </c>
      <c r="L177" s="70">
        <f t="shared" si="22"/>
        <v>1179</v>
      </c>
      <c r="M177" s="60">
        <f t="shared" si="23"/>
        <v>36</v>
      </c>
      <c r="N177" s="6">
        <f t="shared" si="25"/>
        <v>11.969609999999999</v>
      </c>
      <c r="O177" s="6">
        <f t="shared" si="26"/>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7"/>
        <v>0.80308000000000002</v>
      </c>
      <c r="AI177" s="82">
        <f t="shared" si="19"/>
        <v>0.19691999999999998</v>
      </c>
      <c r="AJ177">
        <v>0.48899999999999999</v>
      </c>
      <c r="AK177">
        <v>0</v>
      </c>
      <c r="AL177">
        <f t="shared" ref="AL177:AL202" si="29">1-AJ177</f>
        <v>0.51100000000000001</v>
      </c>
      <c r="AM177" s="62" t="s">
        <v>297</v>
      </c>
      <c r="AN177">
        <v>0</v>
      </c>
      <c r="AO177">
        <v>1</v>
      </c>
      <c r="AP177">
        <v>942</v>
      </c>
      <c r="AQ177">
        <v>131</v>
      </c>
      <c r="AR177">
        <v>0.29299999999999998</v>
      </c>
      <c r="AS177" s="80">
        <f t="shared" si="28"/>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35">
      <c r="A178">
        <v>177</v>
      </c>
      <c r="B178">
        <v>11</v>
      </c>
      <c r="C178" t="s">
        <v>256</v>
      </c>
      <c r="D178" s="79">
        <v>6.6</v>
      </c>
      <c r="E178" s="6">
        <f t="shared" si="24"/>
        <v>0.53745928338762217</v>
      </c>
      <c r="F178" s="6">
        <v>12.28</v>
      </c>
      <c r="G178" s="78">
        <v>1</v>
      </c>
      <c r="H178" s="70">
        <v>0</v>
      </c>
      <c r="I178" s="70">
        <v>0</v>
      </c>
      <c r="J178" s="78">
        <v>1189</v>
      </c>
      <c r="K178" s="70">
        <v>11</v>
      </c>
      <c r="L178" s="70">
        <f t="shared" si="22"/>
        <v>1177</v>
      </c>
      <c r="M178" s="60">
        <f t="shared" si="23"/>
        <v>36</v>
      </c>
      <c r="N178" s="6">
        <f t="shared" si="25"/>
        <v>11.969609999999999</v>
      </c>
      <c r="O178" s="6">
        <f t="shared" si="26"/>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7"/>
        <v>0.80308000000000002</v>
      </c>
      <c r="AI178" s="82">
        <f t="shared" si="19"/>
        <v>0.19691999999999998</v>
      </c>
      <c r="AJ178">
        <v>0.48899999999999999</v>
      </c>
      <c r="AK178">
        <v>0</v>
      </c>
      <c r="AL178">
        <f t="shared" si="29"/>
        <v>0.51100000000000001</v>
      </c>
      <c r="AM178" s="62" t="s">
        <v>297</v>
      </c>
      <c r="AN178">
        <v>0</v>
      </c>
      <c r="AO178">
        <v>1</v>
      </c>
      <c r="AP178">
        <v>942</v>
      </c>
      <c r="AQ178">
        <v>131</v>
      </c>
      <c r="AR178">
        <v>0.29299999999999998</v>
      </c>
      <c r="AS178" s="80">
        <f t="shared" si="28"/>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35">
      <c r="A179">
        <v>178</v>
      </c>
      <c r="B179">
        <v>11</v>
      </c>
      <c r="C179" t="s">
        <v>256</v>
      </c>
      <c r="D179" s="79">
        <v>7.5</v>
      </c>
      <c r="E179" s="6">
        <f t="shared" si="24"/>
        <v>0.80558539205155744</v>
      </c>
      <c r="F179" s="6">
        <v>9.31</v>
      </c>
      <c r="G179" s="78">
        <v>1</v>
      </c>
      <c r="H179" s="70">
        <v>0</v>
      </c>
      <c r="I179" s="70">
        <v>0</v>
      </c>
      <c r="J179" s="78">
        <v>582</v>
      </c>
      <c r="K179" s="70">
        <v>9</v>
      </c>
      <c r="L179" s="70">
        <f t="shared" si="22"/>
        <v>572</v>
      </c>
      <c r="M179" s="60">
        <f t="shared" si="23"/>
        <v>36</v>
      </c>
      <c r="N179" s="6">
        <f t="shared" si="25"/>
        <v>12.22</v>
      </c>
      <c r="O179" s="6">
        <f t="shared" si="26"/>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7"/>
        <v>0.66</v>
      </c>
      <c r="AI179" s="82">
        <f t="shared" ref="AI179:AI237" si="30">1-AH179</f>
        <v>0.33999999999999997</v>
      </c>
      <c r="AJ179">
        <v>1</v>
      </c>
      <c r="AK179">
        <v>0</v>
      </c>
      <c r="AL179">
        <f t="shared" si="29"/>
        <v>0</v>
      </c>
      <c r="AM179" s="62" t="s">
        <v>297</v>
      </c>
      <c r="AN179">
        <v>0</v>
      </c>
      <c r="AO179">
        <v>1</v>
      </c>
      <c r="AP179">
        <v>942</v>
      </c>
      <c r="AQ179">
        <v>131</v>
      </c>
      <c r="AR179">
        <v>0.29299999999999998</v>
      </c>
      <c r="AS179" s="80">
        <f t="shared" si="28"/>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35">
      <c r="A180">
        <v>179</v>
      </c>
      <c r="B180">
        <v>11</v>
      </c>
      <c r="C180" t="s">
        <v>256</v>
      </c>
      <c r="D180" s="79">
        <v>1.2</v>
      </c>
      <c r="E180" s="6">
        <f t="shared" si="24"/>
        <v>1.9354838709677418</v>
      </c>
      <c r="F180" s="6">
        <v>0.62</v>
      </c>
      <c r="G180" s="78">
        <v>1</v>
      </c>
      <c r="H180" s="70">
        <v>0</v>
      </c>
      <c r="I180" s="70">
        <v>0</v>
      </c>
      <c r="J180" s="78">
        <v>582</v>
      </c>
      <c r="K180" s="70">
        <v>1</v>
      </c>
      <c r="L180" s="70">
        <f t="shared" si="22"/>
        <v>580</v>
      </c>
      <c r="M180" s="60">
        <f t="shared" si="23"/>
        <v>36</v>
      </c>
      <c r="N180" s="6">
        <f t="shared" si="25"/>
        <v>12.22</v>
      </c>
      <c r="O180" s="6">
        <f t="shared" si="26"/>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7"/>
        <v>0.66</v>
      </c>
      <c r="AI180" s="82">
        <f t="shared" si="30"/>
        <v>0.33999999999999997</v>
      </c>
      <c r="AJ180">
        <v>1</v>
      </c>
      <c r="AK180">
        <v>0</v>
      </c>
      <c r="AL180">
        <f t="shared" si="29"/>
        <v>0</v>
      </c>
      <c r="AM180" s="62" t="s">
        <v>297</v>
      </c>
      <c r="AN180">
        <v>0</v>
      </c>
      <c r="AO180">
        <v>1</v>
      </c>
      <c r="AP180">
        <v>942</v>
      </c>
      <c r="AQ180">
        <v>131</v>
      </c>
      <c r="AR180">
        <v>0.29299999999999998</v>
      </c>
      <c r="AS180" s="80">
        <f t="shared" si="28"/>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35">
      <c r="A181">
        <v>180</v>
      </c>
      <c r="B181">
        <v>11</v>
      </c>
      <c r="C181" t="s">
        <v>256</v>
      </c>
      <c r="D181" s="79">
        <v>7.6</v>
      </c>
      <c r="E181" s="6">
        <f t="shared" si="24"/>
        <v>0.80765143464399569</v>
      </c>
      <c r="F181" s="6">
        <v>9.41</v>
      </c>
      <c r="G181" s="78">
        <v>1</v>
      </c>
      <c r="H181" s="70">
        <v>0</v>
      </c>
      <c r="I181" s="70">
        <v>0</v>
      </c>
      <c r="J181" s="78">
        <v>582</v>
      </c>
      <c r="K181" s="70">
        <v>11</v>
      </c>
      <c r="L181" s="70">
        <f t="shared" si="22"/>
        <v>570</v>
      </c>
      <c r="M181" s="60">
        <f t="shared" si="23"/>
        <v>36</v>
      </c>
      <c r="N181" s="6">
        <f t="shared" si="25"/>
        <v>12.22</v>
      </c>
      <c r="O181" s="6">
        <f t="shared" si="26"/>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7"/>
        <v>0.66</v>
      </c>
      <c r="AI181" s="82">
        <f t="shared" si="30"/>
        <v>0.33999999999999997</v>
      </c>
      <c r="AJ181">
        <v>1</v>
      </c>
      <c r="AK181">
        <v>0</v>
      </c>
      <c r="AL181">
        <f t="shared" si="29"/>
        <v>0</v>
      </c>
      <c r="AM181" s="62" t="s">
        <v>297</v>
      </c>
      <c r="AN181">
        <v>0</v>
      </c>
      <c r="AO181">
        <v>1</v>
      </c>
      <c r="AP181">
        <v>942</v>
      </c>
      <c r="AQ181">
        <v>131</v>
      </c>
      <c r="AR181">
        <v>0.29299999999999998</v>
      </c>
      <c r="AS181" s="80">
        <f t="shared" si="28"/>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35">
      <c r="A182">
        <v>181</v>
      </c>
      <c r="B182">
        <v>11</v>
      </c>
      <c r="C182" t="s">
        <v>256</v>
      </c>
      <c r="D182" s="79">
        <v>1.5</v>
      </c>
      <c r="E182" s="6">
        <f t="shared" si="24"/>
        <v>1.948051948051948</v>
      </c>
      <c r="F182" s="6">
        <v>0.77</v>
      </c>
      <c r="G182" s="78">
        <v>1</v>
      </c>
      <c r="H182" s="70">
        <v>0</v>
      </c>
      <c r="I182" s="70">
        <v>0</v>
      </c>
      <c r="J182" s="78">
        <v>582</v>
      </c>
      <c r="K182" s="70">
        <v>3</v>
      </c>
      <c r="L182" s="70">
        <f t="shared" si="22"/>
        <v>578</v>
      </c>
      <c r="M182" s="60">
        <f t="shared" si="23"/>
        <v>36</v>
      </c>
      <c r="N182" s="6">
        <f t="shared" si="25"/>
        <v>12.22</v>
      </c>
      <c r="O182" s="6">
        <f t="shared" si="26"/>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7"/>
        <v>0.66</v>
      </c>
      <c r="AI182" s="82">
        <f t="shared" si="30"/>
        <v>0.33999999999999997</v>
      </c>
      <c r="AJ182">
        <v>1</v>
      </c>
      <c r="AK182">
        <v>0</v>
      </c>
      <c r="AL182">
        <f t="shared" si="29"/>
        <v>0</v>
      </c>
      <c r="AM182" s="62" t="s">
        <v>297</v>
      </c>
      <c r="AN182">
        <v>0</v>
      </c>
      <c r="AO182">
        <v>1</v>
      </c>
      <c r="AP182">
        <v>942</v>
      </c>
      <c r="AQ182">
        <v>131</v>
      </c>
      <c r="AR182">
        <v>0.29299999999999998</v>
      </c>
      <c r="AS182" s="80">
        <f t="shared" si="28"/>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35">
      <c r="A183">
        <v>182</v>
      </c>
      <c r="B183">
        <v>11</v>
      </c>
      <c r="C183" t="s">
        <v>256</v>
      </c>
      <c r="D183" s="79">
        <v>7.5</v>
      </c>
      <c r="E183" s="6">
        <f t="shared" si="24"/>
        <v>0.81699346405228757</v>
      </c>
      <c r="F183" s="6">
        <v>9.18</v>
      </c>
      <c r="G183" s="78">
        <v>1</v>
      </c>
      <c r="H183" s="70">
        <v>0</v>
      </c>
      <c r="I183" s="70">
        <v>0</v>
      </c>
      <c r="J183" s="78">
        <v>582</v>
      </c>
      <c r="K183" s="70">
        <v>9</v>
      </c>
      <c r="L183" s="70">
        <f t="shared" si="22"/>
        <v>572</v>
      </c>
      <c r="M183" s="60">
        <f t="shared" si="23"/>
        <v>36</v>
      </c>
      <c r="N183" s="6">
        <f t="shared" si="25"/>
        <v>12.22</v>
      </c>
      <c r="O183" s="6">
        <f t="shared" si="26"/>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7"/>
        <v>0.66</v>
      </c>
      <c r="AI183" s="82">
        <f t="shared" si="30"/>
        <v>0.33999999999999997</v>
      </c>
      <c r="AJ183">
        <v>1</v>
      </c>
      <c r="AK183">
        <v>0</v>
      </c>
      <c r="AL183">
        <f t="shared" si="29"/>
        <v>0</v>
      </c>
      <c r="AM183" s="62" t="s">
        <v>297</v>
      </c>
      <c r="AN183">
        <v>0</v>
      </c>
      <c r="AO183">
        <v>1</v>
      </c>
      <c r="AP183">
        <v>942</v>
      </c>
      <c r="AQ183">
        <v>131</v>
      </c>
      <c r="AR183">
        <v>0.29299999999999998</v>
      </c>
      <c r="AS183" s="80">
        <f t="shared" si="28"/>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35">
      <c r="A184">
        <v>183</v>
      </c>
      <c r="B184">
        <v>11</v>
      </c>
      <c r="C184" t="s">
        <v>256</v>
      </c>
      <c r="D184" s="79">
        <v>1.1000000000000001</v>
      </c>
      <c r="E184" s="6">
        <f t="shared" si="24"/>
        <v>2.0370370370370372</v>
      </c>
      <c r="F184" s="6">
        <v>0.54</v>
      </c>
      <c r="G184" s="78">
        <v>1</v>
      </c>
      <c r="H184" s="70">
        <v>0</v>
      </c>
      <c r="I184" s="70">
        <v>0</v>
      </c>
      <c r="J184" s="78">
        <v>582</v>
      </c>
      <c r="K184" s="70">
        <v>1</v>
      </c>
      <c r="L184" s="70">
        <f t="shared" si="22"/>
        <v>580</v>
      </c>
      <c r="M184" s="60">
        <f t="shared" si="23"/>
        <v>36</v>
      </c>
      <c r="N184" s="6">
        <f t="shared" si="25"/>
        <v>12.22</v>
      </c>
      <c r="O184" s="6">
        <f t="shared" si="26"/>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7"/>
        <v>0.66</v>
      </c>
      <c r="AI184" s="82">
        <f t="shared" si="30"/>
        <v>0.33999999999999997</v>
      </c>
      <c r="AJ184">
        <v>1</v>
      </c>
      <c r="AK184">
        <v>0</v>
      </c>
      <c r="AL184">
        <f t="shared" si="29"/>
        <v>0</v>
      </c>
      <c r="AM184" s="62" t="s">
        <v>297</v>
      </c>
      <c r="AN184">
        <v>0</v>
      </c>
      <c r="AO184">
        <v>1</v>
      </c>
      <c r="AP184">
        <v>942</v>
      </c>
      <c r="AQ184">
        <v>131</v>
      </c>
      <c r="AR184">
        <v>0.29299999999999998</v>
      </c>
      <c r="AS184" s="80">
        <f t="shared" si="28"/>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35">
      <c r="A185">
        <v>184</v>
      </c>
      <c r="B185">
        <v>11</v>
      </c>
      <c r="C185" t="s">
        <v>256</v>
      </c>
      <c r="D185" s="79">
        <v>7.6</v>
      </c>
      <c r="E185" s="6">
        <f t="shared" si="24"/>
        <v>0.80765143464399569</v>
      </c>
      <c r="F185" s="6">
        <v>9.41</v>
      </c>
      <c r="G185" s="78">
        <v>1</v>
      </c>
      <c r="H185" s="70">
        <v>0</v>
      </c>
      <c r="I185" s="70">
        <v>0</v>
      </c>
      <c r="J185" s="78">
        <v>582</v>
      </c>
      <c r="K185" s="70">
        <v>11</v>
      </c>
      <c r="L185" s="70">
        <f t="shared" si="22"/>
        <v>570</v>
      </c>
      <c r="M185" s="60">
        <f t="shared" si="23"/>
        <v>36</v>
      </c>
      <c r="N185" s="6">
        <f t="shared" si="25"/>
        <v>12.22</v>
      </c>
      <c r="O185" s="6">
        <f t="shared" si="26"/>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7"/>
        <v>0.66</v>
      </c>
      <c r="AI185" s="82">
        <f t="shared" si="30"/>
        <v>0.33999999999999997</v>
      </c>
      <c r="AJ185">
        <v>1</v>
      </c>
      <c r="AK185">
        <v>0</v>
      </c>
      <c r="AL185">
        <f t="shared" si="29"/>
        <v>0</v>
      </c>
      <c r="AM185" s="62" t="s">
        <v>297</v>
      </c>
      <c r="AN185">
        <v>0</v>
      </c>
      <c r="AO185">
        <v>1</v>
      </c>
      <c r="AP185">
        <v>942</v>
      </c>
      <c r="AQ185">
        <v>131</v>
      </c>
      <c r="AR185">
        <v>0.29299999999999998</v>
      </c>
      <c r="AS185" s="80">
        <f t="shared" si="28"/>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35">
      <c r="A186">
        <v>185</v>
      </c>
      <c r="B186">
        <v>11</v>
      </c>
      <c r="C186" t="s">
        <v>256</v>
      </c>
      <c r="D186" s="79">
        <v>1.4</v>
      </c>
      <c r="E186" s="6">
        <f t="shared" si="24"/>
        <v>2.0588235294117645</v>
      </c>
      <c r="F186" s="6">
        <v>0.68</v>
      </c>
      <c r="G186" s="78">
        <v>1</v>
      </c>
      <c r="H186" s="70">
        <v>0</v>
      </c>
      <c r="I186" s="70">
        <v>0</v>
      </c>
      <c r="J186" s="78">
        <v>582</v>
      </c>
      <c r="K186" s="70">
        <v>3</v>
      </c>
      <c r="L186" s="70">
        <f t="shared" si="22"/>
        <v>578</v>
      </c>
      <c r="M186" s="60">
        <f t="shared" si="23"/>
        <v>36</v>
      </c>
      <c r="N186" s="6">
        <f t="shared" si="25"/>
        <v>12.22</v>
      </c>
      <c r="O186" s="6">
        <f t="shared" si="26"/>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7"/>
        <v>0.66</v>
      </c>
      <c r="AI186" s="82">
        <f t="shared" si="30"/>
        <v>0.33999999999999997</v>
      </c>
      <c r="AJ186">
        <v>1</v>
      </c>
      <c r="AK186">
        <v>0</v>
      </c>
      <c r="AL186">
        <f t="shared" si="29"/>
        <v>0</v>
      </c>
      <c r="AM186" s="62" t="s">
        <v>297</v>
      </c>
      <c r="AN186">
        <v>0</v>
      </c>
      <c r="AO186">
        <v>1</v>
      </c>
      <c r="AP186">
        <v>942</v>
      </c>
      <c r="AQ186">
        <v>131</v>
      </c>
      <c r="AR186">
        <v>0.29299999999999998</v>
      </c>
      <c r="AS186" s="80">
        <f t="shared" si="28"/>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35">
      <c r="A187">
        <v>186</v>
      </c>
      <c r="B187">
        <v>11</v>
      </c>
      <c r="C187" t="s">
        <v>256</v>
      </c>
      <c r="D187" s="79">
        <v>7</v>
      </c>
      <c r="E187" s="6">
        <f t="shared" si="24"/>
        <v>0.62222222222222223</v>
      </c>
      <c r="F187" s="6">
        <v>11.25</v>
      </c>
      <c r="G187" s="78">
        <v>1</v>
      </c>
      <c r="H187" s="70">
        <v>0</v>
      </c>
      <c r="I187" s="70">
        <v>0</v>
      </c>
      <c r="J187" s="78">
        <v>1064</v>
      </c>
      <c r="K187" s="70">
        <v>9</v>
      </c>
      <c r="L187" s="70">
        <f t="shared" si="22"/>
        <v>1054</v>
      </c>
      <c r="M187" s="60">
        <f t="shared" si="23"/>
        <v>36</v>
      </c>
      <c r="N187" s="6">
        <f t="shared" si="25"/>
        <v>11.911300000000001</v>
      </c>
      <c r="O187" s="6">
        <f t="shared" si="26"/>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7"/>
        <v>0.83639999999999992</v>
      </c>
      <c r="AI187" s="82">
        <f t="shared" si="30"/>
        <v>0.16360000000000008</v>
      </c>
      <c r="AJ187">
        <v>0.37</v>
      </c>
      <c r="AK187">
        <v>0</v>
      </c>
      <c r="AL187">
        <f t="shared" si="29"/>
        <v>0.63</v>
      </c>
      <c r="AM187" s="62" t="s">
        <v>297</v>
      </c>
      <c r="AN187">
        <v>0</v>
      </c>
      <c r="AO187">
        <v>1</v>
      </c>
      <c r="AP187">
        <v>942</v>
      </c>
      <c r="AQ187">
        <v>131</v>
      </c>
      <c r="AR187">
        <v>0.29299999999999998</v>
      </c>
      <c r="AS187" s="80">
        <f t="shared" si="28"/>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35">
      <c r="A188">
        <v>187</v>
      </c>
      <c r="B188">
        <v>11</v>
      </c>
      <c r="C188" t="s">
        <v>256</v>
      </c>
      <c r="D188" s="79">
        <v>6.9</v>
      </c>
      <c r="E188" s="6">
        <f t="shared" si="24"/>
        <v>0.6188340807174888</v>
      </c>
      <c r="F188" s="6">
        <v>11.15</v>
      </c>
      <c r="G188" s="78">
        <v>1</v>
      </c>
      <c r="H188" s="70">
        <v>0</v>
      </c>
      <c r="I188" s="70">
        <v>0</v>
      </c>
      <c r="J188" s="78">
        <v>1064</v>
      </c>
      <c r="K188" s="70">
        <v>11</v>
      </c>
      <c r="L188" s="70">
        <f t="shared" si="22"/>
        <v>1052</v>
      </c>
      <c r="M188" s="60">
        <f t="shared" si="23"/>
        <v>36</v>
      </c>
      <c r="N188" s="6">
        <f t="shared" si="25"/>
        <v>11.911300000000001</v>
      </c>
      <c r="O188" s="6">
        <f t="shared" si="26"/>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7"/>
        <v>0.83639999999999992</v>
      </c>
      <c r="AI188" s="82">
        <f t="shared" si="30"/>
        <v>0.16360000000000008</v>
      </c>
      <c r="AJ188">
        <v>0.37</v>
      </c>
      <c r="AK188">
        <v>0</v>
      </c>
      <c r="AL188">
        <f t="shared" si="29"/>
        <v>0.63</v>
      </c>
      <c r="AM188" s="62" t="s">
        <v>297</v>
      </c>
      <c r="AN188">
        <v>0</v>
      </c>
      <c r="AO188">
        <v>1</v>
      </c>
      <c r="AP188">
        <v>942</v>
      </c>
      <c r="AQ188">
        <v>131</v>
      </c>
      <c r="AR188">
        <v>0.29299999999999998</v>
      </c>
      <c r="AS188" s="80">
        <f t="shared" si="28"/>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35">
      <c r="A189">
        <v>188</v>
      </c>
      <c r="B189">
        <v>11</v>
      </c>
      <c r="C189" t="s">
        <v>256</v>
      </c>
      <c r="D189" s="79">
        <v>9.6</v>
      </c>
      <c r="E189" s="6">
        <f t="shared" si="24"/>
        <v>0.89719626168224298</v>
      </c>
      <c r="F189" s="6">
        <v>10.7</v>
      </c>
      <c r="G189" s="78">
        <v>1</v>
      </c>
      <c r="H189" s="70">
        <v>0</v>
      </c>
      <c r="I189" s="70">
        <v>0</v>
      </c>
      <c r="J189" s="78">
        <v>394</v>
      </c>
      <c r="K189" s="70">
        <v>9</v>
      </c>
      <c r="L189" s="70">
        <f t="shared" si="22"/>
        <v>384</v>
      </c>
      <c r="M189" s="60">
        <f t="shared" si="23"/>
        <v>36</v>
      </c>
      <c r="N189" s="6">
        <f t="shared" si="25"/>
        <v>12.22</v>
      </c>
      <c r="O189" s="6">
        <f t="shared" si="26"/>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7"/>
        <v>0.66</v>
      </c>
      <c r="AI189" s="82">
        <f t="shared" si="30"/>
        <v>0.33999999999999997</v>
      </c>
      <c r="AJ189">
        <v>1</v>
      </c>
      <c r="AK189">
        <v>0</v>
      </c>
      <c r="AL189">
        <f t="shared" si="29"/>
        <v>0</v>
      </c>
      <c r="AM189" s="62" t="s">
        <v>297</v>
      </c>
      <c r="AN189">
        <v>0</v>
      </c>
      <c r="AO189">
        <v>1</v>
      </c>
      <c r="AP189">
        <v>942</v>
      </c>
      <c r="AQ189">
        <v>131</v>
      </c>
      <c r="AR189">
        <v>0.29299999999999998</v>
      </c>
      <c r="AS189" s="80">
        <f t="shared" si="28"/>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35">
      <c r="A190">
        <v>189</v>
      </c>
      <c r="B190">
        <v>11</v>
      </c>
      <c r="C190" t="s">
        <v>256</v>
      </c>
      <c r="D190" s="79">
        <v>4.5</v>
      </c>
      <c r="E190" s="6">
        <f t="shared" si="24"/>
        <v>2.1634615384615383</v>
      </c>
      <c r="F190" s="6">
        <v>2.08</v>
      </c>
      <c r="G190" s="78">
        <v>1</v>
      </c>
      <c r="H190" s="70">
        <v>0</v>
      </c>
      <c r="I190" s="70">
        <v>0</v>
      </c>
      <c r="J190" s="78">
        <v>394</v>
      </c>
      <c r="K190" s="70">
        <v>1</v>
      </c>
      <c r="L190" s="70">
        <f t="shared" si="22"/>
        <v>392</v>
      </c>
      <c r="M190" s="60">
        <f t="shared" si="23"/>
        <v>36</v>
      </c>
      <c r="N190" s="6">
        <f t="shared" si="25"/>
        <v>12.22</v>
      </c>
      <c r="O190" s="6">
        <f t="shared" si="26"/>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7"/>
        <v>0.66</v>
      </c>
      <c r="AI190" s="82">
        <f t="shared" si="30"/>
        <v>0.33999999999999997</v>
      </c>
      <c r="AJ190">
        <v>1</v>
      </c>
      <c r="AK190">
        <v>0</v>
      </c>
      <c r="AL190">
        <f t="shared" si="29"/>
        <v>0</v>
      </c>
      <c r="AM190" s="62" t="s">
        <v>297</v>
      </c>
      <c r="AN190">
        <v>0</v>
      </c>
      <c r="AO190">
        <v>1</v>
      </c>
      <c r="AP190">
        <v>942</v>
      </c>
      <c r="AQ190">
        <v>131</v>
      </c>
      <c r="AR190">
        <v>0.29299999999999998</v>
      </c>
      <c r="AS190" s="80">
        <f t="shared" si="28"/>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35">
      <c r="A191">
        <v>190</v>
      </c>
      <c r="B191">
        <v>11</v>
      </c>
      <c r="C191" t="s">
        <v>256</v>
      </c>
      <c r="D191" s="79">
        <v>9.6</v>
      </c>
      <c r="E191" s="6">
        <f t="shared" si="24"/>
        <v>0.8751139471285323</v>
      </c>
      <c r="F191" s="6">
        <v>10.97</v>
      </c>
      <c r="G191" s="78">
        <v>1</v>
      </c>
      <c r="H191" s="70">
        <v>0</v>
      </c>
      <c r="I191" s="70">
        <v>0</v>
      </c>
      <c r="J191" s="78">
        <v>394</v>
      </c>
      <c r="K191" s="70">
        <v>11</v>
      </c>
      <c r="L191" s="70">
        <f t="shared" si="22"/>
        <v>382</v>
      </c>
      <c r="M191" s="60">
        <f t="shared" si="23"/>
        <v>36</v>
      </c>
      <c r="N191" s="6">
        <f t="shared" si="25"/>
        <v>12.22</v>
      </c>
      <c r="O191" s="6">
        <f t="shared" si="26"/>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7"/>
        <v>0.66</v>
      </c>
      <c r="AI191" s="82">
        <f t="shared" si="30"/>
        <v>0.33999999999999997</v>
      </c>
      <c r="AJ191">
        <v>1</v>
      </c>
      <c r="AK191">
        <v>0</v>
      </c>
      <c r="AL191">
        <f t="shared" si="29"/>
        <v>0</v>
      </c>
      <c r="AM191" s="62" t="s">
        <v>297</v>
      </c>
      <c r="AN191">
        <v>0</v>
      </c>
      <c r="AO191">
        <v>1</v>
      </c>
      <c r="AP191">
        <v>942</v>
      </c>
      <c r="AQ191">
        <v>131</v>
      </c>
      <c r="AR191">
        <v>0.29299999999999998</v>
      </c>
      <c r="AS191" s="80">
        <f t="shared" si="28"/>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35">
      <c r="A192">
        <v>191</v>
      </c>
      <c r="B192">
        <v>11</v>
      </c>
      <c r="C192" t="s">
        <v>256</v>
      </c>
      <c r="D192" s="79">
        <v>4.5</v>
      </c>
      <c r="E192" s="6">
        <f t="shared" si="24"/>
        <v>2.2058823529411766</v>
      </c>
      <c r="F192" s="6">
        <v>2.04</v>
      </c>
      <c r="G192" s="78">
        <v>1</v>
      </c>
      <c r="H192" s="70">
        <v>0</v>
      </c>
      <c r="I192" s="70">
        <v>0</v>
      </c>
      <c r="J192" s="78">
        <v>394</v>
      </c>
      <c r="K192" s="70">
        <v>3</v>
      </c>
      <c r="L192" s="70">
        <f t="shared" si="22"/>
        <v>390</v>
      </c>
      <c r="M192" s="60">
        <f t="shared" si="23"/>
        <v>36</v>
      </c>
      <c r="N192" s="6">
        <f t="shared" si="25"/>
        <v>12.22</v>
      </c>
      <c r="O192" s="6">
        <f t="shared" si="26"/>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7"/>
        <v>0.66</v>
      </c>
      <c r="AI192" s="82">
        <f t="shared" si="30"/>
        <v>0.33999999999999997</v>
      </c>
      <c r="AJ192">
        <v>1</v>
      </c>
      <c r="AK192">
        <v>0</v>
      </c>
      <c r="AL192">
        <f t="shared" si="29"/>
        <v>0</v>
      </c>
      <c r="AM192" s="62" t="s">
        <v>297</v>
      </c>
      <c r="AN192">
        <v>0</v>
      </c>
      <c r="AO192">
        <v>1</v>
      </c>
      <c r="AP192">
        <v>942</v>
      </c>
      <c r="AQ192">
        <v>131</v>
      </c>
      <c r="AR192">
        <v>0.29299999999999998</v>
      </c>
      <c r="AS192" s="80">
        <f t="shared" si="28"/>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35">
      <c r="A193">
        <v>192</v>
      </c>
      <c r="B193">
        <v>11</v>
      </c>
      <c r="C193" t="s">
        <v>256</v>
      </c>
      <c r="D193" s="79">
        <v>10.8</v>
      </c>
      <c r="E193" s="6">
        <f t="shared" si="24"/>
        <v>1.1513859275053304</v>
      </c>
      <c r="F193" s="6">
        <v>9.3800000000000008</v>
      </c>
      <c r="G193" s="78">
        <v>1</v>
      </c>
      <c r="H193" s="70">
        <v>0</v>
      </c>
      <c r="I193" s="70">
        <v>0</v>
      </c>
      <c r="J193" s="78">
        <v>394</v>
      </c>
      <c r="K193" s="70">
        <v>9</v>
      </c>
      <c r="L193" s="70">
        <f t="shared" si="22"/>
        <v>384</v>
      </c>
      <c r="M193" s="60">
        <f t="shared" si="23"/>
        <v>36</v>
      </c>
      <c r="N193" s="6">
        <f t="shared" si="25"/>
        <v>12.22</v>
      </c>
      <c r="O193" s="6">
        <f t="shared" si="26"/>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7"/>
        <v>0.66</v>
      </c>
      <c r="AI193" s="82">
        <f t="shared" si="30"/>
        <v>0.33999999999999997</v>
      </c>
      <c r="AJ193">
        <v>1</v>
      </c>
      <c r="AK193">
        <v>0</v>
      </c>
      <c r="AL193">
        <f t="shared" si="29"/>
        <v>0</v>
      </c>
      <c r="AM193" s="62" t="s">
        <v>297</v>
      </c>
      <c r="AN193">
        <v>0</v>
      </c>
      <c r="AO193">
        <v>1</v>
      </c>
      <c r="AP193">
        <v>942</v>
      </c>
      <c r="AQ193">
        <v>131</v>
      </c>
      <c r="AR193">
        <v>0.29299999999999998</v>
      </c>
      <c r="AS193" s="80">
        <f t="shared" si="28"/>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35">
      <c r="A194">
        <v>193</v>
      </c>
      <c r="B194">
        <v>11</v>
      </c>
      <c r="C194" t="s">
        <v>256</v>
      </c>
      <c r="D194" s="79">
        <v>7.5</v>
      </c>
      <c r="E194" s="6">
        <f t="shared" si="24"/>
        <v>3.7688442211055277</v>
      </c>
      <c r="F194" s="6">
        <v>1.99</v>
      </c>
      <c r="G194" s="78">
        <v>1</v>
      </c>
      <c r="H194" s="70">
        <v>0</v>
      </c>
      <c r="I194" s="70">
        <v>0</v>
      </c>
      <c r="J194" s="78">
        <v>394</v>
      </c>
      <c r="K194" s="70">
        <v>1</v>
      </c>
      <c r="L194" s="70">
        <f t="shared" ref="L194:L257" si="31">J194-K194-1</f>
        <v>392</v>
      </c>
      <c r="M194" s="60">
        <f t="shared" ref="M194:M257" si="32">COUNTIF(B:B,B194)</f>
        <v>36</v>
      </c>
      <c r="N194" s="6">
        <f t="shared" si="25"/>
        <v>12.22</v>
      </c>
      <c r="O194" s="6">
        <f t="shared" si="26"/>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7"/>
        <v>0.66</v>
      </c>
      <c r="AI194" s="82">
        <f t="shared" si="30"/>
        <v>0.33999999999999997</v>
      </c>
      <c r="AJ194">
        <v>1</v>
      </c>
      <c r="AK194">
        <v>0</v>
      </c>
      <c r="AL194">
        <f t="shared" si="29"/>
        <v>0</v>
      </c>
      <c r="AM194" s="62" t="s">
        <v>297</v>
      </c>
      <c r="AN194">
        <v>0</v>
      </c>
      <c r="AO194">
        <v>1</v>
      </c>
      <c r="AP194">
        <v>942</v>
      </c>
      <c r="AQ194">
        <v>131</v>
      </c>
      <c r="AR194">
        <v>0.29299999999999998</v>
      </c>
      <c r="AS194" s="80">
        <f t="shared" si="28"/>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35">
      <c r="A195">
        <v>194</v>
      </c>
      <c r="B195">
        <v>11</v>
      </c>
      <c r="C195" t="s">
        <v>256</v>
      </c>
      <c r="D195" s="79">
        <v>10.8</v>
      </c>
      <c r="E195" s="6">
        <f t="shared" si="24"/>
        <v>1.1625403659849303</v>
      </c>
      <c r="F195" s="6">
        <v>9.2899999999999991</v>
      </c>
      <c r="G195" s="78">
        <v>1</v>
      </c>
      <c r="H195" s="70">
        <v>0</v>
      </c>
      <c r="I195" s="70">
        <v>0</v>
      </c>
      <c r="J195" s="78">
        <v>394</v>
      </c>
      <c r="K195" s="70">
        <v>11</v>
      </c>
      <c r="L195" s="70">
        <f t="shared" si="31"/>
        <v>382</v>
      </c>
      <c r="M195" s="60">
        <f t="shared" si="32"/>
        <v>36</v>
      </c>
      <c r="N195" s="6">
        <f t="shared" si="25"/>
        <v>12.22</v>
      </c>
      <c r="O195" s="6">
        <f t="shared" si="26"/>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7"/>
        <v>0.66</v>
      </c>
      <c r="AI195" s="82">
        <f t="shared" si="30"/>
        <v>0.33999999999999997</v>
      </c>
      <c r="AJ195">
        <v>1</v>
      </c>
      <c r="AK195">
        <v>0</v>
      </c>
      <c r="AL195">
        <f t="shared" si="29"/>
        <v>0</v>
      </c>
      <c r="AM195" s="62" t="s">
        <v>297</v>
      </c>
      <c r="AN195">
        <v>0</v>
      </c>
      <c r="AO195">
        <v>1</v>
      </c>
      <c r="AP195">
        <v>942</v>
      </c>
      <c r="AQ195">
        <v>131</v>
      </c>
      <c r="AR195">
        <v>0.29299999999999998</v>
      </c>
      <c r="AS195" s="80">
        <f t="shared" si="28"/>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35">
      <c r="A196">
        <v>195</v>
      </c>
      <c r="B196">
        <v>11</v>
      </c>
      <c r="C196" t="s">
        <v>256</v>
      </c>
      <c r="D196" s="79">
        <v>7.1</v>
      </c>
      <c r="E196" s="6">
        <f t="shared" si="24"/>
        <v>3.736842105263158</v>
      </c>
      <c r="F196" s="6">
        <v>1.9</v>
      </c>
      <c r="G196" s="78">
        <v>1</v>
      </c>
      <c r="H196" s="70">
        <v>0</v>
      </c>
      <c r="I196" s="70">
        <v>0</v>
      </c>
      <c r="J196" s="78">
        <v>394</v>
      </c>
      <c r="K196" s="70">
        <v>3</v>
      </c>
      <c r="L196" s="70">
        <f t="shared" si="31"/>
        <v>390</v>
      </c>
      <c r="M196" s="60">
        <f t="shared" si="32"/>
        <v>36</v>
      </c>
      <c r="N196" s="6">
        <f t="shared" si="25"/>
        <v>12.22</v>
      </c>
      <c r="O196" s="6">
        <f t="shared" si="26"/>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7"/>
        <v>0.66</v>
      </c>
      <c r="AI196" s="82">
        <f t="shared" si="30"/>
        <v>0.33999999999999997</v>
      </c>
      <c r="AJ196">
        <v>1</v>
      </c>
      <c r="AK196">
        <v>0</v>
      </c>
      <c r="AL196">
        <f t="shared" si="29"/>
        <v>0</v>
      </c>
      <c r="AM196" s="62" t="s">
        <v>297</v>
      </c>
      <c r="AN196">
        <v>0</v>
      </c>
      <c r="AO196">
        <v>1</v>
      </c>
      <c r="AP196">
        <v>942</v>
      </c>
      <c r="AQ196">
        <v>131</v>
      </c>
      <c r="AR196">
        <v>0.29299999999999998</v>
      </c>
      <c r="AS196" s="80">
        <f t="shared" si="28"/>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35">
      <c r="A197">
        <v>196</v>
      </c>
      <c r="B197">
        <v>11</v>
      </c>
      <c r="C197" t="s">
        <v>256</v>
      </c>
      <c r="D197" s="79">
        <v>7.6</v>
      </c>
      <c r="E197" s="6">
        <f t="shared" si="24"/>
        <v>0.61939690301548489</v>
      </c>
      <c r="F197" s="6">
        <v>12.27</v>
      </c>
      <c r="G197" s="78">
        <v>1</v>
      </c>
      <c r="H197" s="70">
        <v>0</v>
      </c>
      <c r="I197" s="70">
        <v>0</v>
      </c>
      <c r="J197" s="78">
        <v>488</v>
      </c>
      <c r="K197" s="70">
        <v>9</v>
      </c>
      <c r="L197" s="70">
        <f t="shared" si="31"/>
        <v>478</v>
      </c>
      <c r="M197" s="60">
        <f t="shared" si="32"/>
        <v>36</v>
      </c>
      <c r="N197" s="6">
        <f t="shared" si="25"/>
        <v>12.22</v>
      </c>
      <c r="O197" s="6">
        <f t="shared" si="26"/>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7"/>
        <v>0.66</v>
      </c>
      <c r="AI197" s="82">
        <f t="shared" si="30"/>
        <v>0.33999999999999997</v>
      </c>
      <c r="AJ197">
        <v>1</v>
      </c>
      <c r="AK197">
        <v>0</v>
      </c>
      <c r="AL197">
        <f t="shared" si="29"/>
        <v>0</v>
      </c>
      <c r="AM197" s="62" t="s">
        <v>297</v>
      </c>
      <c r="AN197">
        <v>0</v>
      </c>
      <c r="AO197">
        <v>1</v>
      </c>
      <c r="AP197">
        <v>942</v>
      </c>
      <c r="AQ197">
        <v>131</v>
      </c>
      <c r="AR197">
        <v>0.29299999999999998</v>
      </c>
      <c r="AS197" s="80">
        <f t="shared" si="28"/>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35">
      <c r="A198">
        <v>197</v>
      </c>
      <c r="B198">
        <v>11</v>
      </c>
      <c r="C198" t="s">
        <v>256</v>
      </c>
      <c r="D198" s="79">
        <v>2.5</v>
      </c>
      <c r="E198" s="6">
        <f t="shared" si="24"/>
        <v>1.2135922330097086</v>
      </c>
      <c r="F198" s="6">
        <v>2.06</v>
      </c>
      <c r="G198" s="78">
        <v>1</v>
      </c>
      <c r="H198" s="70">
        <v>0</v>
      </c>
      <c r="I198" s="70">
        <v>0</v>
      </c>
      <c r="J198" s="78">
        <v>488</v>
      </c>
      <c r="K198" s="70">
        <v>10</v>
      </c>
      <c r="L198" s="70">
        <f t="shared" si="31"/>
        <v>477</v>
      </c>
      <c r="M198" s="60">
        <f t="shared" si="32"/>
        <v>36</v>
      </c>
      <c r="N198" s="6">
        <f t="shared" si="25"/>
        <v>12.22</v>
      </c>
      <c r="O198" s="6">
        <f t="shared" si="26"/>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7"/>
        <v>0.66</v>
      </c>
      <c r="AI198" s="82">
        <f t="shared" si="30"/>
        <v>0.33999999999999997</v>
      </c>
      <c r="AJ198">
        <v>1</v>
      </c>
      <c r="AK198">
        <v>0</v>
      </c>
      <c r="AL198">
        <f t="shared" si="29"/>
        <v>0</v>
      </c>
      <c r="AM198" s="62" t="s">
        <v>297</v>
      </c>
      <c r="AN198">
        <v>0</v>
      </c>
      <c r="AO198">
        <v>1</v>
      </c>
      <c r="AP198">
        <v>942</v>
      </c>
      <c r="AQ198">
        <v>131</v>
      </c>
      <c r="AR198">
        <v>0.29299999999999998</v>
      </c>
      <c r="AS198" s="80">
        <f t="shared" si="28"/>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35">
      <c r="A199">
        <v>198</v>
      </c>
      <c r="B199">
        <v>11</v>
      </c>
      <c r="C199" t="s">
        <v>256</v>
      </c>
      <c r="D199" s="79">
        <v>2.2000000000000002</v>
      </c>
      <c r="E199" s="6">
        <f t="shared" si="24"/>
        <v>1.1640211640211642</v>
      </c>
      <c r="F199" s="6">
        <v>1.89</v>
      </c>
      <c r="G199" s="78">
        <v>1</v>
      </c>
      <c r="H199" s="70">
        <v>0</v>
      </c>
      <c r="I199" s="70">
        <v>0</v>
      </c>
      <c r="J199" s="78">
        <v>488</v>
      </c>
      <c r="K199" s="70">
        <v>10</v>
      </c>
      <c r="L199" s="70">
        <f t="shared" si="31"/>
        <v>477</v>
      </c>
      <c r="M199" s="60">
        <f t="shared" si="32"/>
        <v>36</v>
      </c>
      <c r="N199" s="6">
        <f t="shared" si="25"/>
        <v>12.22</v>
      </c>
      <c r="O199" s="6">
        <f t="shared" si="26"/>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7"/>
        <v>0.66</v>
      </c>
      <c r="AI199" s="82">
        <f t="shared" si="30"/>
        <v>0.33999999999999997</v>
      </c>
      <c r="AJ199">
        <v>1</v>
      </c>
      <c r="AK199">
        <v>0</v>
      </c>
      <c r="AL199">
        <f t="shared" si="29"/>
        <v>0</v>
      </c>
      <c r="AM199" s="62" t="s">
        <v>297</v>
      </c>
      <c r="AN199">
        <v>0</v>
      </c>
      <c r="AO199">
        <v>1</v>
      </c>
      <c r="AP199">
        <v>942</v>
      </c>
      <c r="AQ199">
        <v>131</v>
      </c>
      <c r="AR199">
        <v>0.29299999999999998</v>
      </c>
      <c r="AS199" s="80">
        <f t="shared" si="28"/>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35">
      <c r="A200">
        <v>199</v>
      </c>
      <c r="B200">
        <v>11</v>
      </c>
      <c r="C200" t="s">
        <v>256</v>
      </c>
      <c r="D200" s="79">
        <v>7.7</v>
      </c>
      <c r="E200" s="6">
        <f t="shared" si="24"/>
        <v>0.61946902654867264</v>
      </c>
      <c r="F200" s="6">
        <v>12.43</v>
      </c>
      <c r="G200" s="78">
        <v>1</v>
      </c>
      <c r="H200" s="70">
        <v>0</v>
      </c>
      <c r="I200" s="70">
        <v>0</v>
      </c>
      <c r="J200" s="78">
        <v>488</v>
      </c>
      <c r="K200" s="70">
        <v>11</v>
      </c>
      <c r="L200" s="70">
        <f t="shared" si="31"/>
        <v>476</v>
      </c>
      <c r="M200" s="60">
        <f t="shared" si="32"/>
        <v>36</v>
      </c>
      <c r="N200" s="6">
        <f t="shared" si="25"/>
        <v>12.22</v>
      </c>
      <c r="O200" s="6">
        <f t="shared" si="26"/>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7"/>
        <v>0.66</v>
      </c>
      <c r="AI200" s="82">
        <f t="shared" si="30"/>
        <v>0.33999999999999997</v>
      </c>
      <c r="AJ200">
        <v>1</v>
      </c>
      <c r="AK200">
        <v>0</v>
      </c>
      <c r="AL200">
        <f t="shared" si="29"/>
        <v>0</v>
      </c>
      <c r="AM200" s="62" t="s">
        <v>297</v>
      </c>
      <c r="AN200">
        <v>0</v>
      </c>
      <c r="AO200">
        <v>1</v>
      </c>
      <c r="AP200">
        <v>942</v>
      </c>
      <c r="AQ200">
        <v>131</v>
      </c>
      <c r="AR200">
        <v>0.29299999999999998</v>
      </c>
      <c r="AS200" s="80">
        <f t="shared" si="28"/>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35">
      <c r="A201">
        <v>200</v>
      </c>
      <c r="B201">
        <v>11</v>
      </c>
      <c r="C201" t="s">
        <v>256</v>
      </c>
      <c r="D201" s="79">
        <v>2.7</v>
      </c>
      <c r="E201" s="6">
        <f t="shared" si="24"/>
        <v>1.2162162162162162</v>
      </c>
      <c r="F201" s="6">
        <v>2.2200000000000002</v>
      </c>
      <c r="G201" s="78">
        <v>1</v>
      </c>
      <c r="H201" s="70">
        <v>0</v>
      </c>
      <c r="I201" s="70">
        <v>0</v>
      </c>
      <c r="J201" s="78">
        <v>488</v>
      </c>
      <c r="K201" s="70">
        <v>11</v>
      </c>
      <c r="L201" s="70">
        <f t="shared" si="31"/>
        <v>476</v>
      </c>
      <c r="M201" s="60">
        <f t="shared" si="32"/>
        <v>36</v>
      </c>
      <c r="N201" s="6">
        <f t="shared" si="25"/>
        <v>12.22</v>
      </c>
      <c r="O201" s="6">
        <f t="shared" si="26"/>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7"/>
        <v>0.66</v>
      </c>
      <c r="AI201" s="82">
        <f t="shared" si="30"/>
        <v>0.33999999999999997</v>
      </c>
      <c r="AJ201">
        <v>1</v>
      </c>
      <c r="AK201">
        <v>0</v>
      </c>
      <c r="AL201">
        <f t="shared" si="29"/>
        <v>0</v>
      </c>
      <c r="AM201" s="62" t="s">
        <v>297</v>
      </c>
      <c r="AN201">
        <v>0</v>
      </c>
      <c r="AO201">
        <v>1</v>
      </c>
      <c r="AP201">
        <v>942</v>
      </c>
      <c r="AQ201">
        <v>131</v>
      </c>
      <c r="AR201">
        <v>0.29299999999999998</v>
      </c>
      <c r="AS201" s="80">
        <f t="shared" si="28"/>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35">
      <c r="A202">
        <v>201</v>
      </c>
      <c r="B202">
        <v>11</v>
      </c>
      <c r="C202" t="s">
        <v>256</v>
      </c>
      <c r="D202" s="79">
        <v>2.2999999999999998</v>
      </c>
      <c r="E202" s="6">
        <f t="shared" si="24"/>
        <v>1.1616161616161615</v>
      </c>
      <c r="F202" s="6">
        <v>1.98</v>
      </c>
      <c r="G202" s="78">
        <v>1</v>
      </c>
      <c r="H202" s="70">
        <v>0</v>
      </c>
      <c r="I202" s="70">
        <v>0</v>
      </c>
      <c r="J202" s="78">
        <v>488</v>
      </c>
      <c r="K202" s="70">
        <v>11</v>
      </c>
      <c r="L202" s="70">
        <f t="shared" si="31"/>
        <v>476</v>
      </c>
      <c r="M202" s="60">
        <f t="shared" si="32"/>
        <v>36</v>
      </c>
      <c r="N202" s="6">
        <f t="shared" si="25"/>
        <v>12.22</v>
      </c>
      <c r="O202" s="6">
        <f t="shared" si="26"/>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7"/>
        <v>0.66</v>
      </c>
      <c r="AI202" s="82">
        <f t="shared" si="30"/>
        <v>0.33999999999999997</v>
      </c>
      <c r="AJ202">
        <v>1</v>
      </c>
      <c r="AK202">
        <v>0</v>
      </c>
      <c r="AL202">
        <f t="shared" si="29"/>
        <v>0</v>
      </c>
      <c r="AM202" s="62" t="s">
        <v>297</v>
      </c>
      <c r="AN202">
        <v>0</v>
      </c>
      <c r="AO202">
        <v>1</v>
      </c>
      <c r="AP202">
        <v>942</v>
      </c>
      <c r="AQ202">
        <v>131</v>
      </c>
      <c r="AR202">
        <v>0.29299999999999998</v>
      </c>
      <c r="AS202" s="80">
        <f t="shared" si="28"/>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35">
      <c r="A203">
        <v>202</v>
      </c>
      <c r="B203">
        <v>12</v>
      </c>
      <c r="C203" t="s">
        <v>263</v>
      </c>
      <c r="D203" s="79">
        <v>6.5</v>
      </c>
      <c r="E203" s="6">
        <v>0.2</v>
      </c>
      <c r="F203" s="6">
        <f t="shared" ref="F203:F237" si="33">D203/E203</f>
        <v>32.5</v>
      </c>
      <c r="G203" s="78">
        <v>0</v>
      </c>
      <c r="H203" s="70">
        <v>0</v>
      </c>
      <c r="I203" s="70">
        <v>1</v>
      </c>
      <c r="J203" s="78">
        <v>2340</v>
      </c>
      <c r="K203" s="70">
        <v>5</v>
      </c>
      <c r="L203" s="70">
        <f t="shared" si="31"/>
        <v>2334</v>
      </c>
      <c r="M203" s="60">
        <f t="shared" si="32"/>
        <v>22</v>
      </c>
      <c r="N203" s="70">
        <v>12.513999999999999</v>
      </c>
      <c r="O203" s="70">
        <f t="shared" ref="O203:O234" si="34">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35">1-AB203</f>
        <v>0.53200000000000003</v>
      </c>
      <c r="AD203" s="28" t="s">
        <v>45</v>
      </c>
      <c r="AE203" t="s">
        <v>45</v>
      </c>
      <c r="AF203">
        <v>0</v>
      </c>
      <c r="AG203">
        <v>1</v>
      </c>
      <c r="AH203" s="83">
        <f>0.741*(AJ203+AK203)+0.674*AL203</f>
        <v>0.70750000000000002</v>
      </c>
      <c r="AI203" s="84">
        <f t="shared" si="30"/>
        <v>0.29249999999999998</v>
      </c>
      <c r="AJ203">
        <v>0.25</v>
      </c>
      <c r="AK203">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35">
      <c r="A204">
        <v>203</v>
      </c>
      <c r="B204">
        <v>12</v>
      </c>
      <c r="C204" t="s">
        <v>263</v>
      </c>
      <c r="D204" s="79">
        <v>7.6</v>
      </c>
      <c r="E204" s="6">
        <v>0.2</v>
      </c>
      <c r="F204" s="6">
        <f t="shared" si="33"/>
        <v>37.999999999999993</v>
      </c>
      <c r="G204" s="78">
        <v>0</v>
      </c>
      <c r="H204" s="70">
        <v>0</v>
      </c>
      <c r="I204" s="70">
        <v>1</v>
      </c>
      <c r="J204" s="78">
        <v>2340</v>
      </c>
      <c r="K204" s="70">
        <v>5</v>
      </c>
      <c r="L204" s="70">
        <f t="shared" si="31"/>
        <v>2334</v>
      </c>
      <c r="M204" s="60">
        <f t="shared" si="32"/>
        <v>22</v>
      </c>
      <c r="N204" s="70">
        <v>12.513999999999999</v>
      </c>
      <c r="O204" s="70">
        <f t="shared" si="34"/>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35"/>
        <v>0.53200000000000003</v>
      </c>
      <c r="AD204" s="28" t="s">
        <v>45</v>
      </c>
      <c r="AE204" t="s">
        <v>45</v>
      </c>
      <c r="AF204">
        <v>0</v>
      </c>
      <c r="AG204">
        <v>1</v>
      </c>
      <c r="AH204" s="83">
        <f>0.741*(AJ204+AK204)+0.674*AL204</f>
        <v>0.70750000000000002</v>
      </c>
      <c r="AI204" s="84">
        <f t="shared" si="30"/>
        <v>0.29249999999999998</v>
      </c>
      <c r="AJ204">
        <v>0.25</v>
      </c>
      <c r="AK204">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35">
      <c r="A205">
        <v>204</v>
      </c>
      <c r="B205">
        <v>12</v>
      </c>
      <c r="C205" t="s">
        <v>263</v>
      </c>
      <c r="D205" s="79">
        <v>2.5</v>
      </c>
      <c r="E205" s="6">
        <v>0.5</v>
      </c>
      <c r="F205" s="6">
        <f t="shared" si="33"/>
        <v>5</v>
      </c>
      <c r="G205" s="78">
        <v>0</v>
      </c>
      <c r="H205" s="70">
        <v>0</v>
      </c>
      <c r="I205" s="70">
        <v>1</v>
      </c>
      <c r="J205" s="78">
        <v>602</v>
      </c>
      <c r="K205" s="70">
        <v>5</v>
      </c>
      <c r="L205" s="70">
        <f t="shared" si="31"/>
        <v>596</v>
      </c>
      <c r="M205" s="60">
        <f t="shared" si="32"/>
        <v>22</v>
      </c>
      <c r="N205" s="70">
        <v>12.513999999999999</v>
      </c>
      <c r="O205" s="70">
        <f t="shared" si="34"/>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35"/>
        <v>0.53200000000000003</v>
      </c>
      <c r="AD205" s="28" t="s">
        <v>45</v>
      </c>
      <c r="AE205" t="s">
        <v>45</v>
      </c>
      <c r="AF205">
        <v>0</v>
      </c>
      <c r="AG205">
        <v>1</v>
      </c>
      <c r="AH205" s="28">
        <v>0.75900000000000001</v>
      </c>
      <c r="AI205" s="12">
        <f t="shared" si="30"/>
        <v>0.24099999999999999</v>
      </c>
      <c r="AJ205">
        <v>1</v>
      </c>
      <c r="AK205">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35">
      <c r="A206">
        <v>205</v>
      </c>
      <c r="B206">
        <v>12</v>
      </c>
      <c r="C206" t="s">
        <v>263</v>
      </c>
      <c r="D206" s="79">
        <v>4.5</v>
      </c>
      <c r="E206" s="6">
        <v>0.9</v>
      </c>
      <c r="F206" s="6">
        <f t="shared" si="33"/>
        <v>5</v>
      </c>
      <c r="G206" s="78">
        <v>0</v>
      </c>
      <c r="H206" s="70">
        <v>0</v>
      </c>
      <c r="I206" s="70">
        <v>1</v>
      </c>
      <c r="J206" s="78">
        <v>602</v>
      </c>
      <c r="K206" s="70">
        <v>5</v>
      </c>
      <c r="L206" s="70">
        <f t="shared" si="31"/>
        <v>596</v>
      </c>
      <c r="M206" s="60">
        <f t="shared" si="32"/>
        <v>22</v>
      </c>
      <c r="N206" s="70">
        <v>12.513999999999999</v>
      </c>
      <c r="O206" s="70">
        <f t="shared" si="34"/>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35"/>
        <v>0.53200000000000003</v>
      </c>
      <c r="AD206" s="28" t="s">
        <v>45</v>
      </c>
      <c r="AE206" t="s">
        <v>45</v>
      </c>
      <c r="AF206">
        <v>0</v>
      </c>
      <c r="AG206">
        <v>1</v>
      </c>
      <c r="AH206" s="28">
        <v>0.75900000000000001</v>
      </c>
      <c r="AI206" s="12">
        <f t="shared" si="30"/>
        <v>0.24099999999999999</v>
      </c>
      <c r="AJ206">
        <v>1</v>
      </c>
      <c r="AK206">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35">
      <c r="A207">
        <v>206</v>
      </c>
      <c r="B207">
        <v>12</v>
      </c>
      <c r="C207" t="s">
        <v>263</v>
      </c>
      <c r="D207" s="79">
        <v>4.5</v>
      </c>
      <c r="E207" s="6">
        <v>0.5</v>
      </c>
      <c r="F207" s="6">
        <f t="shared" si="33"/>
        <v>9</v>
      </c>
      <c r="G207" s="78">
        <v>0</v>
      </c>
      <c r="H207" s="70">
        <v>0</v>
      </c>
      <c r="I207" s="70">
        <v>1</v>
      </c>
      <c r="J207" s="78">
        <v>568</v>
      </c>
      <c r="K207" s="70">
        <v>5</v>
      </c>
      <c r="L207" s="70">
        <f t="shared" si="31"/>
        <v>562</v>
      </c>
      <c r="M207" s="60">
        <f t="shared" si="32"/>
        <v>22</v>
      </c>
      <c r="N207" s="70">
        <v>12.695</v>
      </c>
      <c r="O207" s="70">
        <f t="shared" si="34"/>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35"/>
        <v>0.495</v>
      </c>
      <c r="AD207" s="28" t="s">
        <v>45</v>
      </c>
      <c r="AE207" t="s">
        <v>45</v>
      </c>
      <c r="AF207">
        <v>0</v>
      </c>
      <c r="AG207">
        <v>1</v>
      </c>
      <c r="AH207" s="28">
        <v>0.72199999999999998</v>
      </c>
      <c r="AI207" s="12">
        <f t="shared" si="30"/>
        <v>0.27800000000000002</v>
      </c>
      <c r="AJ207">
        <v>0</v>
      </c>
      <c r="AK20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35">
      <c r="A208">
        <v>207</v>
      </c>
      <c r="B208">
        <v>12</v>
      </c>
      <c r="C208" t="s">
        <v>263</v>
      </c>
      <c r="D208" s="79">
        <v>7.4</v>
      </c>
      <c r="E208" s="6">
        <v>0.9</v>
      </c>
      <c r="F208" s="6">
        <f t="shared" si="33"/>
        <v>8.2222222222222232</v>
      </c>
      <c r="G208" s="78">
        <v>0</v>
      </c>
      <c r="H208" s="70">
        <v>0</v>
      </c>
      <c r="I208" s="70">
        <v>1</v>
      </c>
      <c r="J208" s="78">
        <v>568</v>
      </c>
      <c r="K208" s="70">
        <v>5</v>
      </c>
      <c r="L208" s="70">
        <f t="shared" si="31"/>
        <v>562</v>
      </c>
      <c r="M208" s="60">
        <f t="shared" si="32"/>
        <v>22</v>
      </c>
      <c r="N208" s="70">
        <v>12.695</v>
      </c>
      <c r="O208" s="70">
        <f t="shared" si="34"/>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35"/>
        <v>0.495</v>
      </c>
      <c r="AD208" s="28" t="s">
        <v>45</v>
      </c>
      <c r="AE208" t="s">
        <v>45</v>
      </c>
      <c r="AF208">
        <v>0</v>
      </c>
      <c r="AG208">
        <v>1</v>
      </c>
      <c r="AH208" s="28">
        <v>0.72199999999999998</v>
      </c>
      <c r="AI208" s="12">
        <f t="shared" si="30"/>
        <v>0.27800000000000002</v>
      </c>
      <c r="AJ208">
        <v>0</v>
      </c>
      <c r="AK208">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35">
      <c r="A209">
        <v>208</v>
      </c>
      <c r="B209">
        <v>12</v>
      </c>
      <c r="C209" t="s">
        <v>263</v>
      </c>
      <c r="D209" s="79">
        <v>4.2</v>
      </c>
      <c r="E209" s="6">
        <v>0.9</v>
      </c>
      <c r="F209" s="6">
        <f t="shared" si="33"/>
        <v>4.666666666666667</v>
      </c>
      <c r="G209" s="78">
        <v>0</v>
      </c>
      <c r="H209" s="70">
        <v>0</v>
      </c>
      <c r="I209" s="70">
        <v>1</v>
      </c>
      <c r="J209" s="78">
        <v>602</v>
      </c>
      <c r="K209" s="70">
        <v>5</v>
      </c>
      <c r="L209" s="70">
        <f t="shared" si="31"/>
        <v>596</v>
      </c>
      <c r="M209" s="60">
        <f t="shared" si="32"/>
        <v>22</v>
      </c>
      <c r="N209" s="70">
        <v>12.513999999999999</v>
      </c>
      <c r="O209" s="70">
        <f t="shared" si="34"/>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35"/>
        <v>0.53200000000000003</v>
      </c>
      <c r="AD209" s="28" t="s">
        <v>45</v>
      </c>
      <c r="AE209" t="s">
        <v>45</v>
      </c>
      <c r="AF209">
        <v>0</v>
      </c>
      <c r="AG209">
        <v>1</v>
      </c>
      <c r="AH209" s="28">
        <v>0.75900000000000001</v>
      </c>
      <c r="AI209" s="12">
        <f t="shared" si="30"/>
        <v>0.24099999999999999</v>
      </c>
      <c r="AJ209">
        <v>1</v>
      </c>
      <c r="AK209">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35">
      <c r="A210">
        <v>209</v>
      </c>
      <c r="B210">
        <v>12</v>
      </c>
      <c r="C210" t="s">
        <v>263</v>
      </c>
      <c r="D210" s="79">
        <v>1.5</v>
      </c>
      <c r="E210" s="6">
        <v>0.6</v>
      </c>
      <c r="F210" s="6">
        <f t="shared" si="33"/>
        <v>2.5</v>
      </c>
      <c r="G210" s="78">
        <v>0</v>
      </c>
      <c r="H210" s="70">
        <v>0</v>
      </c>
      <c r="I210" s="70">
        <v>1</v>
      </c>
      <c r="J210" s="78">
        <v>602</v>
      </c>
      <c r="K210" s="70">
        <v>5</v>
      </c>
      <c r="L210" s="70">
        <f t="shared" si="31"/>
        <v>596</v>
      </c>
      <c r="M210" s="60">
        <f t="shared" si="32"/>
        <v>22</v>
      </c>
      <c r="N210" s="70">
        <v>12.513999999999999</v>
      </c>
      <c r="O210" s="70">
        <f t="shared" si="34"/>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35"/>
        <v>0.53200000000000003</v>
      </c>
      <c r="AD210" s="28" t="s">
        <v>45</v>
      </c>
      <c r="AE210" t="s">
        <v>45</v>
      </c>
      <c r="AF210">
        <v>0</v>
      </c>
      <c r="AG210">
        <v>1</v>
      </c>
      <c r="AH210" s="28">
        <v>0.75900000000000001</v>
      </c>
      <c r="AI210" s="12">
        <f t="shared" si="30"/>
        <v>0.24099999999999999</v>
      </c>
      <c r="AJ210">
        <v>1</v>
      </c>
      <c r="AK210">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35">
      <c r="A211">
        <v>210</v>
      </c>
      <c r="B211">
        <v>12</v>
      </c>
      <c r="C211" t="s">
        <v>263</v>
      </c>
      <c r="D211" s="79">
        <v>3.7</v>
      </c>
      <c r="E211" s="6">
        <v>0.7</v>
      </c>
      <c r="F211" s="6">
        <f t="shared" si="33"/>
        <v>5.2857142857142865</v>
      </c>
      <c r="G211" s="78">
        <v>0</v>
      </c>
      <c r="H211" s="70">
        <v>0</v>
      </c>
      <c r="I211" s="70">
        <v>1</v>
      </c>
      <c r="J211" s="78">
        <v>568</v>
      </c>
      <c r="K211" s="70">
        <v>5</v>
      </c>
      <c r="L211" s="70">
        <f t="shared" si="31"/>
        <v>562</v>
      </c>
      <c r="M211" s="60">
        <f t="shared" si="32"/>
        <v>22</v>
      </c>
      <c r="N211" s="70">
        <v>12.695</v>
      </c>
      <c r="O211" s="70">
        <f t="shared" si="34"/>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35"/>
        <v>0.495</v>
      </c>
      <c r="AD211" s="28" t="s">
        <v>45</v>
      </c>
      <c r="AE211" t="s">
        <v>45</v>
      </c>
      <c r="AF211">
        <v>0</v>
      </c>
      <c r="AG211">
        <v>1</v>
      </c>
      <c r="AH211" s="28">
        <v>0.72199999999999998</v>
      </c>
      <c r="AI211" s="12">
        <f t="shared" si="30"/>
        <v>0.27800000000000002</v>
      </c>
      <c r="AJ211">
        <v>0</v>
      </c>
      <c r="AK211">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35">
      <c r="A212">
        <v>211</v>
      </c>
      <c r="B212">
        <v>12</v>
      </c>
      <c r="C212" t="s">
        <v>263</v>
      </c>
      <c r="D212" s="79">
        <v>5.0999999999999996</v>
      </c>
      <c r="E212" s="6">
        <v>0.7</v>
      </c>
      <c r="F212" s="6">
        <f t="shared" si="33"/>
        <v>7.2857142857142856</v>
      </c>
      <c r="G212" s="78">
        <v>0</v>
      </c>
      <c r="H212" s="70">
        <v>0</v>
      </c>
      <c r="I212" s="70">
        <v>1</v>
      </c>
      <c r="J212" s="78">
        <v>568</v>
      </c>
      <c r="K212" s="70">
        <v>5</v>
      </c>
      <c r="L212" s="70">
        <f t="shared" si="31"/>
        <v>562</v>
      </c>
      <c r="M212" s="60">
        <f t="shared" si="32"/>
        <v>22</v>
      </c>
      <c r="N212" s="70">
        <v>12.695</v>
      </c>
      <c r="O212" s="70">
        <f t="shared" si="34"/>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35"/>
        <v>0.495</v>
      </c>
      <c r="AD212" s="28" t="s">
        <v>45</v>
      </c>
      <c r="AE212" t="s">
        <v>45</v>
      </c>
      <c r="AF212">
        <v>0</v>
      </c>
      <c r="AG212">
        <v>1</v>
      </c>
      <c r="AH212" s="28">
        <v>0.72199999999999998</v>
      </c>
      <c r="AI212" s="12">
        <f t="shared" si="30"/>
        <v>0.27800000000000002</v>
      </c>
      <c r="AJ212">
        <v>0</v>
      </c>
      <c r="AK212">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35">
      <c r="A213">
        <v>212</v>
      </c>
      <c r="B213">
        <v>12</v>
      </c>
      <c r="C213" t="s">
        <v>263</v>
      </c>
      <c r="D213" s="79">
        <v>6.3</v>
      </c>
      <c r="E213" s="6">
        <v>1.4</v>
      </c>
      <c r="F213" s="6">
        <f t="shared" si="33"/>
        <v>4.5</v>
      </c>
      <c r="G213" s="78">
        <v>0</v>
      </c>
      <c r="H213" s="70">
        <v>0</v>
      </c>
      <c r="I213" s="70">
        <v>1</v>
      </c>
      <c r="J213" s="78">
        <v>602</v>
      </c>
      <c r="K213" s="70">
        <v>5</v>
      </c>
      <c r="L213" s="70">
        <f t="shared" si="31"/>
        <v>596</v>
      </c>
      <c r="M213" s="60">
        <f t="shared" si="32"/>
        <v>22</v>
      </c>
      <c r="N213" s="70">
        <v>12.513999999999999</v>
      </c>
      <c r="O213" s="70">
        <f t="shared" si="34"/>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35"/>
        <v>0.53200000000000003</v>
      </c>
      <c r="AD213" s="28" t="s">
        <v>45</v>
      </c>
      <c r="AE213" t="s">
        <v>45</v>
      </c>
      <c r="AF213">
        <v>0</v>
      </c>
      <c r="AG213">
        <v>1</v>
      </c>
      <c r="AH213" s="28">
        <v>0.75900000000000001</v>
      </c>
      <c r="AI213" s="12">
        <f t="shared" si="30"/>
        <v>0.24099999999999999</v>
      </c>
      <c r="AJ213">
        <v>1</v>
      </c>
      <c r="AK213">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35">
      <c r="A214">
        <v>213</v>
      </c>
      <c r="B214">
        <v>12</v>
      </c>
      <c r="C214" t="s">
        <v>263</v>
      </c>
      <c r="D214" s="79">
        <v>3.2</v>
      </c>
      <c r="E214" s="6">
        <v>1.2</v>
      </c>
      <c r="F214" s="6">
        <f t="shared" si="33"/>
        <v>2.666666666666667</v>
      </c>
      <c r="G214" s="78">
        <v>0</v>
      </c>
      <c r="H214" s="70">
        <v>0</v>
      </c>
      <c r="I214" s="70">
        <v>1</v>
      </c>
      <c r="J214" s="78">
        <v>602</v>
      </c>
      <c r="K214" s="70">
        <v>5</v>
      </c>
      <c r="L214" s="70">
        <f t="shared" si="31"/>
        <v>596</v>
      </c>
      <c r="M214" s="60">
        <f t="shared" si="32"/>
        <v>22</v>
      </c>
      <c r="N214" s="70">
        <v>12.513999999999999</v>
      </c>
      <c r="O214" s="70">
        <f t="shared" si="34"/>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35"/>
        <v>0.53200000000000003</v>
      </c>
      <c r="AD214" s="28" t="s">
        <v>45</v>
      </c>
      <c r="AE214" t="s">
        <v>45</v>
      </c>
      <c r="AF214">
        <v>0</v>
      </c>
      <c r="AG214">
        <v>1</v>
      </c>
      <c r="AH214" s="28">
        <v>0.75900000000000001</v>
      </c>
      <c r="AI214" s="12">
        <f t="shared" si="30"/>
        <v>0.24099999999999999</v>
      </c>
      <c r="AJ214">
        <v>1</v>
      </c>
      <c r="AK214">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35">
      <c r="A215">
        <v>214</v>
      </c>
      <c r="B215">
        <v>12</v>
      </c>
      <c r="C215" t="s">
        <v>263</v>
      </c>
      <c r="D215" s="79">
        <v>6.9</v>
      </c>
      <c r="E215" s="6">
        <v>1.1000000000000001</v>
      </c>
      <c r="F215" s="6">
        <f t="shared" si="33"/>
        <v>6.2727272727272725</v>
      </c>
      <c r="G215" s="78">
        <v>0</v>
      </c>
      <c r="H215" s="70">
        <v>0</v>
      </c>
      <c r="I215" s="70">
        <v>1</v>
      </c>
      <c r="J215" s="78">
        <v>568</v>
      </c>
      <c r="K215" s="70">
        <v>5</v>
      </c>
      <c r="L215" s="70">
        <f t="shared" si="31"/>
        <v>562</v>
      </c>
      <c r="M215" s="60">
        <f t="shared" si="32"/>
        <v>22</v>
      </c>
      <c r="N215" s="70">
        <v>12.695</v>
      </c>
      <c r="O215" s="70">
        <f t="shared" si="34"/>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35"/>
        <v>0.495</v>
      </c>
      <c r="AD215" s="28" t="s">
        <v>45</v>
      </c>
      <c r="AE215" t="s">
        <v>45</v>
      </c>
      <c r="AF215">
        <v>0</v>
      </c>
      <c r="AG215">
        <v>1</v>
      </c>
      <c r="AH215" s="28">
        <v>0.72199999999999998</v>
      </c>
      <c r="AI215" s="12">
        <f t="shared" si="30"/>
        <v>0.27800000000000002</v>
      </c>
      <c r="AJ215">
        <v>0</v>
      </c>
      <c r="AK215">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35">
      <c r="A216">
        <v>215</v>
      </c>
      <c r="B216">
        <v>12</v>
      </c>
      <c r="C216" t="s">
        <v>263</v>
      </c>
      <c r="D216" s="79">
        <v>7.6</v>
      </c>
      <c r="E216" s="6">
        <v>1.2</v>
      </c>
      <c r="F216" s="6">
        <f t="shared" si="33"/>
        <v>6.333333333333333</v>
      </c>
      <c r="G216" s="78">
        <v>0</v>
      </c>
      <c r="H216" s="70">
        <v>0</v>
      </c>
      <c r="I216" s="70">
        <v>1</v>
      </c>
      <c r="J216" s="78">
        <v>568</v>
      </c>
      <c r="K216" s="70">
        <v>5</v>
      </c>
      <c r="L216" s="70">
        <f t="shared" si="31"/>
        <v>562</v>
      </c>
      <c r="M216" s="60">
        <f t="shared" si="32"/>
        <v>22</v>
      </c>
      <c r="N216" s="70">
        <v>12.695</v>
      </c>
      <c r="O216" s="70">
        <f t="shared" si="34"/>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35"/>
        <v>0.495</v>
      </c>
      <c r="AD216" s="28" t="s">
        <v>45</v>
      </c>
      <c r="AE216" t="s">
        <v>45</v>
      </c>
      <c r="AF216">
        <v>0</v>
      </c>
      <c r="AG216">
        <v>1</v>
      </c>
      <c r="AH216" s="28">
        <v>0.72199999999999998</v>
      </c>
      <c r="AI216" s="12">
        <f t="shared" si="30"/>
        <v>0.27800000000000002</v>
      </c>
      <c r="AJ216">
        <v>0</v>
      </c>
      <c r="AK216">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35">
      <c r="A217">
        <v>216</v>
      </c>
      <c r="B217">
        <v>12</v>
      </c>
      <c r="C217" t="s">
        <v>263</v>
      </c>
      <c r="D217" s="79">
        <v>4.8</v>
      </c>
      <c r="E217" s="6">
        <v>1.2</v>
      </c>
      <c r="F217" s="6">
        <f t="shared" si="33"/>
        <v>4</v>
      </c>
      <c r="G217" s="78">
        <v>0</v>
      </c>
      <c r="H217" s="70">
        <v>0</v>
      </c>
      <c r="I217" s="70">
        <v>1</v>
      </c>
      <c r="J217" s="78">
        <v>602</v>
      </c>
      <c r="K217" s="70">
        <v>5</v>
      </c>
      <c r="L217" s="70">
        <f t="shared" si="31"/>
        <v>596</v>
      </c>
      <c r="M217" s="60">
        <f t="shared" si="32"/>
        <v>22</v>
      </c>
      <c r="N217" s="70">
        <v>12.513999999999999</v>
      </c>
      <c r="O217" s="70">
        <f t="shared" si="34"/>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35"/>
        <v>0.53200000000000003</v>
      </c>
      <c r="AD217" s="28" t="s">
        <v>45</v>
      </c>
      <c r="AE217" t="s">
        <v>45</v>
      </c>
      <c r="AF217">
        <v>0</v>
      </c>
      <c r="AG217">
        <v>1</v>
      </c>
      <c r="AH217" s="28">
        <v>0.75900000000000001</v>
      </c>
      <c r="AI217" s="12">
        <f t="shared" si="30"/>
        <v>0.24099999999999999</v>
      </c>
      <c r="AJ217">
        <v>1</v>
      </c>
      <c r="AK21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35">
      <c r="A218">
        <v>217</v>
      </c>
      <c r="B218">
        <v>12</v>
      </c>
      <c r="C218" t="s">
        <v>263</v>
      </c>
      <c r="D218" s="79">
        <v>1.5</v>
      </c>
      <c r="E218" s="6">
        <v>0.8</v>
      </c>
      <c r="F218" s="6">
        <f t="shared" si="33"/>
        <v>1.875</v>
      </c>
      <c r="G218" s="78">
        <v>0</v>
      </c>
      <c r="H218" s="70">
        <v>0</v>
      </c>
      <c r="I218" s="70">
        <v>1</v>
      </c>
      <c r="J218" s="78">
        <v>602</v>
      </c>
      <c r="K218" s="70">
        <v>5</v>
      </c>
      <c r="L218" s="70">
        <f t="shared" si="31"/>
        <v>596</v>
      </c>
      <c r="M218" s="60">
        <f t="shared" si="32"/>
        <v>22</v>
      </c>
      <c r="N218" s="70">
        <v>12.513999999999999</v>
      </c>
      <c r="O218" s="70">
        <f t="shared" si="34"/>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35"/>
        <v>0.53200000000000003</v>
      </c>
      <c r="AD218" s="28" t="s">
        <v>45</v>
      </c>
      <c r="AE218" t="s">
        <v>45</v>
      </c>
      <c r="AF218">
        <v>0</v>
      </c>
      <c r="AG218">
        <v>1</v>
      </c>
      <c r="AH218" s="28">
        <v>0.75900000000000001</v>
      </c>
      <c r="AI218" s="12">
        <f t="shared" si="30"/>
        <v>0.24099999999999999</v>
      </c>
      <c r="AJ218">
        <v>1</v>
      </c>
      <c r="AK218">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35">
      <c r="A219">
        <v>218</v>
      </c>
      <c r="B219">
        <v>12</v>
      </c>
      <c r="C219" t="s">
        <v>263</v>
      </c>
      <c r="D219" s="79">
        <v>3.7</v>
      </c>
      <c r="E219" s="6">
        <v>0.9</v>
      </c>
      <c r="F219" s="6">
        <f t="shared" si="33"/>
        <v>4.1111111111111116</v>
      </c>
      <c r="G219" s="78">
        <v>0</v>
      </c>
      <c r="H219" s="70">
        <v>0</v>
      </c>
      <c r="I219" s="70">
        <v>1</v>
      </c>
      <c r="J219" s="78">
        <v>568</v>
      </c>
      <c r="K219" s="70">
        <v>5</v>
      </c>
      <c r="L219" s="70">
        <f t="shared" si="31"/>
        <v>562</v>
      </c>
      <c r="M219" s="60">
        <f t="shared" si="32"/>
        <v>22</v>
      </c>
      <c r="N219" s="70">
        <v>12.695</v>
      </c>
      <c r="O219" s="70">
        <f t="shared" si="34"/>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35"/>
        <v>0.495</v>
      </c>
      <c r="AD219" s="28" t="s">
        <v>45</v>
      </c>
      <c r="AE219" t="s">
        <v>45</v>
      </c>
      <c r="AF219">
        <v>0</v>
      </c>
      <c r="AG219">
        <v>1</v>
      </c>
      <c r="AH219" s="28">
        <v>0.72199999999999998</v>
      </c>
      <c r="AI219" s="12">
        <f t="shared" si="30"/>
        <v>0.27800000000000002</v>
      </c>
      <c r="AJ219">
        <v>0</v>
      </c>
      <c r="AK219">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35">
      <c r="A220">
        <v>219</v>
      </c>
      <c r="B220">
        <v>12</v>
      </c>
      <c r="C220" t="s">
        <v>263</v>
      </c>
      <c r="D220" s="79">
        <v>5.7</v>
      </c>
      <c r="E220" s="6">
        <v>0.8</v>
      </c>
      <c r="F220" s="6">
        <f t="shared" si="33"/>
        <v>7.125</v>
      </c>
      <c r="G220" s="78">
        <v>0</v>
      </c>
      <c r="H220" s="70">
        <v>0</v>
      </c>
      <c r="I220" s="70">
        <v>1</v>
      </c>
      <c r="J220" s="78">
        <v>568</v>
      </c>
      <c r="K220" s="70">
        <v>5</v>
      </c>
      <c r="L220" s="70">
        <f t="shared" si="31"/>
        <v>562</v>
      </c>
      <c r="M220" s="60">
        <f t="shared" si="32"/>
        <v>22</v>
      </c>
      <c r="N220" s="70">
        <v>12.695</v>
      </c>
      <c r="O220" s="70">
        <f t="shared" si="34"/>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35"/>
        <v>0.495</v>
      </c>
      <c r="AD220" s="28" t="s">
        <v>45</v>
      </c>
      <c r="AE220" t="s">
        <v>45</v>
      </c>
      <c r="AF220">
        <v>0</v>
      </c>
      <c r="AG220">
        <v>1</v>
      </c>
      <c r="AH220" s="28">
        <v>0.72199999999999998</v>
      </c>
      <c r="AI220" s="12">
        <f t="shared" si="30"/>
        <v>0.27800000000000002</v>
      </c>
      <c r="AJ220">
        <v>0</v>
      </c>
      <c r="AK220">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35">
      <c r="A221">
        <v>220</v>
      </c>
      <c r="B221">
        <v>12</v>
      </c>
      <c r="C221" t="s">
        <v>263</v>
      </c>
      <c r="D221" s="79">
        <v>7.8</v>
      </c>
      <c r="E221" s="6">
        <v>2.4</v>
      </c>
      <c r="F221" s="6">
        <f t="shared" si="33"/>
        <v>3.25</v>
      </c>
      <c r="G221" s="78">
        <v>0</v>
      </c>
      <c r="H221" s="70">
        <v>0</v>
      </c>
      <c r="I221" s="70">
        <v>1</v>
      </c>
      <c r="J221" s="78">
        <v>602</v>
      </c>
      <c r="K221" s="70">
        <v>5</v>
      </c>
      <c r="L221" s="70">
        <f t="shared" si="31"/>
        <v>596</v>
      </c>
      <c r="M221" s="60">
        <f t="shared" si="32"/>
        <v>22</v>
      </c>
      <c r="N221" s="70">
        <v>12.513999999999999</v>
      </c>
      <c r="O221" s="70">
        <f t="shared" si="34"/>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35"/>
        <v>0.53200000000000003</v>
      </c>
      <c r="AD221" s="28" t="s">
        <v>45</v>
      </c>
      <c r="AE221" t="s">
        <v>45</v>
      </c>
      <c r="AF221">
        <v>0</v>
      </c>
      <c r="AG221">
        <v>1</v>
      </c>
      <c r="AH221" s="28">
        <v>0.75900000000000001</v>
      </c>
      <c r="AI221" s="12">
        <f t="shared" si="30"/>
        <v>0.24099999999999999</v>
      </c>
      <c r="AJ221">
        <v>1</v>
      </c>
      <c r="AK221">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35">
      <c r="A222">
        <v>221</v>
      </c>
      <c r="B222">
        <v>12</v>
      </c>
      <c r="C222" t="s">
        <v>263</v>
      </c>
      <c r="D222" s="79">
        <v>3.1</v>
      </c>
      <c r="E222" s="6">
        <v>1.5</v>
      </c>
      <c r="F222" s="6">
        <f t="shared" si="33"/>
        <v>2.0666666666666669</v>
      </c>
      <c r="G222" s="78">
        <v>0</v>
      </c>
      <c r="H222" s="70">
        <v>0</v>
      </c>
      <c r="I222" s="70">
        <v>1</v>
      </c>
      <c r="J222" s="78">
        <v>602</v>
      </c>
      <c r="K222" s="70">
        <v>5</v>
      </c>
      <c r="L222" s="70">
        <f t="shared" si="31"/>
        <v>596</v>
      </c>
      <c r="M222" s="60">
        <f t="shared" si="32"/>
        <v>22</v>
      </c>
      <c r="N222" s="70">
        <v>12.513999999999999</v>
      </c>
      <c r="O222" s="70">
        <f t="shared" si="34"/>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35"/>
        <v>0.53200000000000003</v>
      </c>
      <c r="AD222" s="28" t="s">
        <v>45</v>
      </c>
      <c r="AE222" t="s">
        <v>45</v>
      </c>
      <c r="AF222">
        <v>0</v>
      </c>
      <c r="AG222">
        <v>1</v>
      </c>
      <c r="AH222" s="28">
        <v>0.75900000000000001</v>
      </c>
      <c r="AI222" s="12">
        <f t="shared" si="30"/>
        <v>0.24099999999999999</v>
      </c>
      <c r="AJ222">
        <v>1</v>
      </c>
      <c r="AK222">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35">
      <c r="A223">
        <v>222</v>
      </c>
      <c r="B223">
        <v>12</v>
      </c>
      <c r="C223" t="s">
        <v>263</v>
      </c>
      <c r="D223" s="79">
        <v>7.6</v>
      </c>
      <c r="E223" s="6">
        <v>1.5</v>
      </c>
      <c r="F223" s="6">
        <f t="shared" si="33"/>
        <v>5.0666666666666664</v>
      </c>
      <c r="G223" s="78">
        <v>0</v>
      </c>
      <c r="H223" s="70">
        <v>0</v>
      </c>
      <c r="I223" s="70">
        <v>1</v>
      </c>
      <c r="J223" s="78">
        <v>568</v>
      </c>
      <c r="K223" s="70">
        <v>5</v>
      </c>
      <c r="L223" s="70">
        <f t="shared" si="31"/>
        <v>562</v>
      </c>
      <c r="M223" s="60">
        <f t="shared" si="32"/>
        <v>22</v>
      </c>
      <c r="N223" s="70">
        <v>12.695</v>
      </c>
      <c r="O223" s="70">
        <f t="shared" si="34"/>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35"/>
        <v>0.495</v>
      </c>
      <c r="AD223" s="28" t="s">
        <v>45</v>
      </c>
      <c r="AE223" t="s">
        <v>45</v>
      </c>
      <c r="AF223">
        <v>0</v>
      </c>
      <c r="AG223">
        <v>1</v>
      </c>
      <c r="AH223" s="28">
        <v>0.72199999999999998</v>
      </c>
      <c r="AI223" s="12">
        <f t="shared" si="30"/>
        <v>0.27800000000000002</v>
      </c>
      <c r="AJ223">
        <v>0</v>
      </c>
      <c r="AK223">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35">
      <c r="A224">
        <v>223</v>
      </c>
      <c r="B224">
        <v>12</v>
      </c>
      <c r="C224" t="s">
        <v>263</v>
      </c>
      <c r="D224" s="79">
        <v>7.7</v>
      </c>
      <c r="E224" s="6">
        <v>1.4</v>
      </c>
      <c r="F224" s="6">
        <f t="shared" si="33"/>
        <v>5.5000000000000009</v>
      </c>
      <c r="G224" s="78">
        <v>0</v>
      </c>
      <c r="H224" s="70">
        <v>0</v>
      </c>
      <c r="I224" s="70">
        <v>1</v>
      </c>
      <c r="J224" s="78">
        <v>568</v>
      </c>
      <c r="K224" s="70">
        <v>5</v>
      </c>
      <c r="L224" s="70">
        <f t="shared" si="31"/>
        <v>562</v>
      </c>
      <c r="M224" s="60">
        <f t="shared" si="32"/>
        <v>22</v>
      </c>
      <c r="N224" s="70">
        <v>12.695</v>
      </c>
      <c r="O224" s="70">
        <f t="shared" si="34"/>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35"/>
        <v>0.495</v>
      </c>
      <c r="AD224" s="28" t="s">
        <v>45</v>
      </c>
      <c r="AE224" t="s">
        <v>45</v>
      </c>
      <c r="AF224">
        <v>0</v>
      </c>
      <c r="AG224">
        <v>1</v>
      </c>
      <c r="AH224" s="28">
        <v>0.72199999999999998</v>
      </c>
      <c r="AI224" s="12">
        <f t="shared" si="30"/>
        <v>0.27800000000000002</v>
      </c>
      <c r="AJ224">
        <v>0</v>
      </c>
      <c r="AK224">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35">
      <c r="A225">
        <v>224</v>
      </c>
      <c r="B225">
        <v>13</v>
      </c>
      <c r="C225" t="s">
        <v>269</v>
      </c>
      <c r="D225" s="79">
        <v>4.5</v>
      </c>
      <c r="E225" s="6">
        <v>0.2</v>
      </c>
      <c r="F225" s="6">
        <f t="shared" si="33"/>
        <v>22.5</v>
      </c>
      <c r="G225" s="78">
        <v>0</v>
      </c>
      <c r="H225" s="70">
        <v>0</v>
      </c>
      <c r="I225" s="70">
        <v>1</v>
      </c>
      <c r="J225" s="78">
        <v>2214</v>
      </c>
      <c r="K225" s="70">
        <v>6</v>
      </c>
      <c r="L225" s="70">
        <f t="shared" si="31"/>
        <v>2207</v>
      </c>
      <c r="M225" s="60">
        <f t="shared" si="32"/>
        <v>13</v>
      </c>
      <c r="N225" s="6">
        <v>11.3</v>
      </c>
      <c r="O225" s="6">
        <f t="shared" si="34"/>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35"/>
        <v>0.45999999999999996</v>
      </c>
      <c r="AD225" s="28">
        <v>1</v>
      </c>
      <c r="AE225">
        <v>0</v>
      </c>
      <c r="AF225">
        <v>1</v>
      </c>
      <c r="AG225">
        <v>0</v>
      </c>
      <c r="AH225" s="28">
        <v>0.67</v>
      </c>
      <c r="AI225" s="12">
        <f t="shared" si="30"/>
        <v>0.32999999999999996</v>
      </c>
      <c r="AJ225">
        <v>0.42499999999999999</v>
      </c>
      <c r="AK225">
        <v>0.57499999999999996</v>
      </c>
      <c r="AL225">
        <v>0</v>
      </c>
      <c r="AM225" s="28" t="s">
        <v>321</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35">
      <c r="A226">
        <v>225</v>
      </c>
      <c r="B226">
        <v>13</v>
      </c>
      <c r="C226" t="s">
        <v>269</v>
      </c>
      <c r="D226" s="79">
        <v>4.5999999999999996</v>
      </c>
      <c r="E226" s="6">
        <v>0.1</v>
      </c>
      <c r="F226" s="6">
        <f t="shared" si="33"/>
        <v>45.999999999999993</v>
      </c>
      <c r="G226" s="78">
        <v>0</v>
      </c>
      <c r="H226" s="70">
        <v>0</v>
      </c>
      <c r="I226" s="70">
        <v>1</v>
      </c>
      <c r="J226" s="78">
        <v>4984</v>
      </c>
      <c r="K226" s="70">
        <v>6</v>
      </c>
      <c r="L226" s="70">
        <f t="shared" si="31"/>
        <v>4977</v>
      </c>
      <c r="M226" s="60">
        <f t="shared" si="32"/>
        <v>13</v>
      </c>
      <c r="N226" s="6">
        <v>11.54</v>
      </c>
      <c r="O226" s="6">
        <f t="shared" si="34"/>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35"/>
        <v>0.48</v>
      </c>
      <c r="AD226" s="28">
        <v>1</v>
      </c>
      <c r="AE226">
        <v>0</v>
      </c>
      <c r="AF226">
        <v>1</v>
      </c>
      <c r="AG226">
        <v>0</v>
      </c>
      <c r="AH226" s="28">
        <v>0.66</v>
      </c>
      <c r="AI226" s="12">
        <f t="shared" si="30"/>
        <v>0.33999999999999997</v>
      </c>
      <c r="AJ226">
        <v>1</v>
      </c>
      <c r="AK226">
        <v>0</v>
      </c>
      <c r="AL226">
        <v>0</v>
      </c>
      <c r="AM226" s="28" t="s">
        <v>321</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35">
      <c r="A227">
        <v>226</v>
      </c>
      <c r="B227">
        <v>13</v>
      </c>
      <c r="C227" t="s">
        <v>269</v>
      </c>
      <c r="D227" s="79">
        <v>4.7</v>
      </c>
      <c r="E227" s="6">
        <v>0.1</v>
      </c>
      <c r="F227" s="6">
        <f t="shared" si="33"/>
        <v>47</v>
      </c>
      <c r="G227" s="78">
        <v>0</v>
      </c>
      <c r="H227" s="70">
        <v>0</v>
      </c>
      <c r="I227" s="70">
        <v>1</v>
      </c>
      <c r="J227" s="78">
        <v>6736</v>
      </c>
      <c r="K227" s="70">
        <v>6</v>
      </c>
      <c r="L227" s="70">
        <f t="shared" si="31"/>
        <v>6729</v>
      </c>
      <c r="M227" s="60">
        <f t="shared" si="32"/>
        <v>13</v>
      </c>
      <c r="N227" s="6">
        <v>11.36</v>
      </c>
      <c r="O227" s="6">
        <f t="shared" si="34"/>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35"/>
        <v>0.42000000000000004</v>
      </c>
      <c r="AD227" s="28">
        <v>1</v>
      </c>
      <c r="AE227">
        <v>0</v>
      </c>
      <c r="AF227">
        <v>1</v>
      </c>
      <c r="AG227">
        <v>0</v>
      </c>
      <c r="AH227" s="28">
        <v>0.66</v>
      </c>
      <c r="AI227" s="12">
        <f t="shared" si="30"/>
        <v>0.33999999999999997</v>
      </c>
      <c r="AJ227">
        <v>0</v>
      </c>
      <c r="AK227">
        <v>1</v>
      </c>
      <c r="AL227">
        <v>0</v>
      </c>
      <c r="AM227" s="28" t="s">
        <v>321</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35">
      <c r="A228">
        <v>227</v>
      </c>
      <c r="B228">
        <v>13</v>
      </c>
      <c r="C228" t="s">
        <v>269</v>
      </c>
      <c r="D228" s="79">
        <v>2.2000000000000002</v>
      </c>
      <c r="E228" s="6">
        <v>0.2</v>
      </c>
      <c r="F228" s="6">
        <f t="shared" si="33"/>
        <v>11</v>
      </c>
      <c r="G228" s="78">
        <v>0</v>
      </c>
      <c r="H228" s="70">
        <v>0</v>
      </c>
      <c r="I228" s="70">
        <v>1</v>
      </c>
      <c r="J228" s="78">
        <v>4984</v>
      </c>
      <c r="K228" s="70">
        <v>6</v>
      </c>
      <c r="L228" s="70">
        <f t="shared" si="31"/>
        <v>4977</v>
      </c>
      <c r="M228" s="60">
        <f t="shared" si="32"/>
        <v>13</v>
      </c>
      <c r="N228" s="6">
        <v>11.54</v>
      </c>
      <c r="O228" s="6">
        <f t="shared" si="34"/>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35"/>
        <v>0.48</v>
      </c>
      <c r="AD228" s="28">
        <v>1</v>
      </c>
      <c r="AE228">
        <v>0</v>
      </c>
      <c r="AF228">
        <v>1</v>
      </c>
      <c r="AG228">
        <v>0</v>
      </c>
      <c r="AH228" s="28">
        <v>0.66</v>
      </c>
      <c r="AI228" s="12">
        <f t="shared" si="30"/>
        <v>0.33999999999999997</v>
      </c>
      <c r="AJ228">
        <v>1</v>
      </c>
      <c r="AK228">
        <v>0</v>
      </c>
      <c r="AL228">
        <v>0</v>
      </c>
      <c r="AM228" s="28" t="s">
        <v>321</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35">
      <c r="A229">
        <v>228</v>
      </c>
      <c r="B229">
        <v>13</v>
      </c>
      <c r="C229" t="s">
        <v>269</v>
      </c>
      <c r="D229" s="79">
        <v>3.9</v>
      </c>
      <c r="E229" s="6">
        <v>0.2</v>
      </c>
      <c r="F229" s="6">
        <f t="shared" si="33"/>
        <v>19.5</v>
      </c>
      <c r="G229" s="78">
        <v>0</v>
      </c>
      <c r="H229" s="70">
        <v>0</v>
      </c>
      <c r="I229" s="70">
        <v>1</v>
      </c>
      <c r="J229" s="78">
        <v>6736</v>
      </c>
      <c r="K229" s="70">
        <v>6</v>
      </c>
      <c r="L229" s="70">
        <f t="shared" si="31"/>
        <v>6729</v>
      </c>
      <c r="M229" s="60">
        <f t="shared" si="32"/>
        <v>13</v>
      </c>
      <c r="N229" s="6">
        <v>11.36</v>
      </c>
      <c r="O229" s="6">
        <f t="shared" si="34"/>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35"/>
        <v>0.42000000000000004</v>
      </c>
      <c r="AD229" s="28">
        <v>1</v>
      </c>
      <c r="AE229">
        <v>0</v>
      </c>
      <c r="AF229">
        <v>1</v>
      </c>
      <c r="AG229">
        <v>0</v>
      </c>
      <c r="AH229" s="28">
        <v>0.66</v>
      </c>
      <c r="AI229" s="12">
        <f t="shared" si="30"/>
        <v>0.33999999999999997</v>
      </c>
      <c r="AJ229">
        <v>0</v>
      </c>
      <c r="AK229">
        <v>1</v>
      </c>
      <c r="AL229">
        <v>0</v>
      </c>
      <c r="AM229" s="28" t="s">
        <v>321</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35">
      <c r="A230">
        <v>229</v>
      </c>
      <c r="B230">
        <v>13</v>
      </c>
      <c r="C230" t="s">
        <v>269</v>
      </c>
      <c r="D230" s="79">
        <v>2.7</v>
      </c>
      <c r="E230" s="6">
        <v>0.3</v>
      </c>
      <c r="F230" s="6">
        <f t="shared" si="33"/>
        <v>9.0000000000000018</v>
      </c>
      <c r="G230" s="78">
        <v>0</v>
      </c>
      <c r="H230" s="70">
        <v>0</v>
      </c>
      <c r="I230" s="70">
        <v>1</v>
      </c>
      <c r="J230" s="78">
        <v>4984</v>
      </c>
      <c r="K230" s="70">
        <v>6</v>
      </c>
      <c r="L230" s="70">
        <f t="shared" si="31"/>
        <v>4977</v>
      </c>
      <c r="M230" s="60">
        <f t="shared" si="32"/>
        <v>13</v>
      </c>
      <c r="N230" s="6">
        <v>11.54</v>
      </c>
      <c r="O230" s="6">
        <f t="shared" si="34"/>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35"/>
        <v>0.48</v>
      </c>
      <c r="AD230" s="28">
        <v>1</v>
      </c>
      <c r="AE230">
        <v>0</v>
      </c>
      <c r="AF230">
        <v>1</v>
      </c>
      <c r="AG230">
        <v>0</v>
      </c>
      <c r="AH230" s="28">
        <v>0.66</v>
      </c>
      <c r="AI230" s="12">
        <f t="shared" si="30"/>
        <v>0.33999999999999997</v>
      </c>
      <c r="AJ230">
        <v>1</v>
      </c>
      <c r="AK230">
        <v>0</v>
      </c>
      <c r="AL230">
        <v>0</v>
      </c>
      <c r="AM230" s="28" t="s">
        <v>321</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35">
      <c r="A231">
        <v>230</v>
      </c>
      <c r="B231">
        <v>13</v>
      </c>
      <c r="C231" t="s">
        <v>269</v>
      </c>
      <c r="D231" s="79">
        <v>4.4000000000000004</v>
      </c>
      <c r="E231" s="6">
        <v>0.2</v>
      </c>
      <c r="F231" s="6">
        <f t="shared" si="33"/>
        <v>22</v>
      </c>
      <c r="G231" s="78">
        <v>0</v>
      </c>
      <c r="H231" s="70">
        <v>0</v>
      </c>
      <c r="I231" s="70">
        <v>1</v>
      </c>
      <c r="J231" s="78">
        <v>6736</v>
      </c>
      <c r="K231" s="70">
        <v>6</v>
      </c>
      <c r="L231" s="70">
        <f t="shared" si="31"/>
        <v>6729</v>
      </c>
      <c r="M231" s="60">
        <f t="shared" si="32"/>
        <v>13</v>
      </c>
      <c r="N231" s="6">
        <v>11.36</v>
      </c>
      <c r="O231" s="6">
        <f t="shared" si="34"/>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35"/>
        <v>0.42000000000000004</v>
      </c>
      <c r="AD231" s="28">
        <v>1</v>
      </c>
      <c r="AE231">
        <v>0</v>
      </c>
      <c r="AF231">
        <v>1</v>
      </c>
      <c r="AG231">
        <v>0</v>
      </c>
      <c r="AH231" s="28">
        <v>0.66</v>
      </c>
      <c r="AI231" s="12">
        <f t="shared" si="30"/>
        <v>0.33999999999999997</v>
      </c>
      <c r="AJ231">
        <v>0</v>
      </c>
      <c r="AK231">
        <v>1</v>
      </c>
      <c r="AL231">
        <v>0</v>
      </c>
      <c r="AM231" s="28" t="s">
        <v>321</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35">
      <c r="A232">
        <v>231</v>
      </c>
      <c r="B232">
        <v>13</v>
      </c>
      <c r="C232" t="s">
        <v>269</v>
      </c>
      <c r="D232" s="79">
        <v>3.7</v>
      </c>
      <c r="E232" s="6">
        <v>0.4</v>
      </c>
      <c r="F232" s="6">
        <f t="shared" si="33"/>
        <v>9.25</v>
      </c>
      <c r="G232" s="78">
        <v>0</v>
      </c>
      <c r="H232" s="70">
        <v>0</v>
      </c>
      <c r="I232" s="70">
        <v>1</v>
      </c>
      <c r="J232" s="78">
        <v>4984</v>
      </c>
      <c r="K232" s="70">
        <v>6</v>
      </c>
      <c r="L232" s="70">
        <f t="shared" si="31"/>
        <v>4977</v>
      </c>
      <c r="M232" s="60">
        <f t="shared" si="32"/>
        <v>13</v>
      </c>
      <c r="N232" s="6">
        <v>11.54</v>
      </c>
      <c r="O232" s="6">
        <f t="shared" si="34"/>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35"/>
        <v>0.48</v>
      </c>
      <c r="AD232" s="28">
        <v>1</v>
      </c>
      <c r="AE232">
        <v>0</v>
      </c>
      <c r="AF232">
        <v>1</v>
      </c>
      <c r="AG232">
        <v>0</v>
      </c>
      <c r="AH232" s="28">
        <v>0.66</v>
      </c>
      <c r="AI232" s="12">
        <f t="shared" si="30"/>
        <v>0.33999999999999997</v>
      </c>
      <c r="AJ232">
        <v>1</v>
      </c>
      <c r="AK232">
        <v>0</v>
      </c>
      <c r="AL232">
        <v>0</v>
      </c>
      <c r="AM232" s="28" t="s">
        <v>321</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35">
      <c r="A233">
        <v>232</v>
      </c>
      <c r="B233">
        <v>13</v>
      </c>
      <c r="C233" t="s">
        <v>269</v>
      </c>
      <c r="D233" s="79">
        <v>5</v>
      </c>
      <c r="E233" s="6">
        <v>0.2</v>
      </c>
      <c r="F233" s="6">
        <f t="shared" si="33"/>
        <v>25</v>
      </c>
      <c r="G233" s="78">
        <v>0</v>
      </c>
      <c r="H233" s="70">
        <v>0</v>
      </c>
      <c r="I233" s="70">
        <v>1</v>
      </c>
      <c r="J233" s="78">
        <v>6736</v>
      </c>
      <c r="K233" s="70">
        <v>6</v>
      </c>
      <c r="L233" s="70">
        <f t="shared" si="31"/>
        <v>6729</v>
      </c>
      <c r="M233" s="60">
        <f t="shared" si="32"/>
        <v>13</v>
      </c>
      <c r="N233" s="6">
        <v>11.36</v>
      </c>
      <c r="O233" s="6">
        <f t="shared" si="34"/>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35"/>
        <v>0.42000000000000004</v>
      </c>
      <c r="AD233" s="28">
        <v>1</v>
      </c>
      <c r="AE233">
        <v>0</v>
      </c>
      <c r="AF233">
        <v>1</v>
      </c>
      <c r="AG233">
        <v>0</v>
      </c>
      <c r="AH233" s="28">
        <v>0.66</v>
      </c>
      <c r="AI233" s="12">
        <f t="shared" si="30"/>
        <v>0.33999999999999997</v>
      </c>
      <c r="AJ233">
        <v>0</v>
      </c>
      <c r="AK233">
        <v>1</v>
      </c>
      <c r="AL233">
        <v>0</v>
      </c>
      <c r="AM233" s="28" t="s">
        <v>321</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35">
      <c r="A234">
        <v>233</v>
      </c>
      <c r="B234">
        <v>13</v>
      </c>
      <c r="C234" t="s">
        <v>269</v>
      </c>
      <c r="D234" s="79">
        <v>4.2</v>
      </c>
      <c r="E234" s="6">
        <v>0.5</v>
      </c>
      <c r="F234" s="6">
        <f t="shared" si="33"/>
        <v>8.4</v>
      </c>
      <c r="G234" s="78">
        <v>0</v>
      </c>
      <c r="H234" s="70">
        <v>0</v>
      </c>
      <c r="I234" s="70">
        <v>1</v>
      </c>
      <c r="J234" s="78">
        <v>4984</v>
      </c>
      <c r="K234" s="70">
        <v>6</v>
      </c>
      <c r="L234" s="70">
        <f t="shared" si="31"/>
        <v>4977</v>
      </c>
      <c r="M234" s="60">
        <f t="shared" si="32"/>
        <v>13</v>
      </c>
      <c r="N234" s="6">
        <v>11.54</v>
      </c>
      <c r="O234" s="6">
        <f t="shared" si="34"/>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35"/>
        <v>0.48</v>
      </c>
      <c r="AD234" s="28">
        <v>1</v>
      </c>
      <c r="AE234">
        <v>0</v>
      </c>
      <c r="AF234">
        <v>1</v>
      </c>
      <c r="AG234">
        <v>0</v>
      </c>
      <c r="AH234" s="28">
        <v>0.66</v>
      </c>
      <c r="AI234" s="12">
        <f t="shared" si="30"/>
        <v>0.33999999999999997</v>
      </c>
      <c r="AJ234">
        <v>1</v>
      </c>
      <c r="AK234">
        <v>0</v>
      </c>
      <c r="AL234">
        <v>0</v>
      </c>
      <c r="AM234" s="28" t="s">
        <v>321</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35">
      <c r="A235">
        <v>234</v>
      </c>
      <c r="B235">
        <v>13</v>
      </c>
      <c r="C235" t="s">
        <v>269</v>
      </c>
      <c r="D235" s="79">
        <v>5.3</v>
      </c>
      <c r="E235" s="6">
        <v>0.3</v>
      </c>
      <c r="F235" s="6">
        <f t="shared" si="33"/>
        <v>17.666666666666668</v>
      </c>
      <c r="G235" s="78">
        <v>0</v>
      </c>
      <c r="H235" s="70">
        <v>0</v>
      </c>
      <c r="I235" s="70">
        <v>1</v>
      </c>
      <c r="J235" s="78">
        <v>6736</v>
      </c>
      <c r="K235" s="70">
        <v>6</v>
      </c>
      <c r="L235" s="70">
        <f t="shared" si="31"/>
        <v>6729</v>
      </c>
      <c r="M235" s="60">
        <f t="shared" si="32"/>
        <v>13</v>
      </c>
      <c r="N235" s="6">
        <v>11.36</v>
      </c>
      <c r="O235" s="6">
        <f t="shared" ref="O235:O266" si="36">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35"/>
        <v>0.42000000000000004</v>
      </c>
      <c r="AD235" s="28">
        <v>1</v>
      </c>
      <c r="AE235">
        <v>0</v>
      </c>
      <c r="AF235">
        <v>1</v>
      </c>
      <c r="AG235">
        <v>0</v>
      </c>
      <c r="AH235" s="28">
        <v>0.66</v>
      </c>
      <c r="AI235" s="12">
        <f t="shared" si="30"/>
        <v>0.33999999999999997</v>
      </c>
      <c r="AJ235">
        <v>0</v>
      </c>
      <c r="AK235">
        <v>1</v>
      </c>
      <c r="AL235">
        <v>0</v>
      </c>
      <c r="AM235" s="28" t="s">
        <v>321</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35">
      <c r="A236">
        <v>235</v>
      </c>
      <c r="B236">
        <v>13</v>
      </c>
      <c r="C236" t="s">
        <v>269</v>
      </c>
      <c r="D236" s="79">
        <v>6</v>
      </c>
      <c r="E236" s="6">
        <v>0.7</v>
      </c>
      <c r="F236" s="6">
        <f t="shared" si="33"/>
        <v>8.5714285714285712</v>
      </c>
      <c r="G236" s="78">
        <v>0</v>
      </c>
      <c r="H236" s="70">
        <v>0</v>
      </c>
      <c r="I236" s="70">
        <v>1</v>
      </c>
      <c r="J236" s="78">
        <v>4984</v>
      </c>
      <c r="K236" s="70">
        <v>6</v>
      </c>
      <c r="L236" s="70">
        <f t="shared" si="31"/>
        <v>4977</v>
      </c>
      <c r="M236" s="60">
        <f t="shared" si="32"/>
        <v>13</v>
      </c>
      <c r="N236" s="6">
        <v>11.54</v>
      </c>
      <c r="O236" s="6">
        <f t="shared" si="36"/>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35"/>
        <v>0.48</v>
      </c>
      <c r="AD236" s="28">
        <v>1</v>
      </c>
      <c r="AE236">
        <v>0</v>
      </c>
      <c r="AF236">
        <v>1</v>
      </c>
      <c r="AG236">
        <v>0</v>
      </c>
      <c r="AH236" s="28">
        <v>0.66</v>
      </c>
      <c r="AI236" s="12">
        <f t="shared" si="30"/>
        <v>0.33999999999999997</v>
      </c>
      <c r="AJ236">
        <v>1</v>
      </c>
      <c r="AK236">
        <v>0</v>
      </c>
      <c r="AL236">
        <v>0</v>
      </c>
      <c r="AM236" s="28" t="s">
        <v>321</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35">
      <c r="A237">
        <v>236</v>
      </c>
      <c r="B237">
        <v>13</v>
      </c>
      <c r="C237" t="s">
        <v>269</v>
      </c>
      <c r="D237" s="79">
        <v>6</v>
      </c>
      <c r="E237" s="6">
        <v>0.3</v>
      </c>
      <c r="F237" s="6">
        <f t="shared" si="33"/>
        <v>20</v>
      </c>
      <c r="G237" s="78">
        <v>0</v>
      </c>
      <c r="H237" s="70">
        <v>0</v>
      </c>
      <c r="I237" s="70">
        <v>1</v>
      </c>
      <c r="J237" s="78">
        <v>6736</v>
      </c>
      <c r="K237" s="70">
        <v>6</v>
      </c>
      <c r="L237" s="70">
        <f t="shared" si="31"/>
        <v>6729</v>
      </c>
      <c r="M237" s="60">
        <f t="shared" si="32"/>
        <v>13</v>
      </c>
      <c r="N237" s="6">
        <v>11.36</v>
      </c>
      <c r="O237" s="6">
        <f t="shared" si="36"/>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35"/>
        <v>0.42000000000000004</v>
      </c>
      <c r="AD237" s="28">
        <v>1</v>
      </c>
      <c r="AE237">
        <v>0</v>
      </c>
      <c r="AF237">
        <v>1</v>
      </c>
      <c r="AG237">
        <v>0</v>
      </c>
      <c r="AH237" s="28">
        <v>0.66</v>
      </c>
      <c r="AI237" s="12">
        <f t="shared" si="30"/>
        <v>0.33999999999999997</v>
      </c>
      <c r="AJ237">
        <v>0</v>
      </c>
      <c r="AK237">
        <v>1</v>
      </c>
      <c r="AL237">
        <v>0</v>
      </c>
      <c r="AM237" s="28" t="s">
        <v>321</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35">
      <c r="A238">
        <v>237</v>
      </c>
      <c r="B238">
        <v>14</v>
      </c>
      <c r="C238" t="s">
        <v>322</v>
      </c>
      <c r="D238" s="79">
        <v>5.95</v>
      </c>
      <c r="E238" s="6">
        <f t="shared" ref="E238:E258" si="37">D238/F238</f>
        <v>0.3289110005527916</v>
      </c>
      <c r="F238" s="6">
        <v>18.09</v>
      </c>
      <c r="G238" s="78">
        <v>0</v>
      </c>
      <c r="H238" s="70">
        <v>0</v>
      </c>
      <c r="I238" s="70">
        <v>1</v>
      </c>
      <c r="J238" s="78">
        <v>9614</v>
      </c>
      <c r="K238" s="70">
        <v>7</v>
      </c>
      <c r="L238" s="70">
        <f t="shared" si="31"/>
        <v>9606</v>
      </c>
      <c r="M238" s="60">
        <f t="shared" si="32"/>
        <v>21</v>
      </c>
      <c r="N238" s="6">
        <v>12.9</v>
      </c>
      <c r="O238" s="6">
        <f t="shared" si="36"/>
        <v>19.100000000000001</v>
      </c>
      <c r="P238" s="78">
        <v>1</v>
      </c>
      <c r="Q238" s="70">
        <v>0</v>
      </c>
      <c r="R238" s="78">
        <v>1</v>
      </c>
      <c r="S238" s="70">
        <v>0</v>
      </c>
      <c r="T238" s="70">
        <v>0</v>
      </c>
      <c r="U238" s="70">
        <v>0</v>
      </c>
      <c r="V238" s="70">
        <v>1</v>
      </c>
      <c r="W238" s="78">
        <v>0</v>
      </c>
      <c r="X238" s="70">
        <v>1</v>
      </c>
      <c r="Y238" s="69">
        <v>1981</v>
      </c>
      <c r="Z238" s="28">
        <f t="shared" ref="Z238:Z258" si="38">1-AA238</f>
        <v>0.94299999999999995</v>
      </c>
      <c r="AA238">
        <v>5.7000000000000002E-2</v>
      </c>
      <c r="AB238" s="28">
        <v>0.51700000000000002</v>
      </c>
      <c r="AC238">
        <f t="shared" si="35"/>
        <v>0.48299999999999998</v>
      </c>
      <c r="AD238" s="28">
        <f t="shared" ref="AD238:AD258" si="39">1-AE238</f>
        <v>0.96099999999999997</v>
      </c>
      <c r="AE238">
        <v>3.9E-2</v>
      </c>
      <c r="AF238">
        <v>0</v>
      </c>
      <c r="AG238">
        <v>1</v>
      </c>
      <c r="AH238" s="28">
        <f t="shared" ref="AH238:AH258" si="40">1-AI238</f>
        <v>0.48299999999999998</v>
      </c>
      <c r="AI238" s="12">
        <v>0.51700000000000002</v>
      </c>
      <c r="AJ238">
        <v>4.4000000000000003E-3</v>
      </c>
      <c r="AK238">
        <f t="shared" ref="AK238:AK245" si="4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35">
      <c r="A239">
        <v>238</v>
      </c>
      <c r="B239">
        <v>14</v>
      </c>
      <c r="C239" t="s">
        <v>322</v>
      </c>
      <c r="D239" s="79">
        <v>4.96</v>
      </c>
      <c r="E239" s="6">
        <f t="shared" si="37"/>
        <v>0.34089347079037796</v>
      </c>
      <c r="F239" s="6">
        <v>14.55</v>
      </c>
      <c r="G239" s="78">
        <v>0</v>
      </c>
      <c r="H239" s="70">
        <v>0</v>
      </c>
      <c r="I239" s="70">
        <v>1</v>
      </c>
      <c r="J239" s="78">
        <v>9614</v>
      </c>
      <c r="K239" s="70">
        <v>8</v>
      </c>
      <c r="L239" s="70">
        <f t="shared" si="31"/>
        <v>9605</v>
      </c>
      <c r="M239" s="60">
        <f t="shared" si="32"/>
        <v>21</v>
      </c>
      <c r="N239" s="6">
        <v>12.9</v>
      </c>
      <c r="O239" s="6">
        <f t="shared" si="36"/>
        <v>19.100000000000001</v>
      </c>
      <c r="P239" s="78">
        <v>1</v>
      </c>
      <c r="Q239" s="70">
        <v>0</v>
      </c>
      <c r="R239" s="78">
        <v>1</v>
      </c>
      <c r="S239" s="70">
        <v>0</v>
      </c>
      <c r="T239" s="70">
        <v>0</v>
      </c>
      <c r="U239" s="70">
        <v>0</v>
      </c>
      <c r="V239" s="70">
        <v>1</v>
      </c>
      <c r="W239" s="78">
        <v>0</v>
      </c>
      <c r="X239" s="70">
        <v>1</v>
      </c>
      <c r="Y239" s="69">
        <v>1981</v>
      </c>
      <c r="Z239" s="28">
        <f t="shared" si="38"/>
        <v>0.94299999999999995</v>
      </c>
      <c r="AA239">
        <v>5.7000000000000002E-2</v>
      </c>
      <c r="AB239" s="28">
        <v>0.51700000000000002</v>
      </c>
      <c r="AC239">
        <f t="shared" si="35"/>
        <v>0.48299999999999998</v>
      </c>
      <c r="AD239" s="28">
        <f t="shared" si="39"/>
        <v>0.96099999999999997</v>
      </c>
      <c r="AE239">
        <v>3.9E-2</v>
      </c>
      <c r="AF239">
        <v>0</v>
      </c>
      <c r="AG239">
        <v>1</v>
      </c>
      <c r="AH239" s="28">
        <f t="shared" si="40"/>
        <v>0.48299999999999998</v>
      </c>
      <c r="AI239" s="12">
        <v>0.51700000000000002</v>
      </c>
      <c r="AJ239">
        <v>4.4000000000000003E-3</v>
      </c>
      <c r="AK239">
        <f t="shared" si="4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35">
      <c r="A240">
        <v>239</v>
      </c>
      <c r="B240">
        <v>14</v>
      </c>
      <c r="C240" t="s">
        <v>322</v>
      </c>
      <c r="D240" s="79">
        <v>4.42</v>
      </c>
      <c r="E240" s="6">
        <f t="shared" si="37"/>
        <v>0.35359999999999997</v>
      </c>
      <c r="F240" s="6">
        <v>12.5</v>
      </c>
      <c r="G240" s="78">
        <v>0</v>
      </c>
      <c r="H240" s="70">
        <v>0</v>
      </c>
      <c r="I240" s="70">
        <v>1</v>
      </c>
      <c r="J240" s="78">
        <v>9614</v>
      </c>
      <c r="K240" s="70">
        <v>8</v>
      </c>
      <c r="L240" s="70">
        <f t="shared" si="31"/>
        <v>9605</v>
      </c>
      <c r="M240" s="60">
        <f t="shared" si="32"/>
        <v>21</v>
      </c>
      <c r="N240" s="6">
        <v>12.9</v>
      </c>
      <c r="O240" s="6">
        <f t="shared" si="36"/>
        <v>19.100000000000001</v>
      </c>
      <c r="P240" s="78">
        <v>1</v>
      </c>
      <c r="Q240" s="70">
        <v>0</v>
      </c>
      <c r="R240" s="78">
        <v>1</v>
      </c>
      <c r="S240" s="70">
        <v>0</v>
      </c>
      <c r="T240" s="70">
        <v>0</v>
      </c>
      <c r="U240" s="70">
        <v>0</v>
      </c>
      <c r="V240" s="70">
        <v>1</v>
      </c>
      <c r="W240" s="78">
        <v>0</v>
      </c>
      <c r="X240" s="70">
        <v>1</v>
      </c>
      <c r="Y240" s="69">
        <v>1981</v>
      </c>
      <c r="Z240" s="28">
        <f t="shared" si="38"/>
        <v>0.94299999999999995</v>
      </c>
      <c r="AA240">
        <v>5.7000000000000002E-2</v>
      </c>
      <c r="AB240" s="28">
        <v>0.51700000000000002</v>
      </c>
      <c r="AC240">
        <f t="shared" si="35"/>
        <v>0.48299999999999998</v>
      </c>
      <c r="AD240" s="28">
        <f t="shared" si="39"/>
        <v>0.96099999999999997</v>
      </c>
      <c r="AE240">
        <v>3.9E-2</v>
      </c>
      <c r="AF240">
        <v>0</v>
      </c>
      <c r="AG240">
        <v>1</v>
      </c>
      <c r="AH240" s="28">
        <f t="shared" si="40"/>
        <v>0.48299999999999998</v>
      </c>
      <c r="AI240" s="12">
        <v>0.51700000000000002</v>
      </c>
      <c r="AJ240">
        <v>4.4000000000000003E-3</v>
      </c>
      <c r="AK240">
        <f t="shared" si="4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35">
      <c r="A241">
        <v>240</v>
      </c>
      <c r="B241">
        <v>14</v>
      </c>
      <c r="C241" t="s">
        <v>322</v>
      </c>
      <c r="D241" s="79">
        <v>4.38</v>
      </c>
      <c r="E241" s="6">
        <f t="shared" si="37"/>
        <v>0.35813573180703184</v>
      </c>
      <c r="F241" s="6">
        <v>12.23</v>
      </c>
      <c r="G241" s="78">
        <v>0</v>
      </c>
      <c r="H241" s="70">
        <v>0</v>
      </c>
      <c r="I241" s="70">
        <v>1</v>
      </c>
      <c r="J241" s="78">
        <v>9614</v>
      </c>
      <c r="K241" s="70">
        <v>8</v>
      </c>
      <c r="L241" s="70">
        <f t="shared" si="31"/>
        <v>9605</v>
      </c>
      <c r="M241" s="60">
        <f t="shared" si="32"/>
        <v>21</v>
      </c>
      <c r="N241" s="6">
        <v>12.9</v>
      </c>
      <c r="O241" s="6">
        <f t="shared" si="36"/>
        <v>19.100000000000001</v>
      </c>
      <c r="P241" s="78">
        <v>1</v>
      </c>
      <c r="Q241" s="70">
        <v>0</v>
      </c>
      <c r="R241" s="78">
        <v>1</v>
      </c>
      <c r="S241" s="70">
        <v>0</v>
      </c>
      <c r="T241" s="70">
        <v>0</v>
      </c>
      <c r="U241" s="70">
        <v>0</v>
      </c>
      <c r="V241" s="70">
        <v>1</v>
      </c>
      <c r="W241" s="78">
        <v>0</v>
      </c>
      <c r="X241" s="70">
        <v>1</v>
      </c>
      <c r="Y241" s="69">
        <v>1981</v>
      </c>
      <c r="Z241" s="28">
        <f t="shared" si="38"/>
        <v>0.94299999999999995</v>
      </c>
      <c r="AA241">
        <v>5.7000000000000002E-2</v>
      </c>
      <c r="AB241" s="28">
        <v>0.51700000000000002</v>
      </c>
      <c r="AC241">
        <f t="shared" si="35"/>
        <v>0.48299999999999998</v>
      </c>
      <c r="AD241" s="28">
        <f t="shared" si="39"/>
        <v>0.96099999999999997</v>
      </c>
      <c r="AE241">
        <v>3.9E-2</v>
      </c>
      <c r="AF241">
        <v>0</v>
      </c>
      <c r="AG241">
        <v>1</v>
      </c>
      <c r="AH241" s="28">
        <f t="shared" si="40"/>
        <v>0.48299999999999998</v>
      </c>
      <c r="AI241" s="12">
        <v>0.51700000000000002</v>
      </c>
      <c r="AJ241">
        <v>4.4000000000000003E-3</v>
      </c>
      <c r="AK241">
        <f t="shared" si="4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35">
      <c r="A242">
        <v>241</v>
      </c>
      <c r="B242">
        <v>14</v>
      </c>
      <c r="C242" t="s">
        <v>322</v>
      </c>
      <c r="D242" s="79">
        <v>3.97</v>
      </c>
      <c r="E242" s="6">
        <f t="shared" si="37"/>
        <v>0.3618960802187785</v>
      </c>
      <c r="F242" s="6">
        <v>10.97</v>
      </c>
      <c r="G242" s="78">
        <v>0</v>
      </c>
      <c r="H242" s="70">
        <v>0</v>
      </c>
      <c r="I242" s="70">
        <v>1</v>
      </c>
      <c r="J242" s="78">
        <v>9614</v>
      </c>
      <c r="K242" s="70">
        <v>10</v>
      </c>
      <c r="L242" s="70">
        <f t="shared" si="31"/>
        <v>9603</v>
      </c>
      <c r="M242" s="60">
        <f t="shared" si="32"/>
        <v>21</v>
      </c>
      <c r="N242" s="6">
        <v>12.9</v>
      </c>
      <c r="O242" s="6">
        <f t="shared" si="36"/>
        <v>19.100000000000001</v>
      </c>
      <c r="P242" s="78">
        <v>1</v>
      </c>
      <c r="Q242" s="70">
        <v>0</v>
      </c>
      <c r="R242" s="78">
        <v>1</v>
      </c>
      <c r="S242" s="70">
        <v>0</v>
      </c>
      <c r="T242" s="70">
        <v>0</v>
      </c>
      <c r="U242" s="70">
        <v>0</v>
      </c>
      <c r="V242" s="70">
        <v>1</v>
      </c>
      <c r="W242" s="78">
        <v>0</v>
      </c>
      <c r="X242" s="70">
        <v>1</v>
      </c>
      <c r="Y242" s="69">
        <v>1981</v>
      </c>
      <c r="Z242" s="28">
        <f t="shared" si="38"/>
        <v>0.94299999999999995</v>
      </c>
      <c r="AA242">
        <v>5.7000000000000002E-2</v>
      </c>
      <c r="AB242" s="28">
        <v>0.51700000000000002</v>
      </c>
      <c r="AC242">
        <f t="shared" si="35"/>
        <v>0.48299999999999998</v>
      </c>
      <c r="AD242" s="28">
        <f t="shared" si="39"/>
        <v>0.96099999999999997</v>
      </c>
      <c r="AE242">
        <v>3.9E-2</v>
      </c>
      <c r="AF242">
        <v>0</v>
      </c>
      <c r="AG242">
        <v>1</v>
      </c>
      <c r="AH242" s="28">
        <f t="shared" si="40"/>
        <v>0.48299999999999998</v>
      </c>
      <c r="AI242" s="12">
        <v>0.51700000000000002</v>
      </c>
      <c r="AJ242">
        <v>4.4000000000000003E-3</v>
      </c>
      <c r="AK242">
        <f t="shared" si="4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35">
      <c r="A243">
        <v>242</v>
      </c>
      <c r="B243">
        <v>14</v>
      </c>
      <c r="C243" t="s">
        <v>322</v>
      </c>
      <c r="D243" s="79">
        <v>4.3600000000000003</v>
      </c>
      <c r="E243" s="6">
        <f t="shared" si="37"/>
        <v>0.35447154471544717</v>
      </c>
      <c r="F243" s="6">
        <v>12.3</v>
      </c>
      <c r="G243" s="78">
        <v>0</v>
      </c>
      <c r="H243" s="70">
        <v>0</v>
      </c>
      <c r="I243" s="70">
        <v>1</v>
      </c>
      <c r="J243" s="78">
        <v>9614</v>
      </c>
      <c r="K243" s="70">
        <v>7</v>
      </c>
      <c r="L243" s="70">
        <f t="shared" si="31"/>
        <v>9606</v>
      </c>
      <c r="M243" s="60">
        <f t="shared" si="32"/>
        <v>21</v>
      </c>
      <c r="N243" s="6">
        <v>12.9</v>
      </c>
      <c r="O243" s="6">
        <f t="shared" si="36"/>
        <v>19.100000000000001</v>
      </c>
      <c r="P243" s="78">
        <v>1</v>
      </c>
      <c r="Q243" s="70">
        <v>0</v>
      </c>
      <c r="R243" s="78">
        <v>1</v>
      </c>
      <c r="S243" s="70">
        <v>0</v>
      </c>
      <c r="T243" s="70">
        <v>0</v>
      </c>
      <c r="U243" s="70">
        <v>0</v>
      </c>
      <c r="V243" s="70">
        <v>1</v>
      </c>
      <c r="W243" s="78">
        <v>0</v>
      </c>
      <c r="X243" s="70">
        <v>1</v>
      </c>
      <c r="Y243" s="69">
        <v>1981</v>
      </c>
      <c r="Z243" s="28">
        <f t="shared" si="38"/>
        <v>0.94299999999999995</v>
      </c>
      <c r="AA243">
        <v>5.7000000000000002E-2</v>
      </c>
      <c r="AB243" s="28">
        <v>0.51700000000000002</v>
      </c>
      <c r="AC243">
        <f t="shared" si="35"/>
        <v>0.48299999999999998</v>
      </c>
      <c r="AD243" s="28">
        <f t="shared" si="39"/>
        <v>0.96099999999999997</v>
      </c>
      <c r="AE243">
        <v>3.9E-2</v>
      </c>
      <c r="AF243">
        <v>0</v>
      </c>
      <c r="AG243">
        <v>1</v>
      </c>
      <c r="AH243" s="28">
        <f t="shared" si="40"/>
        <v>0.48299999999999998</v>
      </c>
      <c r="AI243" s="12">
        <v>0.51700000000000002</v>
      </c>
      <c r="AJ243">
        <v>4.4000000000000003E-3</v>
      </c>
      <c r="AK243">
        <f t="shared" si="4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35">
      <c r="A244">
        <v>243</v>
      </c>
      <c r="B244">
        <v>14</v>
      </c>
      <c r="C244" t="s">
        <v>322</v>
      </c>
      <c r="D244" s="79">
        <v>4.8899999999999997</v>
      </c>
      <c r="E244" s="6">
        <f t="shared" si="37"/>
        <v>0.34148044692737428</v>
      </c>
      <c r="F244" s="6">
        <v>14.32</v>
      </c>
      <c r="G244" s="78">
        <v>0</v>
      </c>
      <c r="H244" s="70">
        <v>0</v>
      </c>
      <c r="I244" s="70">
        <v>1</v>
      </c>
      <c r="J244" s="78">
        <v>9614</v>
      </c>
      <c r="K244" s="70">
        <v>7</v>
      </c>
      <c r="L244" s="70">
        <f t="shared" si="31"/>
        <v>9606</v>
      </c>
      <c r="M244" s="60">
        <f t="shared" si="32"/>
        <v>21</v>
      </c>
      <c r="N244" s="6">
        <v>12.9</v>
      </c>
      <c r="O244" s="6">
        <f t="shared" si="36"/>
        <v>19.100000000000001</v>
      </c>
      <c r="P244" s="78">
        <v>1</v>
      </c>
      <c r="Q244" s="70">
        <v>0</v>
      </c>
      <c r="R244" s="78">
        <v>1</v>
      </c>
      <c r="S244" s="70">
        <v>0</v>
      </c>
      <c r="T244" s="70">
        <v>0</v>
      </c>
      <c r="U244" s="70">
        <v>0</v>
      </c>
      <c r="V244" s="70">
        <v>1</v>
      </c>
      <c r="W244" s="78">
        <v>0</v>
      </c>
      <c r="X244" s="70">
        <v>1</v>
      </c>
      <c r="Y244" s="69">
        <v>1981</v>
      </c>
      <c r="Z244" s="28">
        <f t="shared" si="38"/>
        <v>0.94299999999999995</v>
      </c>
      <c r="AA244">
        <v>5.7000000000000002E-2</v>
      </c>
      <c r="AB244" s="28">
        <v>0.51700000000000002</v>
      </c>
      <c r="AC244">
        <f t="shared" si="35"/>
        <v>0.48299999999999998</v>
      </c>
      <c r="AD244" s="28">
        <f t="shared" si="39"/>
        <v>0.96099999999999997</v>
      </c>
      <c r="AE244">
        <v>3.9E-2</v>
      </c>
      <c r="AF244">
        <v>0</v>
      </c>
      <c r="AG244">
        <v>1</v>
      </c>
      <c r="AH244" s="28">
        <f t="shared" si="40"/>
        <v>0.48299999999999998</v>
      </c>
      <c r="AI244" s="12">
        <v>0.51700000000000002</v>
      </c>
      <c r="AJ244">
        <v>4.4000000000000003E-3</v>
      </c>
      <c r="AK244">
        <f t="shared" si="4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35">
      <c r="A245">
        <v>244</v>
      </c>
      <c r="B245">
        <v>14</v>
      </c>
      <c r="C245" t="s">
        <v>322</v>
      </c>
      <c r="D245" s="79">
        <v>4.24</v>
      </c>
      <c r="E245" s="6">
        <f t="shared" si="37"/>
        <v>0.35421888053466999</v>
      </c>
      <c r="F245" s="6">
        <v>11.97</v>
      </c>
      <c r="G245" s="78">
        <v>0</v>
      </c>
      <c r="H245" s="70">
        <v>0</v>
      </c>
      <c r="I245" s="70">
        <v>1</v>
      </c>
      <c r="J245" s="78">
        <v>9614</v>
      </c>
      <c r="K245" s="70">
        <v>7</v>
      </c>
      <c r="L245" s="70">
        <f t="shared" si="31"/>
        <v>9606</v>
      </c>
      <c r="M245" s="60">
        <f t="shared" si="32"/>
        <v>21</v>
      </c>
      <c r="N245" s="6">
        <v>12.9</v>
      </c>
      <c r="O245" s="6">
        <f t="shared" si="36"/>
        <v>19.100000000000001</v>
      </c>
      <c r="P245" s="78">
        <v>1</v>
      </c>
      <c r="Q245" s="70">
        <v>0</v>
      </c>
      <c r="R245" s="78">
        <v>1</v>
      </c>
      <c r="S245" s="70">
        <v>0</v>
      </c>
      <c r="T245" s="70">
        <v>0</v>
      </c>
      <c r="U245" s="70">
        <v>0</v>
      </c>
      <c r="V245" s="70">
        <v>1</v>
      </c>
      <c r="W245" s="78">
        <v>0</v>
      </c>
      <c r="X245" s="70">
        <v>1</v>
      </c>
      <c r="Y245" s="69">
        <v>1981</v>
      </c>
      <c r="Z245" s="28">
        <f t="shared" si="38"/>
        <v>0.94299999999999995</v>
      </c>
      <c r="AA245">
        <v>5.7000000000000002E-2</v>
      </c>
      <c r="AB245" s="28">
        <v>0.51700000000000002</v>
      </c>
      <c r="AC245">
        <f t="shared" si="35"/>
        <v>0.48299999999999998</v>
      </c>
      <c r="AD245" s="28">
        <f t="shared" si="39"/>
        <v>0.96099999999999997</v>
      </c>
      <c r="AE245">
        <v>3.9E-2</v>
      </c>
      <c r="AF245">
        <v>0</v>
      </c>
      <c r="AG245">
        <v>1</v>
      </c>
      <c r="AH245" s="28">
        <f t="shared" si="40"/>
        <v>0.48299999999999998</v>
      </c>
      <c r="AI245" s="12">
        <v>0.51700000000000002</v>
      </c>
      <c r="AJ245">
        <v>4.4000000000000003E-3</v>
      </c>
      <c r="AK245">
        <f t="shared" si="4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35">
      <c r="A246">
        <v>245</v>
      </c>
      <c r="B246">
        <v>14</v>
      </c>
      <c r="C246" t="s">
        <v>322</v>
      </c>
      <c r="D246" s="79">
        <v>11.35</v>
      </c>
      <c r="E246" s="6">
        <f t="shared" si="37"/>
        <v>2.260956175298805</v>
      </c>
      <c r="F246" s="6">
        <v>5.0199999999999996</v>
      </c>
      <c r="G246" s="78">
        <v>0</v>
      </c>
      <c r="H246" s="70">
        <v>0</v>
      </c>
      <c r="I246" s="70">
        <v>1</v>
      </c>
      <c r="J246" s="78">
        <v>206</v>
      </c>
      <c r="K246" s="70">
        <v>7</v>
      </c>
      <c r="L246" s="70">
        <f t="shared" si="31"/>
        <v>198</v>
      </c>
      <c r="M246" s="60">
        <f t="shared" si="32"/>
        <v>21</v>
      </c>
      <c r="N246" s="6">
        <v>12.9</v>
      </c>
      <c r="O246" s="6">
        <f t="shared" si="36"/>
        <v>19.100000000000001</v>
      </c>
      <c r="P246" s="78">
        <v>1</v>
      </c>
      <c r="Q246" s="70">
        <v>0</v>
      </c>
      <c r="R246" s="78">
        <v>1</v>
      </c>
      <c r="S246" s="70">
        <v>0</v>
      </c>
      <c r="T246" s="70">
        <v>0</v>
      </c>
      <c r="U246" s="70">
        <v>0</v>
      </c>
      <c r="V246" s="70">
        <v>1</v>
      </c>
      <c r="W246" s="78">
        <v>0</v>
      </c>
      <c r="X246" s="70">
        <v>1</v>
      </c>
      <c r="Y246" s="69">
        <v>1981</v>
      </c>
      <c r="Z246" s="28">
        <f t="shared" si="38"/>
        <v>0.96199999999999997</v>
      </c>
      <c r="AA246">
        <v>3.7999999999999999E-2</v>
      </c>
      <c r="AB246" s="28">
        <v>0.51400000000000001</v>
      </c>
      <c r="AC246">
        <f t="shared" si="35"/>
        <v>0.48599999999999999</v>
      </c>
      <c r="AD246" s="28">
        <f t="shared" si="39"/>
        <v>0.97899999999999998</v>
      </c>
      <c r="AE246">
        <v>2.1000000000000001E-2</v>
      </c>
      <c r="AF246">
        <v>0</v>
      </c>
      <c r="AG246">
        <v>1</v>
      </c>
      <c r="AH246" s="28">
        <f t="shared" si="40"/>
        <v>0.47199999999999998</v>
      </c>
      <c r="AI246" s="12">
        <v>0.52800000000000002</v>
      </c>
      <c r="AJ246">
        <v>0.30299999999999999</v>
      </c>
      <c r="AK246">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35">
      <c r="A247">
        <v>246</v>
      </c>
      <c r="B247">
        <v>14</v>
      </c>
      <c r="C247" t="s">
        <v>322</v>
      </c>
      <c r="D247" s="79">
        <v>8.41</v>
      </c>
      <c r="E247" s="6">
        <f t="shared" si="37"/>
        <v>2.5562310030395139</v>
      </c>
      <c r="F247" s="6">
        <v>3.29</v>
      </c>
      <c r="G247" s="78">
        <v>0</v>
      </c>
      <c r="H247" s="70">
        <v>0</v>
      </c>
      <c r="I247" s="70">
        <v>1</v>
      </c>
      <c r="J247" s="78">
        <v>206</v>
      </c>
      <c r="K247" s="70">
        <v>8</v>
      </c>
      <c r="L247" s="70">
        <f t="shared" si="31"/>
        <v>197</v>
      </c>
      <c r="M247" s="60">
        <f t="shared" si="32"/>
        <v>21</v>
      </c>
      <c r="N247" s="6">
        <v>12.9</v>
      </c>
      <c r="O247" s="6">
        <f t="shared" si="36"/>
        <v>19.100000000000001</v>
      </c>
      <c r="P247" s="78">
        <v>1</v>
      </c>
      <c r="Q247" s="70">
        <v>0</v>
      </c>
      <c r="R247" s="78">
        <v>1</v>
      </c>
      <c r="S247" s="70">
        <v>0</v>
      </c>
      <c r="T247" s="70">
        <v>0</v>
      </c>
      <c r="U247" s="70">
        <v>0</v>
      </c>
      <c r="V247" s="70">
        <v>1</v>
      </c>
      <c r="W247" s="78">
        <v>0</v>
      </c>
      <c r="X247" s="70">
        <v>1</v>
      </c>
      <c r="Y247" s="69">
        <v>1981</v>
      </c>
      <c r="Z247" s="28">
        <f t="shared" si="38"/>
        <v>0.96199999999999997</v>
      </c>
      <c r="AA247">
        <v>3.7999999999999999E-2</v>
      </c>
      <c r="AB247" s="28">
        <v>0.51400000000000001</v>
      </c>
      <c r="AC247">
        <f t="shared" si="35"/>
        <v>0.48599999999999999</v>
      </c>
      <c r="AD247" s="28">
        <f t="shared" si="39"/>
        <v>0.97899999999999998</v>
      </c>
      <c r="AE247">
        <v>2.1000000000000001E-2</v>
      </c>
      <c r="AF247">
        <v>0</v>
      </c>
      <c r="AG247">
        <v>1</v>
      </c>
      <c r="AH247" s="28">
        <f t="shared" si="40"/>
        <v>0.47199999999999998</v>
      </c>
      <c r="AI247" s="12">
        <v>0.52800000000000002</v>
      </c>
      <c r="AJ247">
        <v>0.30299999999999999</v>
      </c>
      <c r="AK24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35">
      <c r="A248">
        <v>247</v>
      </c>
      <c r="B248">
        <v>14</v>
      </c>
      <c r="C248" t="s">
        <v>322</v>
      </c>
      <c r="D248" s="79">
        <v>9.51</v>
      </c>
      <c r="E248" s="6">
        <f t="shared" si="37"/>
        <v>2.4830287206266317</v>
      </c>
      <c r="F248" s="6">
        <v>3.83</v>
      </c>
      <c r="G248" s="78">
        <v>0</v>
      </c>
      <c r="H248" s="70">
        <v>0</v>
      </c>
      <c r="I248" s="70">
        <v>1</v>
      </c>
      <c r="J248" s="78">
        <v>206</v>
      </c>
      <c r="K248" s="70">
        <v>8</v>
      </c>
      <c r="L248" s="70">
        <f t="shared" si="31"/>
        <v>197</v>
      </c>
      <c r="M248" s="60">
        <f t="shared" si="32"/>
        <v>21</v>
      </c>
      <c r="N248" s="6">
        <v>12.9</v>
      </c>
      <c r="O248" s="6">
        <f t="shared" si="36"/>
        <v>19.100000000000001</v>
      </c>
      <c r="P248" s="78">
        <v>1</v>
      </c>
      <c r="Q248" s="70">
        <v>0</v>
      </c>
      <c r="R248" s="78">
        <v>1</v>
      </c>
      <c r="S248" s="70">
        <v>0</v>
      </c>
      <c r="T248" s="70">
        <v>0</v>
      </c>
      <c r="U248" s="70">
        <v>0</v>
      </c>
      <c r="V248" s="70">
        <v>1</v>
      </c>
      <c r="W248" s="78">
        <v>0</v>
      </c>
      <c r="X248" s="70">
        <v>1</v>
      </c>
      <c r="Y248" s="69">
        <v>1981</v>
      </c>
      <c r="Z248" s="28">
        <f t="shared" si="38"/>
        <v>0.96199999999999997</v>
      </c>
      <c r="AA248">
        <v>3.7999999999999999E-2</v>
      </c>
      <c r="AB248" s="28">
        <v>0.51400000000000001</v>
      </c>
      <c r="AC248">
        <f t="shared" si="35"/>
        <v>0.48599999999999999</v>
      </c>
      <c r="AD248" s="28">
        <f t="shared" si="39"/>
        <v>0.97899999999999998</v>
      </c>
      <c r="AE248">
        <v>2.1000000000000001E-2</v>
      </c>
      <c r="AF248">
        <v>0</v>
      </c>
      <c r="AG248">
        <v>1</v>
      </c>
      <c r="AH248" s="28">
        <f t="shared" si="40"/>
        <v>0.47199999999999998</v>
      </c>
      <c r="AI248" s="12">
        <v>0.52800000000000002</v>
      </c>
      <c r="AJ248">
        <v>0.30299999999999999</v>
      </c>
      <c r="AK248">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35">
      <c r="A249">
        <v>248</v>
      </c>
      <c r="B249">
        <v>14</v>
      </c>
      <c r="C249" t="s">
        <v>322</v>
      </c>
      <c r="D249" s="79">
        <v>7.91</v>
      </c>
      <c r="E249" s="6">
        <f t="shared" si="37"/>
        <v>2.6722972972972974</v>
      </c>
      <c r="F249" s="6">
        <v>2.96</v>
      </c>
      <c r="G249" s="78">
        <v>0</v>
      </c>
      <c r="H249" s="70">
        <v>0</v>
      </c>
      <c r="I249" s="70">
        <v>1</v>
      </c>
      <c r="J249" s="78">
        <v>206</v>
      </c>
      <c r="K249" s="70">
        <v>8</v>
      </c>
      <c r="L249" s="70">
        <f t="shared" si="31"/>
        <v>197</v>
      </c>
      <c r="M249" s="60">
        <f t="shared" si="32"/>
        <v>21</v>
      </c>
      <c r="N249" s="6">
        <v>12.9</v>
      </c>
      <c r="O249" s="6">
        <f t="shared" si="36"/>
        <v>19.100000000000001</v>
      </c>
      <c r="P249" s="78">
        <v>1</v>
      </c>
      <c r="Q249" s="70">
        <v>0</v>
      </c>
      <c r="R249" s="78">
        <v>1</v>
      </c>
      <c r="S249" s="70">
        <v>0</v>
      </c>
      <c r="T249" s="70">
        <v>0</v>
      </c>
      <c r="U249" s="70">
        <v>0</v>
      </c>
      <c r="V249" s="70">
        <v>1</v>
      </c>
      <c r="W249" s="78">
        <v>0</v>
      </c>
      <c r="X249" s="70">
        <v>1</v>
      </c>
      <c r="Y249" s="69">
        <v>1981</v>
      </c>
      <c r="Z249" s="28">
        <f t="shared" si="38"/>
        <v>0.96199999999999997</v>
      </c>
      <c r="AA249">
        <v>3.7999999999999999E-2</v>
      </c>
      <c r="AB249" s="28">
        <v>0.51400000000000001</v>
      </c>
      <c r="AC249">
        <f t="shared" si="35"/>
        <v>0.48599999999999999</v>
      </c>
      <c r="AD249" s="28">
        <f t="shared" si="39"/>
        <v>0.97899999999999998</v>
      </c>
      <c r="AE249">
        <v>2.1000000000000001E-2</v>
      </c>
      <c r="AF249">
        <v>0</v>
      </c>
      <c r="AG249">
        <v>1</v>
      </c>
      <c r="AH249" s="28">
        <f t="shared" si="40"/>
        <v>0.47199999999999998</v>
      </c>
      <c r="AI249" s="12">
        <v>0.52800000000000002</v>
      </c>
      <c r="AJ249">
        <v>0.30299999999999999</v>
      </c>
      <c r="AK249">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35">
      <c r="A250">
        <v>249</v>
      </c>
      <c r="B250">
        <v>14</v>
      </c>
      <c r="C250" t="s">
        <v>322</v>
      </c>
      <c r="D250" s="79">
        <v>8.2200000000000006</v>
      </c>
      <c r="E250" s="6">
        <f t="shared" si="37"/>
        <v>2.6430868167202575</v>
      </c>
      <c r="F250" s="6">
        <v>3.11</v>
      </c>
      <c r="G250" s="78">
        <v>0</v>
      </c>
      <c r="H250" s="70">
        <v>0</v>
      </c>
      <c r="I250" s="70">
        <v>1</v>
      </c>
      <c r="J250" s="78">
        <v>197</v>
      </c>
      <c r="K250" s="70">
        <v>8</v>
      </c>
      <c r="L250" s="70">
        <f t="shared" si="31"/>
        <v>188</v>
      </c>
      <c r="M250" s="60">
        <f t="shared" si="32"/>
        <v>21</v>
      </c>
      <c r="N250" s="6">
        <v>12.9</v>
      </c>
      <c r="O250" s="6">
        <f t="shared" si="36"/>
        <v>19.100000000000001</v>
      </c>
      <c r="P250" s="78">
        <v>1</v>
      </c>
      <c r="Q250" s="70">
        <v>0</v>
      </c>
      <c r="R250" s="78">
        <v>1</v>
      </c>
      <c r="S250" s="70">
        <v>0</v>
      </c>
      <c r="T250" s="70">
        <v>0</v>
      </c>
      <c r="U250" s="70">
        <v>0</v>
      </c>
      <c r="V250" s="70">
        <v>1</v>
      </c>
      <c r="W250" s="78">
        <v>0</v>
      </c>
      <c r="X250" s="70">
        <v>1</v>
      </c>
      <c r="Y250" s="69">
        <v>1981</v>
      </c>
      <c r="Z250" s="28">
        <f t="shared" si="38"/>
        <v>0.96199999999999997</v>
      </c>
      <c r="AA250">
        <v>3.7999999999999999E-2</v>
      </c>
      <c r="AB250" s="28">
        <v>0.51400000000000001</v>
      </c>
      <c r="AC250">
        <f t="shared" si="35"/>
        <v>0.48599999999999999</v>
      </c>
      <c r="AD250" s="28">
        <f t="shared" si="39"/>
        <v>0.97899999999999998</v>
      </c>
      <c r="AE250">
        <v>2.1000000000000001E-2</v>
      </c>
      <c r="AF250">
        <v>0</v>
      </c>
      <c r="AG250">
        <v>1</v>
      </c>
      <c r="AH250" s="28">
        <f t="shared" si="40"/>
        <v>0.47199999999999998</v>
      </c>
      <c r="AI250" s="12">
        <v>0.52800000000000002</v>
      </c>
      <c r="AJ250">
        <v>0.30299999999999999</v>
      </c>
      <c r="AK250">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35">
      <c r="A251">
        <v>250</v>
      </c>
      <c r="B251">
        <v>14</v>
      </c>
      <c r="C251" t="s">
        <v>322</v>
      </c>
      <c r="D251" s="79">
        <v>8.66</v>
      </c>
      <c r="E251" s="6">
        <f t="shared" si="37"/>
        <v>2.6163141993957706</v>
      </c>
      <c r="F251" s="6">
        <v>3.31</v>
      </c>
      <c r="G251" s="78">
        <v>0</v>
      </c>
      <c r="H251" s="70">
        <v>0</v>
      </c>
      <c r="I251" s="70">
        <v>1</v>
      </c>
      <c r="J251" s="78">
        <v>197</v>
      </c>
      <c r="K251" s="70">
        <v>8</v>
      </c>
      <c r="L251" s="70">
        <f t="shared" si="31"/>
        <v>188</v>
      </c>
      <c r="M251" s="60">
        <f t="shared" si="32"/>
        <v>21</v>
      </c>
      <c r="N251" s="6">
        <v>12.9</v>
      </c>
      <c r="O251" s="6">
        <f t="shared" si="36"/>
        <v>19.100000000000001</v>
      </c>
      <c r="P251" s="78">
        <v>1</v>
      </c>
      <c r="Q251" s="70">
        <v>0</v>
      </c>
      <c r="R251" s="78">
        <v>1</v>
      </c>
      <c r="S251" s="70">
        <v>0</v>
      </c>
      <c r="T251" s="70">
        <v>0</v>
      </c>
      <c r="U251" s="70">
        <v>0</v>
      </c>
      <c r="V251" s="70">
        <v>1</v>
      </c>
      <c r="W251" s="78">
        <v>0</v>
      </c>
      <c r="X251" s="70">
        <v>1</v>
      </c>
      <c r="Y251" s="69">
        <v>1981</v>
      </c>
      <c r="Z251" s="28">
        <f t="shared" si="38"/>
        <v>0.96199999999999997</v>
      </c>
      <c r="AA251">
        <v>3.7999999999999999E-2</v>
      </c>
      <c r="AB251" s="28">
        <v>0.51400000000000001</v>
      </c>
      <c r="AC251">
        <f t="shared" si="35"/>
        <v>0.48599999999999999</v>
      </c>
      <c r="AD251" s="28">
        <f t="shared" si="39"/>
        <v>0.97899999999999998</v>
      </c>
      <c r="AE251">
        <v>2.1000000000000001E-2</v>
      </c>
      <c r="AF251">
        <v>0</v>
      </c>
      <c r="AG251">
        <v>1</v>
      </c>
      <c r="AH251" s="28">
        <f t="shared" si="40"/>
        <v>0.47199999999999998</v>
      </c>
      <c r="AI251" s="12">
        <v>0.52800000000000002</v>
      </c>
      <c r="AJ251">
        <v>0.30299999999999999</v>
      </c>
      <c r="AK251">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35">
      <c r="A252">
        <v>251</v>
      </c>
      <c r="B252">
        <v>14</v>
      </c>
      <c r="C252" t="s">
        <v>322</v>
      </c>
      <c r="D252" s="79">
        <v>7.77</v>
      </c>
      <c r="E252" s="6">
        <f t="shared" si="37"/>
        <v>2.6793103448275861</v>
      </c>
      <c r="F252" s="6">
        <v>2.9</v>
      </c>
      <c r="G252" s="78">
        <v>0</v>
      </c>
      <c r="H252" s="70">
        <v>0</v>
      </c>
      <c r="I252" s="70">
        <v>1</v>
      </c>
      <c r="J252" s="78">
        <v>197</v>
      </c>
      <c r="K252" s="70">
        <v>8</v>
      </c>
      <c r="L252" s="70">
        <f t="shared" si="31"/>
        <v>188</v>
      </c>
      <c r="M252" s="60">
        <f t="shared" si="32"/>
        <v>21</v>
      </c>
      <c r="N252" s="6">
        <v>12.9</v>
      </c>
      <c r="O252" s="6">
        <f t="shared" si="36"/>
        <v>19.100000000000001</v>
      </c>
      <c r="P252" s="78">
        <v>1</v>
      </c>
      <c r="Q252" s="70">
        <v>0</v>
      </c>
      <c r="R252" s="78">
        <v>1</v>
      </c>
      <c r="S252" s="70">
        <v>0</v>
      </c>
      <c r="T252" s="70">
        <v>0</v>
      </c>
      <c r="U252" s="70">
        <v>0</v>
      </c>
      <c r="V252" s="70">
        <v>1</v>
      </c>
      <c r="W252" s="78">
        <v>0</v>
      </c>
      <c r="X252" s="70">
        <v>1</v>
      </c>
      <c r="Y252" s="69">
        <v>1981</v>
      </c>
      <c r="Z252" s="28">
        <f t="shared" si="38"/>
        <v>0.96199999999999997</v>
      </c>
      <c r="AA252">
        <v>3.7999999999999999E-2</v>
      </c>
      <c r="AB252" s="28">
        <v>0.51400000000000001</v>
      </c>
      <c r="AC252">
        <f t="shared" si="35"/>
        <v>0.48599999999999999</v>
      </c>
      <c r="AD252" s="28">
        <f t="shared" si="39"/>
        <v>0.97899999999999998</v>
      </c>
      <c r="AE252">
        <v>2.1000000000000001E-2</v>
      </c>
      <c r="AF252">
        <v>0</v>
      </c>
      <c r="AG252">
        <v>1</v>
      </c>
      <c r="AH252" s="28">
        <f t="shared" si="40"/>
        <v>0.47199999999999998</v>
      </c>
      <c r="AI252" s="12">
        <v>0.52800000000000002</v>
      </c>
      <c r="AJ252">
        <v>0.30299999999999999</v>
      </c>
      <c r="AK252">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35">
      <c r="A253">
        <v>252</v>
      </c>
      <c r="B253">
        <v>14</v>
      </c>
      <c r="C253" t="s">
        <v>322</v>
      </c>
      <c r="D253" s="79">
        <v>5.99</v>
      </c>
      <c r="E253" s="6">
        <f t="shared" si="37"/>
        <v>0.36502132845825719</v>
      </c>
      <c r="F253" s="6">
        <v>16.41</v>
      </c>
      <c r="G253" s="78">
        <v>0</v>
      </c>
      <c r="H253" s="70">
        <v>0</v>
      </c>
      <c r="I253" s="70">
        <v>1</v>
      </c>
      <c r="J253" s="78">
        <v>7855</v>
      </c>
      <c r="K253" s="70">
        <v>8</v>
      </c>
      <c r="L253" s="70">
        <f t="shared" si="31"/>
        <v>7846</v>
      </c>
      <c r="M253" s="60">
        <f t="shared" si="32"/>
        <v>21</v>
      </c>
      <c r="N253" s="6">
        <v>12.9</v>
      </c>
      <c r="O253" s="6">
        <f t="shared" si="36"/>
        <v>19.100000000000001</v>
      </c>
      <c r="P253" s="78">
        <v>1</v>
      </c>
      <c r="Q253" s="70">
        <v>0</v>
      </c>
      <c r="R253" s="78">
        <v>1</v>
      </c>
      <c r="S253" s="70">
        <v>0</v>
      </c>
      <c r="T253" s="70">
        <v>0</v>
      </c>
      <c r="U253" s="70">
        <v>0</v>
      </c>
      <c r="V253" s="70">
        <v>1</v>
      </c>
      <c r="W253" s="78">
        <v>0</v>
      </c>
      <c r="X253" s="70">
        <v>1</v>
      </c>
      <c r="Y253" s="69">
        <v>1981</v>
      </c>
      <c r="Z253" s="28">
        <f t="shared" si="38"/>
        <v>0.94299999999999995</v>
      </c>
      <c r="AA253">
        <v>5.7000000000000002E-2</v>
      </c>
      <c r="AB253" s="28">
        <v>0.51700000000000002</v>
      </c>
      <c r="AC253">
        <f t="shared" si="35"/>
        <v>0.48299999999999998</v>
      </c>
      <c r="AD253" s="28">
        <f t="shared" si="39"/>
        <v>0.96099999999999997</v>
      </c>
      <c r="AE253">
        <v>3.9E-2</v>
      </c>
      <c r="AF253">
        <v>0</v>
      </c>
      <c r="AG253">
        <v>1</v>
      </c>
      <c r="AH253" s="28">
        <f t="shared" si="40"/>
        <v>0.48299999999999998</v>
      </c>
      <c r="AI253" s="12">
        <v>0.51700000000000002</v>
      </c>
      <c r="AJ253">
        <v>4.4000000000000003E-3</v>
      </c>
      <c r="AK253">
        <f t="shared" ref="AK253:AK258" si="4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35">
      <c r="A254">
        <v>253</v>
      </c>
      <c r="B254">
        <v>14</v>
      </c>
      <c r="C254" t="s">
        <v>322</v>
      </c>
      <c r="D254" s="79">
        <v>8.9700000000000006</v>
      </c>
      <c r="E254" s="6">
        <f t="shared" si="37"/>
        <v>0.63707386363636365</v>
      </c>
      <c r="F254" s="6">
        <v>14.08</v>
      </c>
      <c r="G254" s="78">
        <v>0</v>
      </c>
      <c r="H254" s="70">
        <v>0</v>
      </c>
      <c r="I254" s="70">
        <v>1</v>
      </c>
      <c r="J254" s="78">
        <v>7855</v>
      </c>
      <c r="K254" s="70">
        <v>8</v>
      </c>
      <c r="L254" s="70">
        <f t="shared" si="31"/>
        <v>7846</v>
      </c>
      <c r="M254" s="60">
        <f t="shared" si="32"/>
        <v>21</v>
      </c>
      <c r="N254" s="6">
        <v>12.9</v>
      </c>
      <c r="O254" s="6">
        <f t="shared" si="36"/>
        <v>19.100000000000001</v>
      </c>
      <c r="P254" s="78">
        <v>1</v>
      </c>
      <c r="Q254" s="70">
        <v>0</v>
      </c>
      <c r="R254" s="78">
        <v>1</v>
      </c>
      <c r="S254" s="70">
        <v>0</v>
      </c>
      <c r="T254" s="70">
        <v>0</v>
      </c>
      <c r="U254" s="70">
        <v>0</v>
      </c>
      <c r="V254" s="70">
        <v>1</v>
      </c>
      <c r="W254" s="78">
        <v>0</v>
      </c>
      <c r="X254" s="70">
        <v>1</v>
      </c>
      <c r="Y254" s="69">
        <v>1981</v>
      </c>
      <c r="Z254" s="28">
        <f t="shared" si="38"/>
        <v>0.94299999999999995</v>
      </c>
      <c r="AA254">
        <v>5.7000000000000002E-2</v>
      </c>
      <c r="AB254" s="28">
        <v>0.51700000000000002</v>
      </c>
      <c r="AC254">
        <f t="shared" si="35"/>
        <v>0.48299999999999998</v>
      </c>
      <c r="AD254" s="28">
        <f t="shared" si="39"/>
        <v>0.96099999999999997</v>
      </c>
      <c r="AE254">
        <v>3.9E-2</v>
      </c>
      <c r="AF254">
        <v>0</v>
      </c>
      <c r="AG254">
        <v>1</v>
      </c>
      <c r="AH254" s="28">
        <f t="shared" si="40"/>
        <v>0.48299999999999998</v>
      </c>
      <c r="AI254" s="12">
        <v>0.51700000000000002</v>
      </c>
      <c r="AJ254">
        <v>4.4000000000000003E-3</v>
      </c>
      <c r="AK254">
        <f t="shared" si="4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35">
      <c r="A255">
        <v>254</v>
      </c>
      <c r="B255">
        <v>14</v>
      </c>
      <c r="C255" t="s">
        <v>322</v>
      </c>
      <c r="D255" s="79">
        <v>4.5</v>
      </c>
      <c r="E255" s="6">
        <f t="shared" si="37"/>
        <v>0.76791808873720135</v>
      </c>
      <c r="F255" s="6">
        <v>5.86</v>
      </c>
      <c r="G255" s="78">
        <v>0</v>
      </c>
      <c r="H255" s="70">
        <v>0</v>
      </c>
      <c r="I255" s="70">
        <v>1</v>
      </c>
      <c r="J255" s="78">
        <v>7855</v>
      </c>
      <c r="K255" s="70">
        <v>9</v>
      </c>
      <c r="L255" s="70">
        <f t="shared" si="31"/>
        <v>7845</v>
      </c>
      <c r="M255" s="60">
        <f t="shared" si="32"/>
        <v>21</v>
      </c>
      <c r="N255" s="6">
        <v>12.9</v>
      </c>
      <c r="O255" s="6">
        <f t="shared" si="36"/>
        <v>19.100000000000001</v>
      </c>
      <c r="P255" s="78">
        <v>1</v>
      </c>
      <c r="Q255" s="70">
        <v>0</v>
      </c>
      <c r="R255" s="78">
        <v>1</v>
      </c>
      <c r="S255" s="70">
        <v>0</v>
      </c>
      <c r="T255" s="70">
        <v>0</v>
      </c>
      <c r="U255" s="70">
        <v>0</v>
      </c>
      <c r="V255" s="70">
        <v>1</v>
      </c>
      <c r="W255" s="78">
        <v>0</v>
      </c>
      <c r="X255" s="70">
        <v>1</v>
      </c>
      <c r="Y255" s="69">
        <v>1981</v>
      </c>
      <c r="Z255" s="28">
        <f t="shared" si="38"/>
        <v>0.94299999999999995</v>
      </c>
      <c r="AA255">
        <v>5.7000000000000002E-2</v>
      </c>
      <c r="AB255" s="28">
        <v>0.51700000000000002</v>
      </c>
      <c r="AC255">
        <f t="shared" si="35"/>
        <v>0.48299999999999998</v>
      </c>
      <c r="AD255" s="28">
        <f t="shared" si="39"/>
        <v>0.96099999999999997</v>
      </c>
      <c r="AE255">
        <v>3.9E-2</v>
      </c>
      <c r="AF255">
        <v>0</v>
      </c>
      <c r="AG255">
        <v>1</v>
      </c>
      <c r="AH255" s="28">
        <f t="shared" si="40"/>
        <v>0.48299999999999998</v>
      </c>
      <c r="AI255" s="12">
        <v>0.51700000000000002</v>
      </c>
      <c r="AJ255">
        <v>4.4000000000000003E-3</v>
      </c>
      <c r="AK255">
        <f t="shared" si="4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35">
      <c r="A256">
        <v>255</v>
      </c>
      <c r="B256">
        <v>14</v>
      </c>
      <c r="C256" t="s">
        <v>322</v>
      </c>
      <c r="D256" s="79">
        <v>7.13</v>
      </c>
      <c r="E256" s="6">
        <f t="shared" si="37"/>
        <v>0.68295019157088122</v>
      </c>
      <c r="F256" s="6">
        <v>10.44</v>
      </c>
      <c r="G256" s="78">
        <v>0</v>
      </c>
      <c r="H256" s="70">
        <v>0</v>
      </c>
      <c r="I256" s="70">
        <v>1</v>
      </c>
      <c r="J256" s="78">
        <v>7855</v>
      </c>
      <c r="K256" s="70">
        <v>9</v>
      </c>
      <c r="L256" s="70">
        <f t="shared" si="31"/>
        <v>7845</v>
      </c>
      <c r="M256" s="60">
        <f t="shared" si="32"/>
        <v>21</v>
      </c>
      <c r="N256" s="6">
        <v>12.9</v>
      </c>
      <c r="O256" s="6">
        <f t="shared" si="36"/>
        <v>19.100000000000001</v>
      </c>
      <c r="P256" s="78">
        <v>1</v>
      </c>
      <c r="Q256" s="70">
        <v>0</v>
      </c>
      <c r="R256" s="78">
        <v>1</v>
      </c>
      <c r="S256" s="70">
        <v>0</v>
      </c>
      <c r="T256" s="70">
        <v>0</v>
      </c>
      <c r="U256" s="70">
        <v>0</v>
      </c>
      <c r="V256" s="70">
        <v>1</v>
      </c>
      <c r="W256" s="78">
        <v>0</v>
      </c>
      <c r="X256" s="70">
        <v>1</v>
      </c>
      <c r="Y256" s="69">
        <v>1981</v>
      </c>
      <c r="Z256" s="28">
        <f t="shared" si="38"/>
        <v>0.94299999999999995</v>
      </c>
      <c r="AA256">
        <v>5.7000000000000002E-2</v>
      </c>
      <c r="AB256" s="28">
        <v>0.51700000000000002</v>
      </c>
      <c r="AC256">
        <f t="shared" si="35"/>
        <v>0.48299999999999998</v>
      </c>
      <c r="AD256" s="28">
        <f t="shared" si="39"/>
        <v>0.96099999999999997</v>
      </c>
      <c r="AE256">
        <v>3.9E-2</v>
      </c>
      <c r="AF256">
        <v>0</v>
      </c>
      <c r="AG256">
        <v>1</v>
      </c>
      <c r="AH256" s="28">
        <f t="shared" si="40"/>
        <v>0.48299999999999998</v>
      </c>
      <c r="AI256" s="12">
        <v>0.51700000000000002</v>
      </c>
      <c r="AJ256">
        <v>4.4000000000000003E-3</v>
      </c>
      <c r="AK256">
        <f t="shared" si="4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35">
      <c r="A257">
        <v>256</v>
      </c>
      <c r="B257">
        <v>14</v>
      </c>
      <c r="C257" t="s">
        <v>322</v>
      </c>
      <c r="D257" s="79">
        <v>7.13</v>
      </c>
      <c r="E257" s="6">
        <f t="shared" si="37"/>
        <v>0.64995442114858704</v>
      </c>
      <c r="F257" s="6">
        <v>10.97</v>
      </c>
      <c r="G257" s="78">
        <v>0</v>
      </c>
      <c r="H257" s="70">
        <v>0</v>
      </c>
      <c r="I257" s="70">
        <v>1</v>
      </c>
      <c r="J257" s="78">
        <v>7855</v>
      </c>
      <c r="K257" s="70">
        <v>9</v>
      </c>
      <c r="L257" s="70">
        <f t="shared" si="31"/>
        <v>7845</v>
      </c>
      <c r="M257" s="60">
        <f t="shared" si="32"/>
        <v>21</v>
      </c>
      <c r="N257" s="6">
        <v>12.9</v>
      </c>
      <c r="O257" s="6">
        <f t="shared" si="36"/>
        <v>19.100000000000001</v>
      </c>
      <c r="P257" s="78">
        <v>1</v>
      </c>
      <c r="Q257" s="70">
        <v>0</v>
      </c>
      <c r="R257" s="78">
        <v>1</v>
      </c>
      <c r="S257" s="70">
        <v>0</v>
      </c>
      <c r="T257" s="70">
        <v>0</v>
      </c>
      <c r="U257" s="70">
        <v>0</v>
      </c>
      <c r="V257" s="70">
        <v>1</v>
      </c>
      <c r="W257" s="78">
        <v>0</v>
      </c>
      <c r="X257" s="70">
        <v>1</v>
      </c>
      <c r="Y257" s="69">
        <v>1981</v>
      </c>
      <c r="Z257" s="28">
        <f t="shared" si="38"/>
        <v>0.94299999999999995</v>
      </c>
      <c r="AA257">
        <v>5.7000000000000002E-2</v>
      </c>
      <c r="AB257" s="28">
        <v>0.51700000000000002</v>
      </c>
      <c r="AC257">
        <f t="shared" si="35"/>
        <v>0.48299999999999998</v>
      </c>
      <c r="AD257" s="28">
        <f t="shared" si="39"/>
        <v>0.96099999999999997</v>
      </c>
      <c r="AE257">
        <v>3.9E-2</v>
      </c>
      <c r="AF257">
        <v>0</v>
      </c>
      <c r="AG257">
        <v>1</v>
      </c>
      <c r="AH257" s="28">
        <f t="shared" si="40"/>
        <v>0.48299999999999998</v>
      </c>
      <c r="AI257" s="12">
        <v>0.51700000000000002</v>
      </c>
      <c r="AJ257">
        <v>4.4000000000000003E-3</v>
      </c>
      <c r="AK257">
        <f t="shared" si="4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35">
      <c r="A258">
        <v>257</v>
      </c>
      <c r="B258">
        <v>14</v>
      </c>
      <c r="C258" t="s">
        <v>322</v>
      </c>
      <c r="D258" s="79">
        <v>5.25</v>
      </c>
      <c r="E258" s="6">
        <f t="shared" si="37"/>
        <v>0.75</v>
      </c>
      <c r="F258" s="6">
        <v>7</v>
      </c>
      <c r="G258" s="78">
        <v>0</v>
      </c>
      <c r="H258" s="70">
        <v>0</v>
      </c>
      <c r="I258" s="70">
        <v>1</v>
      </c>
      <c r="J258" s="78">
        <v>7855</v>
      </c>
      <c r="K258" s="70">
        <v>9</v>
      </c>
      <c r="L258" s="70">
        <f t="shared" ref="L258:L294" si="43">J258-K258-1</f>
        <v>7845</v>
      </c>
      <c r="M258" s="60">
        <f t="shared" ref="M258:M294" si="44">COUNTIF(B:B,B258)</f>
        <v>21</v>
      </c>
      <c r="N258" s="6">
        <v>12.9</v>
      </c>
      <c r="O258" s="6">
        <f t="shared" si="36"/>
        <v>19.100000000000001</v>
      </c>
      <c r="P258" s="78">
        <v>1</v>
      </c>
      <c r="Q258" s="70">
        <v>0</v>
      </c>
      <c r="R258" s="78">
        <v>1</v>
      </c>
      <c r="S258" s="70">
        <v>0</v>
      </c>
      <c r="T258" s="70">
        <v>0</v>
      </c>
      <c r="U258" s="70">
        <v>0</v>
      </c>
      <c r="V258" s="70">
        <v>1</v>
      </c>
      <c r="W258" s="78">
        <v>0</v>
      </c>
      <c r="X258" s="70">
        <v>1</v>
      </c>
      <c r="Y258" s="69">
        <v>1981</v>
      </c>
      <c r="Z258" s="28">
        <f t="shared" si="38"/>
        <v>0.94299999999999995</v>
      </c>
      <c r="AA258">
        <v>5.7000000000000002E-2</v>
      </c>
      <c r="AB258" s="28">
        <v>0.51700000000000002</v>
      </c>
      <c r="AC258">
        <f t="shared" si="35"/>
        <v>0.48299999999999998</v>
      </c>
      <c r="AD258" s="28">
        <f t="shared" si="39"/>
        <v>0.96099999999999997</v>
      </c>
      <c r="AE258">
        <v>3.9E-2</v>
      </c>
      <c r="AF258">
        <v>0</v>
      </c>
      <c r="AG258">
        <v>1</v>
      </c>
      <c r="AH258" s="28">
        <f t="shared" si="40"/>
        <v>0.48299999999999998</v>
      </c>
      <c r="AI258" s="12">
        <v>0.51700000000000002</v>
      </c>
      <c r="AJ258">
        <v>4.4000000000000003E-3</v>
      </c>
      <c r="AK258">
        <f t="shared" si="4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35">
      <c r="A259">
        <v>258</v>
      </c>
      <c r="B259">
        <v>15</v>
      </c>
      <c r="C259" t="s">
        <v>328</v>
      </c>
      <c r="D259" s="79">
        <v>2.98</v>
      </c>
      <c r="E259" s="6">
        <v>0.05</v>
      </c>
      <c r="F259" s="6">
        <f t="shared" ref="F259:F294" si="45">D259/E259</f>
        <v>59.599999999999994</v>
      </c>
      <c r="G259" s="78">
        <v>0</v>
      </c>
      <c r="H259" s="70">
        <v>0</v>
      </c>
      <c r="I259" s="70">
        <v>1</v>
      </c>
      <c r="J259" s="78">
        <v>8740</v>
      </c>
      <c r="K259" s="70">
        <v>4</v>
      </c>
      <c r="L259" s="70">
        <f t="shared" si="43"/>
        <v>8735</v>
      </c>
      <c r="M259" s="60">
        <f t="shared" si="44"/>
        <v>16</v>
      </c>
      <c r="N259" s="6">
        <v>12.62</v>
      </c>
      <c r="O259" s="6">
        <f t="shared" si="36"/>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v>0</v>
      </c>
      <c r="AL259">
        <v>0</v>
      </c>
      <c r="AM259" s="28" t="s">
        <v>340</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35">
      <c r="A260">
        <v>259</v>
      </c>
      <c r="B260">
        <v>15</v>
      </c>
      <c r="C260" t="s">
        <v>328</v>
      </c>
      <c r="D260" s="79">
        <v>3.31</v>
      </c>
      <c r="E260" s="6">
        <v>0.04</v>
      </c>
      <c r="F260" s="6">
        <f t="shared" si="45"/>
        <v>82.75</v>
      </c>
      <c r="G260" s="78">
        <v>0</v>
      </c>
      <c r="H260" s="70">
        <v>0</v>
      </c>
      <c r="I260" s="70">
        <v>1</v>
      </c>
      <c r="J260" s="78">
        <v>14136</v>
      </c>
      <c r="K260" s="70">
        <v>4</v>
      </c>
      <c r="L260" s="70">
        <f t="shared" si="43"/>
        <v>14131</v>
      </c>
      <c r="M260" s="60">
        <f t="shared" si="44"/>
        <v>16</v>
      </c>
      <c r="N260" s="6">
        <v>12.41</v>
      </c>
      <c r="O260" s="6">
        <f t="shared" si="36"/>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v>1</v>
      </c>
      <c r="AL260">
        <v>0</v>
      </c>
      <c r="AM260" s="28" t="s">
        <v>340</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35">
      <c r="A261">
        <v>260</v>
      </c>
      <c r="B261">
        <v>15</v>
      </c>
      <c r="C261" t="s">
        <v>328</v>
      </c>
      <c r="D261" s="79">
        <v>3.73</v>
      </c>
      <c r="E261" s="6">
        <v>0.06</v>
      </c>
      <c r="F261" s="6">
        <f t="shared" si="45"/>
        <v>62.166666666666671</v>
      </c>
      <c r="G261" s="78">
        <v>0</v>
      </c>
      <c r="H261" s="70">
        <v>0</v>
      </c>
      <c r="I261" s="70">
        <v>1</v>
      </c>
      <c r="J261" s="78">
        <v>8000</v>
      </c>
      <c r="K261" s="70">
        <v>4</v>
      </c>
      <c r="L261" s="70">
        <f t="shared" si="43"/>
        <v>7995</v>
      </c>
      <c r="M261" s="60">
        <f t="shared" si="44"/>
        <v>16</v>
      </c>
      <c r="N261" s="6">
        <v>12.5</v>
      </c>
      <c r="O261" s="6">
        <f t="shared" si="36"/>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v>0</v>
      </c>
      <c r="AL261">
        <v>0</v>
      </c>
      <c r="AM261" s="28" t="s">
        <v>340</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35">
      <c r="A262">
        <v>261</v>
      </c>
      <c r="B262">
        <v>15</v>
      </c>
      <c r="C262" t="s">
        <v>328</v>
      </c>
      <c r="D262" s="79">
        <v>3.7</v>
      </c>
      <c r="E262" s="6">
        <v>0.05</v>
      </c>
      <c r="F262" s="6">
        <f t="shared" si="45"/>
        <v>74</v>
      </c>
      <c r="G262" s="78">
        <v>0</v>
      </c>
      <c r="H262" s="70">
        <v>0</v>
      </c>
      <c r="I262" s="70">
        <v>1</v>
      </c>
      <c r="J262" s="78">
        <v>11236</v>
      </c>
      <c r="K262" s="70">
        <v>4</v>
      </c>
      <c r="L262" s="70">
        <f t="shared" si="43"/>
        <v>11231</v>
      </c>
      <c r="M262" s="60">
        <f t="shared" si="44"/>
        <v>16</v>
      </c>
      <c r="N262" s="6">
        <v>12.16</v>
      </c>
      <c r="O262" s="6">
        <f t="shared" si="36"/>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v>1</v>
      </c>
      <c r="AL262">
        <v>0</v>
      </c>
      <c r="AM262" s="28" t="s">
        <v>340</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35">
      <c r="A263">
        <v>262</v>
      </c>
      <c r="B263">
        <v>15</v>
      </c>
      <c r="C263" t="s">
        <v>328</v>
      </c>
      <c r="D263" s="79">
        <v>3.17</v>
      </c>
      <c r="E263" s="6">
        <v>0.03</v>
      </c>
      <c r="F263" s="6">
        <f t="shared" si="45"/>
        <v>105.66666666666667</v>
      </c>
      <c r="G263" s="78">
        <v>0</v>
      </c>
      <c r="H263" s="70">
        <v>0</v>
      </c>
      <c r="I263" s="70">
        <v>1</v>
      </c>
      <c r="J263" s="78">
        <v>22876</v>
      </c>
      <c r="K263" s="70">
        <v>4</v>
      </c>
      <c r="L263" s="70">
        <f t="shared" si="43"/>
        <v>22871</v>
      </c>
      <c r="M263" s="60">
        <f t="shared" si="44"/>
        <v>16</v>
      </c>
      <c r="N263" s="6">
        <v>12.49</v>
      </c>
      <c r="O263" s="6">
        <f t="shared" si="36"/>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v>0.3821</v>
      </c>
      <c r="AL263">
        <v>0</v>
      </c>
      <c r="AM263" s="28" t="s">
        <v>340</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35">
      <c r="A264">
        <v>263</v>
      </c>
      <c r="B264">
        <v>15</v>
      </c>
      <c r="C264" t="s">
        <v>328</v>
      </c>
      <c r="D264" s="79">
        <v>3.73</v>
      </c>
      <c r="E264" s="6">
        <v>0.03</v>
      </c>
      <c r="F264" s="6">
        <f t="shared" si="45"/>
        <v>124.33333333333334</v>
      </c>
      <c r="G264" s="78">
        <v>0</v>
      </c>
      <c r="H264" s="70">
        <v>0</v>
      </c>
      <c r="I264" s="70">
        <v>1</v>
      </c>
      <c r="J264" s="78">
        <v>19236</v>
      </c>
      <c r="K264" s="70">
        <v>4</v>
      </c>
      <c r="L264" s="70">
        <f t="shared" si="43"/>
        <v>19231</v>
      </c>
      <c r="M264" s="60">
        <f t="shared" si="44"/>
        <v>16</v>
      </c>
      <c r="N264" s="6">
        <v>12.3</v>
      </c>
      <c r="O264" s="6">
        <f t="shared" si="36"/>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v>0.41589999999999999</v>
      </c>
      <c r="AL264">
        <v>0</v>
      </c>
      <c r="AM264" s="28" t="s">
        <v>340</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35">
      <c r="A265">
        <v>264</v>
      </c>
      <c r="B265">
        <v>15</v>
      </c>
      <c r="C265" t="s">
        <v>328</v>
      </c>
      <c r="D265" s="79">
        <v>6.52</v>
      </c>
      <c r="E265" s="6">
        <v>0.11</v>
      </c>
      <c r="F265" s="6">
        <f t="shared" si="45"/>
        <v>59.272727272727266</v>
      </c>
      <c r="G265" s="78">
        <v>0</v>
      </c>
      <c r="H265" s="70">
        <v>0</v>
      </c>
      <c r="I265" s="70">
        <v>1</v>
      </c>
      <c r="J265" s="78">
        <v>22876</v>
      </c>
      <c r="K265" s="70">
        <v>4</v>
      </c>
      <c r="L265" s="70">
        <f t="shared" si="43"/>
        <v>22871</v>
      </c>
      <c r="M265" s="60">
        <f t="shared" si="44"/>
        <v>16</v>
      </c>
      <c r="N265" s="6">
        <v>12.49</v>
      </c>
      <c r="O265" s="6">
        <f t="shared" si="36"/>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v>0.3821</v>
      </c>
      <c r="AL265">
        <v>0</v>
      </c>
      <c r="AM265" s="28" t="s">
        <v>340</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35">
      <c r="A266">
        <v>265</v>
      </c>
      <c r="B266">
        <v>15</v>
      </c>
      <c r="C266" t="s">
        <v>328</v>
      </c>
      <c r="D266" s="79">
        <v>5.42</v>
      </c>
      <c r="E266" s="6">
        <v>0.14000000000000001</v>
      </c>
      <c r="F266" s="6">
        <f t="shared" si="45"/>
        <v>38.714285714285708</v>
      </c>
      <c r="G266" s="78">
        <v>0</v>
      </c>
      <c r="H266" s="70">
        <v>0</v>
      </c>
      <c r="I266" s="70">
        <v>1</v>
      </c>
      <c r="J266" s="78">
        <v>19236</v>
      </c>
      <c r="K266" s="70">
        <v>4</v>
      </c>
      <c r="L266" s="70">
        <f t="shared" si="43"/>
        <v>19231</v>
      </c>
      <c r="M266" s="60">
        <f t="shared" si="44"/>
        <v>16</v>
      </c>
      <c r="N266" s="6">
        <v>12.3</v>
      </c>
      <c r="O266" s="6">
        <f t="shared" si="36"/>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v>0.41589999999999999</v>
      </c>
      <c r="AL266">
        <v>0</v>
      </c>
      <c r="AM266" s="28" t="s">
        <v>340</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35">
      <c r="A267">
        <v>266</v>
      </c>
      <c r="B267">
        <v>15</v>
      </c>
      <c r="C267" t="s">
        <v>328</v>
      </c>
      <c r="D267" s="79">
        <v>4.9000000000000004</v>
      </c>
      <c r="E267" s="6">
        <v>0.09</v>
      </c>
      <c r="F267" s="6">
        <f t="shared" si="45"/>
        <v>54.44444444444445</v>
      </c>
      <c r="G267" s="78">
        <v>0</v>
      </c>
      <c r="H267" s="70">
        <v>0</v>
      </c>
      <c r="I267" s="70">
        <v>1</v>
      </c>
      <c r="J267" s="78">
        <v>8740</v>
      </c>
      <c r="K267" s="70">
        <v>4</v>
      </c>
      <c r="L267" s="70">
        <f t="shared" si="43"/>
        <v>8735</v>
      </c>
      <c r="M267" s="60">
        <f t="shared" si="44"/>
        <v>16</v>
      </c>
      <c r="N267" s="6">
        <v>12.62</v>
      </c>
      <c r="O267" s="6">
        <f t="shared" ref="O267:O294" si="46">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v>0</v>
      </c>
      <c r="AL267">
        <v>0</v>
      </c>
      <c r="AM267" s="28" t="s">
        <v>340</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35">
      <c r="A268">
        <v>267</v>
      </c>
      <c r="B268">
        <v>15</v>
      </c>
      <c r="C268" t="s">
        <v>328</v>
      </c>
      <c r="D268" s="79">
        <v>1.83</v>
      </c>
      <c r="E268" s="6">
        <v>7.0000000000000007E-2</v>
      </c>
      <c r="F268" s="6">
        <f t="shared" si="45"/>
        <v>26.142857142857142</v>
      </c>
      <c r="G268" s="78">
        <v>0</v>
      </c>
      <c r="H268" s="70">
        <v>0</v>
      </c>
      <c r="I268" s="70">
        <v>1</v>
      </c>
      <c r="J268" s="78">
        <v>14136</v>
      </c>
      <c r="K268" s="70">
        <v>4</v>
      </c>
      <c r="L268" s="70">
        <f t="shared" si="43"/>
        <v>14131</v>
      </c>
      <c r="M268" s="60">
        <f t="shared" si="44"/>
        <v>16</v>
      </c>
      <c r="N268" s="6">
        <v>12.41</v>
      </c>
      <c r="O268" s="6">
        <f t="shared" si="46"/>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v>1</v>
      </c>
      <c r="AL268">
        <v>0</v>
      </c>
      <c r="AM268" s="28" t="s">
        <v>340</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35">
      <c r="A269">
        <v>268</v>
      </c>
      <c r="B269">
        <v>15</v>
      </c>
      <c r="C269" t="s">
        <v>328</v>
      </c>
      <c r="D269" s="79">
        <v>0.93</v>
      </c>
      <c r="E269" s="6">
        <v>0.12</v>
      </c>
      <c r="F269" s="6">
        <f t="shared" si="45"/>
        <v>7.7500000000000009</v>
      </c>
      <c r="G269" s="78">
        <v>0</v>
      </c>
      <c r="H269" s="70">
        <v>0</v>
      </c>
      <c r="I269" s="70">
        <v>1</v>
      </c>
      <c r="J269" s="78">
        <v>8000</v>
      </c>
      <c r="K269" s="70">
        <v>4</v>
      </c>
      <c r="L269" s="70">
        <f t="shared" si="43"/>
        <v>7995</v>
      </c>
      <c r="M269" s="60">
        <f t="shared" si="44"/>
        <v>16</v>
      </c>
      <c r="N269" s="6">
        <v>12.5</v>
      </c>
      <c r="O269" s="6">
        <f t="shared" si="46"/>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v>0</v>
      </c>
      <c r="AL269">
        <v>0</v>
      </c>
      <c r="AM269" s="28" t="s">
        <v>340</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35">
      <c r="A270">
        <v>269</v>
      </c>
      <c r="B270">
        <v>15</v>
      </c>
      <c r="C270" t="s">
        <v>328</v>
      </c>
      <c r="D270" s="79">
        <v>2.5</v>
      </c>
      <c r="E270" s="6">
        <v>0.09</v>
      </c>
      <c r="F270" s="6">
        <f t="shared" si="45"/>
        <v>27.777777777777779</v>
      </c>
      <c r="G270" s="78">
        <v>0</v>
      </c>
      <c r="H270" s="70">
        <v>0</v>
      </c>
      <c r="I270" s="70">
        <v>1</v>
      </c>
      <c r="J270" s="78">
        <v>11236</v>
      </c>
      <c r="K270" s="70">
        <v>4</v>
      </c>
      <c r="L270" s="70">
        <f t="shared" si="43"/>
        <v>11231</v>
      </c>
      <c r="M270" s="60">
        <f t="shared" si="44"/>
        <v>16</v>
      </c>
      <c r="N270" s="6">
        <v>12.16</v>
      </c>
      <c r="O270" s="6">
        <f t="shared" si="46"/>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v>1</v>
      </c>
      <c r="AL270">
        <v>0</v>
      </c>
      <c r="AM270" s="28" t="s">
        <v>340</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35">
      <c r="A271">
        <v>270</v>
      </c>
      <c r="B271">
        <v>15</v>
      </c>
      <c r="C271" t="s">
        <v>328</v>
      </c>
      <c r="D271" s="79">
        <v>4.51</v>
      </c>
      <c r="E271" s="6">
        <v>0.99</v>
      </c>
      <c r="F271" s="6">
        <f t="shared" si="45"/>
        <v>4.5555555555555554</v>
      </c>
      <c r="G271" s="78">
        <v>0</v>
      </c>
      <c r="H271" s="70">
        <v>0</v>
      </c>
      <c r="I271" s="70">
        <v>1</v>
      </c>
      <c r="J271" s="78">
        <v>8740</v>
      </c>
      <c r="K271" s="70">
        <v>4</v>
      </c>
      <c r="L271" s="70">
        <f t="shared" si="43"/>
        <v>8735</v>
      </c>
      <c r="M271" s="60">
        <f t="shared" si="44"/>
        <v>16</v>
      </c>
      <c r="N271" s="6">
        <v>12.62</v>
      </c>
      <c r="O271" s="6">
        <f t="shared" si="46"/>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v>0</v>
      </c>
      <c r="AL271">
        <v>0</v>
      </c>
      <c r="AM271" s="28" t="s">
        <v>340</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35">
      <c r="A272">
        <v>271</v>
      </c>
      <c r="B272">
        <v>15</v>
      </c>
      <c r="C272" t="s">
        <v>328</v>
      </c>
      <c r="D272" s="79">
        <v>9.4600000000000009</v>
      </c>
      <c r="E272" s="6">
        <v>0.63</v>
      </c>
      <c r="F272" s="6">
        <f t="shared" si="45"/>
        <v>15.015873015873018</v>
      </c>
      <c r="G272" s="78">
        <v>0</v>
      </c>
      <c r="H272" s="70">
        <v>0</v>
      </c>
      <c r="I272" s="70">
        <v>1</v>
      </c>
      <c r="J272" s="78">
        <v>14136</v>
      </c>
      <c r="K272" s="70">
        <v>4</v>
      </c>
      <c r="L272" s="70">
        <f t="shared" si="43"/>
        <v>14131</v>
      </c>
      <c r="M272" s="60">
        <f t="shared" si="44"/>
        <v>16</v>
      </c>
      <c r="N272" s="6">
        <v>12.41</v>
      </c>
      <c r="O272" s="6">
        <f t="shared" si="46"/>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v>1</v>
      </c>
      <c r="AL272">
        <v>0</v>
      </c>
      <c r="AM272" s="28" t="s">
        <v>340</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35">
      <c r="A273">
        <v>272</v>
      </c>
      <c r="B273">
        <v>15</v>
      </c>
      <c r="C273" t="s">
        <v>328</v>
      </c>
      <c r="D273" s="79">
        <v>4.41</v>
      </c>
      <c r="E273" s="6">
        <v>0.83</v>
      </c>
      <c r="F273" s="6">
        <f t="shared" si="45"/>
        <v>5.3132530120481931</v>
      </c>
      <c r="G273" s="78">
        <v>0</v>
      </c>
      <c r="H273" s="70">
        <v>0</v>
      </c>
      <c r="I273" s="70">
        <v>1</v>
      </c>
      <c r="J273" s="78">
        <v>8000</v>
      </c>
      <c r="K273" s="70">
        <v>4</v>
      </c>
      <c r="L273" s="70">
        <f t="shared" si="43"/>
        <v>7995</v>
      </c>
      <c r="M273" s="60">
        <f t="shared" si="44"/>
        <v>16</v>
      </c>
      <c r="N273" s="6">
        <v>12.5</v>
      </c>
      <c r="O273" s="6">
        <f t="shared" si="46"/>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v>0</v>
      </c>
      <c r="AL273">
        <v>0</v>
      </c>
      <c r="AM273" s="28" t="s">
        <v>340</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35">
      <c r="A274">
        <v>273</v>
      </c>
      <c r="B274">
        <v>15</v>
      </c>
      <c r="C274" t="s">
        <v>328</v>
      </c>
      <c r="D274" s="79">
        <v>5.35</v>
      </c>
      <c r="E274" s="6">
        <v>0.61</v>
      </c>
      <c r="F274" s="6">
        <f t="shared" si="45"/>
        <v>8.7704918032786878</v>
      </c>
      <c r="G274" s="78">
        <v>0</v>
      </c>
      <c r="H274" s="70">
        <v>0</v>
      </c>
      <c r="I274" s="70">
        <v>1</v>
      </c>
      <c r="J274" s="78">
        <v>11236</v>
      </c>
      <c r="K274" s="70">
        <v>4</v>
      </c>
      <c r="L274" s="70">
        <f t="shared" si="43"/>
        <v>11231</v>
      </c>
      <c r="M274" s="60">
        <f t="shared" si="44"/>
        <v>16</v>
      </c>
      <c r="N274" s="6">
        <v>12.16</v>
      </c>
      <c r="O274" s="6">
        <f t="shared" si="46"/>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v>1</v>
      </c>
      <c r="AL274">
        <v>0</v>
      </c>
      <c r="AM274" s="28" t="s">
        <v>340</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35">
      <c r="A275">
        <v>274</v>
      </c>
      <c r="B275">
        <v>16</v>
      </c>
      <c r="C275" t="s">
        <v>333</v>
      </c>
      <c r="D275" s="79">
        <v>5.2</v>
      </c>
      <c r="E275" s="6">
        <v>0.3</v>
      </c>
      <c r="F275" s="6">
        <f t="shared" si="45"/>
        <v>17.333333333333336</v>
      </c>
      <c r="G275" s="78">
        <v>0</v>
      </c>
      <c r="H275" s="70">
        <v>0</v>
      </c>
      <c r="I275" s="70">
        <v>1</v>
      </c>
      <c r="J275" s="78">
        <v>1964</v>
      </c>
      <c r="K275" s="70">
        <v>4</v>
      </c>
      <c r="L275" s="70">
        <f t="shared" si="43"/>
        <v>1959</v>
      </c>
      <c r="M275" s="60">
        <f t="shared" si="44"/>
        <v>20</v>
      </c>
      <c r="N275" s="6">
        <v>11.3</v>
      </c>
      <c r="O275" s="6">
        <f t="shared" si="46"/>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47">1-AB275</f>
        <v>0.47599999999999998</v>
      </c>
      <c r="AD275" s="28">
        <v>1</v>
      </c>
      <c r="AE275">
        <v>0</v>
      </c>
      <c r="AF275">
        <v>1</v>
      </c>
      <c r="AG275">
        <v>0</v>
      </c>
      <c r="AH275" s="28" t="s">
        <v>45</v>
      </c>
      <c r="AI275" s="12" t="s">
        <v>45</v>
      </c>
      <c r="AJ275">
        <v>0</v>
      </c>
      <c r="AK275">
        <v>0</v>
      </c>
      <c r="AL275">
        <v>1</v>
      </c>
      <c r="AM275" s="28" t="s">
        <v>321</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35">
      <c r="A276">
        <v>275</v>
      </c>
      <c r="B276">
        <v>16</v>
      </c>
      <c r="C276" t="s">
        <v>333</v>
      </c>
      <c r="D276" s="79">
        <v>5.3</v>
      </c>
      <c r="E276" s="6">
        <v>0.2</v>
      </c>
      <c r="F276" s="6">
        <f t="shared" si="45"/>
        <v>26.499999999999996</v>
      </c>
      <c r="G276" s="78">
        <v>0</v>
      </c>
      <c r="H276" s="70">
        <v>0</v>
      </c>
      <c r="I276" s="70">
        <v>1</v>
      </c>
      <c r="J276" s="78">
        <v>1964</v>
      </c>
      <c r="K276" s="70">
        <v>4</v>
      </c>
      <c r="L276" s="70">
        <f t="shared" si="43"/>
        <v>1959</v>
      </c>
      <c r="M276" s="60">
        <f t="shared" si="44"/>
        <v>20</v>
      </c>
      <c r="N276" s="6">
        <v>11.3</v>
      </c>
      <c r="O276" s="6">
        <f t="shared" si="46"/>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47"/>
        <v>0.47599999999999998</v>
      </c>
      <c r="AD276" s="28">
        <v>1</v>
      </c>
      <c r="AE276">
        <v>0</v>
      </c>
      <c r="AF276">
        <v>1</v>
      </c>
      <c r="AG276">
        <v>0</v>
      </c>
      <c r="AH276" s="28" t="s">
        <v>45</v>
      </c>
      <c r="AI276" s="12" t="s">
        <v>45</v>
      </c>
      <c r="AJ276">
        <v>0</v>
      </c>
      <c r="AK276">
        <v>0</v>
      </c>
      <c r="AL276">
        <v>1</v>
      </c>
      <c r="AM276" s="28" t="s">
        <v>321</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35">
      <c r="A277">
        <v>276</v>
      </c>
      <c r="B277">
        <v>16</v>
      </c>
      <c r="C277" t="s">
        <v>333</v>
      </c>
      <c r="D277" s="79">
        <v>5.2</v>
      </c>
      <c r="E277" s="6">
        <v>0.4</v>
      </c>
      <c r="F277" s="6">
        <f t="shared" si="45"/>
        <v>13</v>
      </c>
      <c r="G277" s="78">
        <v>0</v>
      </c>
      <c r="H277" s="70">
        <v>0</v>
      </c>
      <c r="I277" s="70">
        <v>1</v>
      </c>
      <c r="J277" s="78">
        <v>1964</v>
      </c>
      <c r="K277" s="70">
        <v>4</v>
      </c>
      <c r="L277" s="70">
        <f t="shared" si="43"/>
        <v>1959</v>
      </c>
      <c r="M277" s="60">
        <f t="shared" si="44"/>
        <v>20</v>
      </c>
      <c r="N277" s="6">
        <v>11.3</v>
      </c>
      <c r="O277" s="6">
        <f t="shared" si="46"/>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47"/>
        <v>0.47599999999999998</v>
      </c>
      <c r="AD277" s="28">
        <v>1</v>
      </c>
      <c r="AE277">
        <v>0</v>
      </c>
      <c r="AF277">
        <v>1</v>
      </c>
      <c r="AG277">
        <v>0</v>
      </c>
      <c r="AH277" s="28" t="s">
        <v>45</v>
      </c>
      <c r="AI277" s="12" t="s">
        <v>45</v>
      </c>
      <c r="AJ277">
        <v>0</v>
      </c>
      <c r="AK277">
        <v>0</v>
      </c>
      <c r="AL277">
        <v>1</v>
      </c>
      <c r="AM277" s="28" t="s">
        <v>321</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35">
      <c r="A278">
        <v>277</v>
      </c>
      <c r="B278">
        <v>16</v>
      </c>
      <c r="C278" t="s">
        <v>333</v>
      </c>
      <c r="D278" s="79">
        <v>6.1</v>
      </c>
      <c r="E278" s="6">
        <v>0.3</v>
      </c>
      <c r="F278" s="6">
        <f t="shared" si="45"/>
        <v>20.333333333333332</v>
      </c>
      <c r="G278" s="78">
        <v>0</v>
      </c>
      <c r="H278" s="70">
        <v>0</v>
      </c>
      <c r="I278" s="70">
        <v>1</v>
      </c>
      <c r="J278" s="78">
        <v>1964</v>
      </c>
      <c r="K278" s="70">
        <v>4</v>
      </c>
      <c r="L278" s="70">
        <f t="shared" si="43"/>
        <v>1959</v>
      </c>
      <c r="M278" s="60">
        <f t="shared" si="44"/>
        <v>20</v>
      </c>
      <c r="N278" s="6">
        <v>11.3</v>
      </c>
      <c r="O278" s="6">
        <f t="shared" si="46"/>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47"/>
        <v>0.47599999999999998</v>
      </c>
      <c r="AD278" s="28">
        <v>1</v>
      </c>
      <c r="AE278">
        <v>0</v>
      </c>
      <c r="AF278">
        <v>1</v>
      </c>
      <c r="AG278">
        <v>0</v>
      </c>
      <c r="AH278" s="28" t="s">
        <v>45</v>
      </c>
      <c r="AI278" s="12" t="s">
        <v>45</v>
      </c>
      <c r="AJ278">
        <v>0</v>
      </c>
      <c r="AK278">
        <v>0</v>
      </c>
      <c r="AL278">
        <v>1</v>
      </c>
      <c r="AM278" s="28" t="s">
        <v>321</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35">
      <c r="A279">
        <v>278</v>
      </c>
      <c r="B279">
        <v>16</v>
      </c>
      <c r="C279" t="s">
        <v>333</v>
      </c>
      <c r="D279" s="79">
        <v>5.2</v>
      </c>
      <c r="E279" s="6">
        <v>0.2</v>
      </c>
      <c r="F279" s="6">
        <f t="shared" si="45"/>
        <v>26</v>
      </c>
      <c r="G279" s="78">
        <v>0</v>
      </c>
      <c r="H279" s="70">
        <v>0</v>
      </c>
      <c r="I279" s="70">
        <v>1</v>
      </c>
      <c r="J279" s="78">
        <v>5218</v>
      </c>
      <c r="K279" s="70">
        <v>4</v>
      </c>
      <c r="L279" s="70">
        <f t="shared" si="43"/>
        <v>5213</v>
      </c>
      <c r="M279" s="60">
        <f t="shared" si="44"/>
        <v>20</v>
      </c>
      <c r="N279" s="6">
        <v>11.3</v>
      </c>
      <c r="O279" s="6">
        <f t="shared" si="46"/>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47"/>
        <v>0.56000000000000005</v>
      </c>
      <c r="AD279" s="28">
        <v>1</v>
      </c>
      <c r="AE279">
        <v>0</v>
      </c>
      <c r="AF279">
        <v>1</v>
      </c>
      <c r="AG279">
        <v>0</v>
      </c>
      <c r="AH279" s="28" t="s">
        <v>45</v>
      </c>
      <c r="AI279" s="12" t="s">
        <v>45</v>
      </c>
      <c r="AJ279">
        <v>1</v>
      </c>
      <c r="AK279">
        <v>0</v>
      </c>
      <c r="AL279">
        <v>0</v>
      </c>
      <c r="AM279" s="28" t="s">
        <v>321</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35">
      <c r="A280">
        <v>279</v>
      </c>
      <c r="B280">
        <v>16</v>
      </c>
      <c r="C280" t="s">
        <v>333</v>
      </c>
      <c r="D280" s="79">
        <v>5.2</v>
      </c>
      <c r="E280" s="6">
        <v>0.1</v>
      </c>
      <c r="F280" s="6">
        <f t="shared" si="45"/>
        <v>52</v>
      </c>
      <c r="G280" s="78">
        <v>0</v>
      </c>
      <c r="H280" s="70">
        <v>0</v>
      </c>
      <c r="I280" s="70">
        <v>1</v>
      </c>
      <c r="J280" s="78">
        <v>5218</v>
      </c>
      <c r="K280" s="70">
        <v>4</v>
      </c>
      <c r="L280" s="70">
        <f t="shared" si="43"/>
        <v>5213</v>
      </c>
      <c r="M280" s="60">
        <f t="shared" si="44"/>
        <v>20</v>
      </c>
      <c r="N280" s="6">
        <v>11.3</v>
      </c>
      <c r="O280" s="6">
        <f t="shared" si="46"/>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47"/>
        <v>0.56000000000000005</v>
      </c>
      <c r="AD280" s="28">
        <v>1</v>
      </c>
      <c r="AE280">
        <v>0</v>
      </c>
      <c r="AF280">
        <v>1</v>
      </c>
      <c r="AG280">
        <v>0</v>
      </c>
      <c r="AH280" s="28" t="s">
        <v>45</v>
      </c>
      <c r="AI280" s="12" t="s">
        <v>45</v>
      </c>
      <c r="AJ280">
        <v>1</v>
      </c>
      <c r="AK280">
        <v>0</v>
      </c>
      <c r="AL280">
        <v>0</v>
      </c>
      <c r="AM280" s="28" t="s">
        <v>321</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35">
      <c r="A281">
        <v>280</v>
      </c>
      <c r="B281">
        <v>16</v>
      </c>
      <c r="C281" t="s">
        <v>333</v>
      </c>
      <c r="D281" s="79">
        <v>5.2</v>
      </c>
      <c r="E281" s="6">
        <v>0.3</v>
      </c>
      <c r="F281" s="6">
        <f t="shared" si="45"/>
        <v>17.333333333333336</v>
      </c>
      <c r="G281" s="78">
        <v>0</v>
      </c>
      <c r="H281" s="70">
        <v>0</v>
      </c>
      <c r="I281" s="70">
        <v>1</v>
      </c>
      <c r="J281" s="78">
        <v>5218</v>
      </c>
      <c r="K281" s="70">
        <v>4</v>
      </c>
      <c r="L281" s="70">
        <f t="shared" si="43"/>
        <v>5213</v>
      </c>
      <c r="M281" s="60">
        <f t="shared" si="44"/>
        <v>20</v>
      </c>
      <c r="N281" s="6">
        <v>11.3</v>
      </c>
      <c r="O281" s="6">
        <f t="shared" si="46"/>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47"/>
        <v>0.56000000000000005</v>
      </c>
      <c r="AD281" s="28">
        <v>1</v>
      </c>
      <c r="AE281">
        <v>0</v>
      </c>
      <c r="AF281">
        <v>1</v>
      </c>
      <c r="AG281">
        <v>0</v>
      </c>
      <c r="AH281" s="28" t="s">
        <v>45</v>
      </c>
      <c r="AI281" s="12" t="s">
        <v>45</v>
      </c>
      <c r="AJ281">
        <v>1</v>
      </c>
      <c r="AK281">
        <v>0</v>
      </c>
      <c r="AL281">
        <v>0</v>
      </c>
      <c r="AM281" s="28" t="s">
        <v>321</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35">
      <c r="A282">
        <v>281</v>
      </c>
      <c r="B282">
        <v>16</v>
      </c>
      <c r="C282" t="s">
        <v>333</v>
      </c>
      <c r="D282" s="79">
        <v>6</v>
      </c>
      <c r="E282" s="6">
        <v>0.1</v>
      </c>
      <c r="F282" s="6">
        <f t="shared" si="45"/>
        <v>60</v>
      </c>
      <c r="G282" s="78">
        <v>0</v>
      </c>
      <c r="H282" s="70">
        <v>0</v>
      </c>
      <c r="I282" s="70">
        <v>1</v>
      </c>
      <c r="J282" s="78">
        <v>5218</v>
      </c>
      <c r="K282" s="70">
        <v>4</v>
      </c>
      <c r="L282" s="70">
        <f t="shared" si="43"/>
        <v>5213</v>
      </c>
      <c r="M282" s="60">
        <f t="shared" si="44"/>
        <v>20</v>
      </c>
      <c r="N282" s="6">
        <v>11.3</v>
      </c>
      <c r="O282" s="6">
        <f t="shared" si="46"/>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47"/>
        <v>0.56000000000000005</v>
      </c>
      <c r="AD282" s="28">
        <v>1</v>
      </c>
      <c r="AE282">
        <v>0</v>
      </c>
      <c r="AF282">
        <v>1</v>
      </c>
      <c r="AG282">
        <v>0</v>
      </c>
      <c r="AH282" s="28" t="s">
        <v>45</v>
      </c>
      <c r="AI282" s="12" t="s">
        <v>45</v>
      </c>
      <c r="AJ282">
        <v>1</v>
      </c>
      <c r="AK282">
        <v>0</v>
      </c>
      <c r="AL282">
        <v>0</v>
      </c>
      <c r="AM282" s="28" t="s">
        <v>321</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35">
      <c r="A283">
        <v>282</v>
      </c>
      <c r="B283">
        <v>16</v>
      </c>
      <c r="C283" t="s">
        <v>333</v>
      </c>
      <c r="D283" s="79">
        <v>2</v>
      </c>
      <c r="E283" s="6">
        <v>0.3</v>
      </c>
      <c r="F283" s="6">
        <f t="shared" si="45"/>
        <v>6.666666666666667</v>
      </c>
      <c r="G283" s="78">
        <v>0</v>
      </c>
      <c r="H283" s="70">
        <v>0</v>
      </c>
      <c r="I283" s="70">
        <v>1</v>
      </c>
      <c r="J283" s="78">
        <v>2609</v>
      </c>
      <c r="K283" s="70">
        <v>4</v>
      </c>
      <c r="L283" s="70">
        <f t="shared" si="43"/>
        <v>2604</v>
      </c>
      <c r="M283" s="60">
        <f t="shared" si="44"/>
        <v>20</v>
      </c>
      <c r="N283" s="6">
        <v>11.3</v>
      </c>
      <c r="O283" s="6">
        <f t="shared" si="46"/>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47"/>
        <v>0.56000000000000005</v>
      </c>
      <c r="AD283" s="28">
        <v>1</v>
      </c>
      <c r="AE283">
        <v>0</v>
      </c>
      <c r="AF283">
        <v>1</v>
      </c>
      <c r="AG283">
        <v>0</v>
      </c>
      <c r="AH283" s="28" t="s">
        <v>45</v>
      </c>
      <c r="AI283" s="12" t="s">
        <v>45</v>
      </c>
      <c r="AJ283">
        <v>1</v>
      </c>
      <c r="AK283">
        <v>0</v>
      </c>
      <c r="AL283">
        <v>0</v>
      </c>
      <c r="AM283" s="28" t="s">
        <v>321</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35">
      <c r="A284">
        <v>283</v>
      </c>
      <c r="B284">
        <v>16</v>
      </c>
      <c r="C284" t="s">
        <v>333</v>
      </c>
      <c r="D284" s="79">
        <v>2</v>
      </c>
      <c r="E284" s="6">
        <v>0.3</v>
      </c>
      <c r="F284" s="6">
        <f t="shared" si="45"/>
        <v>6.666666666666667</v>
      </c>
      <c r="G284" s="78">
        <v>0</v>
      </c>
      <c r="H284" s="70">
        <v>0</v>
      </c>
      <c r="I284" s="70">
        <v>1</v>
      </c>
      <c r="J284" s="78">
        <v>2609</v>
      </c>
      <c r="K284" s="70">
        <v>4</v>
      </c>
      <c r="L284" s="70">
        <f t="shared" si="43"/>
        <v>2604</v>
      </c>
      <c r="M284" s="60">
        <f t="shared" si="44"/>
        <v>20</v>
      </c>
      <c r="N284" s="6">
        <v>11.3</v>
      </c>
      <c r="O284" s="6">
        <f t="shared" si="46"/>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47"/>
        <v>0.56000000000000005</v>
      </c>
      <c r="AD284" s="28">
        <v>1</v>
      </c>
      <c r="AE284">
        <v>0</v>
      </c>
      <c r="AF284">
        <v>1</v>
      </c>
      <c r="AG284">
        <v>0</v>
      </c>
      <c r="AH284" s="28" t="s">
        <v>45</v>
      </c>
      <c r="AI284" s="12" t="s">
        <v>45</v>
      </c>
      <c r="AJ284">
        <v>1</v>
      </c>
      <c r="AK284">
        <v>0</v>
      </c>
      <c r="AL284">
        <v>0</v>
      </c>
      <c r="AM284" s="28" t="s">
        <v>321</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35">
      <c r="A285">
        <v>284</v>
      </c>
      <c r="B285">
        <v>16</v>
      </c>
      <c r="C285" t="s">
        <v>333</v>
      </c>
      <c r="D285" s="79">
        <v>3.1</v>
      </c>
      <c r="E285" s="6">
        <v>0.5</v>
      </c>
      <c r="F285" s="6">
        <f t="shared" si="45"/>
        <v>6.2</v>
      </c>
      <c r="G285" s="78">
        <v>0</v>
      </c>
      <c r="H285" s="70">
        <v>0</v>
      </c>
      <c r="I285" s="70">
        <v>1</v>
      </c>
      <c r="J285" s="78">
        <v>2609</v>
      </c>
      <c r="K285" s="70">
        <v>4</v>
      </c>
      <c r="L285" s="70">
        <f t="shared" si="43"/>
        <v>2604</v>
      </c>
      <c r="M285" s="60">
        <f t="shared" si="44"/>
        <v>20</v>
      </c>
      <c r="N285" s="6">
        <v>11.3</v>
      </c>
      <c r="O285" s="6">
        <f t="shared" si="46"/>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47"/>
        <v>0.56000000000000005</v>
      </c>
      <c r="AD285" s="28">
        <v>1</v>
      </c>
      <c r="AE285">
        <v>0</v>
      </c>
      <c r="AF285">
        <v>1</v>
      </c>
      <c r="AG285">
        <v>0</v>
      </c>
      <c r="AH285" s="28" t="s">
        <v>45</v>
      </c>
      <c r="AI285" s="12" t="s">
        <v>45</v>
      </c>
      <c r="AJ285">
        <v>1</v>
      </c>
      <c r="AK285">
        <v>0</v>
      </c>
      <c r="AL285">
        <v>0</v>
      </c>
      <c r="AM285" s="28" t="s">
        <v>321</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35">
      <c r="A286">
        <v>285</v>
      </c>
      <c r="B286">
        <v>16</v>
      </c>
      <c r="C286" t="s">
        <v>333</v>
      </c>
      <c r="D286" s="79">
        <v>4</v>
      </c>
      <c r="E286" s="6">
        <v>0.5</v>
      </c>
      <c r="F286" s="6">
        <f t="shared" si="45"/>
        <v>8</v>
      </c>
      <c r="G286" s="78">
        <v>0</v>
      </c>
      <c r="H286" s="70">
        <v>0</v>
      </c>
      <c r="I286" s="70">
        <v>1</v>
      </c>
      <c r="J286" s="78">
        <v>2609</v>
      </c>
      <c r="K286" s="70">
        <v>4</v>
      </c>
      <c r="L286" s="70">
        <f t="shared" si="43"/>
        <v>2604</v>
      </c>
      <c r="M286" s="60">
        <f t="shared" si="44"/>
        <v>20</v>
      </c>
      <c r="N286" s="6">
        <v>11.3</v>
      </c>
      <c r="O286" s="6">
        <f t="shared" si="46"/>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47"/>
        <v>0.56000000000000005</v>
      </c>
      <c r="AD286" s="28">
        <v>1</v>
      </c>
      <c r="AE286">
        <v>0</v>
      </c>
      <c r="AF286">
        <v>1</v>
      </c>
      <c r="AG286">
        <v>0</v>
      </c>
      <c r="AH286" s="28" t="s">
        <v>45</v>
      </c>
      <c r="AI286" s="12" t="s">
        <v>45</v>
      </c>
      <c r="AJ286">
        <v>1</v>
      </c>
      <c r="AK286">
        <v>0</v>
      </c>
      <c r="AL286">
        <v>0</v>
      </c>
      <c r="AM286" s="28" t="s">
        <v>321</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35">
      <c r="A287">
        <v>286</v>
      </c>
      <c r="B287">
        <v>16</v>
      </c>
      <c r="C287" t="s">
        <v>333</v>
      </c>
      <c r="D287" s="79">
        <v>5.4</v>
      </c>
      <c r="E287" s="6">
        <v>0.2</v>
      </c>
      <c r="F287" s="6">
        <f t="shared" si="45"/>
        <v>27</v>
      </c>
      <c r="G287" s="78">
        <v>0</v>
      </c>
      <c r="H287" s="70">
        <v>0</v>
      </c>
      <c r="I287" s="70">
        <v>1</v>
      </c>
      <c r="J287" s="78">
        <v>7202</v>
      </c>
      <c r="K287" s="70">
        <v>4</v>
      </c>
      <c r="L287" s="70">
        <f t="shared" si="43"/>
        <v>7197</v>
      </c>
      <c r="M287" s="60">
        <f t="shared" si="44"/>
        <v>20</v>
      </c>
      <c r="N287" s="6">
        <v>11.3</v>
      </c>
      <c r="O287" s="6">
        <f t="shared" si="46"/>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47"/>
        <v>0.56299999999999994</v>
      </c>
      <c r="AD287" s="28">
        <v>1</v>
      </c>
      <c r="AE287">
        <v>0</v>
      </c>
      <c r="AF287">
        <v>1</v>
      </c>
      <c r="AG287">
        <v>0</v>
      </c>
      <c r="AH287" s="28" t="s">
        <v>45</v>
      </c>
      <c r="AI287" s="12" t="s">
        <v>45</v>
      </c>
      <c r="AJ287">
        <v>0</v>
      </c>
      <c r="AK287">
        <v>1</v>
      </c>
      <c r="AL287">
        <v>0</v>
      </c>
      <c r="AM287" s="28" t="s">
        <v>321</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35">
      <c r="A288">
        <v>287</v>
      </c>
      <c r="B288">
        <v>16</v>
      </c>
      <c r="C288" t="s">
        <v>333</v>
      </c>
      <c r="D288" s="79">
        <v>5.4</v>
      </c>
      <c r="E288" s="6">
        <v>0.1</v>
      </c>
      <c r="F288" s="6">
        <f t="shared" si="45"/>
        <v>54</v>
      </c>
      <c r="G288" s="78">
        <v>0</v>
      </c>
      <c r="H288" s="70">
        <v>0</v>
      </c>
      <c r="I288" s="70">
        <v>1</v>
      </c>
      <c r="J288" s="78">
        <v>7202</v>
      </c>
      <c r="K288" s="70">
        <v>4</v>
      </c>
      <c r="L288" s="70">
        <f t="shared" si="43"/>
        <v>7197</v>
      </c>
      <c r="M288" s="60">
        <f t="shared" si="44"/>
        <v>20</v>
      </c>
      <c r="N288" s="6">
        <v>11.3</v>
      </c>
      <c r="O288" s="6">
        <f t="shared" si="46"/>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47"/>
        <v>0.56299999999999994</v>
      </c>
      <c r="AD288" s="28">
        <v>1</v>
      </c>
      <c r="AE288">
        <v>0</v>
      </c>
      <c r="AF288">
        <v>1</v>
      </c>
      <c r="AG288">
        <v>0</v>
      </c>
      <c r="AH288" s="28" t="s">
        <v>45</v>
      </c>
      <c r="AI288" s="12" t="s">
        <v>45</v>
      </c>
      <c r="AJ288">
        <v>0</v>
      </c>
      <c r="AK288">
        <v>1</v>
      </c>
      <c r="AL288">
        <v>0</v>
      </c>
      <c r="AM288" s="28" t="s">
        <v>321</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35">
      <c r="A289">
        <v>288</v>
      </c>
      <c r="B289">
        <v>16</v>
      </c>
      <c r="C289" t="s">
        <v>333</v>
      </c>
      <c r="D289" s="79">
        <v>5.4</v>
      </c>
      <c r="E289" s="6">
        <v>0.3</v>
      </c>
      <c r="F289" s="6">
        <f t="shared" si="45"/>
        <v>18.000000000000004</v>
      </c>
      <c r="G289" s="78">
        <v>0</v>
      </c>
      <c r="H289" s="70">
        <v>0</v>
      </c>
      <c r="I289" s="70">
        <v>1</v>
      </c>
      <c r="J289" s="78">
        <v>7202</v>
      </c>
      <c r="K289" s="70">
        <v>4</v>
      </c>
      <c r="L289" s="70">
        <f t="shared" si="43"/>
        <v>7197</v>
      </c>
      <c r="M289" s="60">
        <f t="shared" si="44"/>
        <v>20</v>
      </c>
      <c r="N289" s="6">
        <v>11.3</v>
      </c>
      <c r="O289" s="6">
        <f t="shared" si="46"/>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47"/>
        <v>0.56299999999999994</v>
      </c>
      <c r="AD289" s="28">
        <v>1</v>
      </c>
      <c r="AE289">
        <v>0</v>
      </c>
      <c r="AF289">
        <v>1</v>
      </c>
      <c r="AG289">
        <v>0</v>
      </c>
      <c r="AH289" s="28" t="s">
        <v>45</v>
      </c>
      <c r="AI289" s="12" t="s">
        <v>45</v>
      </c>
      <c r="AJ289">
        <v>0</v>
      </c>
      <c r="AK289">
        <v>1</v>
      </c>
      <c r="AL289">
        <v>0</v>
      </c>
      <c r="AM289" s="28" t="s">
        <v>321</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35">
      <c r="A290">
        <v>289</v>
      </c>
      <c r="B290">
        <v>16</v>
      </c>
      <c r="C290" t="s">
        <v>333</v>
      </c>
      <c r="D290" s="79">
        <v>6.2</v>
      </c>
      <c r="E290" s="6">
        <v>0.1</v>
      </c>
      <c r="F290" s="6">
        <f t="shared" si="45"/>
        <v>62</v>
      </c>
      <c r="G290" s="78">
        <v>0</v>
      </c>
      <c r="H290" s="70">
        <v>0</v>
      </c>
      <c r="I290" s="70">
        <v>1</v>
      </c>
      <c r="J290" s="78">
        <v>7202</v>
      </c>
      <c r="K290" s="70">
        <v>4</v>
      </c>
      <c r="L290" s="70">
        <f t="shared" si="43"/>
        <v>7197</v>
      </c>
      <c r="M290" s="60">
        <f t="shared" si="44"/>
        <v>20</v>
      </c>
      <c r="N290" s="6">
        <v>11.3</v>
      </c>
      <c r="O290" s="6">
        <f t="shared" si="46"/>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47"/>
        <v>0.56299999999999994</v>
      </c>
      <c r="AD290" s="28">
        <v>1</v>
      </c>
      <c r="AE290">
        <v>0</v>
      </c>
      <c r="AF290">
        <v>1</v>
      </c>
      <c r="AG290">
        <v>0</v>
      </c>
      <c r="AH290" s="28" t="s">
        <v>45</v>
      </c>
      <c r="AI290" s="12" t="s">
        <v>45</v>
      </c>
      <c r="AJ290">
        <v>0</v>
      </c>
      <c r="AK290">
        <v>1</v>
      </c>
      <c r="AL290">
        <v>0</v>
      </c>
      <c r="AM290" s="28" t="s">
        <v>321</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35">
      <c r="A291">
        <v>290</v>
      </c>
      <c r="B291">
        <v>16</v>
      </c>
      <c r="C291" t="s">
        <v>333</v>
      </c>
      <c r="D291" s="79">
        <v>4.5</v>
      </c>
      <c r="E291" s="6">
        <v>0.3</v>
      </c>
      <c r="F291" s="6">
        <f t="shared" si="45"/>
        <v>15</v>
      </c>
      <c r="G291" s="78">
        <v>0</v>
      </c>
      <c r="H291" s="70">
        <v>0</v>
      </c>
      <c r="I291" s="70">
        <v>1</v>
      </c>
      <c r="J291" s="78">
        <v>3601</v>
      </c>
      <c r="K291" s="70">
        <v>4</v>
      </c>
      <c r="L291" s="70">
        <f t="shared" si="43"/>
        <v>3596</v>
      </c>
      <c r="M291" s="60">
        <f t="shared" si="44"/>
        <v>20</v>
      </c>
      <c r="N291" s="6">
        <v>11.3</v>
      </c>
      <c r="O291" s="6">
        <f t="shared" si="46"/>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47"/>
        <v>0.56299999999999994</v>
      </c>
      <c r="AD291" s="28">
        <v>1</v>
      </c>
      <c r="AE291">
        <v>0</v>
      </c>
      <c r="AF291">
        <v>1</v>
      </c>
      <c r="AG291">
        <v>0</v>
      </c>
      <c r="AH291" s="28" t="s">
        <v>45</v>
      </c>
      <c r="AI291" s="12" t="s">
        <v>45</v>
      </c>
      <c r="AJ291">
        <v>0</v>
      </c>
      <c r="AK291">
        <v>1</v>
      </c>
      <c r="AL291">
        <v>0</v>
      </c>
      <c r="AM291" s="28" t="s">
        <v>321</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35">
      <c r="A292">
        <v>291</v>
      </c>
      <c r="B292">
        <v>16</v>
      </c>
      <c r="C292" t="s">
        <v>333</v>
      </c>
      <c r="D292" s="79">
        <v>4.5</v>
      </c>
      <c r="E292" s="6">
        <v>0.2</v>
      </c>
      <c r="F292" s="6">
        <f t="shared" si="45"/>
        <v>22.5</v>
      </c>
      <c r="G292" s="78">
        <v>0</v>
      </c>
      <c r="H292" s="70">
        <v>0</v>
      </c>
      <c r="I292" s="70">
        <v>1</v>
      </c>
      <c r="J292" s="78">
        <v>3601</v>
      </c>
      <c r="K292" s="70">
        <v>4</v>
      </c>
      <c r="L292" s="70">
        <f t="shared" si="43"/>
        <v>3596</v>
      </c>
      <c r="M292" s="60">
        <f t="shared" si="44"/>
        <v>20</v>
      </c>
      <c r="N292" s="6">
        <v>11.3</v>
      </c>
      <c r="O292" s="6">
        <f t="shared" si="46"/>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47"/>
        <v>0.56299999999999994</v>
      </c>
      <c r="AD292" s="28">
        <v>1</v>
      </c>
      <c r="AE292">
        <v>0</v>
      </c>
      <c r="AF292">
        <v>1</v>
      </c>
      <c r="AG292">
        <v>0</v>
      </c>
      <c r="AH292" s="28" t="s">
        <v>45</v>
      </c>
      <c r="AI292" s="12" t="s">
        <v>45</v>
      </c>
      <c r="AJ292">
        <v>0</v>
      </c>
      <c r="AK292">
        <v>1</v>
      </c>
      <c r="AL292">
        <v>0</v>
      </c>
      <c r="AM292" s="28" t="s">
        <v>321</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35">
      <c r="A293">
        <v>292</v>
      </c>
      <c r="B293">
        <v>16</v>
      </c>
      <c r="C293" t="s">
        <v>333</v>
      </c>
      <c r="D293" s="79">
        <v>5.2</v>
      </c>
      <c r="E293" s="6">
        <v>0.4</v>
      </c>
      <c r="F293" s="6">
        <f t="shared" si="45"/>
        <v>13</v>
      </c>
      <c r="G293" s="78">
        <v>0</v>
      </c>
      <c r="H293" s="70">
        <v>0</v>
      </c>
      <c r="I293" s="70">
        <v>1</v>
      </c>
      <c r="J293" s="78">
        <v>3601</v>
      </c>
      <c r="K293" s="70">
        <v>4</v>
      </c>
      <c r="L293" s="70">
        <f t="shared" si="43"/>
        <v>3596</v>
      </c>
      <c r="M293" s="60">
        <f t="shared" si="44"/>
        <v>20</v>
      </c>
      <c r="N293" s="6">
        <v>11.3</v>
      </c>
      <c r="O293" s="6">
        <f t="shared" si="46"/>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47"/>
        <v>0.56299999999999994</v>
      </c>
      <c r="AD293" s="28">
        <v>1</v>
      </c>
      <c r="AE293">
        <v>0</v>
      </c>
      <c r="AF293">
        <v>1</v>
      </c>
      <c r="AG293">
        <v>0</v>
      </c>
      <c r="AH293" s="28" t="s">
        <v>45</v>
      </c>
      <c r="AI293" s="12" t="s">
        <v>45</v>
      </c>
      <c r="AJ293">
        <v>0</v>
      </c>
      <c r="AK293">
        <v>1</v>
      </c>
      <c r="AL293">
        <v>0</v>
      </c>
      <c r="AM293" s="28" t="s">
        <v>321</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4">
      <c r="A294" s="86">
        <v>293</v>
      </c>
      <c r="B294" s="86">
        <v>16</v>
      </c>
      <c r="C294" s="86" t="s">
        <v>333</v>
      </c>
      <c r="D294" s="87">
        <v>6.2</v>
      </c>
      <c r="E294" s="88">
        <v>0.3</v>
      </c>
      <c r="F294" s="88">
        <f t="shared" si="45"/>
        <v>20.666666666666668</v>
      </c>
      <c r="G294" s="90">
        <v>0</v>
      </c>
      <c r="H294" s="91">
        <v>0</v>
      </c>
      <c r="I294" s="91">
        <v>1</v>
      </c>
      <c r="J294" s="90">
        <v>3601</v>
      </c>
      <c r="K294" s="91">
        <v>4</v>
      </c>
      <c r="L294" s="91">
        <f t="shared" si="43"/>
        <v>3596</v>
      </c>
      <c r="M294" s="60">
        <f t="shared" si="44"/>
        <v>20</v>
      </c>
      <c r="N294" s="88">
        <v>11.3</v>
      </c>
      <c r="O294" s="88">
        <f t="shared" si="46"/>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47"/>
        <v>0.56299999999999994</v>
      </c>
      <c r="AD294" s="89">
        <v>1</v>
      </c>
      <c r="AE294" s="86">
        <v>0</v>
      </c>
      <c r="AF294" s="89">
        <v>1</v>
      </c>
      <c r="AG294" s="86">
        <v>0</v>
      </c>
      <c r="AH294" s="89" t="s">
        <v>45</v>
      </c>
      <c r="AI294" s="93" t="s">
        <v>45</v>
      </c>
      <c r="AJ294" s="86">
        <v>0</v>
      </c>
      <c r="AK294" s="86">
        <v>1</v>
      </c>
      <c r="AL294" s="86">
        <v>0</v>
      </c>
      <c r="AM294" s="89" t="s">
        <v>321</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35">
      <c r="N295" s="6"/>
      <c r="O295" s="6"/>
    </row>
    <row r="296" spans="1:69" x14ac:dyDescent="0.35">
      <c r="N296" s="6"/>
      <c r="O296" s="6"/>
    </row>
    <row r="297" spans="1:69" x14ac:dyDescent="0.35">
      <c r="N297" s="6"/>
      <c r="O297" s="6"/>
    </row>
    <row r="298" spans="1:69" x14ac:dyDescent="0.35">
      <c r="N298" s="6"/>
      <c r="O298" s="6"/>
    </row>
    <row r="299" spans="1:69" x14ac:dyDescent="0.35">
      <c r="N299" s="6"/>
      <c r="O299" s="6"/>
    </row>
    <row r="300" spans="1:69" x14ac:dyDescent="0.35">
      <c r="N300" s="6"/>
      <c r="O300" s="6"/>
    </row>
    <row r="301" spans="1:69" x14ac:dyDescent="0.3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9"/>
  <sheetViews>
    <sheetView tabSelected="1" workbookViewId="0">
      <pane xSplit="1" ySplit="1" topLeftCell="B32" activePane="bottomRight" state="frozen"/>
      <selection pane="topRight" activeCell="B1" sqref="B1"/>
      <selection pane="bottomLeft" activeCell="A2" sqref="A2"/>
      <selection pane="bottomRight" activeCell="K47" sqref="K47"/>
    </sheetView>
  </sheetViews>
  <sheetFormatPr defaultRowHeight="14.5" x14ac:dyDescent="0.35"/>
  <cols>
    <col min="1" max="1" width="19.7265625" customWidth="1"/>
    <col min="2" max="2" width="27.26953125" customWidth="1"/>
    <col min="3" max="3" width="22.1796875" style="38" customWidth="1"/>
    <col min="5" max="5" width="14.81640625" bestFit="1" customWidth="1"/>
    <col min="6" max="6" width="14.81640625" customWidth="1"/>
    <col min="7" max="7" width="17.54296875" style="28" bestFit="1" customWidth="1"/>
    <col min="8" max="8" width="13.81640625" style="28" bestFit="1" customWidth="1"/>
    <col min="10" max="10" width="9.1796875" style="12"/>
    <col min="11" max="12" width="10.7265625" customWidth="1"/>
    <col min="13" max="13" width="15.1796875" bestFit="1" customWidth="1"/>
    <col min="14" max="14" width="9.1796875" style="28"/>
  </cols>
  <sheetData>
    <row r="1" spans="1:14" x14ac:dyDescent="0.3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row>
    <row r="2" spans="1:14" x14ac:dyDescent="0.35">
      <c r="A2" s="19" t="s">
        <v>0</v>
      </c>
      <c r="B2" s="20" t="s">
        <v>88</v>
      </c>
      <c r="C2" s="46" t="s">
        <v>164</v>
      </c>
      <c r="D2" t="s">
        <v>76</v>
      </c>
      <c r="E2">
        <v>1</v>
      </c>
      <c r="F2" t="s">
        <v>121</v>
      </c>
      <c r="G2" s="28" t="b">
        <v>0</v>
      </c>
      <c r="H2" s="28" t="b">
        <v>0</v>
      </c>
      <c r="K2" t="b">
        <v>0</v>
      </c>
      <c r="L2" t="b">
        <v>0</v>
      </c>
      <c r="M2" t="b">
        <v>0</v>
      </c>
      <c r="N2" s="28" t="s">
        <v>121</v>
      </c>
    </row>
    <row r="3" spans="1:14" x14ac:dyDescent="0.35">
      <c r="A3" s="19" t="s">
        <v>1</v>
      </c>
      <c r="B3" s="20" t="s">
        <v>86</v>
      </c>
      <c r="C3" s="46" t="s">
        <v>163</v>
      </c>
      <c r="D3" t="s">
        <v>76</v>
      </c>
      <c r="E3">
        <v>2</v>
      </c>
      <c r="F3" t="s">
        <v>121</v>
      </c>
      <c r="G3" s="28" t="b">
        <v>0</v>
      </c>
      <c r="H3" s="28" t="b">
        <v>0</v>
      </c>
      <c r="K3" t="b">
        <v>0</v>
      </c>
      <c r="L3" t="b">
        <v>0</v>
      </c>
      <c r="M3" t="b">
        <v>0</v>
      </c>
      <c r="N3" s="28" t="s">
        <v>121</v>
      </c>
    </row>
    <row r="4" spans="1:14" x14ac:dyDescent="0.35">
      <c r="A4" s="19" t="s">
        <v>73</v>
      </c>
      <c r="B4" s="20" t="s">
        <v>87</v>
      </c>
      <c r="C4" s="46" t="s">
        <v>162</v>
      </c>
      <c r="D4" t="s">
        <v>84</v>
      </c>
      <c r="E4">
        <v>3</v>
      </c>
      <c r="F4" t="s">
        <v>121</v>
      </c>
      <c r="G4" s="28" t="b">
        <v>0</v>
      </c>
      <c r="H4" s="28" t="b">
        <v>0</v>
      </c>
      <c r="K4" t="b">
        <v>0</v>
      </c>
      <c r="L4" t="b">
        <v>0</v>
      </c>
      <c r="M4" t="b">
        <v>0</v>
      </c>
      <c r="N4" s="28" t="s">
        <v>121</v>
      </c>
    </row>
    <row r="5" spans="1:14" x14ac:dyDescent="0.35">
      <c r="A5" s="45" t="s">
        <v>118</v>
      </c>
      <c r="B5" s="45" t="s">
        <v>124</v>
      </c>
      <c r="C5" s="39" t="s">
        <v>165</v>
      </c>
      <c r="D5" t="s">
        <v>77</v>
      </c>
      <c r="E5">
        <v>4</v>
      </c>
      <c r="F5" t="s">
        <v>121</v>
      </c>
      <c r="G5" s="28" t="b">
        <v>1</v>
      </c>
      <c r="H5" s="28" t="b">
        <v>0</v>
      </c>
      <c r="K5" t="b">
        <v>1</v>
      </c>
      <c r="L5" t="b">
        <v>0</v>
      </c>
      <c r="M5" t="b">
        <v>0</v>
      </c>
      <c r="N5" s="28" t="s">
        <v>121</v>
      </c>
    </row>
    <row r="6" spans="1:14" x14ac:dyDescent="0.35">
      <c r="A6" s="19" t="s">
        <v>63</v>
      </c>
      <c r="B6" s="20" t="s">
        <v>194</v>
      </c>
      <c r="C6" s="46" t="s">
        <v>184</v>
      </c>
      <c r="D6" t="s">
        <v>77</v>
      </c>
      <c r="E6">
        <v>5</v>
      </c>
      <c r="F6" t="s">
        <v>121</v>
      </c>
      <c r="G6" s="28" t="b">
        <v>1</v>
      </c>
      <c r="H6" s="28" t="b">
        <v>0</v>
      </c>
      <c r="K6" t="b">
        <v>1</v>
      </c>
      <c r="L6" t="b">
        <v>0</v>
      </c>
      <c r="M6" t="b">
        <v>0</v>
      </c>
      <c r="N6" s="28">
        <v>0</v>
      </c>
    </row>
    <row r="7" spans="1:14" x14ac:dyDescent="0.35">
      <c r="A7" s="19" t="s">
        <v>35</v>
      </c>
      <c r="B7" s="20" t="s">
        <v>97</v>
      </c>
      <c r="C7" s="46" t="s">
        <v>185</v>
      </c>
      <c r="D7" t="s">
        <v>77</v>
      </c>
      <c r="E7">
        <v>6</v>
      </c>
      <c r="F7" t="s">
        <v>121</v>
      </c>
      <c r="G7" s="28" t="b">
        <v>1</v>
      </c>
      <c r="H7" s="28" t="b">
        <v>1</v>
      </c>
      <c r="J7" s="12" t="s">
        <v>123</v>
      </c>
      <c r="K7" t="b">
        <v>0</v>
      </c>
      <c r="L7" t="b">
        <v>0</v>
      </c>
      <c r="M7" t="b">
        <v>0</v>
      </c>
      <c r="N7" s="28" t="s">
        <v>121</v>
      </c>
    </row>
    <row r="8" spans="1:14" x14ac:dyDescent="0.3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row>
    <row r="9" spans="1:14" x14ac:dyDescent="0.3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row>
    <row r="10" spans="1:14" x14ac:dyDescent="0.3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row>
    <row r="11" spans="1:14" x14ac:dyDescent="0.35">
      <c r="A11" s="5" t="s">
        <v>37</v>
      </c>
      <c r="B11" s="5" t="s">
        <v>133</v>
      </c>
      <c r="C11" s="40" t="s">
        <v>166</v>
      </c>
      <c r="D11" t="s">
        <v>76</v>
      </c>
      <c r="E11">
        <v>8</v>
      </c>
      <c r="F11" t="s">
        <v>121</v>
      </c>
      <c r="G11" s="28" t="b">
        <v>1</v>
      </c>
      <c r="H11" s="28" t="b">
        <v>1</v>
      </c>
      <c r="J11" s="12" t="s">
        <v>123</v>
      </c>
      <c r="K11" t="b">
        <v>0</v>
      </c>
      <c r="L11" t="b">
        <v>0</v>
      </c>
      <c r="M11" t="b">
        <v>0</v>
      </c>
      <c r="N11" s="28" t="s">
        <v>121</v>
      </c>
    </row>
    <row r="12" spans="1:14" x14ac:dyDescent="0.35">
      <c r="A12" s="5" t="s">
        <v>38</v>
      </c>
      <c r="B12" s="5" t="s">
        <v>89</v>
      </c>
      <c r="C12" s="40" t="s">
        <v>167</v>
      </c>
      <c r="D12" t="s">
        <v>76</v>
      </c>
      <c r="E12">
        <v>8</v>
      </c>
      <c r="F12" t="s">
        <v>121</v>
      </c>
      <c r="G12" s="28" t="b">
        <v>0</v>
      </c>
      <c r="H12" s="28" t="b">
        <v>0</v>
      </c>
      <c r="K12" t="b">
        <v>0</v>
      </c>
      <c r="L12" t="b">
        <v>0</v>
      </c>
      <c r="M12" t="b">
        <v>0</v>
      </c>
      <c r="N12" s="28" t="s">
        <v>121</v>
      </c>
    </row>
    <row r="13" spans="1:14" x14ac:dyDescent="0.35">
      <c r="A13" s="5" t="s">
        <v>36</v>
      </c>
      <c r="B13" s="5" t="s">
        <v>90</v>
      </c>
      <c r="C13" s="40" t="s">
        <v>168</v>
      </c>
      <c r="D13" t="s">
        <v>76</v>
      </c>
      <c r="E13">
        <v>8</v>
      </c>
      <c r="F13" t="s">
        <v>121</v>
      </c>
      <c r="G13" s="28" t="b">
        <v>0</v>
      </c>
      <c r="H13" s="28" t="b">
        <v>0</v>
      </c>
      <c r="K13" t="b">
        <v>0</v>
      </c>
      <c r="L13" t="b">
        <v>0</v>
      </c>
      <c r="M13" t="b">
        <v>0</v>
      </c>
      <c r="N13" s="28" t="s">
        <v>121</v>
      </c>
    </row>
    <row r="14" spans="1:14" x14ac:dyDescent="0.35">
      <c r="A14" s="2" t="s">
        <v>62</v>
      </c>
      <c r="B14" s="2" t="s">
        <v>91</v>
      </c>
      <c r="C14" s="41" t="s">
        <v>170</v>
      </c>
      <c r="D14" t="s">
        <v>76</v>
      </c>
      <c r="E14">
        <v>9</v>
      </c>
      <c r="F14" t="s">
        <v>121</v>
      </c>
      <c r="G14" s="28" t="b">
        <v>1</v>
      </c>
      <c r="H14" s="28" t="b">
        <v>1</v>
      </c>
      <c r="J14" s="12" t="s">
        <v>123</v>
      </c>
      <c r="K14" t="b">
        <v>1</v>
      </c>
      <c r="L14" t="b">
        <v>0</v>
      </c>
      <c r="M14" t="b">
        <v>1</v>
      </c>
      <c r="N14" s="28" t="s">
        <v>122</v>
      </c>
    </row>
    <row r="15" spans="1:14" x14ac:dyDescent="0.35">
      <c r="A15" s="2" t="s">
        <v>2</v>
      </c>
      <c r="B15" s="2" t="s">
        <v>134</v>
      </c>
      <c r="C15" s="41" t="s">
        <v>282</v>
      </c>
      <c r="D15" t="s">
        <v>77</v>
      </c>
      <c r="E15">
        <v>10</v>
      </c>
      <c r="F15" t="s">
        <v>123</v>
      </c>
      <c r="G15" s="28" t="b">
        <v>1</v>
      </c>
      <c r="H15" s="28" t="b">
        <v>1</v>
      </c>
      <c r="J15" s="12" t="s">
        <v>123</v>
      </c>
      <c r="K15" t="b">
        <v>1</v>
      </c>
      <c r="L15" t="b">
        <v>0</v>
      </c>
      <c r="M15" t="b">
        <v>0</v>
      </c>
      <c r="N15" s="28" t="s">
        <v>122</v>
      </c>
    </row>
    <row r="16" spans="1:14" x14ac:dyDescent="0.35">
      <c r="A16" s="2" t="s">
        <v>9</v>
      </c>
      <c r="B16" s="2" t="s">
        <v>135</v>
      </c>
      <c r="C16" s="41" t="s">
        <v>283</v>
      </c>
      <c r="D16" t="s">
        <v>77</v>
      </c>
      <c r="E16">
        <v>11</v>
      </c>
      <c r="F16" t="s">
        <v>123</v>
      </c>
      <c r="G16" s="28" t="b">
        <v>1</v>
      </c>
      <c r="H16" s="28" t="b">
        <v>1</v>
      </c>
      <c r="J16" s="12" t="s">
        <v>123</v>
      </c>
      <c r="K16" t="b">
        <v>1</v>
      </c>
      <c r="L16" t="b">
        <v>0</v>
      </c>
      <c r="M16" t="b">
        <v>0</v>
      </c>
      <c r="N16" s="28" t="s">
        <v>122</v>
      </c>
    </row>
    <row r="17" spans="1:14" x14ac:dyDescent="0.35">
      <c r="A17" s="2" t="s">
        <v>65</v>
      </c>
      <c r="B17" s="2" t="s">
        <v>187</v>
      </c>
      <c r="C17" s="41" t="str">
        <f>"=1 if authors report schooling in years."</f>
        <v>=1 if authors report schooling in years.</v>
      </c>
      <c r="D17" t="s">
        <v>75</v>
      </c>
      <c r="E17">
        <v>12</v>
      </c>
      <c r="F17" t="s">
        <v>121</v>
      </c>
      <c r="G17" s="28" t="b">
        <v>1</v>
      </c>
      <c r="H17" s="28" t="b">
        <v>1</v>
      </c>
      <c r="I17">
        <v>1</v>
      </c>
      <c r="K17" t="b">
        <v>0</v>
      </c>
      <c r="L17" t="b">
        <v>0</v>
      </c>
      <c r="M17" t="b">
        <v>0</v>
      </c>
      <c r="N17" s="28" t="s">
        <v>121</v>
      </c>
    </row>
    <row r="18" spans="1:14" x14ac:dyDescent="0.3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row>
    <row r="19" spans="1:14" x14ac:dyDescent="0.3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0</v>
      </c>
      <c r="L19" t="b">
        <v>0</v>
      </c>
      <c r="M19" t="b">
        <v>0</v>
      </c>
      <c r="N19" s="28" t="s">
        <v>121</v>
      </c>
    </row>
    <row r="20" spans="1:14" x14ac:dyDescent="0.3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row>
    <row r="21" spans="1:14" x14ac:dyDescent="0.35">
      <c r="A21" s="2" t="s">
        <v>343</v>
      </c>
      <c r="B21" s="2" t="s">
        <v>344</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0</v>
      </c>
      <c r="L21" t="b">
        <v>0</v>
      </c>
      <c r="M21" t="b">
        <v>0</v>
      </c>
      <c r="N21" s="28" t="s">
        <v>121</v>
      </c>
    </row>
    <row r="22" spans="1:14" x14ac:dyDescent="0.3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row>
    <row r="23" spans="1:14" x14ac:dyDescent="0.3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row>
    <row r="24" spans="1:14" x14ac:dyDescent="0.3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row>
    <row r="25" spans="1:14" x14ac:dyDescent="0.3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row>
    <row r="26" spans="1:14" x14ac:dyDescent="0.35">
      <c r="A26" s="2" t="s">
        <v>18</v>
      </c>
      <c r="B26" s="2" t="s">
        <v>161</v>
      </c>
      <c r="C26" s="41" t="s">
        <v>169</v>
      </c>
      <c r="D26" t="s">
        <v>77</v>
      </c>
      <c r="E26">
        <v>16</v>
      </c>
      <c r="F26" t="s">
        <v>123</v>
      </c>
      <c r="G26" s="28" t="b">
        <v>1</v>
      </c>
      <c r="H26" s="28" t="b">
        <v>1</v>
      </c>
      <c r="J26" s="12" t="s">
        <v>123</v>
      </c>
      <c r="K26" t="b">
        <v>0</v>
      </c>
      <c r="L26" t="b">
        <v>0</v>
      </c>
      <c r="M26" t="b">
        <v>0</v>
      </c>
      <c r="N26" s="28" t="s">
        <v>121</v>
      </c>
    </row>
    <row r="27" spans="1:14" x14ac:dyDescent="0.35">
      <c r="A27" s="26" t="s">
        <v>40</v>
      </c>
      <c r="B27" s="3" t="s">
        <v>192</v>
      </c>
      <c r="C27" s="47" t="s">
        <v>174</v>
      </c>
      <c r="D27" t="s">
        <v>79</v>
      </c>
      <c r="E27">
        <v>17</v>
      </c>
      <c r="F27" t="s">
        <v>122</v>
      </c>
      <c r="G27" s="28" t="b">
        <v>1</v>
      </c>
      <c r="H27" s="28" t="b">
        <v>1</v>
      </c>
      <c r="J27" s="12">
        <v>0.5</v>
      </c>
      <c r="K27" t="b">
        <v>0</v>
      </c>
      <c r="L27" t="b">
        <v>0</v>
      </c>
      <c r="M27" t="b">
        <v>0</v>
      </c>
      <c r="N27" s="28" t="s">
        <v>121</v>
      </c>
    </row>
    <row r="28" spans="1:14" x14ac:dyDescent="0.35">
      <c r="A28" s="26" t="s">
        <v>39</v>
      </c>
      <c r="B28" s="3" t="s">
        <v>193</v>
      </c>
      <c r="C28" s="47" t="s">
        <v>173</v>
      </c>
      <c r="D28" t="s">
        <v>79</v>
      </c>
      <c r="E28">
        <v>17</v>
      </c>
      <c r="F28" t="s">
        <v>122</v>
      </c>
      <c r="G28" s="28" t="b">
        <v>0</v>
      </c>
      <c r="H28" s="28" t="b">
        <v>0</v>
      </c>
      <c r="K28" t="b">
        <v>0</v>
      </c>
      <c r="L28" t="b">
        <v>1</v>
      </c>
      <c r="M28" t="b">
        <v>0</v>
      </c>
      <c r="N28" s="28" t="s">
        <v>121</v>
      </c>
    </row>
    <row r="29" spans="1:14" x14ac:dyDescent="0.35">
      <c r="A29" s="26" t="s">
        <v>3</v>
      </c>
      <c r="B29" s="3" t="s">
        <v>143</v>
      </c>
      <c r="C29" s="47" t="s">
        <v>172</v>
      </c>
      <c r="D29" t="s">
        <v>79</v>
      </c>
      <c r="E29">
        <v>18</v>
      </c>
      <c r="F29" t="s">
        <v>122</v>
      </c>
      <c r="G29" s="28" t="b">
        <v>1</v>
      </c>
      <c r="H29" s="28" t="b">
        <v>1</v>
      </c>
      <c r="J29" s="12">
        <v>0.5</v>
      </c>
      <c r="K29" t="b">
        <v>1</v>
      </c>
      <c r="L29" t="b">
        <v>0</v>
      </c>
      <c r="M29" t="b">
        <v>0</v>
      </c>
      <c r="N29" s="28" t="s">
        <v>122</v>
      </c>
    </row>
    <row r="30" spans="1:14" x14ac:dyDescent="0.35">
      <c r="A30" s="26" t="s">
        <v>4</v>
      </c>
      <c r="B30" s="3" t="s">
        <v>144</v>
      </c>
      <c r="C30" s="47" t="s">
        <v>171</v>
      </c>
      <c r="D30" t="s">
        <v>79</v>
      </c>
      <c r="E30">
        <v>18</v>
      </c>
      <c r="F30" t="s">
        <v>122</v>
      </c>
      <c r="G30" s="28" t="b">
        <v>0</v>
      </c>
      <c r="H30" s="28" t="b">
        <v>0</v>
      </c>
      <c r="K30" t="b">
        <v>0</v>
      </c>
      <c r="L30" t="b">
        <v>1</v>
      </c>
      <c r="M30" t="b">
        <v>0</v>
      </c>
      <c r="N30" s="28" t="s">
        <v>121</v>
      </c>
    </row>
    <row r="31" spans="1:14" x14ac:dyDescent="0.35">
      <c r="A31" s="26" t="s">
        <v>293</v>
      </c>
      <c r="B31" s="3" t="s">
        <v>295</v>
      </c>
      <c r="C31" s="47" t="s">
        <v>300</v>
      </c>
      <c r="D31" t="s">
        <v>79</v>
      </c>
      <c r="E31">
        <v>19</v>
      </c>
      <c r="F31" t="s">
        <v>122</v>
      </c>
      <c r="G31" s="28" t="b">
        <v>1</v>
      </c>
      <c r="H31" s="28" t="b">
        <v>1</v>
      </c>
      <c r="J31" s="12">
        <v>0.5</v>
      </c>
      <c r="K31" t="b">
        <v>0</v>
      </c>
      <c r="L31" t="b">
        <v>0</v>
      </c>
      <c r="M31" t="b">
        <v>0</v>
      </c>
      <c r="N31" s="28" t="s">
        <v>121</v>
      </c>
    </row>
    <row r="32" spans="1:14" x14ac:dyDescent="0.35">
      <c r="A32" s="26" t="s">
        <v>294</v>
      </c>
      <c r="B32" s="3" t="s">
        <v>296</v>
      </c>
      <c r="C32" s="47" t="s">
        <v>301</v>
      </c>
      <c r="D32" t="s">
        <v>79</v>
      </c>
      <c r="E32">
        <v>19</v>
      </c>
      <c r="F32" t="s">
        <v>122</v>
      </c>
      <c r="G32" s="28" t="b">
        <v>0</v>
      </c>
      <c r="H32" s="28" t="b">
        <v>0</v>
      </c>
      <c r="K32" t="b">
        <v>0</v>
      </c>
      <c r="L32" t="b">
        <v>1</v>
      </c>
      <c r="M32" t="b">
        <v>0</v>
      </c>
      <c r="N32" s="28" t="s">
        <v>121</v>
      </c>
    </row>
    <row r="33" spans="1:14" x14ac:dyDescent="0.35">
      <c r="A33" s="26" t="s">
        <v>14</v>
      </c>
      <c r="B33" s="3" t="s">
        <v>145</v>
      </c>
      <c r="C33" s="47" t="s">
        <v>175</v>
      </c>
      <c r="D33" t="s">
        <v>79</v>
      </c>
      <c r="E33">
        <v>20</v>
      </c>
      <c r="F33" t="s">
        <v>122</v>
      </c>
      <c r="G33" s="28" t="b">
        <v>1</v>
      </c>
      <c r="H33" s="28" t="b">
        <v>1</v>
      </c>
      <c r="J33" s="12">
        <v>0.5</v>
      </c>
      <c r="K33" t="b">
        <v>1</v>
      </c>
      <c r="L33" t="b">
        <v>0</v>
      </c>
      <c r="M33" t="b">
        <v>0</v>
      </c>
      <c r="N33" s="28" t="s">
        <v>122</v>
      </c>
    </row>
    <row r="34" spans="1:14" x14ac:dyDescent="0.35">
      <c r="A34" s="26" t="s">
        <v>15</v>
      </c>
      <c r="B34" s="3" t="s">
        <v>146</v>
      </c>
      <c r="C34" s="47" t="s">
        <v>176</v>
      </c>
      <c r="D34" t="s">
        <v>79</v>
      </c>
      <c r="E34">
        <v>20</v>
      </c>
      <c r="F34" t="s">
        <v>122</v>
      </c>
      <c r="G34" s="28" t="b">
        <v>0</v>
      </c>
      <c r="H34" s="28" t="b">
        <v>0</v>
      </c>
      <c r="K34" t="b">
        <v>0</v>
      </c>
      <c r="L34" t="b">
        <v>1</v>
      </c>
      <c r="M34" t="b">
        <v>0</v>
      </c>
      <c r="N34" s="28" t="s">
        <v>121</v>
      </c>
    </row>
    <row r="35" spans="1:14" x14ac:dyDescent="0.35">
      <c r="A35" s="26" t="s">
        <v>289</v>
      </c>
      <c r="B35" s="3" t="s">
        <v>291</v>
      </c>
      <c r="C35" s="47" t="s">
        <v>302</v>
      </c>
      <c r="D35" t="s">
        <v>79</v>
      </c>
      <c r="E35">
        <v>21</v>
      </c>
      <c r="F35" t="s">
        <v>122</v>
      </c>
      <c r="G35" s="28" t="b">
        <v>1</v>
      </c>
      <c r="H35" s="28" t="b">
        <v>1</v>
      </c>
      <c r="J35" s="12">
        <v>0.5</v>
      </c>
      <c r="K35" t="b">
        <v>1</v>
      </c>
      <c r="L35" t="b">
        <v>0</v>
      </c>
      <c r="M35" t="b">
        <v>0</v>
      </c>
      <c r="N35" s="28" t="s">
        <v>122</v>
      </c>
    </row>
    <row r="36" spans="1:14" x14ac:dyDescent="0.35">
      <c r="A36" s="26" t="s">
        <v>290</v>
      </c>
      <c r="B36" s="3" t="s">
        <v>292</v>
      </c>
      <c r="C36" s="47" t="s">
        <v>303</v>
      </c>
      <c r="D36" t="s">
        <v>79</v>
      </c>
      <c r="E36">
        <v>21</v>
      </c>
      <c r="F36" t="s">
        <v>122</v>
      </c>
      <c r="G36" s="28" t="b">
        <v>1</v>
      </c>
      <c r="H36" s="28" t="b">
        <v>0</v>
      </c>
      <c r="K36" t="b">
        <v>0</v>
      </c>
      <c r="L36" t="b">
        <v>1</v>
      </c>
      <c r="M36" t="b">
        <v>0</v>
      </c>
      <c r="N36" s="28" t="s">
        <v>121</v>
      </c>
    </row>
    <row r="37" spans="1:14" x14ac:dyDescent="0.35">
      <c r="A37" s="26" t="s">
        <v>305</v>
      </c>
      <c r="B37" s="3" t="s">
        <v>298</v>
      </c>
      <c r="C37" s="47" t="s">
        <v>309</v>
      </c>
      <c r="D37" t="s">
        <v>79</v>
      </c>
      <c r="E37">
        <v>22</v>
      </c>
      <c r="F37" t="s">
        <v>122</v>
      </c>
      <c r="G37" s="28" t="b">
        <v>1</v>
      </c>
      <c r="H37" s="28" t="b">
        <v>1</v>
      </c>
      <c r="J37" s="12">
        <v>0.5</v>
      </c>
      <c r="K37" t="b">
        <v>1</v>
      </c>
      <c r="L37" t="b">
        <v>0</v>
      </c>
      <c r="M37" t="b">
        <v>0</v>
      </c>
      <c r="N37" s="28" t="s">
        <v>122</v>
      </c>
    </row>
    <row r="38" spans="1:14" x14ac:dyDescent="0.35">
      <c r="A38" s="26" t="s">
        <v>306</v>
      </c>
      <c r="B38" s="3" t="s">
        <v>299</v>
      </c>
      <c r="C38" s="47" t="s">
        <v>310</v>
      </c>
      <c r="D38" t="s">
        <v>79</v>
      </c>
      <c r="E38">
        <v>22</v>
      </c>
      <c r="F38" t="s">
        <v>122</v>
      </c>
      <c r="G38" s="28" t="b">
        <v>1</v>
      </c>
      <c r="H38" s="28" t="b">
        <v>1</v>
      </c>
      <c r="J38" s="12">
        <v>0.5</v>
      </c>
      <c r="K38" t="b">
        <v>1</v>
      </c>
      <c r="L38" t="b">
        <v>0</v>
      </c>
      <c r="M38" t="b">
        <v>0</v>
      </c>
      <c r="N38" s="28" t="s">
        <v>122</v>
      </c>
    </row>
    <row r="39" spans="1:14" x14ac:dyDescent="0.35">
      <c r="A39" s="26" t="s">
        <v>307</v>
      </c>
      <c r="B39" s="3" t="s">
        <v>308</v>
      </c>
      <c r="C39" s="47" t="s">
        <v>311</v>
      </c>
      <c r="D39" t="s">
        <v>79</v>
      </c>
      <c r="E39">
        <v>22</v>
      </c>
      <c r="F39" t="s">
        <v>122</v>
      </c>
      <c r="G39" s="28" t="b">
        <v>1</v>
      </c>
      <c r="H39" s="28" t="b">
        <v>1</v>
      </c>
      <c r="J39" s="12">
        <v>0.5</v>
      </c>
      <c r="K39" t="b">
        <v>0</v>
      </c>
      <c r="L39" t="b">
        <v>1</v>
      </c>
      <c r="M39" t="b">
        <v>0</v>
      </c>
      <c r="N39" s="28" t="s">
        <v>121</v>
      </c>
    </row>
    <row r="40" spans="1:14" x14ac:dyDescent="0.35">
      <c r="A40" s="26" t="s">
        <v>5</v>
      </c>
      <c r="B40" s="3" t="s">
        <v>68</v>
      </c>
      <c r="C40" s="47" t="s">
        <v>177</v>
      </c>
      <c r="D40" t="s">
        <v>84</v>
      </c>
      <c r="E40">
        <v>23</v>
      </c>
      <c r="F40" t="s">
        <v>121</v>
      </c>
      <c r="G40" s="28" t="b">
        <v>0</v>
      </c>
      <c r="H40" s="28" t="b">
        <v>0</v>
      </c>
      <c r="K40" t="b">
        <v>0</v>
      </c>
      <c r="L40" t="b">
        <v>0</v>
      </c>
      <c r="M40" t="b">
        <v>0</v>
      </c>
      <c r="N40" s="28" t="s">
        <v>121</v>
      </c>
    </row>
    <row r="41" spans="1:14" x14ac:dyDescent="0.3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row>
    <row r="42" spans="1:14" x14ac:dyDescent="0.3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row>
    <row r="43" spans="1:14" x14ac:dyDescent="0.35">
      <c r="A43" s="26" t="s">
        <v>19</v>
      </c>
      <c r="B43" s="3" t="s">
        <v>92</v>
      </c>
      <c r="C43" s="47" t="s">
        <v>178</v>
      </c>
      <c r="D43" t="s">
        <v>77</v>
      </c>
      <c r="E43">
        <v>25</v>
      </c>
      <c r="F43" t="s">
        <v>123</v>
      </c>
      <c r="G43" s="28" t="b">
        <v>1</v>
      </c>
      <c r="H43" s="28" t="b">
        <v>1</v>
      </c>
      <c r="J43" s="12" t="s">
        <v>123</v>
      </c>
      <c r="K43" t="b">
        <v>0</v>
      </c>
      <c r="L43" t="b">
        <v>0</v>
      </c>
      <c r="M43" t="b">
        <v>0</v>
      </c>
      <c r="N43" s="28" t="s">
        <v>121</v>
      </c>
    </row>
    <row r="44" spans="1:14" x14ac:dyDescent="0.35">
      <c r="A44" s="26" t="s">
        <v>20</v>
      </c>
      <c r="B44" s="3" t="s">
        <v>93</v>
      </c>
      <c r="C44" s="47" t="s">
        <v>179</v>
      </c>
      <c r="D44" t="s">
        <v>77</v>
      </c>
      <c r="E44">
        <v>26</v>
      </c>
      <c r="F44" t="s">
        <v>123</v>
      </c>
      <c r="G44" s="28" t="b">
        <v>1</v>
      </c>
      <c r="H44" s="28" t="b">
        <v>1</v>
      </c>
      <c r="J44" s="12" t="s">
        <v>123</v>
      </c>
      <c r="K44" t="b">
        <v>0</v>
      </c>
      <c r="L44" t="b">
        <v>0</v>
      </c>
      <c r="M44" t="b">
        <v>0</v>
      </c>
      <c r="N44" s="28" t="s">
        <v>121</v>
      </c>
    </row>
    <row r="45" spans="1:14" x14ac:dyDescent="0.35">
      <c r="A45" s="26" t="s">
        <v>129</v>
      </c>
      <c r="B45" s="3" t="s">
        <v>130</v>
      </c>
      <c r="C45" s="47" t="s">
        <v>180</v>
      </c>
      <c r="D45" t="s">
        <v>77</v>
      </c>
      <c r="E45">
        <v>27</v>
      </c>
      <c r="F45" t="s">
        <v>123</v>
      </c>
      <c r="G45" s="28" t="b">
        <v>1</v>
      </c>
      <c r="H45" s="28" t="b">
        <v>1</v>
      </c>
      <c r="J45" s="12" t="s">
        <v>123</v>
      </c>
      <c r="K45" t="b">
        <v>0</v>
      </c>
      <c r="L45" t="b">
        <v>0</v>
      </c>
      <c r="M45" t="b">
        <v>0</v>
      </c>
      <c r="N45" s="28" t="s">
        <v>121</v>
      </c>
    </row>
    <row r="46" spans="1:14" x14ac:dyDescent="0.35">
      <c r="A46" s="26" t="s">
        <v>21</v>
      </c>
      <c r="B46" s="3" t="s">
        <v>132</v>
      </c>
      <c r="C46" s="47" t="s">
        <v>181</v>
      </c>
      <c r="D46" t="s">
        <v>77</v>
      </c>
      <c r="E46">
        <v>28</v>
      </c>
      <c r="F46" t="s">
        <v>123</v>
      </c>
      <c r="G46" s="28" t="b">
        <v>1</v>
      </c>
      <c r="H46" s="28" t="b">
        <v>1</v>
      </c>
      <c r="J46" s="12" t="s">
        <v>123</v>
      </c>
      <c r="K46" t="b">
        <v>0</v>
      </c>
      <c r="L46" t="b">
        <v>0</v>
      </c>
      <c r="M46" t="b">
        <v>0</v>
      </c>
      <c r="N46" s="28" t="s">
        <v>121</v>
      </c>
    </row>
    <row r="47" spans="1:14" x14ac:dyDescent="0.3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row>
    <row r="48" spans="1:14" x14ac:dyDescent="0.3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row>
    <row r="49" spans="1:14" x14ac:dyDescent="0.3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row>
    <row r="50" spans="1:14" x14ac:dyDescent="0.3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row>
    <row r="51" spans="1:14" x14ac:dyDescent="0.3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row>
    <row r="52" spans="1:14" x14ac:dyDescent="0.35">
      <c r="A52" s="4" t="s">
        <v>341</v>
      </c>
      <c r="B52" s="4" t="s">
        <v>342</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row>
    <row r="53" spans="1:14" x14ac:dyDescent="0.3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row>
    <row r="54" spans="1:14" x14ac:dyDescent="0.35">
      <c r="A54" s="4" t="s">
        <v>319</v>
      </c>
      <c r="B54" s="4" t="s">
        <v>320</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row>
    <row r="55" spans="1:14" x14ac:dyDescent="0.35">
      <c r="A55" s="4" t="s">
        <v>338</v>
      </c>
      <c r="B55" s="4" t="s">
        <v>339</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row>
    <row r="56" spans="1:14" x14ac:dyDescent="0.3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row>
    <row r="57" spans="1:14" x14ac:dyDescent="0.3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row>
    <row r="58" spans="1:14" x14ac:dyDescent="0.3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row>
    <row r="59" spans="1:14" x14ac:dyDescent="0.3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row>
    <row r="60" spans="1:14" x14ac:dyDescent="0.3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row>
    <row r="61" spans="1:14" x14ac:dyDescent="0.3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row>
    <row r="62" spans="1:14" x14ac:dyDescent="0.3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row>
    <row r="63" spans="1:14" x14ac:dyDescent="0.3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0</v>
      </c>
      <c r="L63" t="b">
        <v>0</v>
      </c>
      <c r="M63" t="b">
        <v>0</v>
      </c>
      <c r="N63" s="28" t="s">
        <v>121</v>
      </c>
    </row>
    <row r="64" spans="1:14" x14ac:dyDescent="0.3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row>
    <row r="65" spans="1:14" x14ac:dyDescent="0.35">
      <c r="A65" s="29" t="s">
        <v>30</v>
      </c>
      <c r="B65" s="29" t="s">
        <v>94</v>
      </c>
      <c r="C65" s="43" t="s">
        <v>182</v>
      </c>
      <c r="D65" t="s">
        <v>77</v>
      </c>
      <c r="E65">
        <v>32</v>
      </c>
      <c r="F65" t="s">
        <v>121</v>
      </c>
      <c r="G65" s="28" t="b">
        <v>1</v>
      </c>
      <c r="H65" s="28" t="b">
        <v>1</v>
      </c>
      <c r="J65" s="12" t="s">
        <v>123</v>
      </c>
      <c r="K65" t="b">
        <v>1</v>
      </c>
      <c r="L65" t="b">
        <v>0</v>
      </c>
      <c r="M65" t="b">
        <v>1</v>
      </c>
      <c r="N65" s="28" t="s">
        <v>131</v>
      </c>
    </row>
    <row r="66" spans="1:14" x14ac:dyDescent="0.35">
      <c r="A66" s="29" t="s">
        <v>31</v>
      </c>
      <c r="B66" s="29" t="s">
        <v>95</v>
      </c>
      <c r="C66" s="43" t="s">
        <v>183</v>
      </c>
      <c r="D66" t="s">
        <v>76</v>
      </c>
      <c r="E66">
        <v>33</v>
      </c>
      <c r="F66" t="s">
        <v>121</v>
      </c>
      <c r="G66" s="28" t="b">
        <v>1</v>
      </c>
      <c r="H66" s="28" t="b">
        <v>1</v>
      </c>
      <c r="J66" s="12" t="s">
        <v>123</v>
      </c>
      <c r="K66" t="b">
        <v>1</v>
      </c>
      <c r="L66" t="b">
        <v>0</v>
      </c>
      <c r="M66" t="b">
        <v>1</v>
      </c>
      <c r="N66" s="28" t="s">
        <v>131</v>
      </c>
    </row>
    <row r="67" spans="1:14" x14ac:dyDescent="0.35">
      <c r="A67" s="29" t="s">
        <v>32</v>
      </c>
      <c r="B67" s="29" t="s">
        <v>156</v>
      </c>
      <c r="C67" s="43" t="str">
        <f>"=1 if the study was published in a journal."</f>
        <v>=1 if the study was published in a journal.</v>
      </c>
      <c r="D67" t="s">
        <v>75</v>
      </c>
      <c r="E67">
        <v>34</v>
      </c>
      <c r="F67" t="s">
        <v>121</v>
      </c>
      <c r="G67" s="28" t="b">
        <v>1</v>
      </c>
      <c r="H67" s="28" t="b">
        <v>1</v>
      </c>
      <c r="I67">
        <v>1</v>
      </c>
      <c r="K67" t="b">
        <v>0</v>
      </c>
      <c r="L67" t="b">
        <v>0</v>
      </c>
      <c r="M67" t="b">
        <v>0</v>
      </c>
      <c r="N67" s="28" t="s">
        <v>121</v>
      </c>
    </row>
    <row r="68" spans="1:14" x14ac:dyDescent="0.3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row>
    <row r="69" spans="1:14" x14ac:dyDescent="0.35">
      <c r="A69" s="29" t="s">
        <v>33</v>
      </c>
      <c r="B69" s="29" t="s">
        <v>96</v>
      </c>
      <c r="C69" s="43" t="s">
        <v>281</v>
      </c>
      <c r="D69" t="s">
        <v>76</v>
      </c>
      <c r="E69">
        <v>35</v>
      </c>
      <c r="F69" t="s">
        <v>121</v>
      </c>
      <c r="G69" s="28" t="b">
        <v>1</v>
      </c>
      <c r="H69" s="28" t="b">
        <v>1</v>
      </c>
      <c r="J69" s="12" t="s">
        <v>123</v>
      </c>
      <c r="K69" t="b">
        <v>0</v>
      </c>
      <c r="L69" t="b">
        <v>0</v>
      </c>
      <c r="M69" t="b">
        <v>0</v>
      </c>
      <c r="N69" s="28" t="s">
        <v>121</v>
      </c>
    </row>
  </sheetData>
  <conditionalFormatting sqref="A53:C69 A2:C51">
    <cfRule type="containsBlanks" dxfId="82" priority="12">
      <formula>LEN(TRIM(A2))=0</formula>
    </cfRule>
  </conditionalFormatting>
  <conditionalFormatting sqref="N53:N1964 N2:N51">
    <cfRule type="notContainsText" dxfId="81" priority="7" operator="notContains" text="stop">
      <formula>ISERROR(SEARCH("stop",N2))</formula>
    </cfRule>
    <cfRule type="containsText" dxfId="80" priority="8" operator="containsText" text="stop">
      <formula>NOT(ISERROR(SEARCH("stop",N2)))</formula>
    </cfRule>
  </conditionalFormatting>
  <conditionalFormatting sqref="G53:H1964 G2:H51 K53:M1964 K2:M51">
    <cfRule type="containsText" dxfId="79" priority="9" operator="containsText" text="FALSE">
      <formula>NOT(ISERROR(SEARCH("FALSE",G2)))</formula>
    </cfRule>
    <cfRule type="containsText" dxfId="78" priority="10" operator="containsText" text="TRUE">
      <formula>NOT(ISERROR(SEARCH("TRUE",G2)))</formula>
    </cfRule>
  </conditionalFormatting>
  <conditionalFormatting sqref="A52:C52">
    <cfRule type="containsBlanks" dxfId="77" priority="5">
      <formula>LEN(TRIM(A52))=0</formula>
    </cfRule>
  </conditionalFormatting>
  <conditionalFormatting sqref="N52">
    <cfRule type="notContainsText" dxfId="76" priority="1" operator="notContains" text="stop">
      <formula>ISERROR(SEARCH("stop",N52))</formula>
    </cfRule>
    <cfRule type="containsText" dxfId="75" priority="2" operator="containsText" text="stop">
      <formula>NOT(ISERROR(SEARCH("stop",N52)))</formula>
    </cfRule>
  </conditionalFormatting>
  <conditionalFormatting sqref="G52:H52 K52:M52">
    <cfRule type="containsText" dxfId="74" priority="3" operator="containsText" text="FALSE">
      <formula>NOT(ISERROR(SEARCH("FALSE",G52)))</formula>
    </cfRule>
    <cfRule type="containsText" dxfId="73"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11" sqref="K11"/>
    </sheetView>
  </sheetViews>
  <sheetFormatPr defaultRowHeight="14.5" x14ac:dyDescent="0.35"/>
  <cols>
    <col min="5" max="5" width="49.26953125" customWidth="1"/>
    <col min="6" max="6" width="10.26953125" customWidth="1"/>
    <col min="7" max="7" width="17" customWidth="1"/>
    <col min="8" max="8" width="9.453125" customWidth="1"/>
    <col min="9" max="9" width="15.54296875" customWidth="1"/>
    <col min="10" max="10" width="10.453125" customWidth="1"/>
  </cols>
  <sheetData>
    <row r="1" spans="1:19" ht="15" thickBot="1" x14ac:dyDescent="0.4">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3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3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3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3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3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3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3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3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3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3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3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3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3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35">
      <c r="A15">
        <v>14</v>
      </c>
      <c r="B15" t="s">
        <v>322</v>
      </c>
      <c r="C15" t="s">
        <v>323</v>
      </c>
      <c r="D15">
        <v>1999</v>
      </c>
      <c r="E15" t="s">
        <v>324</v>
      </c>
      <c r="F15" t="s">
        <v>325</v>
      </c>
      <c r="G15" t="s">
        <v>117</v>
      </c>
      <c r="H15" t="b">
        <v>0</v>
      </c>
      <c r="I15">
        <f t="shared" si="0"/>
        <v>5</v>
      </c>
      <c r="J15">
        <v>0</v>
      </c>
      <c r="K15">
        <v>17</v>
      </c>
      <c r="L15" t="s">
        <v>34</v>
      </c>
      <c r="M15" t="s">
        <v>326</v>
      </c>
      <c r="N15" t="s">
        <v>326</v>
      </c>
      <c r="O15" t="s">
        <v>322</v>
      </c>
      <c r="P15" t="s">
        <v>64</v>
      </c>
      <c r="Q15" t="s">
        <v>64</v>
      </c>
      <c r="R15" s="16" t="s">
        <v>64</v>
      </c>
    </row>
    <row r="16" spans="1:19" x14ac:dyDescent="0.35">
      <c r="A16">
        <v>15</v>
      </c>
      <c r="B16" t="s">
        <v>328</v>
      </c>
      <c r="C16" t="s">
        <v>329</v>
      </c>
      <c r="D16">
        <v>2009</v>
      </c>
      <c r="E16" t="s">
        <v>330</v>
      </c>
      <c r="F16" t="s">
        <v>331</v>
      </c>
      <c r="G16" t="s">
        <v>117</v>
      </c>
      <c r="H16" t="b">
        <v>0</v>
      </c>
      <c r="I16">
        <f t="shared" si="0"/>
        <v>15</v>
      </c>
      <c r="J16">
        <v>0</v>
      </c>
      <c r="K16">
        <v>8</v>
      </c>
      <c r="L16" t="s">
        <v>34</v>
      </c>
      <c r="M16" t="s">
        <v>332</v>
      </c>
      <c r="N16" t="s">
        <v>327</v>
      </c>
      <c r="O16" t="s">
        <v>328</v>
      </c>
      <c r="P16" t="s">
        <v>64</v>
      </c>
      <c r="Q16" t="s">
        <v>64</v>
      </c>
      <c r="R16" s="16" t="s">
        <v>64</v>
      </c>
    </row>
    <row r="17" spans="1:18" ht="15" thickBot="1" x14ac:dyDescent="0.4">
      <c r="A17" s="86">
        <v>16</v>
      </c>
      <c r="B17" s="86" t="s">
        <v>333</v>
      </c>
      <c r="C17" s="86" t="s">
        <v>270</v>
      </c>
      <c r="D17" s="86">
        <v>2004</v>
      </c>
      <c r="E17" s="86" t="s">
        <v>334</v>
      </c>
      <c r="F17" s="86" t="s">
        <v>335</v>
      </c>
      <c r="G17" s="86" t="s">
        <v>337</v>
      </c>
      <c r="H17" s="86" t="b">
        <v>1</v>
      </c>
      <c r="I17" s="86">
        <f t="shared" si="0"/>
        <v>10</v>
      </c>
      <c r="J17" s="86">
        <v>0.96399999999999997</v>
      </c>
      <c r="K17" s="86">
        <v>85</v>
      </c>
      <c r="L17" s="86" t="s">
        <v>34</v>
      </c>
      <c r="M17" s="86" t="s">
        <v>336</v>
      </c>
      <c r="N17" s="86" t="s">
        <v>336</v>
      </c>
      <c r="O17" s="86" t="s">
        <v>333</v>
      </c>
      <c r="P17" s="86" t="s">
        <v>64</v>
      </c>
      <c r="Q17" s="86" t="s">
        <v>64</v>
      </c>
      <c r="R17" s="95" t="s">
        <v>64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4.5" x14ac:dyDescent="0.35"/>
  <cols>
    <col min="1" max="1" width="22.7265625" style="25" customWidth="1"/>
    <col min="2" max="2" width="6.81640625" customWidth="1"/>
    <col min="3" max="3" width="8.81640625" style="22"/>
  </cols>
  <sheetData>
    <row r="1" spans="1:8" s="23" customFormat="1" ht="15" thickBot="1" x14ac:dyDescent="0.4">
      <c r="A1" s="32" t="s">
        <v>41</v>
      </c>
      <c r="B1" s="33" t="s">
        <v>43</v>
      </c>
      <c r="C1" s="24" t="s">
        <v>42</v>
      </c>
    </row>
    <row r="2" spans="1:8" x14ac:dyDescent="0.35">
      <c r="A2" s="18"/>
      <c r="B2" t="s">
        <v>53</v>
      </c>
      <c r="C2" s="22" t="s">
        <v>46</v>
      </c>
    </row>
    <row r="3" spans="1:8" x14ac:dyDescent="0.35">
      <c r="A3" s="31"/>
      <c r="B3" t="s">
        <v>54</v>
      </c>
      <c r="C3" s="22" t="s">
        <v>47</v>
      </c>
    </row>
    <row r="4" spans="1:8" x14ac:dyDescent="0.35">
      <c r="A4" s="13"/>
      <c r="B4" t="s">
        <v>44</v>
      </c>
      <c r="C4" s="22" t="s">
        <v>48</v>
      </c>
    </row>
    <row r="5" spans="1:8" x14ac:dyDescent="0.35">
      <c r="A5" s="14"/>
      <c r="B5" t="s">
        <v>58</v>
      </c>
      <c r="C5" s="22" t="s">
        <v>49</v>
      </c>
      <c r="H5" s="34"/>
    </row>
    <row r="6" spans="1:8" x14ac:dyDescent="0.35">
      <c r="A6" s="15"/>
      <c r="B6" t="s">
        <v>55</v>
      </c>
      <c r="C6" s="22" t="s">
        <v>50</v>
      </c>
    </row>
    <row r="7" spans="1:8" x14ac:dyDescent="0.35">
      <c r="A7" s="17"/>
      <c r="B7" t="s">
        <v>57</v>
      </c>
      <c r="C7" s="22" t="s">
        <v>51</v>
      </c>
      <c r="H7" s="34"/>
    </row>
    <row r="8" spans="1:8" x14ac:dyDescent="0.35">
      <c r="A8" s="30"/>
      <c r="B8" t="s">
        <v>56</v>
      </c>
      <c r="C8" s="22" t="s">
        <v>52</v>
      </c>
    </row>
    <row r="21" spans="8:8" x14ac:dyDescent="0.3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2023-11-22T13:39:55Z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