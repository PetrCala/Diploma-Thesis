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02A843A-F0C9-4AC5-8084-547F80E76D41}" xr6:coauthVersionLast="47" xr6:coauthVersionMax="47" xr10:uidLastSave="{00000000-0000-0000-0000-000000000000}"/>
  <bookViews>
    <workbookView xWindow="-23148" yWindow="-108" windowWidth="23256" windowHeight="12576"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294" i="22" l="1"/>
  <c r="Q294" i="22"/>
  <c r="O294" i="22"/>
  <c r="N294" i="22"/>
  <c r="F294" i="22"/>
  <c r="AK293" i="22"/>
  <c r="Q293" i="22"/>
  <c r="O293" i="22"/>
  <c r="N293" i="22"/>
  <c r="F293" i="22"/>
  <c r="AK292" i="22"/>
  <c r="Q292" i="22"/>
  <c r="O292" i="22"/>
  <c r="N292" i="22"/>
  <c r="F292" i="22"/>
  <c r="AK291" i="22"/>
  <c r="Q291" i="22"/>
  <c r="O291" i="22"/>
  <c r="N291" i="22"/>
  <c r="F291" i="22"/>
  <c r="AK290" i="22"/>
  <c r="Q290" i="22"/>
  <c r="O290" i="22"/>
  <c r="N290" i="22"/>
  <c r="F290" i="22"/>
  <c r="AK289" i="22"/>
  <c r="Q289" i="22"/>
  <c r="O289" i="22"/>
  <c r="N289" i="22"/>
  <c r="F289" i="22"/>
  <c r="AK288" i="22"/>
  <c r="Q288" i="22"/>
  <c r="O288" i="22"/>
  <c r="N288" i="22"/>
  <c r="F288" i="22"/>
  <c r="AK287" i="22"/>
  <c r="Q287" i="22"/>
  <c r="O287" i="22"/>
  <c r="N287" i="22"/>
  <c r="F287" i="22"/>
  <c r="AK286" i="22"/>
  <c r="Q286" i="22"/>
  <c r="O286" i="22"/>
  <c r="N286" i="22"/>
  <c r="F286" i="22"/>
  <c r="AK285" i="22"/>
  <c r="Q285" i="22"/>
  <c r="O285" i="22"/>
  <c r="N285" i="22"/>
  <c r="F285" i="22"/>
  <c r="AK284" i="22"/>
  <c r="Q284" i="22"/>
  <c r="O284" i="22"/>
  <c r="N284" i="22"/>
  <c r="F284" i="22"/>
  <c r="AK283" i="22"/>
  <c r="Q283" i="22"/>
  <c r="O283" i="22"/>
  <c r="N283" i="22"/>
  <c r="F283" i="22"/>
  <c r="AK282" i="22"/>
  <c r="Q282" i="22"/>
  <c r="O282" i="22"/>
  <c r="N282" i="22"/>
  <c r="F282" i="22"/>
  <c r="AK281" i="22"/>
  <c r="Q281" i="22"/>
  <c r="O281" i="22"/>
  <c r="N281" i="22"/>
  <c r="F281" i="22"/>
  <c r="AK280" i="22"/>
  <c r="Q280" i="22"/>
  <c r="O280" i="22"/>
  <c r="N280" i="22"/>
  <c r="F280" i="22"/>
  <c r="AK279" i="22"/>
  <c r="Q279" i="22"/>
  <c r="O279" i="22"/>
  <c r="N279" i="22"/>
  <c r="F279" i="22"/>
  <c r="AK278" i="22"/>
  <c r="Q278" i="22"/>
  <c r="O278" i="22"/>
  <c r="N278" i="22"/>
  <c r="F278" i="22"/>
  <c r="AK277" i="22"/>
  <c r="Q277" i="22"/>
  <c r="O277" i="22"/>
  <c r="N277" i="22"/>
  <c r="F277" i="22"/>
  <c r="AK276" i="22"/>
  <c r="Q276" i="22"/>
  <c r="O276" i="22"/>
  <c r="N276" i="22"/>
  <c r="F276" i="22"/>
  <c r="AK275" i="22"/>
  <c r="Q275" i="22"/>
  <c r="O275" i="22"/>
  <c r="N275" i="22"/>
  <c r="F275" i="22"/>
  <c r="Q274" i="22"/>
  <c r="O274" i="22"/>
  <c r="N274" i="22"/>
  <c r="F274" i="22"/>
  <c r="Q273" i="22"/>
  <c r="O273" i="22"/>
  <c r="N273" i="22"/>
  <c r="F273" i="22"/>
  <c r="Q272" i="22"/>
  <c r="O272" i="22"/>
  <c r="N272" i="22"/>
  <c r="F272" i="22"/>
  <c r="Q271" i="22"/>
  <c r="O271" i="22"/>
  <c r="N271" i="22"/>
  <c r="F271" i="22"/>
  <c r="Q270" i="22"/>
  <c r="O270" i="22"/>
  <c r="N270" i="22"/>
  <c r="F270" i="22"/>
  <c r="Q269" i="22"/>
  <c r="O269" i="22"/>
  <c r="N269" i="22"/>
  <c r="F269" i="22"/>
  <c r="Q268" i="22"/>
  <c r="O268" i="22"/>
  <c r="N268" i="22"/>
  <c r="F268" i="22"/>
  <c r="Q267" i="22"/>
  <c r="O267" i="22"/>
  <c r="N267" i="22"/>
  <c r="F267" i="22"/>
  <c r="Q266" i="22"/>
  <c r="O266" i="22"/>
  <c r="N266" i="22"/>
  <c r="F266" i="22"/>
  <c r="Q265" i="22"/>
  <c r="O265" i="22"/>
  <c r="N265" i="22"/>
  <c r="F265" i="22"/>
  <c r="Q264" i="22"/>
  <c r="O264" i="22"/>
  <c r="N264" i="22"/>
  <c r="F264" i="22"/>
  <c r="Q263" i="22"/>
  <c r="O263" i="22"/>
  <c r="N263" i="22"/>
  <c r="F263" i="22"/>
  <c r="Q262" i="22"/>
  <c r="O262" i="22"/>
  <c r="N262" i="22"/>
  <c r="F262" i="22"/>
  <c r="Q261" i="22"/>
  <c r="O261" i="22"/>
  <c r="N261" i="22"/>
  <c r="F261" i="22"/>
  <c r="Q260" i="22"/>
  <c r="O260" i="22"/>
  <c r="N260" i="22"/>
  <c r="F260" i="22"/>
  <c r="Q259" i="22"/>
  <c r="O259" i="22"/>
  <c r="N259" i="22"/>
  <c r="F259" i="22"/>
  <c r="AS258" i="22"/>
  <c r="AP258" i="22"/>
  <c r="AL258" i="22"/>
  <c r="AK258" i="22"/>
  <c r="AH258" i="22"/>
  <c r="Q258" i="22"/>
  <c r="O258" i="22"/>
  <c r="N258" i="22"/>
  <c r="E258" i="22"/>
  <c r="AS257" i="22"/>
  <c r="AP257" i="22"/>
  <c r="AL257" i="22"/>
  <c r="AK257" i="22"/>
  <c r="AH257" i="22"/>
  <c r="Q257" i="22"/>
  <c r="O257" i="22"/>
  <c r="N257" i="22"/>
  <c r="E257" i="22"/>
  <c r="AS256" i="22"/>
  <c r="AP256" i="22"/>
  <c r="AL256" i="22"/>
  <c r="AK256" i="22"/>
  <c r="AH256" i="22"/>
  <c r="Q256" i="22"/>
  <c r="O256" i="22"/>
  <c r="N256" i="22"/>
  <c r="E256" i="22"/>
  <c r="AS255" i="22"/>
  <c r="AP255" i="22"/>
  <c r="AL255" i="22"/>
  <c r="AK255" i="22"/>
  <c r="AH255" i="22"/>
  <c r="Q255" i="22"/>
  <c r="O255" i="22"/>
  <c r="N255" i="22"/>
  <c r="E255" i="22"/>
  <c r="AS254" i="22"/>
  <c r="AP254" i="22"/>
  <c r="AL254" i="22"/>
  <c r="AK254" i="22"/>
  <c r="AH254" i="22"/>
  <c r="Q254" i="22"/>
  <c r="O254" i="22"/>
  <c r="N254" i="22"/>
  <c r="E254" i="22"/>
  <c r="AS253" i="22"/>
  <c r="AP253" i="22"/>
  <c r="AL253" i="22"/>
  <c r="AK253" i="22"/>
  <c r="AH253" i="22"/>
  <c r="Q253" i="22"/>
  <c r="O253" i="22"/>
  <c r="N253" i="22"/>
  <c r="E253" i="22"/>
  <c r="AP252" i="22"/>
  <c r="AL252" i="22"/>
  <c r="AK252" i="22"/>
  <c r="AH252" i="22"/>
  <c r="Q252" i="22"/>
  <c r="O252" i="22"/>
  <c r="N252" i="22"/>
  <c r="E252" i="22"/>
  <c r="AP251" i="22"/>
  <c r="AL251" i="22"/>
  <c r="AK251" i="22"/>
  <c r="AH251" i="22"/>
  <c r="Q251" i="22"/>
  <c r="O251" i="22"/>
  <c r="N251" i="22"/>
  <c r="E251" i="22"/>
  <c r="AP250" i="22"/>
  <c r="AL250" i="22"/>
  <c r="AK250" i="22"/>
  <c r="AH250" i="22"/>
  <c r="Q250" i="22"/>
  <c r="O250" i="22"/>
  <c r="N250" i="22"/>
  <c r="E250" i="22"/>
  <c r="AP249" i="22"/>
  <c r="AL249" i="22"/>
  <c r="AK249" i="22"/>
  <c r="AH249" i="22"/>
  <c r="Q249" i="22"/>
  <c r="O249" i="22"/>
  <c r="N249" i="22"/>
  <c r="E249" i="22"/>
  <c r="AP248" i="22"/>
  <c r="AL248" i="22"/>
  <c r="AK248" i="22"/>
  <c r="AH248" i="22"/>
  <c r="Q248" i="22"/>
  <c r="O248" i="22"/>
  <c r="N248" i="22"/>
  <c r="E248" i="22"/>
  <c r="AP247" i="22"/>
  <c r="AL247" i="22"/>
  <c r="AK247" i="22"/>
  <c r="AH247" i="22"/>
  <c r="Q247" i="22"/>
  <c r="O247" i="22"/>
  <c r="N247" i="22"/>
  <c r="E247" i="22"/>
  <c r="AP246" i="22"/>
  <c r="AL246" i="22"/>
  <c r="AK246" i="22"/>
  <c r="AH246" i="22"/>
  <c r="Q246" i="22"/>
  <c r="O246" i="22"/>
  <c r="N246" i="22"/>
  <c r="E246" i="22"/>
  <c r="AS245" i="22"/>
  <c r="AP245" i="22"/>
  <c r="AL245" i="22"/>
  <c r="AK245" i="22"/>
  <c r="AH245" i="22"/>
  <c r="Q245" i="22"/>
  <c r="O245" i="22"/>
  <c r="N245" i="22"/>
  <c r="E245" i="22"/>
  <c r="AS244" i="22"/>
  <c r="AP244" i="22"/>
  <c r="AL244" i="22"/>
  <c r="AK244" i="22"/>
  <c r="AH244" i="22"/>
  <c r="Q244" i="22"/>
  <c r="O244" i="22"/>
  <c r="N244" i="22"/>
  <c r="E244" i="22"/>
  <c r="AS243" i="22"/>
  <c r="AP243" i="22"/>
  <c r="AL243" i="22"/>
  <c r="AK243" i="22"/>
  <c r="AH243" i="22"/>
  <c r="Q243" i="22"/>
  <c r="O243" i="22"/>
  <c r="N243" i="22"/>
  <c r="E243" i="22"/>
  <c r="AS242" i="22"/>
  <c r="AP242" i="22"/>
  <c r="AL242" i="22"/>
  <c r="AK242" i="22"/>
  <c r="AH242" i="22"/>
  <c r="Q242" i="22"/>
  <c r="O242" i="22"/>
  <c r="N242" i="22"/>
  <c r="E242" i="22"/>
  <c r="AS241" i="22"/>
  <c r="AP241" i="22"/>
  <c r="AL241" i="22"/>
  <c r="AK241" i="22"/>
  <c r="AH241" i="22"/>
  <c r="Q241" i="22"/>
  <c r="O241" i="22"/>
  <c r="N241" i="22"/>
  <c r="E241" i="22"/>
  <c r="AS240" i="22"/>
  <c r="AP240" i="22"/>
  <c r="AL240" i="22"/>
  <c r="AK240" i="22"/>
  <c r="AH240" i="22"/>
  <c r="Q240" i="22"/>
  <c r="O240" i="22"/>
  <c r="N240" i="22"/>
  <c r="E240" i="22"/>
  <c r="AS239" i="22"/>
  <c r="AP239" i="22"/>
  <c r="AL239" i="22"/>
  <c r="AK239" i="22"/>
  <c r="AH239" i="22"/>
  <c r="Q239" i="22"/>
  <c r="O239" i="22"/>
  <c r="N239" i="22"/>
  <c r="E239" i="22"/>
  <c r="AS238" i="22"/>
  <c r="AP238" i="22"/>
  <c r="AL238" i="22"/>
  <c r="AK238" i="22"/>
  <c r="AH238" i="22"/>
  <c r="Q238" i="22"/>
  <c r="O238" i="22"/>
  <c r="N238" i="22"/>
  <c r="E238" i="22"/>
  <c r="AQ237" i="22"/>
  <c r="AK237" i="22"/>
  <c r="Q237" i="22"/>
  <c r="O237" i="22"/>
  <c r="N237" i="22"/>
  <c r="F237" i="22"/>
  <c r="AQ236" i="22"/>
  <c r="AK236" i="22"/>
  <c r="Q236" i="22"/>
  <c r="O236" i="22"/>
  <c r="N236" i="22"/>
  <c r="F236" i="22"/>
  <c r="AQ235" i="22"/>
  <c r="AK235" i="22"/>
  <c r="Q235" i="22"/>
  <c r="O235" i="22"/>
  <c r="N235" i="22"/>
  <c r="F235" i="22"/>
  <c r="AQ234" i="22"/>
  <c r="AK234" i="22"/>
  <c r="Q234" i="22"/>
  <c r="O234" i="22"/>
  <c r="N234" i="22"/>
  <c r="F234" i="22"/>
  <c r="AQ233" i="22"/>
  <c r="AK233" i="22"/>
  <c r="Q233" i="22"/>
  <c r="O233" i="22"/>
  <c r="N233" i="22"/>
  <c r="F233" i="22"/>
  <c r="AQ232" i="22"/>
  <c r="AK232" i="22"/>
  <c r="Q232" i="22"/>
  <c r="O232" i="22"/>
  <c r="N232" i="22"/>
  <c r="F232" i="22"/>
  <c r="AQ231" i="22"/>
  <c r="AK231" i="22"/>
  <c r="Q231" i="22"/>
  <c r="O231" i="22"/>
  <c r="N231" i="22"/>
  <c r="F231" i="22"/>
  <c r="AQ230" i="22"/>
  <c r="AK230" i="22"/>
  <c r="Q230" i="22"/>
  <c r="O230" i="22"/>
  <c r="N230" i="22"/>
  <c r="F230" i="22"/>
  <c r="AQ229" i="22"/>
  <c r="AK229" i="22"/>
  <c r="Q229" i="22"/>
  <c r="O229" i="22"/>
  <c r="N229" i="22"/>
  <c r="F229" i="22"/>
  <c r="AQ228" i="22"/>
  <c r="AK228" i="22"/>
  <c r="Q228" i="22"/>
  <c r="O228" i="22"/>
  <c r="N228" i="22"/>
  <c r="F228" i="22"/>
  <c r="AQ227" i="22"/>
  <c r="AK227" i="22"/>
  <c r="Q227" i="22"/>
  <c r="O227" i="22"/>
  <c r="N227" i="22"/>
  <c r="F227" i="22"/>
  <c r="AQ226" i="22"/>
  <c r="AK226" i="22"/>
  <c r="Q226" i="22"/>
  <c r="O226" i="22"/>
  <c r="N226" i="22"/>
  <c r="F226" i="22"/>
  <c r="AQ225" i="22"/>
  <c r="AK225" i="22"/>
  <c r="Q225" i="22"/>
  <c r="O225" i="22"/>
  <c r="N225" i="22"/>
  <c r="F225" i="22"/>
  <c r="AQ224" i="22"/>
  <c r="AK224" i="22"/>
  <c r="Q224" i="22"/>
  <c r="O224" i="22"/>
  <c r="N224" i="22"/>
  <c r="F224" i="22"/>
  <c r="AQ223" i="22"/>
  <c r="AK223" i="22"/>
  <c r="Q223" i="22"/>
  <c r="O223" i="22"/>
  <c r="N223" i="22"/>
  <c r="F223" i="22"/>
  <c r="AQ222" i="22"/>
  <c r="AK222" i="22"/>
  <c r="Q222" i="22"/>
  <c r="O222" i="22"/>
  <c r="N222" i="22"/>
  <c r="F222" i="22"/>
  <c r="AQ221" i="22"/>
  <c r="AK221" i="22"/>
  <c r="Q221" i="22"/>
  <c r="O221" i="22"/>
  <c r="N221" i="22"/>
  <c r="F221" i="22"/>
  <c r="AQ220" i="22"/>
  <c r="AK220" i="22"/>
  <c r="Q220" i="22"/>
  <c r="O220" i="22"/>
  <c r="N220" i="22"/>
  <c r="F220" i="22"/>
  <c r="AQ219" i="22"/>
  <c r="AK219" i="22"/>
  <c r="Q219" i="22"/>
  <c r="O219" i="22"/>
  <c r="N219" i="22"/>
  <c r="F219" i="22"/>
  <c r="AQ218" i="22"/>
  <c r="AK218" i="22"/>
  <c r="Q218" i="22"/>
  <c r="O218" i="22"/>
  <c r="N218" i="22"/>
  <c r="F218" i="22"/>
  <c r="AQ217" i="22"/>
  <c r="AK217" i="22"/>
  <c r="Q217" i="22"/>
  <c r="O217" i="22"/>
  <c r="N217" i="22"/>
  <c r="F217" i="22"/>
  <c r="AQ216" i="22"/>
  <c r="AK216" i="22"/>
  <c r="Q216" i="22"/>
  <c r="O216" i="22"/>
  <c r="N216" i="22"/>
  <c r="F216" i="22"/>
  <c r="AQ215" i="22"/>
  <c r="AK215" i="22"/>
  <c r="Q215" i="22"/>
  <c r="O215" i="22"/>
  <c r="N215" i="22"/>
  <c r="F215" i="22"/>
  <c r="AQ214" i="22"/>
  <c r="AK214" i="22"/>
  <c r="Q214" i="22"/>
  <c r="O214" i="22"/>
  <c r="N214" i="22"/>
  <c r="F214" i="22"/>
  <c r="AQ213" i="22"/>
  <c r="AK213" i="22"/>
  <c r="Q213" i="22"/>
  <c r="O213" i="22"/>
  <c r="N213" i="22"/>
  <c r="F213" i="22"/>
  <c r="AQ212" i="22"/>
  <c r="AK212" i="22"/>
  <c r="Q212" i="22"/>
  <c r="O212" i="22"/>
  <c r="N212" i="22"/>
  <c r="F212" i="22"/>
  <c r="AQ211" i="22"/>
  <c r="AK211" i="22"/>
  <c r="Q211" i="22"/>
  <c r="O211" i="22"/>
  <c r="N211" i="22"/>
  <c r="F211" i="22"/>
  <c r="AQ210" i="22"/>
  <c r="AK210" i="22"/>
  <c r="Q210" i="22"/>
  <c r="O210" i="22"/>
  <c r="N210" i="22"/>
  <c r="F210" i="22"/>
  <c r="AQ209" i="22"/>
  <c r="AK209" i="22"/>
  <c r="Q209" i="22"/>
  <c r="O209" i="22"/>
  <c r="N209" i="22"/>
  <c r="F209" i="22"/>
  <c r="AQ208" i="22"/>
  <c r="AK208" i="22"/>
  <c r="Q208" i="22"/>
  <c r="O208" i="22"/>
  <c r="N208" i="22"/>
  <c r="F208" i="22"/>
  <c r="AQ207" i="22"/>
  <c r="AK207" i="22"/>
  <c r="Q207" i="22"/>
  <c r="O207" i="22"/>
  <c r="N207" i="22"/>
  <c r="F207" i="22"/>
  <c r="AQ206" i="22"/>
  <c r="AK206" i="22"/>
  <c r="Q206" i="22"/>
  <c r="O206" i="22"/>
  <c r="N206" i="22"/>
  <c r="F206" i="22"/>
  <c r="AQ205" i="22"/>
  <c r="AK205" i="22"/>
  <c r="Q205" i="22"/>
  <c r="O205" i="22"/>
  <c r="N205" i="22"/>
  <c r="F205" i="22"/>
  <c r="AP204" i="22"/>
  <c r="AQ204" i="22" s="1"/>
  <c r="AK204" i="22"/>
  <c r="Q204" i="22"/>
  <c r="O204" i="22"/>
  <c r="N204" i="22"/>
  <c r="F204" i="22"/>
  <c r="AQ203" i="22"/>
  <c r="AP203" i="22"/>
  <c r="AK203" i="22"/>
  <c r="Q203" i="22"/>
  <c r="O203" i="22"/>
  <c r="N203" i="22"/>
  <c r="F203" i="22"/>
  <c r="AT202" i="22"/>
  <c r="AP202" i="22" s="1"/>
  <c r="AQ202" i="22" s="1"/>
  <c r="O202" i="22"/>
  <c r="N202" i="22"/>
  <c r="E202" i="22"/>
  <c r="BI201" i="22"/>
  <c r="AT201" i="22"/>
  <c r="AQ201" i="22"/>
  <c r="AP201" i="22"/>
  <c r="Q201" i="22"/>
  <c r="P201" i="22"/>
  <c r="O201" i="22"/>
  <c r="N201" i="22"/>
  <c r="E201" i="22"/>
  <c r="AT200" i="22"/>
  <c r="BI200" i="22" s="1"/>
  <c r="P200" i="22"/>
  <c r="O200" i="22"/>
  <c r="N200" i="22"/>
  <c r="E200" i="22"/>
  <c r="BI199" i="22"/>
  <c r="AT199" i="22"/>
  <c r="AQ199" i="22"/>
  <c r="AP199" i="22"/>
  <c r="Q199" i="22"/>
  <c r="P199" i="22"/>
  <c r="O199" i="22"/>
  <c r="N199" i="22"/>
  <c r="E199" i="22"/>
  <c r="AT198" i="22"/>
  <c r="BI198" i="22" s="1"/>
  <c r="AP198" i="22"/>
  <c r="AQ198" i="22" s="1"/>
  <c r="Q198" i="22"/>
  <c r="P198" i="22"/>
  <c r="O198" i="22"/>
  <c r="N198" i="22"/>
  <c r="E198" i="22"/>
  <c r="BI197" i="22"/>
  <c r="AT197" i="22"/>
  <c r="P197" i="22" s="1"/>
  <c r="AQ197" i="22"/>
  <c r="AP197" i="22"/>
  <c r="Q197" i="22"/>
  <c r="O197" i="22"/>
  <c r="N197" i="22"/>
  <c r="E197" i="22"/>
  <c r="AT196" i="22"/>
  <c r="Q196" i="22" s="1"/>
  <c r="AP196" i="22"/>
  <c r="AQ196" i="22" s="1"/>
  <c r="O196" i="22"/>
  <c r="N196" i="22"/>
  <c r="E196" i="22"/>
  <c r="BI195" i="22"/>
  <c r="AT195" i="22"/>
  <c r="AP195" i="22" s="1"/>
  <c r="AQ195" i="22" s="1"/>
  <c r="Q195" i="22"/>
  <c r="O195" i="22"/>
  <c r="N195" i="22"/>
  <c r="E195" i="22"/>
  <c r="AT194" i="22"/>
  <c r="AP194" i="22" s="1"/>
  <c r="AQ194" i="22" s="1"/>
  <c r="O194" i="22"/>
  <c r="N194" i="22"/>
  <c r="E194" i="22"/>
  <c r="BI193" i="22"/>
  <c r="AT193" i="22"/>
  <c r="AQ193" i="22"/>
  <c r="AP193" i="22"/>
  <c r="Q193" i="22"/>
  <c r="P193" i="22"/>
  <c r="O193" i="22"/>
  <c r="N193" i="22"/>
  <c r="E193" i="22"/>
  <c r="AT192" i="22"/>
  <c r="BI192" i="22" s="1"/>
  <c r="P192" i="22"/>
  <c r="O192" i="22"/>
  <c r="N192" i="22"/>
  <c r="E192" i="22"/>
  <c r="BI191" i="22"/>
  <c r="AT191" i="22"/>
  <c r="AQ191" i="22"/>
  <c r="AP191" i="22"/>
  <c r="Q191" i="22"/>
  <c r="P191" i="22"/>
  <c r="O191" i="22"/>
  <c r="N191" i="22"/>
  <c r="E191" i="22"/>
  <c r="AT190" i="22"/>
  <c r="BI190" i="22" s="1"/>
  <c r="AP190" i="22"/>
  <c r="AQ190" i="22" s="1"/>
  <c r="Q190" i="22"/>
  <c r="P190" i="22"/>
  <c r="O190" i="22"/>
  <c r="N190" i="22"/>
  <c r="E190" i="22"/>
  <c r="BI189" i="22"/>
  <c r="AT189" i="22"/>
  <c r="P189" i="22" s="1"/>
  <c r="AQ189" i="22"/>
  <c r="AP189" i="22"/>
  <c r="Q189" i="22"/>
  <c r="O189" i="22"/>
  <c r="N189" i="22"/>
  <c r="E189" i="22"/>
  <c r="AT188" i="22"/>
  <c r="Q188" i="22" s="1"/>
  <c r="AP188" i="22"/>
  <c r="AQ188" i="22" s="1"/>
  <c r="O188" i="22"/>
  <c r="N188" i="22"/>
  <c r="E188" i="22"/>
  <c r="BI187" i="22"/>
  <c r="AT187" i="22"/>
  <c r="AP187" i="22" s="1"/>
  <c r="AQ187" i="22" s="1"/>
  <c r="Q187" i="22"/>
  <c r="O187" i="22"/>
  <c r="N187" i="22"/>
  <c r="E187" i="22"/>
  <c r="AT186" i="22"/>
  <c r="AP186" i="22" s="1"/>
  <c r="AQ186" i="22" s="1"/>
  <c r="O186" i="22"/>
  <c r="N186" i="22"/>
  <c r="E186" i="22"/>
  <c r="BI185" i="22"/>
  <c r="AT185" i="22"/>
  <c r="AQ185" i="22"/>
  <c r="AP185" i="22"/>
  <c r="Q185" i="22"/>
  <c r="P185" i="22"/>
  <c r="O185" i="22"/>
  <c r="N185" i="22"/>
  <c r="E185" i="22"/>
  <c r="AT184" i="22"/>
  <c r="BI184" i="22" s="1"/>
  <c r="P184" i="22"/>
  <c r="O184" i="22"/>
  <c r="N184" i="22"/>
  <c r="E184" i="22"/>
  <c r="BI183" i="22"/>
  <c r="AT183" i="22"/>
  <c r="AQ183" i="22"/>
  <c r="AP183" i="22"/>
  <c r="Q183" i="22"/>
  <c r="P183" i="22"/>
  <c r="O183" i="22"/>
  <c r="N183" i="22"/>
  <c r="E183" i="22"/>
  <c r="AT182" i="22"/>
  <c r="BI182" i="22" s="1"/>
  <c r="AP182" i="22"/>
  <c r="AQ182" i="22" s="1"/>
  <c r="Q182" i="22"/>
  <c r="P182" i="22"/>
  <c r="O182" i="22"/>
  <c r="N182" i="22"/>
  <c r="E182" i="22"/>
  <c r="BI181" i="22"/>
  <c r="AT181" i="22"/>
  <c r="P181" i="22" s="1"/>
  <c r="AQ181" i="22"/>
  <c r="AP181" i="22"/>
  <c r="Q181" i="22"/>
  <c r="O181" i="22"/>
  <c r="N181" i="22"/>
  <c r="E181" i="22"/>
  <c r="AT180" i="22"/>
  <c r="Q180" i="22" s="1"/>
  <c r="AP180" i="22"/>
  <c r="AQ180" i="22" s="1"/>
  <c r="O180" i="22"/>
  <c r="N180" i="22"/>
  <c r="E180" i="22"/>
  <c r="BI179" i="22"/>
  <c r="AT179" i="22"/>
  <c r="AP179" i="22" s="1"/>
  <c r="AQ179" i="22" s="1"/>
  <c r="Q179" i="22"/>
  <c r="O179" i="22"/>
  <c r="N179" i="22"/>
  <c r="E179" i="22"/>
  <c r="AT178" i="22"/>
  <c r="AP178" i="22" s="1"/>
  <c r="AQ178" i="22" s="1"/>
  <c r="O178" i="22"/>
  <c r="N178" i="22"/>
  <c r="E178" i="22"/>
  <c r="BI177" i="22"/>
  <c r="AT177" i="22"/>
  <c r="AQ177" i="22"/>
  <c r="AP177" i="22"/>
  <c r="Q177" i="22"/>
  <c r="P177" i="22"/>
  <c r="O177" i="22"/>
  <c r="N177" i="22"/>
  <c r="E177" i="22"/>
  <c r="BI176" i="22"/>
  <c r="AQ176" i="22"/>
  <c r="AP176" i="22"/>
  <c r="Q176" i="22"/>
  <c r="P176" i="22"/>
  <c r="O176" i="22"/>
  <c r="N176" i="22"/>
  <c r="E176" i="22"/>
  <c r="BI175" i="22"/>
  <c r="AQ175" i="22"/>
  <c r="AP175" i="22"/>
  <c r="Q175" i="22"/>
  <c r="P175" i="22"/>
  <c r="O175" i="22"/>
  <c r="N175" i="22"/>
  <c r="E175" i="22"/>
  <c r="BI174" i="22"/>
  <c r="AQ174" i="22"/>
  <c r="AP174" i="22"/>
  <c r="Q174" i="22"/>
  <c r="P174" i="22"/>
  <c r="O174" i="22"/>
  <c r="N174" i="22"/>
  <c r="E174" i="22"/>
  <c r="BI173" i="22"/>
  <c r="AQ173" i="22"/>
  <c r="AP173" i="22"/>
  <c r="Q173" i="22"/>
  <c r="P173" i="22"/>
  <c r="O173" i="22"/>
  <c r="N173" i="22"/>
  <c r="E173" i="22"/>
  <c r="BI172" i="22"/>
  <c r="AQ172" i="22"/>
  <c r="AP172" i="22"/>
  <c r="Q172" i="22"/>
  <c r="P172" i="22"/>
  <c r="O172" i="22"/>
  <c r="N172" i="22"/>
  <c r="E172" i="22"/>
  <c r="BI171" i="22"/>
  <c r="AQ171" i="22"/>
  <c r="AP171" i="22"/>
  <c r="Q171" i="22"/>
  <c r="P171" i="22"/>
  <c r="O171" i="22"/>
  <c r="N171" i="22"/>
  <c r="E171" i="22"/>
  <c r="BI170" i="22"/>
  <c r="AQ170" i="22"/>
  <c r="AP170" i="22"/>
  <c r="Q170" i="22"/>
  <c r="P170" i="22"/>
  <c r="O170" i="22"/>
  <c r="N170" i="22"/>
  <c r="E170" i="22"/>
  <c r="BI169" i="22"/>
  <c r="AQ169" i="22"/>
  <c r="AP169" i="22"/>
  <c r="Q169" i="22"/>
  <c r="P169" i="22"/>
  <c r="O169" i="22"/>
  <c r="N169" i="22"/>
  <c r="E169" i="22"/>
  <c r="AT168" i="22"/>
  <c r="BI168" i="22" s="1"/>
  <c r="P168" i="22"/>
  <c r="O168" i="22"/>
  <c r="N168" i="22"/>
  <c r="E168" i="22"/>
  <c r="BI167" i="22"/>
  <c r="AT167" i="22"/>
  <c r="AQ167" i="22"/>
  <c r="AP167" i="22"/>
  <c r="Q167" i="22"/>
  <c r="P167" i="22"/>
  <c r="O167" i="22"/>
  <c r="N167" i="22"/>
  <c r="E167" i="22"/>
  <c r="AQ166" i="22"/>
  <c r="AM166" i="22"/>
  <c r="AE166" i="22"/>
  <c r="AD166" i="22"/>
  <c r="O166" i="22"/>
  <c r="N166" i="22"/>
  <c r="F166" i="22"/>
  <c r="AQ165" i="22"/>
  <c r="AM165" i="22"/>
  <c r="AE165" i="22"/>
  <c r="AD165" i="22"/>
  <c r="O165" i="22"/>
  <c r="N165" i="22"/>
  <c r="F165" i="22"/>
  <c r="AQ164" i="22"/>
  <c r="AM164" i="22"/>
  <c r="AE164" i="22"/>
  <c r="AD164" i="22"/>
  <c r="O164" i="22"/>
  <c r="N164" i="22"/>
  <c r="F164" i="22"/>
  <c r="AQ163" i="22"/>
  <c r="AM163" i="22"/>
  <c r="AE163" i="22"/>
  <c r="AD163" i="22"/>
  <c r="O163" i="22"/>
  <c r="N163" i="22"/>
  <c r="F163" i="22"/>
  <c r="AQ162" i="22"/>
  <c r="AM162" i="22"/>
  <c r="AE162" i="22"/>
  <c r="AD162" i="22"/>
  <c r="O162" i="22"/>
  <c r="N162" i="22"/>
  <c r="F162" i="22"/>
  <c r="AQ161" i="22"/>
  <c r="AM161" i="22"/>
  <c r="AE161" i="22"/>
  <c r="AD161" i="22"/>
  <c r="O161" i="22"/>
  <c r="N161" i="22"/>
  <c r="F161" i="22"/>
  <c r="AQ160" i="22"/>
  <c r="AM160" i="22"/>
  <c r="AE160" i="22"/>
  <c r="AD160" i="22"/>
  <c r="O160" i="22"/>
  <c r="N160" i="22"/>
  <c r="F160" i="22"/>
  <c r="AQ159" i="22"/>
  <c r="AM159" i="22"/>
  <c r="AE159" i="22"/>
  <c r="AD159" i="22"/>
  <c r="O159" i="22"/>
  <c r="N159" i="22"/>
  <c r="F159" i="22"/>
  <c r="AQ158" i="22"/>
  <c r="AM158" i="22"/>
  <c r="AE158" i="22"/>
  <c r="AD158" i="22"/>
  <c r="O158" i="22"/>
  <c r="N158" i="22"/>
  <c r="F158" i="22"/>
  <c r="AQ157" i="22"/>
  <c r="AM157" i="22"/>
  <c r="AE157" i="22"/>
  <c r="AD157" i="22"/>
  <c r="O157" i="22"/>
  <c r="N157" i="22"/>
  <c r="F157" i="22"/>
  <c r="AQ156" i="22"/>
  <c r="AM156" i="22"/>
  <c r="AE156" i="22"/>
  <c r="AD156" i="22"/>
  <c r="O156" i="22"/>
  <c r="N156" i="22"/>
  <c r="F156" i="22"/>
  <c r="AQ155" i="22"/>
  <c r="AM155" i="22"/>
  <c r="AE155" i="22"/>
  <c r="AD155" i="22"/>
  <c r="O155" i="22"/>
  <c r="N155" i="22"/>
  <c r="F155" i="22"/>
  <c r="AQ154" i="22"/>
  <c r="AM154" i="22"/>
  <c r="AE154" i="22"/>
  <c r="AD154" i="22"/>
  <c r="O154" i="22"/>
  <c r="N154" i="22"/>
  <c r="F154" i="22"/>
  <c r="AQ153" i="22"/>
  <c r="AM153" i="22"/>
  <c r="AE153" i="22"/>
  <c r="AD153" i="22"/>
  <c r="O153" i="22"/>
  <c r="N153" i="22"/>
  <c r="F153" i="22"/>
  <c r="AQ152" i="22"/>
  <c r="AM152" i="22"/>
  <c r="AE152" i="22"/>
  <c r="AD152" i="22"/>
  <c r="O152" i="22"/>
  <c r="N152" i="22"/>
  <c r="F152" i="22"/>
  <c r="AQ151" i="22"/>
  <c r="AM151" i="22"/>
  <c r="AE151" i="22"/>
  <c r="AD151" i="22"/>
  <c r="O151" i="22"/>
  <c r="N151" i="22"/>
  <c r="F151" i="22"/>
  <c r="AQ150" i="22"/>
  <c r="AM150" i="22"/>
  <c r="AE150" i="22"/>
  <c r="AD150" i="22"/>
  <c r="O150" i="22"/>
  <c r="N150" i="22"/>
  <c r="F150" i="22"/>
  <c r="AQ149" i="22"/>
  <c r="AM149" i="22"/>
  <c r="AE149" i="22"/>
  <c r="AD149" i="22"/>
  <c r="O149" i="22"/>
  <c r="N149" i="22"/>
  <c r="F149" i="22"/>
  <c r="AQ148" i="22"/>
  <c r="AM148" i="22"/>
  <c r="AE148" i="22"/>
  <c r="AD148" i="22"/>
  <c r="O148" i="22"/>
  <c r="N148" i="22"/>
  <c r="F148" i="22"/>
  <c r="AQ147" i="22"/>
  <c r="AM147" i="22"/>
  <c r="AE147" i="22"/>
  <c r="AD147" i="22"/>
  <c r="O147" i="22"/>
  <c r="N147" i="22"/>
  <c r="F147" i="22"/>
  <c r="AQ146" i="22"/>
  <c r="AM146" i="22"/>
  <c r="AE146" i="22"/>
  <c r="AD146" i="22"/>
  <c r="O146" i="22"/>
  <c r="N146" i="22"/>
  <c r="F146" i="22"/>
  <c r="AQ145" i="22"/>
  <c r="AM145" i="22"/>
  <c r="AE145" i="22"/>
  <c r="AD145" i="22"/>
  <c r="O145" i="22"/>
  <c r="N145" i="22"/>
  <c r="F145" i="22"/>
  <c r="AQ144" i="22"/>
  <c r="AM144" i="22"/>
  <c r="AE144" i="22"/>
  <c r="AD144" i="22"/>
  <c r="O144" i="22"/>
  <c r="N144" i="22"/>
  <c r="F144" i="22"/>
  <c r="AQ143" i="22"/>
  <c r="AM143" i="22"/>
  <c r="AE143" i="22"/>
  <c r="AD143" i="22"/>
  <c r="O143" i="22"/>
  <c r="N143" i="22"/>
  <c r="F143" i="22"/>
  <c r="AQ142" i="22"/>
  <c r="AM142" i="22"/>
  <c r="AE142" i="22"/>
  <c r="AD142" i="22"/>
  <c r="O142" i="22"/>
  <c r="N142" i="22"/>
  <c r="F142" i="22"/>
  <c r="AQ141" i="22"/>
  <c r="AM141" i="22"/>
  <c r="AE141" i="22"/>
  <c r="AD141" i="22"/>
  <c r="O141" i="22"/>
  <c r="N141" i="22"/>
  <c r="F141" i="22"/>
  <c r="AQ140" i="22"/>
  <c r="AM140" i="22"/>
  <c r="AE140" i="22"/>
  <c r="AD140" i="22"/>
  <c r="O140" i="22"/>
  <c r="N140" i="22"/>
  <c r="F140" i="22"/>
  <c r="AQ139" i="22"/>
  <c r="AM139" i="22"/>
  <c r="AE139" i="22"/>
  <c r="AD139" i="22"/>
  <c r="O139" i="22"/>
  <c r="N139" i="22"/>
  <c r="F139" i="22"/>
  <c r="AQ138" i="22"/>
  <c r="AM138" i="22"/>
  <c r="AE138" i="22"/>
  <c r="AD138" i="22"/>
  <c r="O138" i="22"/>
  <c r="N138" i="22"/>
  <c r="F138" i="22"/>
  <c r="AQ137" i="22"/>
  <c r="AM137" i="22"/>
  <c r="AE137" i="22"/>
  <c r="AD137" i="22"/>
  <c r="O137" i="22"/>
  <c r="N137" i="22"/>
  <c r="F137" i="22"/>
  <c r="AQ136" i="22"/>
  <c r="AM136" i="22"/>
  <c r="AE136" i="22"/>
  <c r="AD136" i="22"/>
  <c r="O136" i="22"/>
  <c r="N136" i="22"/>
  <c r="F136" i="22"/>
  <c r="AQ135" i="22"/>
  <c r="AM135" i="22"/>
  <c r="AE135" i="22"/>
  <c r="AD135" i="22"/>
  <c r="O135" i="22"/>
  <c r="N135" i="22"/>
  <c r="F135" i="22"/>
  <c r="AQ134" i="22"/>
  <c r="AM134" i="22"/>
  <c r="AE134" i="22"/>
  <c r="AD134" i="22"/>
  <c r="O134" i="22"/>
  <c r="N134" i="22"/>
  <c r="F134" i="22"/>
  <c r="AQ133" i="22"/>
  <c r="AM133" i="22"/>
  <c r="AE133" i="22"/>
  <c r="AD133" i="22"/>
  <c r="O133" i="22"/>
  <c r="N133" i="22"/>
  <c r="F133" i="22"/>
  <c r="AQ132" i="22"/>
  <c r="AM132" i="22"/>
  <c r="AE132" i="22"/>
  <c r="AD132" i="22"/>
  <c r="O132" i="22"/>
  <c r="N132" i="22"/>
  <c r="F132" i="22"/>
  <c r="AQ131" i="22"/>
  <c r="AM131" i="22"/>
  <c r="AE131" i="22"/>
  <c r="AD131" i="22"/>
  <c r="O131" i="22"/>
  <c r="N131" i="22"/>
  <c r="F131" i="22"/>
  <c r="AQ130" i="22"/>
  <c r="AM130" i="22"/>
  <c r="AE130" i="22"/>
  <c r="AD130" i="22"/>
  <c r="O130" i="22"/>
  <c r="N130" i="22"/>
  <c r="F130" i="22"/>
  <c r="AQ129" i="22"/>
  <c r="AM129" i="22"/>
  <c r="AE129" i="22"/>
  <c r="AD129" i="22"/>
  <c r="O129" i="22"/>
  <c r="N129" i="22"/>
  <c r="F129" i="22"/>
  <c r="AS128" i="22"/>
  <c r="AQ128" i="22"/>
  <c r="AK128" i="22"/>
  <c r="O128" i="22"/>
  <c r="N128" i="22"/>
  <c r="F128" i="22"/>
  <c r="AS127" i="22"/>
  <c r="AQ127" i="22"/>
  <c r="AK127" i="22"/>
  <c r="O127" i="22"/>
  <c r="N127" i="22"/>
  <c r="F127" i="22"/>
  <c r="AS126" i="22"/>
  <c r="AQ126" i="22"/>
  <c r="AK126" i="22"/>
  <c r="O126" i="22"/>
  <c r="N126" i="22"/>
  <c r="F126" i="22"/>
  <c r="AS125" i="22"/>
  <c r="AQ125" i="22"/>
  <c r="AK125" i="22"/>
  <c r="O125" i="22"/>
  <c r="N125" i="22"/>
  <c r="F125" i="22"/>
  <c r="AS124" i="22"/>
  <c r="AQ124" i="22"/>
  <c r="AK124" i="22"/>
  <c r="O124" i="22"/>
  <c r="N124" i="22"/>
  <c r="F124" i="22"/>
  <c r="AS123" i="22"/>
  <c r="AQ123" i="22"/>
  <c r="AK123" i="22"/>
  <c r="O123" i="22"/>
  <c r="N123" i="22"/>
  <c r="F123" i="22"/>
  <c r="AS122" i="22"/>
  <c r="AQ122" i="22"/>
  <c r="AK122" i="22"/>
  <c r="O122" i="22"/>
  <c r="N122" i="22"/>
  <c r="F122" i="22"/>
  <c r="AS121" i="22"/>
  <c r="AQ121" i="22"/>
  <c r="AK121" i="22"/>
  <c r="O121" i="22"/>
  <c r="N121" i="22"/>
  <c r="F121" i="22"/>
  <c r="AS120" i="22"/>
  <c r="AQ120" i="22"/>
  <c r="AK120" i="22"/>
  <c r="O120" i="22"/>
  <c r="N120" i="22"/>
  <c r="F120" i="22"/>
  <c r="AS119" i="22"/>
  <c r="AQ119" i="22"/>
  <c r="AK119" i="22"/>
  <c r="O119" i="22"/>
  <c r="N119" i="22"/>
  <c r="F119" i="22"/>
  <c r="AS118" i="22"/>
  <c r="AQ118" i="22"/>
  <c r="AK118" i="22"/>
  <c r="O118" i="22"/>
  <c r="N118" i="22"/>
  <c r="F118" i="22"/>
  <c r="AS117" i="22"/>
  <c r="AQ117" i="22"/>
  <c r="AK117" i="22"/>
  <c r="O117" i="22"/>
  <c r="N117" i="22"/>
  <c r="F117" i="22"/>
  <c r="AS116" i="22"/>
  <c r="AQ116" i="22"/>
  <c r="AK116" i="22"/>
  <c r="O116" i="22"/>
  <c r="N116" i="22"/>
  <c r="F116" i="22"/>
  <c r="AS115" i="22"/>
  <c r="AQ115" i="22"/>
  <c r="AK115" i="22"/>
  <c r="O115" i="22"/>
  <c r="N115" i="22"/>
  <c r="F115" i="22"/>
  <c r="O114" i="22"/>
  <c r="N114" i="22"/>
  <c r="E114" i="22"/>
  <c r="O113" i="22"/>
  <c r="N113" i="22"/>
  <c r="E113" i="22"/>
  <c r="O112" i="22"/>
  <c r="N112" i="22"/>
  <c r="E112" i="22"/>
  <c r="O111" i="22"/>
  <c r="N111" i="22"/>
  <c r="E111" i="22"/>
  <c r="O110" i="22"/>
  <c r="N110" i="22"/>
  <c r="E110" i="22"/>
  <c r="AS109" i="22"/>
  <c r="AP109" i="22"/>
  <c r="Q109" i="22"/>
  <c r="O109" i="22"/>
  <c r="N109" i="22"/>
  <c r="E109" i="22"/>
  <c r="AS108" i="22"/>
  <c r="AP108" i="22"/>
  <c r="Q108" i="22"/>
  <c r="O108" i="22"/>
  <c r="N108" i="22"/>
  <c r="E108" i="22"/>
  <c r="AS107" i="22"/>
  <c r="AP107" i="22"/>
  <c r="Q107" i="22"/>
  <c r="O107" i="22"/>
  <c r="N107" i="22"/>
  <c r="E107" i="22"/>
  <c r="AS106" i="22"/>
  <c r="AP106" i="22"/>
  <c r="Q106" i="22"/>
  <c r="O106" i="22"/>
  <c r="N106" i="22"/>
  <c r="E106" i="22"/>
  <c r="AS105" i="22"/>
  <c r="AP105" i="22"/>
  <c r="Q105" i="22"/>
  <c r="O105" i="22"/>
  <c r="N105" i="22"/>
  <c r="E105" i="22"/>
  <c r="AS104" i="22"/>
  <c r="AP104" i="22"/>
  <c r="Q104" i="22"/>
  <c r="O104" i="22"/>
  <c r="N104" i="22"/>
  <c r="E104" i="22"/>
  <c r="AS103" i="22"/>
  <c r="AP103" i="22"/>
  <c r="Q103" i="22"/>
  <c r="O103" i="22"/>
  <c r="N103" i="22"/>
  <c r="E103" i="22"/>
  <c r="AS102" i="22"/>
  <c r="AP102" i="22"/>
  <c r="Q102" i="22"/>
  <c r="O102" i="22"/>
  <c r="N102" i="22"/>
  <c r="E102" i="22"/>
  <c r="AS101" i="22"/>
  <c r="AP101" i="22"/>
  <c r="Q101" i="22"/>
  <c r="O101" i="22"/>
  <c r="N101" i="22"/>
  <c r="E101" i="22"/>
  <c r="AS100" i="22"/>
  <c r="AP100" i="22"/>
  <c r="Q100" i="22"/>
  <c r="O100" i="22"/>
  <c r="N100" i="22"/>
  <c r="E100" i="22"/>
  <c r="AS99" i="22"/>
  <c r="AP99" i="22"/>
  <c r="Q99" i="22"/>
  <c r="O99" i="22"/>
  <c r="N99" i="22"/>
  <c r="E99" i="22"/>
  <c r="AS98" i="22"/>
  <c r="AP98" i="22"/>
  <c r="Q98" i="22"/>
  <c r="O98" i="22"/>
  <c r="N98" i="22"/>
  <c r="E98" i="22"/>
  <c r="AS97" i="22"/>
  <c r="AP97" i="22"/>
  <c r="Q97" i="22"/>
  <c r="O97" i="22"/>
  <c r="N97" i="22"/>
  <c r="E97" i="22"/>
  <c r="AS96" i="22"/>
  <c r="AP96" i="22"/>
  <c r="Q96" i="22"/>
  <c r="O96" i="22"/>
  <c r="N96" i="22"/>
  <c r="E96" i="22"/>
  <c r="AQ95" i="22"/>
  <c r="AK95" i="22"/>
  <c r="Q95" i="22"/>
  <c r="O95" i="22"/>
  <c r="N95" i="22"/>
  <c r="E95" i="22"/>
  <c r="AQ94" i="22"/>
  <c r="AK94" i="22"/>
  <c r="Q94" i="22"/>
  <c r="O94" i="22"/>
  <c r="N94" i="22"/>
  <c r="E94" i="22"/>
  <c r="AQ93" i="22"/>
  <c r="AK93" i="22"/>
  <c r="Q93" i="22"/>
  <c r="O93" i="22"/>
  <c r="N93" i="22"/>
  <c r="E93" i="22"/>
  <c r="AQ92" i="22"/>
  <c r="AK92" i="22"/>
  <c r="Q92" i="22"/>
  <c r="O92" i="22"/>
  <c r="N92" i="22"/>
  <c r="E92" i="22"/>
  <c r="AQ91" i="22"/>
  <c r="AK91" i="22"/>
  <c r="Q91" i="22"/>
  <c r="O91" i="22"/>
  <c r="N91" i="22"/>
  <c r="E91" i="22"/>
  <c r="AQ90" i="22"/>
  <c r="AK90" i="22"/>
  <c r="Q90" i="22"/>
  <c r="O90" i="22"/>
  <c r="N90" i="22"/>
  <c r="E90" i="22"/>
  <c r="AQ89" i="22"/>
  <c r="AK89" i="22"/>
  <c r="Q89" i="22"/>
  <c r="O89" i="22"/>
  <c r="N89" i="22"/>
  <c r="E89" i="22"/>
  <c r="AQ88" i="22"/>
  <c r="AK88" i="22"/>
  <c r="Q88" i="22"/>
  <c r="O88" i="22"/>
  <c r="N88" i="22"/>
  <c r="E88" i="22"/>
  <c r="AQ87" i="22"/>
  <c r="AK87" i="22"/>
  <c r="Q87" i="22"/>
  <c r="O87" i="22"/>
  <c r="N87" i="22"/>
  <c r="E87" i="22"/>
  <c r="AQ86" i="22"/>
  <c r="AK86" i="22"/>
  <c r="Q86" i="22"/>
  <c r="O86" i="22"/>
  <c r="N86" i="22"/>
  <c r="E86" i="22"/>
  <c r="AQ85" i="22"/>
  <c r="AK85" i="22"/>
  <c r="Q85" i="22"/>
  <c r="O85" i="22"/>
  <c r="N85" i="22"/>
  <c r="E85" i="22"/>
  <c r="AQ84" i="22"/>
  <c r="AK84" i="22"/>
  <c r="Q84" i="22"/>
  <c r="O84" i="22"/>
  <c r="N84" i="22"/>
  <c r="E84" i="22"/>
  <c r="AQ83" i="22"/>
  <c r="AK83" i="22"/>
  <c r="Q83" i="22"/>
  <c r="O83" i="22"/>
  <c r="N83" i="22"/>
  <c r="E83" i="22"/>
  <c r="AQ82" i="22"/>
  <c r="AK82" i="22"/>
  <c r="Q82" i="22"/>
  <c r="O82" i="22"/>
  <c r="N82" i="22"/>
  <c r="E82" i="22"/>
  <c r="AQ81" i="22"/>
  <c r="AK81" i="22"/>
  <c r="Q81" i="22"/>
  <c r="O81" i="22"/>
  <c r="N81" i="22"/>
  <c r="E81" i="22"/>
  <c r="AQ80" i="22"/>
  <c r="AM80" i="22"/>
  <c r="AK80" i="22"/>
  <c r="AE80" i="22"/>
  <c r="AD80" i="22"/>
  <c r="O80" i="22"/>
  <c r="N80" i="22"/>
  <c r="F80" i="22"/>
  <c r="AQ79" i="22"/>
  <c r="AM79" i="22"/>
  <c r="AK79" i="22"/>
  <c r="AE79" i="22"/>
  <c r="AD79" i="22"/>
  <c r="O79" i="22"/>
  <c r="N79" i="22"/>
  <c r="F79" i="22"/>
  <c r="AQ78" i="22"/>
  <c r="AM78" i="22"/>
  <c r="AK78" i="22"/>
  <c r="AE78" i="22"/>
  <c r="AD78" i="22"/>
  <c r="O78" i="22"/>
  <c r="N78" i="22"/>
  <c r="F78" i="22"/>
  <c r="AQ77" i="22"/>
  <c r="AM77" i="22"/>
  <c r="AK77" i="22"/>
  <c r="AE77" i="22"/>
  <c r="AD77" i="22"/>
  <c r="O77" i="22"/>
  <c r="N77" i="22"/>
  <c r="F77" i="22"/>
  <c r="AQ76" i="22"/>
  <c r="AM76" i="22"/>
  <c r="AK76" i="22"/>
  <c r="AE76" i="22"/>
  <c r="AD76" i="22"/>
  <c r="O76" i="22"/>
  <c r="N76" i="22"/>
  <c r="F76" i="22"/>
  <c r="AQ75" i="22"/>
  <c r="AM75" i="22"/>
  <c r="AK75" i="22"/>
  <c r="AE75" i="22"/>
  <c r="AD75" i="22"/>
  <c r="O75" i="22"/>
  <c r="N75" i="22"/>
  <c r="F75" i="22"/>
  <c r="AQ74" i="22"/>
  <c r="AM74" i="22"/>
  <c r="AK74" i="22"/>
  <c r="AE74" i="22"/>
  <c r="AD74" i="22"/>
  <c r="O74" i="22"/>
  <c r="N74" i="22"/>
  <c r="F74" i="22"/>
  <c r="AQ73" i="22"/>
  <c r="AM73" i="22"/>
  <c r="AK73" i="22"/>
  <c r="AE73" i="22"/>
  <c r="AD73" i="22"/>
  <c r="O73" i="22"/>
  <c r="N73" i="22"/>
  <c r="F73" i="22"/>
  <c r="AQ72" i="22"/>
  <c r="AM72" i="22"/>
  <c r="AK72" i="22"/>
  <c r="AE72" i="22"/>
  <c r="AD72" i="22"/>
  <c r="O72" i="22"/>
  <c r="N72" i="22"/>
  <c r="F72" i="22"/>
  <c r="AQ71" i="22"/>
  <c r="AM71" i="22"/>
  <c r="AK71" i="22"/>
  <c r="AE71" i="22"/>
  <c r="AD71" i="22"/>
  <c r="O71" i="22"/>
  <c r="N71" i="22"/>
  <c r="F71" i="22"/>
  <c r="AQ70" i="22"/>
  <c r="AM70" i="22"/>
  <c r="AK70" i="22"/>
  <c r="AE70" i="22"/>
  <c r="AD70" i="22"/>
  <c r="O70" i="22"/>
  <c r="N70" i="22"/>
  <c r="F70" i="22"/>
  <c r="AQ69" i="22"/>
  <c r="AM69" i="22"/>
  <c r="AK69" i="22"/>
  <c r="AE69" i="22"/>
  <c r="AD69" i="22"/>
  <c r="O69" i="22"/>
  <c r="N69" i="22"/>
  <c r="F69" i="22"/>
  <c r="AQ68" i="22"/>
  <c r="AM68" i="22"/>
  <c r="AK68" i="22"/>
  <c r="AE68" i="22"/>
  <c r="AD68" i="22"/>
  <c r="O68" i="22"/>
  <c r="N68" i="22"/>
  <c r="F68" i="22"/>
  <c r="AQ67" i="22"/>
  <c r="AM67" i="22"/>
  <c r="AK67" i="22"/>
  <c r="AE67" i="22"/>
  <c r="AD67" i="22"/>
  <c r="O67" i="22"/>
  <c r="N67" i="22"/>
  <c r="F67" i="22"/>
  <c r="AR66" i="22"/>
  <c r="AQ66" i="22"/>
  <c r="AM66" i="22"/>
  <c r="AK66" i="22"/>
  <c r="AE66" i="22"/>
  <c r="AD66" i="22"/>
  <c r="O66" i="22"/>
  <c r="N66" i="22"/>
  <c r="F66" i="22"/>
  <c r="AR65" i="22"/>
  <c r="AQ65" i="22"/>
  <c r="AM65" i="22"/>
  <c r="AK65" i="22"/>
  <c r="AE65" i="22"/>
  <c r="AD65" i="22"/>
  <c r="O65" i="22"/>
  <c r="N65" i="22"/>
  <c r="F65" i="22"/>
  <c r="AQ64" i="22"/>
  <c r="AM64" i="22"/>
  <c r="AH64" i="22"/>
  <c r="O64" i="22"/>
  <c r="N64" i="22"/>
  <c r="F64" i="22"/>
  <c r="AQ63" i="22"/>
  <c r="AM63" i="22"/>
  <c r="AH63" i="22"/>
  <c r="O63" i="22"/>
  <c r="N63" i="22"/>
  <c r="F63" i="22"/>
  <c r="AQ62" i="22"/>
  <c r="AM62" i="22"/>
  <c r="AH62" i="22"/>
  <c r="O62" i="22"/>
  <c r="N62" i="22"/>
  <c r="F62" i="22"/>
  <c r="AQ61" i="22"/>
  <c r="AM61" i="22"/>
  <c r="AH61" i="22"/>
  <c r="O61" i="22"/>
  <c r="N61" i="22"/>
  <c r="F61" i="22"/>
  <c r="AQ60" i="22"/>
  <c r="AM60" i="22"/>
  <c r="AH60" i="22"/>
  <c r="O60" i="22"/>
  <c r="N60" i="22"/>
  <c r="F60" i="22"/>
  <c r="AQ59" i="22"/>
  <c r="AM59" i="22"/>
  <c r="AH59" i="22"/>
  <c r="O59" i="22"/>
  <c r="N59" i="22"/>
  <c r="F59" i="22"/>
  <c r="AQ58" i="22"/>
  <c r="AM58" i="22"/>
  <c r="AH58" i="22"/>
  <c r="O58" i="22"/>
  <c r="N58" i="22"/>
  <c r="F58" i="22"/>
  <c r="AQ57" i="22"/>
  <c r="AM57" i="22"/>
  <c r="AH57" i="22"/>
  <c r="O57" i="22"/>
  <c r="N57" i="22"/>
  <c r="F57" i="22"/>
  <c r="AQ56" i="22"/>
  <c r="AM56" i="22"/>
  <c r="AH56" i="22"/>
  <c r="O56" i="22"/>
  <c r="N56" i="22"/>
  <c r="F56" i="22"/>
  <c r="AQ55" i="22"/>
  <c r="AM55" i="22"/>
  <c r="AH55" i="22"/>
  <c r="O55" i="22"/>
  <c r="N55" i="22"/>
  <c r="F55" i="22"/>
  <c r="AQ54" i="22"/>
  <c r="AM54" i="22"/>
  <c r="AH54" i="22"/>
  <c r="O54" i="22"/>
  <c r="N54" i="22"/>
  <c r="F54" i="22"/>
  <c r="AQ53" i="22"/>
  <c r="AM53" i="22"/>
  <c r="AH53" i="22"/>
  <c r="O53" i="22"/>
  <c r="N53" i="22"/>
  <c r="F53" i="22"/>
  <c r="AQ52" i="22"/>
  <c r="AM52" i="22"/>
  <c r="Q52" i="22"/>
  <c r="O52" i="22"/>
  <c r="N52" i="22"/>
  <c r="F52" i="22"/>
  <c r="AQ51" i="22"/>
  <c r="AM51" i="22"/>
  <c r="Q51" i="22"/>
  <c r="O51" i="22"/>
  <c r="N51" i="22"/>
  <c r="F51" i="22"/>
  <c r="AQ50" i="22"/>
  <c r="AM50" i="22"/>
  <c r="Q50" i="22"/>
  <c r="O50" i="22"/>
  <c r="N50" i="22"/>
  <c r="F50" i="22"/>
  <c r="AQ49" i="22"/>
  <c r="AM49" i="22"/>
  <c r="Q49" i="22"/>
  <c r="O49" i="22"/>
  <c r="N49" i="22"/>
  <c r="F49" i="22"/>
  <c r="AQ48" i="22"/>
  <c r="AM48" i="22"/>
  <c r="Q48" i="22"/>
  <c r="O48" i="22"/>
  <c r="N48" i="22"/>
  <c r="F48" i="22"/>
  <c r="AQ47" i="22"/>
  <c r="AM47" i="22"/>
  <c r="Q47" i="22"/>
  <c r="O47" i="22"/>
  <c r="N47" i="22"/>
  <c r="F47" i="22"/>
  <c r="AQ46" i="22"/>
  <c r="AM46" i="22"/>
  <c r="Q46" i="22"/>
  <c r="O46" i="22"/>
  <c r="N46" i="22"/>
  <c r="F46" i="22"/>
  <c r="AQ45" i="22"/>
  <c r="AM45" i="22"/>
  <c r="Q45" i="22"/>
  <c r="O45" i="22"/>
  <c r="N45" i="22"/>
  <c r="F45" i="22"/>
  <c r="AQ44" i="22"/>
  <c r="AM44" i="22"/>
  <c r="Q44" i="22"/>
  <c r="O44" i="22"/>
  <c r="N44" i="22"/>
  <c r="F44" i="22"/>
  <c r="AQ43" i="22"/>
  <c r="AM43" i="22"/>
  <c r="Q43" i="22"/>
  <c r="O43" i="22"/>
  <c r="N43" i="22"/>
  <c r="F43" i="22"/>
  <c r="AQ42" i="22"/>
  <c r="AM42" i="22"/>
  <c r="Q42" i="22"/>
  <c r="O42" i="22"/>
  <c r="N42" i="22"/>
  <c r="F42" i="22"/>
  <c r="AQ41" i="22"/>
  <c r="AM41" i="22"/>
  <c r="Q41" i="22"/>
  <c r="O41" i="22"/>
  <c r="N41" i="22"/>
  <c r="F41" i="22"/>
  <c r="AQ40" i="22"/>
  <c r="AM40" i="22"/>
  <c r="Q40" i="22"/>
  <c r="O40" i="22"/>
  <c r="N40" i="22"/>
  <c r="F40" i="22"/>
  <c r="AQ39" i="22"/>
  <c r="AM39" i="22"/>
  <c r="Q39" i="22"/>
  <c r="O39" i="22"/>
  <c r="N39" i="22"/>
  <c r="F39" i="22"/>
  <c r="Q38" i="22"/>
  <c r="O38" i="22"/>
  <c r="N38" i="22"/>
  <c r="F38" i="22"/>
  <c r="Q37" i="22"/>
  <c r="O37" i="22"/>
  <c r="N37" i="22"/>
  <c r="F37" i="22"/>
  <c r="Q36" i="22"/>
  <c r="O36" i="22"/>
  <c r="N36" i="22"/>
  <c r="F36" i="22"/>
  <c r="Q35" i="22"/>
  <c r="O35" i="22"/>
  <c r="N35" i="22"/>
  <c r="F35" i="22"/>
  <c r="Q34" i="22"/>
  <c r="O34" i="22"/>
  <c r="N34" i="22"/>
  <c r="F34" i="22"/>
  <c r="Q33" i="22"/>
  <c r="O33" i="22"/>
  <c r="N33" i="22"/>
  <c r="F33" i="22"/>
  <c r="Q32" i="22"/>
  <c r="O32" i="22"/>
  <c r="N32" i="22"/>
  <c r="F32" i="22"/>
  <c r="Q31" i="22"/>
  <c r="O31" i="22"/>
  <c r="N31" i="22"/>
  <c r="F31" i="22"/>
  <c r="Q30" i="22"/>
  <c r="O30" i="22"/>
  <c r="N30" i="22"/>
  <c r="F30" i="22"/>
  <c r="Q29" i="22"/>
  <c r="O29" i="22"/>
  <c r="N29" i="22"/>
  <c r="F29" i="22"/>
  <c r="Q28" i="22"/>
  <c r="O28" i="22"/>
  <c r="N28" i="22"/>
  <c r="F28" i="22"/>
  <c r="Q27" i="22"/>
  <c r="O27" i="22"/>
  <c r="N27" i="22"/>
  <c r="F27" i="22"/>
  <c r="Q26" i="22"/>
  <c r="O26" i="22"/>
  <c r="N26" i="22"/>
  <c r="F26" i="22"/>
  <c r="Q25" i="22"/>
  <c r="O25" i="22"/>
  <c r="N25" i="22"/>
  <c r="F25" i="22"/>
  <c r="Q24" i="22"/>
  <c r="O24" i="22"/>
  <c r="N24" i="22"/>
  <c r="F24" i="22"/>
  <c r="AQ23" i="22"/>
  <c r="AM23" i="22"/>
  <c r="O23" i="22"/>
  <c r="N23" i="22"/>
  <c r="F23" i="22"/>
  <c r="AQ22" i="22"/>
  <c r="AM22" i="22"/>
  <c r="O22" i="22"/>
  <c r="N22" i="22"/>
  <c r="F22" i="22"/>
  <c r="AQ21" i="22"/>
  <c r="AM21" i="22"/>
  <c r="O21" i="22"/>
  <c r="N21" i="22"/>
  <c r="F21" i="22"/>
  <c r="AQ20" i="22"/>
  <c r="AM20" i="22"/>
  <c r="O20" i="22"/>
  <c r="N20" i="22"/>
  <c r="F20" i="22"/>
  <c r="AQ19" i="22"/>
  <c r="AM19" i="22"/>
  <c r="O19" i="22"/>
  <c r="N19" i="22"/>
  <c r="F19" i="22"/>
  <c r="AQ18" i="22"/>
  <c r="AM18" i="22"/>
  <c r="O18" i="22"/>
  <c r="N18" i="22"/>
  <c r="F18" i="22"/>
  <c r="AQ17" i="22"/>
  <c r="AM17" i="22"/>
  <c r="O17" i="22"/>
  <c r="N17" i="22"/>
  <c r="F17" i="22"/>
  <c r="AQ16" i="22"/>
  <c r="AM16" i="22"/>
  <c r="O16" i="22"/>
  <c r="N16" i="22"/>
  <c r="F16" i="22"/>
  <c r="AQ15" i="22"/>
  <c r="AM15" i="22"/>
  <c r="O15" i="22"/>
  <c r="N15" i="22"/>
  <c r="F15" i="22"/>
  <c r="AQ14" i="22"/>
  <c r="AM14" i="22"/>
  <c r="O14" i="22"/>
  <c r="N14" i="22"/>
  <c r="F14" i="22"/>
  <c r="AQ13" i="22"/>
  <c r="AM13" i="22"/>
  <c r="O13" i="22"/>
  <c r="N13" i="22"/>
  <c r="F13" i="22"/>
  <c r="AQ12" i="22"/>
  <c r="AM12" i="22"/>
  <c r="O12" i="22"/>
  <c r="N12" i="22"/>
  <c r="F12" i="22"/>
  <c r="AQ11" i="22"/>
  <c r="AM11" i="22"/>
  <c r="O11" i="22"/>
  <c r="N11" i="22"/>
  <c r="F11" i="22"/>
  <c r="AQ10" i="22"/>
  <c r="AM10" i="22"/>
  <c r="O10" i="22"/>
  <c r="N10" i="22"/>
  <c r="F10" i="22"/>
  <c r="AQ9" i="22"/>
  <c r="AM9" i="22"/>
  <c r="O9" i="22"/>
  <c r="N9" i="22"/>
  <c r="F9" i="22"/>
  <c r="AQ8" i="22"/>
  <c r="AM8" i="22"/>
  <c r="O8" i="22"/>
  <c r="N8" i="22"/>
  <c r="F8" i="22"/>
  <c r="AQ7" i="22"/>
  <c r="AM7" i="22"/>
  <c r="O7" i="22"/>
  <c r="N7" i="22"/>
  <c r="F7" i="22"/>
  <c r="AQ6" i="22"/>
  <c r="AM6" i="22"/>
  <c r="O6" i="22"/>
  <c r="N6" i="22"/>
  <c r="F6" i="22"/>
  <c r="AQ5" i="22"/>
  <c r="AM5" i="22"/>
  <c r="O5" i="22"/>
  <c r="N5" i="22"/>
  <c r="F5" i="22"/>
  <c r="AQ4" i="22"/>
  <c r="AM4" i="22"/>
  <c r="O4" i="22"/>
  <c r="N4" i="22"/>
  <c r="F4" i="22"/>
  <c r="AQ3" i="22"/>
  <c r="AM3" i="22"/>
  <c r="O3" i="22"/>
  <c r="N3" i="22"/>
  <c r="F3" i="22"/>
  <c r="AQ2" i="22"/>
  <c r="AM2" i="22"/>
  <c r="O2" i="22"/>
  <c r="N2" i="22"/>
  <c r="F2" i="22"/>
  <c r="BI178" i="22" l="1"/>
  <c r="BI186" i="22"/>
  <c r="BI194" i="22"/>
  <c r="BI202" i="22"/>
  <c r="Q168" i="22"/>
  <c r="BI180" i="22"/>
  <c r="Q184" i="22"/>
  <c r="BI188" i="22"/>
  <c r="Q192" i="22"/>
  <c r="BI196" i="22"/>
  <c r="Q200" i="22"/>
  <c r="AP168" i="22"/>
  <c r="AQ168" i="22" s="1"/>
  <c r="P178" i="22"/>
  <c r="AP184" i="22"/>
  <c r="AQ184" i="22" s="1"/>
  <c r="P186" i="22"/>
  <c r="AP192" i="22"/>
  <c r="AQ192" i="22" s="1"/>
  <c r="P194" i="22"/>
  <c r="AP200" i="22"/>
  <c r="AQ200" i="22" s="1"/>
  <c r="P202" i="22"/>
  <c r="Q178" i="22"/>
  <c r="P179" i="22"/>
  <c r="Q186" i="22"/>
  <c r="P187" i="22"/>
  <c r="Q194" i="22"/>
  <c r="P195" i="22"/>
  <c r="Q202" i="22"/>
  <c r="P180" i="22"/>
  <c r="P188" i="22"/>
  <c r="P196" i="22"/>
  <c r="C71" i="13" l="1"/>
  <c r="I17" i="18"/>
  <c r="I16" i="18"/>
  <c r="I3" i="18" l="1"/>
  <c r="I4" i="18"/>
  <c r="I5" i="18"/>
  <c r="I6" i="18"/>
  <c r="I7" i="18"/>
  <c r="I8" i="18"/>
  <c r="I9" i="18"/>
  <c r="I10" i="18"/>
  <c r="I11" i="18"/>
  <c r="I12" i="18"/>
  <c r="I13" i="18"/>
  <c r="I14" i="18"/>
  <c r="I15" i="18"/>
  <c r="I2" i="18"/>
  <c r="C70" i="13" l="1"/>
  <c r="C63" i="13" l="1"/>
  <c r="C68" i="13"/>
  <c r="C66" i="13"/>
  <c r="C64" i="13"/>
  <c r="C65" i="13" l="1"/>
  <c r="C67" i="13" l="1"/>
  <c r="C69" i="13" l="1"/>
  <c r="C12" i="13" l="1"/>
  <c r="C87" i="13"/>
  <c r="C86" i="13"/>
  <c r="C83" i="13"/>
  <c r="C82" i="13"/>
  <c r="C81" i="13"/>
  <c r="C80" i="13"/>
  <c r="C79" i="13"/>
  <c r="C78" i="13"/>
  <c r="C77" i="13"/>
  <c r="C76" i="13"/>
  <c r="C75" i="13"/>
  <c r="C74" i="13"/>
  <c r="C73" i="13"/>
  <c r="C72" i="13"/>
  <c r="C56" i="13"/>
  <c r="C58" i="13"/>
  <c r="C57" i="13"/>
  <c r="C49" i="13"/>
  <c r="C55" i="13"/>
  <c r="C54" i="13"/>
  <c r="C53" i="13"/>
  <c r="C52" i="13"/>
  <c r="C51" i="13"/>
  <c r="C50" i="13"/>
  <c r="C29" i="13"/>
  <c r="C28" i="13"/>
  <c r="C27" i="13"/>
  <c r="C26" i="13"/>
  <c r="C25" i="13"/>
  <c r="C20" i="13"/>
  <c r="C19" i="13"/>
  <c r="C24" i="13"/>
  <c r="C23" i="13"/>
  <c r="C22" i="13"/>
  <c r="C21" i="13"/>
  <c r="C11"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9C7BB70E-246D-4AB6-8618-BE58C9BC0293}">
      <text>
        <r>
          <rPr>
            <sz val="11"/>
            <color theme="1"/>
            <rFont val="Calibri"/>
            <family val="2"/>
            <scheme val="minor"/>
          </rPr>
          <t>Petr Čala:
Estimate can be aggregated on the level of a small region</t>
        </r>
      </text>
    </comment>
    <comment ref="I1" authorId="0" shapeId="0" xr:uid="{C21E49CF-E22D-4966-AEAF-1F2D04DF333F}">
      <text>
        <r>
          <rPr>
            <sz val="11"/>
            <color theme="1"/>
            <rFont val="Calibri"/>
            <family val="2"/>
            <scheme val="minor"/>
          </rPr>
          <t>Petr Čala:
Estimate can be aggregated on the level of a large region of countries</t>
        </r>
      </text>
    </comment>
    <comment ref="J1" authorId="0" shapeId="0" xr:uid="{F77174A2-7790-438B-96EA-8D83A8366E6F}">
      <text>
        <r>
          <rPr>
            <sz val="11"/>
            <color theme="1"/>
            <rFont val="Calibri"/>
            <family val="2"/>
            <scheme val="minor"/>
          </rPr>
          <t>Petr Čala:
Estimate can be aggregated on the level of a country</t>
        </r>
      </text>
    </comment>
    <comment ref="K1" authorId="0" shapeId="0" xr:uid="{4C1DACF8-3880-454B-9433-D541311B239C}">
      <text>
        <r>
          <rPr>
            <sz val="11"/>
            <color theme="1"/>
            <rFont val="Calibri"/>
            <family val="2"/>
            <scheme val="minor"/>
          </rPr>
          <t>Petr Čala:
Estimate can be aggregated on the level of a body of mass larger than a country</t>
        </r>
      </text>
    </comment>
    <comment ref="L1" authorId="0" shapeId="0" xr:uid="{89EF6B71-B7B3-4223-AD6B-C3CD177F7A26}">
      <text>
        <r>
          <rPr>
            <sz val="11"/>
            <color theme="1"/>
            <rFont val="Calibri"/>
            <family val="2"/>
            <scheme val="minor"/>
          </rPr>
          <t>Petr Čala:
Number of observations used in the estimation (put to log later)</t>
        </r>
      </text>
    </comment>
    <comment ref="M1" authorId="0" shapeId="0" xr:uid="{5866597D-D014-43B1-B45F-708B99E42619}">
      <text>
        <r>
          <rPr>
            <sz val="11"/>
            <color theme="1"/>
            <rFont val="Calibri"/>
            <family val="2"/>
            <scheme val="minor"/>
          </rPr>
          <t>Petr Čala:
Number of regressands in the regression</t>
        </r>
      </text>
    </comment>
    <comment ref="N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O1" authorId="0" shapeId="0" xr:uid="{2C1DF3F6-ED8A-4367-B480-1FF44D0D305B}">
      <text>
        <r>
          <rPr>
            <sz val="11"/>
            <color theme="1"/>
            <rFont val="Calibri"/>
            <family val="2"/>
            <scheme val="minor"/>
          </rPr>
          <t>Petr Čala:
Number of estimates per this study</t>
        </r>
      </text>
    </comment>
    <comment ref="P1" authorId="0" shapeId="0" xr:uid="{10C3BCC9-947E-4424-B2F4-B6BF546B28F6}">
      <text>
        <r>
          <rPr>
            <sz val="11"/>
            <color theme="1"/>
            <rFont val="Calibri"/>
            <family val="2"/>
            <scheme val="minor"/>
          </rPr>
          <t>Petr Čala:
Mean years of schooling</t>
        </r>
      </text>
    </comment>
    <comment ref="Q1" authorId="0" shapeId="0" xr:uid="{2167252F-DA94-4A87-9E87-B954C43C027F}">
      <text>
        <r>
          <rPr>
            <sz val="11"/>
            <color theme="1"/>
            <rFont val="Calibri"/>
            <family val="2"/>
            <scheme val="minor"/>
          </rPr>
          <t>Petr Čala:
Mean years of experience</t>
        </r>
      </text>
    </comment>
    <comment ref="R1" authorId="0" shapeId="0" xr:uid="{DE4070AB-AC8D-41A9-9B94-829921AD84D5}">
      <text>
        <r>
          <rPr>
            <sz val="11"/>
            <color theme="1"/>
            <rFont val="Calibri"/>
            <family val="2"/>
            <scheme val="minor"/>
          </rPr>
          <t>Petr Čala:
The study reports the number of years directly (using years of schooling)</t>
        </r>
      </text>
    </comment>
    <comment ref="S1" authorId="0" shapeId="0" xr:uid="{2B37FEC5-6FA2-45C6-950E-A27829664A5C}">
      <text>
        <r>
          <rPr>
            <sz val="11"/>
            <color theme="1"/>
            <rFont val="Calibri"/>
            <family val="2"/>
            <scheme val="minor"/>
          </rPr>
          <t>Petr Čala:
The study instead uses levels of schooling (primary, sec, …) in the mincer regression</t>
        </r>
      </text>
    </comment>
    <comment ref="T1" authorId="0" shapeId="0" xr:uid="{50FB7A05-C6AD-43CE-B55F-3C109724E9E5}">
      <text>
        <r>
          <rPr>
            <sz val="11"/>
            <color theme="1"/>
            <rFont val="Calibri"/>
            <family val="2"/>
            <scheme val="minor"/>
          </rPr>
          <t>Petr Čala:
Wage is defined as log hourly</t>
        </r>
      </text>
    </comment>
    <comment ref="U1" authorId="0" shapeId="0" xr:uid="{A6DCFBDB-D297-4F90-91AF-D72FF549BF54}">
      <text>
        <r>
          <rPr>
            <sz val="11"/>
            <color theme="1"/>
            <rFont val="Calibri"/>
            <family val="2"/>
            <scheme val="minor"/>
          </rPr>
          <t xml:space="preserve">Petr Čala:
Daily or weekly wage
</t>
        </r>
      </text>
    </comment>
    <comment ref="V1" authorId="0" shapeId="0" xr:uid="{8E232176-CCC4-4480-B1D6-D8950EB7D4CD}">
      <text>
        <r>
          <rPr>
            <sz val="11"/>
            <color theme="1"/>
            <rFont val="Calibri"/>
            <family val="2"/>
            <scheme val="minor"/>
          </rPr>
          <t>Petr Čala:
Placeholder for the wage dummy</t>
        </r>
      </text>
    </comment>
    <comment ref="W1" authorId="0" shapeId="0" xr:uid="{E9E6DF5B-7208-4A03-8E9A-155108A5A7D8}">
      <text>
        <r>
          <rPr>
            <sz val="11"/>
            <color theme="1"/>
            <rFont val="Calibri"/>
            <family val="2"/>
            <scheme val="minor"/>
          </rPr>
          <t>Petr Čala:
Wage is defined as mean annual earnings per worker</t>
        </r>
      </text>
    </comment>
    <comment ref="X1" authorId="0" shapeId="0" xr:uid="{4F31419D-2A74-40A4-95E3-02AC52A212AE}">
      <text>
        <r>
          <rPr>
            <sz val="11"/>
            <color theme="1"/>
            <rFont val="Calibri"/>
            <family val="2"/>
            <scheme val="minor"/>
          </rPr>
          <t>Petr Čala:
Data are input micro data</t>
        </r>
      </text>
    </comment>
    <comment ref="Y1" authorId="0" shapeId="0" xr:uid="{ACC3EF6D-1E1C-4EF8-95CE-CEB06928CC00}">
      <text>
        <r>
          <rPr>
            <sz val="11"/>
            <color theme="1"/>
            <rFont val="Calibri"/>
            <family val="2"/>
            <scheme val="minor"/>
          </rPr>
          <t>Petr Čala:
Data come from a survey (household or employers, maybe split later)</t>
        </r>
      </text>
    </comment>
    <comment ref="Z1" authorId="0" shapeId="0" xr:uid="{FFB8DD15-78F4-434B-9DDB-D40F5C0BE136}">
      <text>
        <r>
          <rPr>
            <sz val="11"/>
            <color theme="1"/>
            <rFont val="Calibri"/>
            <family val="2"/>
            <scheme val="minor"/>
          </rPr>
          <t>Petr Čala:
Data come from a national register</t>
        </r>
      </text>
    </comment>
    <comment ref="AA1" authorId="0" shapeId="0" xr:uid="{DE591BAE-1897-4D4E-A6AF-10B8D8F2B232}">
      <text>
        <r>
          <rPr>
            <sz val="11"/>
            <color theme="1"/>
            <rFont val="Calibri"/>
            <family val="2"/>
            <scheme val="minor"/>
          </rPr>
          <t>Petr Čala:
Data type = cross-section -&gt; snapshot of the population in a given year</t>
        </r>
      </text>
    </comment>
    <comment ref="AB1" authorId="0" shapeId="0" xr:uid="{12A655C5-A281-4277-801C-2A8CDE586F58}">
      <text>
        <r>
          <rPr>
            <sz val="11"/>
            <color theme="1"/>
            <rFont val="Calibri"/>
            <family val="2"/>
            <scheme val="minor"/>
          </rPr>
          <t>Petr Čala:
Data type = panel -&gt; various countries, groups observed over their life</t>
        </r>
      </text>
    </comment>
    <comment ref="AC1" authorId="0" shapeId="0" xr:uid="{B6EBAFC6-A3B8-4086-9422-464270BDC610}">
      <text>
        <r>
          <rPr>
            <sz val="11"/>
            <color theme="1"/>
            <rFont val="Calibri"/>
            <family val="2"/>
            <scheme val="minor"/>
          </rPr>
          <t>Petr Čala:
Average original year, DELETE LATER</t>
        </r>
      </text>
    </comment>
    <comment ref="AD1" authorId="0" shapeId="0" xr:uid="{7726E88C-DA57-4028-9953-1F4387B2D605}">
      <text>
        <r>
          <rPr>
            <sz val="11"/>
            <color theme="1"/>
            <rFont val="Calibri"/>
            <family val="2"/>
            <scheme val="minor"/>
          </rPr>
          <t>Petr Čala:
Percentage of subjects with no education - country aggregated</t>
        </r>
      </text>
    </comment>
    <comment ref="AE1" authorId="0" shapeId="0" xr:uid="{EF2576DB-A61E-4ABB-9AB9-1D0D6C6021EC}">
      <text>
        <r>
          <rPr>
            <sz val="11"/>
            <color theme="1"/>
            <rFont val="Calibri"/>
            <family val="2"/>
            <scheme val="minor"/>
          </rPr>
          <t>Petr Čala:
Percentage of subjects with primary education - country aggregated</t>
        </r>
      </text>
    </comment>
    <comment ref="AF1" authorId="0" shapeId="0" xr:uid="{E5008786-886F-4462-A07A-6CB8EEF0416F}">
      <text>
        <r>
          <rPr>
            <sz val="11"/>
            <color theme="1"/>
            <rFont val="Calibri"/>
            <family val="2"/>
            <scheme val="minor"/>
          </rPr>
          <t>Petr Čala:
Percentage of subjects with secondary education</t>
        </r>
      </text>
    </comment>
    <comment ref="AG1" authorId="0" shapeId="0" xr:uid="{9C4E5743-D50E-4A89-84B7-675DC7F850F6}">
      <text>
        <r>
          <rPr>
            <sz val="11"/>
            <color theme="1"/>
            <rFont val="Calibri"/>
            <family val="2"/>
            <scheme val="minor"/>
          </rPr>
          <t>Petr Čala:
Percentage of subjects with higher education</t>
        </r>
      </text>
    </comment>
    <comment ref="AH1" authorId="0" shapeId="0" xr:uid="{090A8F28-157F-4B01-A05C-5E91C8D87A1A}">
      <text>
        <r>
          <rPr>
            <sz val="11"/>
            <color theme="1"/>
            <rFont val="Calibri"/>
            <family val="2"/>
            <scheme val="minor"/>
          </rPr>
          <t>Petr Čala:
Percentage of workers from sample, that are wage earners</t>
        </r>
      </text>
    </comment>
    <comment ref="AI1" authorId="0" shapeId="0" xr:uid="{05703269-3DC2-4506-9D46-38AC75D5E6AA}">
      <text>
        <r>
          <rPr>
            <sz val="11"/>
            <color theme="1"/>
            <rFont val="Calibri"/>
            <family val="2"/>
            <scheme val="minor"/>
          </rPr>
          <t>Petr Čala:
Percentage of workers from sample, that are self employed</t>
        </r>
      </text>
    </comment>
    <comment ref="AL1" authorId="0" shapeId="0" xr:uid="{5E73CFA4-B671-4791-91C6-84F3247DE7E0}">
      <text>
        <r>
          <rPr>
            <sz val="11"/>
            <color theme="1"/>
            <rFont val="Calibri"/>
            <family val="2"/>
            <scheme val="minor"/>
          </rPr>
          <t>Petr Čala:
Percentage of workers from sample, that work in the private sector</t>
        </r>
      </text>
    </comment>
    <comment ref="AM1" authorId="0" shapeId="0" xr:uid="{C0787E2D-3CC1-4D5F-80B6-F3E3E8F44F1E}">
      <text>
        <r>
          <rPr>
            <sz val="11"/>
            <color theme="1"/>
            <rFont val="Calibri"/>
            <family val="2"/>
            <scheme val="minor"/>
          </rPr>
          <t>Petr Čala:
Percentage of workers from sample, that work in the public sector</t>
        </r>
      </text>
    </comment>
    <comment ref="AN1" authorId="0" shapeId="0" xr:uid="{D20676BE-EDA3-430A-A25A-83C8F46EF74B}">
      <text>
        <r>
          <rPr>
            <sz val="11"/>
            <color theme="1"/>
            <rFont val="Calibri"/>
            <family val="2"/>
            <scheme val="minor"/>
          </rPr>
          <t>Petr Čala:
Caucasion (european ancestry) ethnicity</t>
        </r>
      </text>
    </comment>
    <comment ref="AO1" authorId="0" shapeId="0" xr:uid="{D08093FC-AB0A-46ED-BA73-C9445CA75ED7}">
      <text>
        <r>
          <rPr>
            <sz val="11"/>
            <color theme="1"/>
            <rFont val="Calibri"/>
            <family val="2"/>
            <scheme val="minor"/>
          </rPr>
          <t>Petr Čala:
Other ethnicity</t>
        </r>
      </text>
    </comment>
    <comment ref="AP1" authorId="0" shapeId="0" xr:uid="{C5377965-05C1-4B6D-9DDD-038A18970BA0}">
      <text>
        <r>
          <rPr>
            <sz val="11"/>
            <color theme="1"/>
            <rFont val="Calibri"/>
            <family val="2"/>
            <scheme val="minor"/>
          </rPr>
          <t>Petr Čala:
Rural sector</t>
        </r>
      </text>
    </comment>
    <comment ref="AQ1" authorId="0" shapeId="0" xr:uid="{0BB1FDFB-85D3-4440-BCE9-470308CF12B9}">
      <text>
        <r>
          <rPr>
            <sz val="11"/>
            <color theme="1"/>
            <rFont val="Calibri"/>
            <family val="2"/>
            <scheme val="minor"/>
          </rPr>
          <t>Petr Čala:
Urban sector</t>
        </r>
      </text>
    </comment>
    <comment ref="AV1" authorId="0" shapeId="0" xr:uid="{E404406F-9C5C-43B4-940B-F92B63420979}">
      <text>
        <r>
          <rPr>
            <sz val="11"/>
            <color theme="1"/>
            <rFont val="Calibri"/>
            <family val="2"/>
            <scheme val="minor"/>
          </rPr>
          <t>Petr Čala:
Region - possibly dummify this</t>
        </r>
      </text>
    </comment>
    <comment ref="BF1" authorId="0" shapeId="0" xr:uid="{6C1F0A8E-E949-4771-8AE8-19A3BAF14AA7}">
      <text>
        <r>
          <rPr>
            <sz val="11"/>
            <color theme="1"/>
            <rFont val="Calibri"/>
            <family val="2"/>
            <scheme val="minor"/>
          </rPr>
          <t>Petr Čala:
Logarithm of median monthly expenditure in that country around year 2000</t>
        </r>
      </text>
    </comment>
    <comment ref="BG1" authorId="0" shapeId="0" xr:uid="{B34D998C-24A2-4625-92D5-288E285055D1}">
      <text>
        <r>
          <rPr>
            <sz val="11"/>
            <color theme="1"/>
            <rFont val="Calibri"/>
            <family val="2"/>
            <scheme val="minor"/>
          </rPr>
          <t>Petr Čala:
Logarithm of the minimal monthly wage in that country around year 2000</t>
        </r>
      </text>
    </comment>
    <comment ref="BI1" authorId="0" shapeId="0" xr:uid="{ACDDFF67-CB0F-4854-9FB0-F4F01AA7EC19}">
      <text>
        <r>
          <rPr>
            <sz val="11"/>
            <color theme="1"/>
            <rFont val="Calibri"/>
            <family val="2"/>
            <scheme val="minor"/>
          </rPr>
          <t>Petr Čala:
Mean age of subjects</t>
        </r>
      </text>
    </comment>
    <comment ref="BL1" authorId="0" shapeId="0" xr:uid="{CF088C99-B445-47D9-B14B-C188BD2269EA}">
      <text>
        <r>
          <rPr>
            <sz val="11"/>
            <color theme="1"/>
            <rFont val="Calibri"/>
            <family val="2"/>
            <scheme val="minor"/>
          </rPr>
          <t xml:space="preserve">Petr Čala:
Cohort years to average out the individual effect (ability)
or Fixed-effects
</t>
        </r>
      </text>
    </comment>
    <comment ref="BM1" authorId="0" shapeId="0" xr:uid="{8669B1AC-A17F-4289-A9E6-1F19C3C263C4}">
      <text>
        <r>
          <rPr>
            <sz val="11"/>
            <color theme="1"/>
            <rFont val="Calibri"/>
            <family val="2"/>
            <scheme val="minor"/>
          </rPr>
          <t>Petr Čala:
2SLS or 3SLS</t>
        </r>
      </text>
    </comment>
    <comment ref="BO1" authorId="0" shapeId="0" xr:uid="{8D0ED76C-53F6-4D48-8BF5-E98DC7A7C6E8}">
      <text>
        <r>
          <rPr>
            <sz val="11"/>
            <color theme="1"/>
            <rFont val="Calibri"/>
            <family val="2"/>
            <scheme val="minor"/>
          </rPr>
          <t>Petr Čala:
First differences by IV</t>
        </r>
      </text>
    </comment>
    <comment ref="BP1" authorId="0" shapeId="0" xr:uid="{01ED59EE-32A7-43B8-9C3D-347A5364415A}">
      <text>
        <r>
          <rPr>
            <sz val="11"/>
            <color theme="1"/>
            <rFont val="Calibri"/>
            <family val="2"/>
            <scheme val="minor"/>
          </rPr>
          <t>Petr Čala:
IV</t>
        </r>
      </text>
    </comment>
    <comment ref="BQ1" authorId="0" shapeId="0" xr:uid="{BED19700-C554-4570-B988-5E6A58BC802C}">
      <text>
        <r>
          <rPr>
            <sz val="11"/>
            <color theme="1"/>
            <rFont val="Calibri"/>
            <family val="2"/>
            <scheme val="minor"/>
          </rPr>
          <t>Petr Čala:
The study uses parents' education as an instrument for the estimate</t>
        </r>
      </text>
    </comment>
    <comment ref="BR1" authorId="0" shapeId="0" xr:uid="{CF3B1DC1-F68D-487F-A6ED-D3B8BEF94645}">
      <text>
        <r>
          <rPr>
            <sz val="11"/>
            <color theme="1"/>
            <rFont val="Calibri"/>
            <family val="2"/>
            <scheme val="minor"/>
          </rPr>
          <t>Petr Čala:
The study uses another instrument</t>
        </r>
      </text>
    </comment>
    <comment ref="BS1" authorId="0" shapeId="0" xr:uid="{2077EA14-4763-4763-BA03-3492510F9F72}">
      <text>
        <r>
          <rPr>
            <sz val="11"/>
            <color theme="1"/>
            <rFont val="Calibri"/>
            <family val="2"/>
            <scheme val="minor"/>
          </rPr>
          <t>Petr Čala:
Distance to school or school per area</t>
        </r>
      </text>
    </comment>
    <comment ref="BT1" authorId="0" shapeId="0" xr:uid="{53AB4456-4E6B-4302-A61D-6E68A0E5C814}">
      <text>
        <r>
          <rPr>
            <sz val="11"/>
            <color theme="1"/>
            <rFont val="Calibri"/>
            <family val="2"/>
            <scheme val="minor"/>
          </rPr>
          <t>Petr Čala:
Age is controlled for in the Mincer equation</t>
        </r>
      </text>
    </comment>
    <comment ref="BU1" authorId="0" shapeId="0" xr:uid="{B9242E4A-8753-4B1A-AA09-9A96E24B8623}">
      <text>
        <r>
          <rPr>
            <sz val="11"/>
            <color theme="1"/>
            <rFont val="Calibri"/>
            <family val="2"/>
            <scheme val="minor"/>
          </rPr>
          <t>Petr Čala:
Squared age is controlled for in the Mincer equation</t>
        </r>
      </text>
    </comment>
    <comment ref="BV1" authorId="0" shapeId="0" xr:uid="{E1044427-B894-4D31-99FD-859E4BD95E47}">
      <text>
        <r>
          <rPr>
            <sz val="11"/>
            <color theme="1"/>
            <rFont val="Calibri"/>
            <family val="2"/>
            <scheme val="minor"/>
          </rPr>
          <t>Petr Čala:
Experience control in the Mincer equation</t>
        </r>
      </text>
    </comment>
    <comment ref="BW1" authorId="0" shapeId="0" xr:uid="{3259EDDC-375A-4B37-87C9-D6EF41936582}">
      <text>
        <r>
          <rPr>
            <sz val="11"/>
            <color theme="1"/>
            <rFont val="Calibri"/>
            <family val="2"/>
            <scheme val="minor"/>
          </rPr>
          <t>Petr Čala:
Experience squared control</t>
        </r>
      </text>
    </comment>
    <comment ref="BX1" authorId="0" shapeId="0" xr:uid="{A9D5F7F7-D54D-47F2-8679-BAE510F3FB82}">
      <text>
        <r>
          <rPr>
            <sz val="11"/>
            <color theme="1"/>
            <rFont val="Calibri"/>
            <family val="2"/>
            <scheme val="minor"/>
          </rPr>
          <t>Petr Čala:
Ethnicity control in the Mincer equation</t>
        </r>
      </text>
    </comment>
    <comment ref="BY1" authorId="0" shapeId="0" xr:uid="{5B686B2D-6E59-4DC3-94BD-B0F6B7155583}">
      <text>
        <r>
          <rPr>
            <sz val="11"/>
            <color theme="1"/>
            <rFont val="Calibri"/>
            <family val="2"/>
            <scheme val="minor"/>
          </rPr>
          <t>Petr Čala:
Health control in the Mincer equation</t>
        </r>
      </text>
    </comment>
    <comment ref="BZ1" authorId="0" shapeId="0" xr:uid="{35E3703B-7126-44B6-AFEE-83912B85FFCB}">
      <text>
        <r>
          <rPr>
            <sz val="11"/>
            <color theme="1"/>
            <rFont val="Calibri"/>
            <family val="2"/>
            <scheme val="minor"/>
          </rPr>
          <t>Petr Čala:
Gender control in the Mincer equation</t>
        </r>
      </text>
    </comment>
    <comment ref="CA1" authorId="0" shapeId="0" xr:uid="{266F210E-00A4-40C7-8FB3-C8BEB0E01EC9}">
      <text>
        <r>
          <rPr>
            <sz val="11"/>
            <color theme="1"/>
            <rFont val="Calibri"/>
            <family val="2"/>
            <scheme val="minor"/>
          </rPr>
          <t>Petr Čala:
Marriage control in the Mincer equation</t>
        </r>
      </text>
    </comment>
    <comment ref="CB1" authorId="0" shapeId="0" xr:uid="{33AA577A-B826-49EC-9C1E-100612829D62}">
      <text>
        <r>
          <rPr>
            <sz val="11"/>
            <color theme="1"/>
            <rFont val="Calibri"/>
            <family val="2"/>
            <scheme val="minor"/>
          </rPr>
          <t>Petr Čala:
Occupation control in the Mincer equation</t>
        </r>
      </text>
    </comment>
    <comment ref="CC1" authorId="0" shapeId="0" xr:uid="{4EE04033-CEE0-4FBE-9161-E039F2CA0FB6}">
      <text>
        <r>
          <rPr>
            <sz val="11"/>
            <color theme="1"/>
            <rFont val="Calibri"/>
            <family val="2"/>
            <scheme val="minor"/>
          </rPr>
          <t>Petr Čala:
Firm characteristics control in the Mincer equation</t>
        </r>
      </text>
    </comment>
    <comment ref="CD1" authorId="0" shapeId="0" xr:uid="{334A8989-26BF-4494-8D28-9CAA2B2639CA}">
      <text>
        <r>
          <rPr>
            <sz val="11"/>
            <color theme="1"/>
            <rFont val="Calibri"/>
            <family val="2"/>
            <scheme val="minor"/>
          </rPr>
          <t xml:space="preserve">Petr Čala:
Urban/rural control
</t>
        </r>
      </text>
    </comment>
    <comment ref="CE1" authorId="0" shapeId="0" xr:uid="{3F4E71D7-80A1-41D8-AA68-0E43004B6A3C}">
      <text>
        <r>
          <rPr>
            <sz val="11"/>
            <color theme="1"/>
            <rFont val="Calibri"/>
            <family val="2"/>
            <scheme val="minor"/>
          </rPr>
          <t>Petr Čala:
Macroeconomic variables control in the Mincer equation, such as sector of activity</t>
        </r>
      </text>
    </comment>
    <comment ref="CF1" authorId="0" shapeId="0" xr:uid="{EE700B45-F0C1-4B19-901E-F99984DE406D}">
      <text>
        <r>
          <rPr>
            <sz val="11"/>
            <color theme="1"/>
            <rFont val="Calibri"/>
            <family val="2"/>
            <scheme val="minor"/>
          </rPr>
          <t>Petr Čala:
Impact factor, via tools</t>
        </r>
      </text>
    </comment>
    <comment ref="CG1" authorId="0" shapeId="0" xr:uid="{F22AFA2B-6DF6-424E-9E9B-E45ACB42697C}">
      <text>
        <r>
          <rPr>
            <sz val="11"/>
            <color theme="1"/>
            <rFont val="Calibri"/>
            <family val="2"/>
            <scheme val="minor"/>
          </rPr>
          <t>Petr Čala:
Log number of citations in google scholar</t>
        </r>
      </text>
    </comment>
    <comment ref="CH1" authorId="0" shapeId="0" xr:uid="{7CC75CBD-7777-461E-AAC0-29E30BE6111D}">
      <text>
        <r>
          <rPr>
            <sz val="11"/>
            <color theme="1"/>
            <rFont val="Calibri"/>
            <family val="2"/>
            <scheme val="minor"/>
          </rPr>
          <t>Petr Čala:
1 if published in journal, 0 if working/discussion paper</t>
        </r>
      </text>
    </comment>
    <comment ref="CJ1" authorId="0" shapeId="0" xr:uid="{F41651AE-9750-4210-ADFA-A5EA9779BDD4}">
      <text>
        <r>
          <rPr>
            <sz val="11"/>
            <color theme="1"/>
            <rFont val="Calibri"/>
            <family val="2"/>
            <scheme val="minor"/>
          </rPr>
          <t>Petr Čala:
The year the study was published minus the minimum publication year of the sample</t>
        </r>
      </text>
    </comment>
    <comment ref="S53" authorId="0" shapeId="0" xr:uid="{D163FB05-A267-4B7F-B34B-81A7FC890DE5}">
      <text>
        <r>
          <rPr>
            <sz val="11"/>
            <color theme="1"/>
            <rFont val="Calibri"/>
            <family val="2"/>
            <scheme val="minor"/>
          </rPr>
          <t>Petr Čala:
Calculated by the author</t>
        </r>
      </text>
    </comment>
    <comment ref="BR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<sst xmlns="http://schemas.openxmlformats.org/spreadsheetml/2006/main" count="3160" uniqueCount="388">
  <si>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</si>
  <si>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</si>
  <si>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</si>
  <si>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</si>
  <si>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</si>
  <si>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</si>
  <si>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</si>
  <si>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</si>
  <si>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</si>
  <si>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</si>
  <si>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</si>
  <si>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</si>
  <si>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</si>
  <si>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</si>
  <si>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</si>
  <si>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</si>
  <si>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</si>
  <si>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</si>
  <si>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</si>
  <si>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</si>
  <si>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</si>
  <si>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</si>
  <si>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</si>
  <si>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</si>
  <si>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</si>
  <si>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</si>
  <si>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</si>
  <si>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</si>
  <si>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</si>
  <si>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</si>
  <si>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</si>
  <si>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</si>
  <si>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</si>
  <si>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</si>
  <si>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</si>
  <si>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</si>
  <si>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</si>
  <si>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</si>
  <si>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</si>
  <si>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</si>
  <si>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</si>
  <si>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</si>
  <si>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</si>
  <si>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</si>
  <si>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</si>
  <si>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</si>
  <si>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</si>
  <si>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</si>
  <si>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</si>
  <si>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</si>
  <si>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</si>
  <si>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</si>
  <si>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</si>
  <si>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</si>
  <si>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</si>
  <si>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</si>
  <si>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</si>
  <si>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</si>
  <si>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</si>
  <si>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</si>
  <si>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</si>
  <si>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</si>
  <si>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</si>
  <si>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</si>
  <si>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</si>
  <si>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</si>
  <si>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</si>
  <si>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</si>
  <si>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</si>
  <si>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</si>
  <si>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</si>
  <si>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</si>
  <si>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</si>
  <si>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</si>
  <si>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</si>
  <si>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</si>
  <si>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</si>
  <si>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wage_mean_annual_earnings</t>
  </si>
  <si>
    <t>method_2sls</t>
  </si>
  <si>
    <t>wage_log_monthly</t>
  </si>
  <si>
    <t>area_control</t>
  </si>
  <si>
    <t>wage_log_daily</t>
  </si>
  <si>
    <t>study_size</t>
  </si>
  <si>
    <t>se</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</si>
  <si>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</si>
  <si>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</si>
  <si>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</si>
  <si>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</si>
  <si>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</si>
  <si>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</si>
  <si>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</si>
  <si>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</si>
  <si>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</si>
  <si>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</si>
  <si>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</si>
  <si>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</si>
  <si>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</si>
  <si>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</si>
  <si>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</si>
  <si>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</si>
  <si>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</si>
  <si>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</si>
  <si>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</si>
  <si>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</si>
  <si>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</si>
  <si>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</si>
  <si>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</si>
  <si>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</si>
  <si>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</si>
  <si>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</si>
  <si>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</si>
  <si>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</si>
  <si>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</si>
  <si>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</si>
  <si>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</si>
  <si>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</si>
  <si>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</si>
  <si>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</si>
  <si>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</si>
  <si>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</si>
  <si>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</si>
  <si>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</si>
  <si>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</si>
  <si>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</si>
  <si>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</si>
  <si>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</si>
  <si>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</si>
  <si>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</si>
  <si>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</si>
  <si>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</si>
  <si>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</si>
  <si>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</si>
  <si>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</si>
  <si>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</si>
  <si>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</si>
  <si>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</si>
  <si>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</si>
  <si>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</si>
  <si>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</si>
  <si>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</si>
  <si>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</si>
  <si>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</si>
  <si>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</si>
  <si>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</si>
  <si>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</si>
  <si>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</si>
  <si>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</si>
  <si>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</si>
  <si>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</si>
  <si>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</si>
  <si>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</si>
  <si>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</si>
  <si>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</si>
  <si>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</si>
  <si>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</si>
  <si>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</si>
  <si>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</si>
  <si>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</si>
  <si>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</si>
  <si>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</si>
  <si>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</si>
  <si>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</si>
  <si>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</si>
  <si>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</si>
  <si>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</si>
  <si>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</si>
  <si>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</si>
  <si>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</si>
  <si>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</si>
  <si>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</si>
  <si>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</si>
  <si>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</si>
  <si>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</si>
  <si>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</si>
  <si>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</si>
  <si>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</si>
  <si>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</si>
  <si>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</si>
  <si>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</si>
  <si>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</si>
  <si>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</si>
  <si>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</si>
  <si>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</si>
  <si>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</si>
  <si>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</si>
  <si>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</si>
  <si>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</si>
  <si>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</si>
  <si>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</si>
  <si>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</si>
  <si>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</si>
  <si>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</si>
  <si>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</si>
  <si>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</si>
  <si>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</si>
  <si>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</si>
  <si>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</si>
  <si>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</si>
  <si>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</si>
  <si>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</si>
  <si>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</si>
  <si>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</si>
  <si>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</si>
  <si>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</si>
  <si>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</si>
  <si>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</si>
  <si>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</si>
  <si>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</si>
  <si>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</si>
  <si>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</si>
  <si>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</si>
  <si>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</si>
  <si>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</si>
  <si>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</si>
  <si>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</si>
  <si>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</si>
  <si>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</si>
  <si>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</si>
  <si>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</si>
  <si>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</si>
  <si>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</si>
  <si>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</si>
  <si>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</si>
  <si>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</si>
  <si>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</si>
  <si>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</si>
  <si>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</si>
  <si>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</si>
  <si>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</si>
  <si>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</si>
  <si>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</si>
  <si>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</si>
  <si>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</si>
  <si>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</si>
  <si>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</si>
  <si>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</si>
  <si>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</si>
  <si>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</si>
  <si>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</si>
  <si>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</si>
  <si>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</si>
  <si>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</si>
  <si>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</si>
  <si>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</si>
  <si>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</si>
  <si>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</si>
  <si>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</si>
  <si>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</si>
  <si>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</si>
  <si>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</si>
  <si>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</si>
  <si>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</si>
  <si>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</si>
  <si>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</si>
  <si>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</si>
  <si>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</si>
  <si>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</si>
  <si>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</si>
  <si>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</si>
  <si>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</si>
  <si>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</si>
  <si>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</si>
  <si>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</si>
  <si>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</si>
  <si>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</si>
  <si>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</si>
  <si>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</si>
  <si>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</si>
  <si>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</si>
  <si>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</si>
  <si>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</si>
  <si>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</si>
  <si>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</si>
  <si>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</si>
  <si>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</si>
  <si>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</si>
  <si>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</si>
  <si>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</si>
  <si>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</si>
  <si>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</si>
  <si>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</si>
  <si>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</si>
  <si>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</si>
  <si>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</si>
  <si>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</si>
  <si>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</si>
  <si>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</si>
  <si>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</si>
  <si>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</si>
  <si>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</si>
  <si>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</si>
  <si>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</si>
  <si>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</si>
  <si>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</si>
  <si>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</si>
  <si>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</si>
  <si>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</si>
  <si>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</si>
  <si>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</si>
  <si>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</si>
  <si>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</si>
  <si>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</si>
  <si>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</si>
  <si>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</si>
  <si>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</si>
  <si>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</si>
  <si>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</si>
  <si>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</si>
  <si>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</si>
  <si>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</si>
  <si>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</si>
  <si>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</si>
  <si>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</si>
  <si>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</si>
  <si>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</si>
  <si>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</si>
  <si>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</si>
  <si>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</si>
  <si>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</si>
  <si>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</si>
  <si>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</si>
  <si>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</si>
  <si>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</si>
  <si>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</si>
  <si>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</si>
  <si>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</si>
  <si>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</si>
  <si>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</si>
  <si>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</si>
  <si>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</si>
  <si>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</si>
  <si>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</si>
  <si>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</si>
  <si>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</si>
  <si>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</si>
  <si>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</si>
  <si>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</si>
  <si>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</si>
  <si>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</si>
  <si>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</si>
  <si>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</si>
  <si>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</si>
  <si>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</si>
  <si>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</si>
  <si>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</si>
  <si>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</si>
  <si>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</si>
  <si>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</si>
  <si>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</si>
  <si>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</si>
  <si>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</si>
  <si>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</si>
  <si>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</si>
  <si>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</si>
  <si>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</si>
  <si>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</si>
  <si>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</si>
  <si>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</si>
  <si>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</si>
  <si>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</si>
  <si>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</si>
  <si>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</si>
  <si>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</si>
  <si>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</si>
  <si>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method_iv</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</si>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</sst>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44" fontId="6" fillId="0" borderId="0" applyFont="0" applyFill="0" applyBorder="0" applyAlignment="0" applyProtection="0"/>
  </cellStyleXfs>
  <cellXfs count="9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4"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4">
    <dxf>
      <border>
        <bottom style="dashed">
          <color auto="1"/>
        </bottom>
      </border>
    </dxf>
    <dxf>
      <border>
        <bottom style="thin">
          <color auto="1"/>
        </bottom>
        <vertical/>
        <horizontal/>
      </border>
    </dxf>
    <dxf>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K301"/>
  <sheetViews>
    <sheetView tabSelected="1" zoomScaleNormal="100" workbookViewId="0">
      <pane xSplit="4" ySplit="1" topLeftCell="E2" activePane="bottomRight" state="frozen"/>
      <selection pane="topRight" activeCell="E1" sqref="E1"/>
      <selection pane="bottomLeft" activeCell="A2" sqref="A2"/>
      <selection pane="bottomRight" activeCell="D3" sqref="D3"/>
    </sheetView>
  </sheetViews>
  <sheetFormatPr defaultRowHeight="15" x14ac:dyDescent="0.25"/>
  <cols>
    <col min="1" max="1" width="5.140625" customWidth="1"/>
    <col min="2" max="2" width="4.140625" customWidth="1"/>
    <col min="4" max="4" width="9.140625" style="79"/>
    <col min="5" max="6" width="9.140625" style="6"/>
    <col min="7" max="7" width="9.140625" style="78"/>
    <col min="8" max="11" width="9.140625" style="70"/>
    <col min="12" max="12" width="9.140625" style="78"/>
    <col min="13" max="14" width="9.140625" style="70"/>
    <col min="15" max="15" width="9.140625" style="69" customWidth="1"/>
    <col min="16" max="17" width="9.140625" style="70"/>
    <col min="18" max="18" width="9.140625" style="78"/>
    <col min="19" max="19" width="9.140625" style="70"/>
    <col min="20" max="20" width="9.140625" style="78"/>
    <col min="21" max="23" width="9.140625" style="70"/>
    <col min="24" max="24" width="9.140625" style="78"/>
    <col min="25" max="26" width="9.140625" style="70"/>
    <col min="27" max="27" width="9.140625" style="78"/>
    <col min="28" max="28" width="9.140625" style="70"/>
    <col min="29" max="29" width="9.140625" style="69"/>
    <col min="34" max="34" width="9.140625" style="28"/>
    <col min="36" max="36" width="9.140625" style="28"/>
    <col min="38" max="38" width="9.140625" style="28"/>
    <col min="40" max="40" width="9.140625" style="28" customWidth="1"/>
    <col min="41" max="41" width="9.140625" customWidth="1"/>
    <col min="42" max="42" width="9.140625" style="28"/>
    <col min="43" max="43" width="9.140625" style="12"/>
    <col min="47" max="47" width="9.140625" style="28"/>
    <col min="48" max="54" width="9.140625" customWidth="1"/>
    <col min="55" max="55" width="9.140625" style="28" customWidth="1"/>
    <col min="56" max="57" width="9.140625" customWidth="1"/>
    <col min="58" max="58" width="9.140625" style="28" customWidth="1"/>
    <col min="59" max="60" width="9.140625" customWidth="1"/>
    <col min="61" max="61" width="9.140625" style="64"/>
    <col min="69" max="69" width="9.140625" style="28"/>
    <col min="72" max="72" width="9.140625" style="28"/>
    <col min="83" max="83" width="9.140625" style="16"/>
    <col min="84" max="84" width="9.140625" customWidth="1"/>
    <col min="85" max="86" width="9.140625" style="28" customWidth="1"/>
    <col min="87" max="87" width="9.140625" customWidth="1"/>
    <col min="88" max="88" width="9.140625" style="64" customWidth="1"/>
  </cols>
  <sheetData>
    <row r="1" spans="1:89" x14ac:dyDescent="0.25">
      <c r="A1" s="1" t="s">
        <v>0</v>
      </c>
      <c r="B1" s="1" t="s">
        <v>1</v>
      </c>
      <c r="C1" s="18" t="s">
        <v>94</v>
      </c>
      <c r="D1" s="9" t="s">
        <v>140</v>
      </c>
      <c r="E1" s="58" t="s">
        <v>83</v>
      </c>
      <c r="F1" s="59" t="s">
        <v>47</v>
      </c>
      <c r="G1" s="71" t="s">
        <v>7</v>
      </c>
      <c r="H1" s="72" t="s">
        <v>9</v>
      </c>
      <c r="I1" s="72" t="s">
        <v>6</v>
      </c>
      <c r="J1" s="72" t="s">
        <v>8</v>
      </c>
      <c r="K1" s="72" t="s">
        <v>88</v>
      </c>
      <c r="L1" s="71" t="s">
        <v>49</v>
      </c>
      <c r="M1" s="72" t="s">
        <v>50</v>
      </c>
      <c r="N1" s="72" t="s">
        <v>48</v>
      </c>
      <c r="O1" s="73" t="s">
        <v>82</v>
      </c>
      <c r="P1" s="74" t="s">
        <v>2</v>
      </c>
      <c r="Q1" s="74" t="s">
        <v>10</v>
      </c>
      <c r="R1" s="75" t="s">
        <v>85</v>
      </c>
      <c r="S1" s="74" t="s">
        <v>86</v>
      </c>
      <c r="T1" s="75" t="s">
        <v>76</v>
      </c>
      <c r="U1" s="74" t="s">
        <v>81</v>
      </c>
      <c r="V1" s="74" t="s">
        <v>79</v>
      </c>
      <c r="W1" s="76" t="s">
        <v>77</v>
      </c>
      <c r="X1" s="75" t="s">
        <v>11</v>
      </c>
      <c r="Y1" s="74" t="s">
        <v>12</v>
      </c>
      <c r="Z1" s="76" t="s">
        <v>13</v>
      </c>
      <c r="AA1" s="75" t="s">
        <v>14</v>
      </c>
      <c r="AB1" s="76" t="s">
        <v>15</v>
      </c>
      <c r="AC1" s="77" t="s">
        <v>28</v>
      </c>
      <c r="AD1" s="3" t="s">
        <v>62</v>
      </c>
      <c r="AE1" s="26" t="s">
        <v>58</v>
      </c>
      <c r="AF1" s="3" t="s">
        <v>59</v>
      </c>
      <c r="AG1" s="11" t="s">
        <v>60</v>
      </c>
      <c r="AH1" s="27" t="s">
        <v>52</v>
      </c>
      <c r="AI1" s="11" t="s">
        <v>51</v>
      </c>
      <c r="AJ1" s="27" t="s">
        <v>3</v>
      </c>
      <c r="AK1" s="11" t="s">
        <v>4</v>
      </c>
      <c r="AL1" s="27" t="s">
        <v>339</v>
      </c>
      <c r="AM1" s="3" t="s">
        <v>340</v>
      </c>
      <c r="AN1" s="27" t="s">
        <v>16</v>
      </c>
      <c r="AO1" s="11" t="s">
        <v>17</v>
      </c>
      <c r="AP1" s="27" t="s">
        <v>335</v>
      </c>
      <c r="AQ1" s="11" t="s">
        <v>336</v>
      </c>
      <c r="AR1" s="11" t="s">
        <v>351</v>
      </c>
      <c r="AS1" s="11" t="s">
        <v>352</v>
      </c>
      <c r="AT1" s="11" t="s">
        <v>353</v>
      </c>
      <c r="AU1" s="61" t="s">
        <v>5</v>
      </c>
      <c r="AV1" s="3" t="s">
        <v>21</v>
      </c>
      <c r="AW1" s="3" t="s">
        <v>22</v>
      </c>
      <c r="AX1" s="3" t="s">
        <v>23</v>
      </c>
      <c r="AY1" s="3" t="s">
        <v>24</v>
      </c>
      <c r="AZ1" s="3" t="s">
        <v>25</v>
      </c>
      <c r="BA1" s="3" t="s">
        <v>26</v>
      </c>
      <c r="BB1" s="3" t="s">
        <v>27</v>
      </c>
      <c r="BC1" s="27" t="s">
        <v>20</v>
      </c>
      <c r="BD1" s="3" t="s">
        <v>19</v>
      </c>
      <c r="BE1" s="3" t="s">
        <v>18</v>
      </c>
      <c r="BF1" s="27" t="s">
        <v>29</v>
      </c>
      <c r="BG1" s="3" t="s">
        <v>30</v>
      </c>
      <c r="BH1" s="15" t="s">
        <v>151</v>
      </c>
      <c r="BI1" s="63" t="s">
        <v>31</v>
      </c>
      <c r="BJ1" s="4" t="s">
        <v>32</v>
      </c>
      <c r="BK1" s="4" t="s">
        <v>360</v>
      </c>
      <c r="BL1" s="4" t="s">
        <v>358</v>
      </c>
      <c r="BM1" s="4" t="s">
        <v>78</v>
      </c>
      <c r="BN1" s="4" t="s">
        <v>332</v>
      </c>
      <c r="BO1" s="4" t="s">
        <v>361</v>
      </c>
      <c r="BP1" s="4" t="s">
        <v>364</v>
      </c>
      <c r="BQ1" s="65" t="s">
        <v>330</v>
      </c>
      <c r="BR1" s="4" t="s">
        <v>366</v>
      </c>
      <c r="BS1" s="4" t="s">
        <v>385</v>
      </c>
      <c r="BT1" s="65" t="s">
        <v>33</v>
      </c>
      <c r="BU1" s="4" t="s">
        <v>34</v>
      </c>
      <c r="BV1" s="4" t="s">
        <v>35</v>
      </c>
      <c r="BW1" s="4" t="s">
        <v>61</v>
      </c>
      <c r="BX1" s="4" t="s">
        <v>36</v>
      </c>
      <c r="BY1" s="4" t="s">
        <v>37</v>
      </c>
      <c r="BZ1" s="4" t="s">
        <v>38</v>
      </c>
      <c r="CA1" s="4" t="s">
        <v>150</v>
      </c>
      <c r="CB1" s="4" t="s">
        <v>39</v>
      </c>
      <c r="CC1" s="4" t="s">
        <v>41</v>
      </c>
      <c r="CD1" s="4" t="s">
        <v>80</v>
      </c>
      <c r="CE1" s="17" t="s">
        <v>40</v>
      </c>
      <c r="CF1" s="29" t="s">
        <v>42</v>
      </c>
      <c r="CG1" s="67" t="s">
        <v>43</v>
      </c>
      <c r="CH1" s="67" t="s">
        <v>44</v>
      </c>
      <c r="CI1" s="29" t="s">
        <v>101</v>
      </c>
      <c r="CJ1" s="68" t="s">
        <v>45</v>
      </c>
      <c r="CK1" s="48" t="s">
        <v>46</v>
      </c>
    </row>
    <row r="2" spans="1:89" x14ac:dyDescent="0.25">
      <c r="A2">
        <v>1</v>
      </c>
      <c r="B2">
        <v>1</v>
      </c>
      <c r="C2" t="s">
        <v>241</v>
      </c>
      <c r="D2" s="10">
        <v>10.199999999999999</v>
      </c>
      <c r="E2" s="6">
        <v>1</v>
      </c>
      <c r="F2" s="6">
        <f t="shared" ref="F2:F65" si="0">D2/E2</f>
        <v>10.199999999999999</v>
      </c>
      <c r="G2" s="7">
        <v>1</v>
      </c>
      <c r="H2" s="8">
        <v>0</v>
      </c>
      <c r="I2" s="8">
        <v>0</v>
      </c>
      <c r="J2" s="8">
        <v>0</v>
      </c>
      <c r="K2" s="8">
        <v>0</v>
      </c>
      <c r="L2" s="7">
        <v>680</v>
      </c>
      <c r="M2" s="8">
        <v>5</v>
      </c>
      <c r="N2" s="8">
        <f t="shared" ref="N2:N65" si="1">L2-M2-1</f>
        <v>674</v>
      </c>
      <c r="O2" s="60">
        <f t="shared" ref="O2:O65" si="2">COUNTIF(B:B,B2)</f>
        <v>22</v>
      </c>
      <c r="P2" s="6">
        <v>14.03</v>
      </c>
      <c r="Q2" s="6">
        <v>8.34</v>
      </c>
      <c r="R2" s="7">
        <v>1</v>
      </c>
      <c r="S2" s="8">
        <v>0</v>
      </c>
      <c r="T2" s="7">
        <v>1</v>
      </c>
      <c r="U2" s="8">
        <v>0</v>
      </c>
      <c r="V2" s="8">
        <v>0</v>
      </c>
      <c r="W2" s="21">
        <v>0</v>
      </c>
      <c r="X2" s="7">
        <v>0</v>
      </c>
      <c r="Y2" s="8">
        <v>1</v>
      </c>
      <c r="Z2" s="21">
        <v>0</v>
      </c>
      <c r="AA2" s="7">
        <v>0</v>
      </c>
      <c r="AB2" s="21">
        <v>1</v>
      </c>
      <c r="AC2" s="60">
        <v>1992</v>
      </c>
      <c r="AD2" t="s">
        <v>57</v>
      </c>
      <c r="AE2" t="s">
        <v>57</v>
      </c>
      <c r="AF2" t="s">
        <v>57</v>
      </c>
      <c r="AG2" t="s">
        <v>57</v>
      </c>
      <c r="AH2" s="28" t="s">
        <v>57</v>
      </c>
      <c r="AI2" s="12" t="s">
        <v>57</v>
      </c>
      <c r="AJ2" s="28">
        <v>0.41</v>
      </c>
      <c r="AK2">
        <v>0.59</v>
      </c>
      <c r="AL2" s="28">
        <v>0.92</v>
      </c>
      <c r="AM2" s="66">
        <f t="shared" ref="AM2:AM23" si="3">1-AL2</f>
        <v>7.999999999999996E-2</v>
      </c>
      <c r="AN2">
        <v>0</v>
      </c>
      <c r="AO2">
        <v>1</v>
      </c>
      <c r="AP2" s="28">
        <v>0.64</v>
      </c>
      <c r="AQ2" s="12">
        <f t="shared" ref="AQ2:AQ23" si="4">1-AP2</f>
        <v>0.36</v>
      </c>
      <c r="AR2" s="12">
        <v>1</v>
      </c>
      <c r="AS2" s="12">
        <v>0</v>
      </c>
      <c r="AT2" s="12">
        <v>0</v>
      </c>
      <c r="AU2" s="62" t="s">
        <v>87</v>
      </c>
      <c r="AV2">
        <v>1</v>
      </c>
      <c r="AW2">
        <v>0</v>
      </c>
      <c r="AX2">
        <v>0</v>
      </c>
      <c r="AY2">
        <v>0</v>
      </c>
      <c r="AZ2">
        <v>0</v>
      </c>
      <c r="BA2">
        <v>0</v>
      </c>
      <c r="BB2">
        <v>0</v>
      </c>
      <c r="BC2">
        <v>1</v>
      </c>
      <c r="BD2">
        <v>0</v>
      </c>
      <c r="BE2">
        <v>0</v>
      </c>
      <c r="BF2">
        <v>25151</v>
      </c>
      <c r="BG2">
        <v>1422</v>
      </c>
      <c r="BH2">
        <v>0.92100000000000004</v>
      </c>
      <c r="BI2" s="64">
        <v>38.07</v>
      </c>
      <c r="BJ2">
        <v>0</v>
      </c>
      <c r="BK2">
        <v>1</v>
      </c>
      <c r="BL2">
        <v>0</v>
      </c>
      <c r="BM2">
        <v>0</v>
      </c>
      <c r="BN2">
        <v>0</v>
      </c>
      <c r="BO2">
        <v>0</v>
      </c>
      <c r="BP2">
        <v>0</v>
      </c>
      <c r="BQ2" s="28">
        <v>0</v>
      </c>
      <c r="BR2">
        <v>0</v>
      </c>
      <c r="BS2">
        <v>0</v>
      </c>
      <c r="BT2" s="28">
        <v>1</v>
      </c>
      <c r="BU2">
        <v>1</v>
      </c>
      <c r="BV2">
        <v>0</v>
      </c>
      <c r="BW2">
        <v>0</v>
      </c>
      <c r="BX2">
        <v>1</v>
      </c>
      <c r="BY2">
        <v>0</v>
      </c>
      <c r="BZ2">
        <v>1</v>
      </c>
      <c r="CA2">
        <v>0</v>
      </c>
      <c r="CB2">
        <v>0</v>
      </c>
      <c r="CC2">
        <v>0</v>
      </c>
      <c r="CD2">
        <v>0</v>
      </c>
      <c r="CE2" s="16">
        <v>0</v>
      </c>
      <c r="CF2">
        <v>3.0920000000000001</v>
      </c>
      <c r="CG2">
        <v>908</v>
      </c>
      <c r="CH2">
        <v>1</v>
      </c>
      <c r="CI2">
        <v>0</v>
      </c>
      <c r="CJ2">
        <v>4</v>
      </c>
      <c r="CK2" t="s">
        <v>46</v>
      </c>
    </row>
    <row r="3" spans="1:89" x14ac:dyDescent="0.25">
      <c r="A3">
        <v>2</v>
      </c>
      <c r="B3">
        <v>1</v>
      </c>
      <c r="C3" t="s">
        <v>241</v>
      </c>
      <c r="D3" s="10">
        <v>6.6</v>
      </c>
      <c r="E3" s="6">
        <v>1.8</v>
      </c>
      <c r="F3" s="6">
        <f t="shared" si="0"/>
        <v>3.6666666666666665</v>
      </c>
      <c r="G3" s="7">
        <v>1</v>
      </c>
      <c r="H3" s="8">
        <v>0</v>
      </c>
      <c r="I3" s="8">
        <v>0</v>
      </c>
      <c r="J3" s="8">
        <v>0</v>
      </c>
      <c r="K3" s="8">
        <v>0</v>
      </c>
      <c r="L3" s="7">
        <v>680</v>
      </c>
      <c r="M3" s="8">
        <v>6</v>
      </c>
      <c r="N3" s="8">
        <f t="shared" si="1"/>
        <v>673</v>
      </c>
      <c r="O3" s="60">
        <f t="shared" si="2"/>
        <v>22</v>
      </c>
      <c r="P3" s="6">
        <v>14.03</v>
      </c>
      <c r="Q3" s="6">
        <v>8.34</v>
      </c>
      <c r="R3" s="7">
        <v>1</v>
      </c>
      <c r="S3" s="8">
        <v>0</v>
      </c>
      <c r="T3" s="7">
        <v>1</v>
      </c>
      <c r="U3" s="8">
        <v>0</v>
      </c>
      <c r="V3" s="8">
        <v>0</v>
      </c>
      <c r="W3" s="21">
        <v>0</v>
      </c>
      <c r="X3" s="7">
        <v>0</v>
      </c>
      <c r="Y3" s="8">
        <v>1</v>
      </c>
      <c r="Z3" s="21">
        <v>0</v>
      </c>
      <c r="AA3" s="7">
        <v>0</v>
      </c>
      <c r="AB3" s="21">
        <v>1</v>
      </c>
      <c r="AC3" s="60">
        <v>1992</v>
      </c>
      <c r="AD3" t="s">
        <v>57</v>
      </c>
      <c r="AE3" t="s">
        <v>57</v>
      </c>
      <c r="AF3" t="s">
        <v>57</v>
      </c>
      <c r="AG3" t="s">
        <v>57</v>
      </c>
      <c r="AH3" s="28" t="s">
        <v>57</v>
      </c>
      <c r="AI3" s="12" t="s">
        <v>57</v>
      </c>
      <c r="AJ3" s="28">
        <v>0.41</v>
      </c>
      <c r="AK3">
        <v>0.59</v>
      </c>
      <c r="AL3" s="28">
        <v>0.92</v>
      </c>
      <c r="AM3" s="66">
        <f t="shared" si="3"/>
        <v>7.999999999999996E-2</v>
      </c>
      <c r="AN3">
        <v>0</v>
      </c>
      <c r="AO3">
        <v>1</v>
      </c>
      <c r="AP3" s="28">
        <v>0.64</v>
      </c>
      <c r="AQ3" s="12">
        <f t="shared" si="4"/>
        <v>0.36</v>
      </c>
      <c r="AR3" s="12">
        <v>1</v>
      </c>
      <c r="AS3" s="12">
        <v>0</v>
      </c>
      <c r="AT3" s="12">
        <v>0</v>
      </c>
      <c r="AU3" s="62" t="s">
        <v>87</v>
      </c>
      <c r="AV3">
        <v>1</v>
      </c>
      <c r="AW3">
        <v>0</v>
      </c>
      <c r="AX3">
        <v>0</v>
      </c>
      <c r="AY3">
        <v>0</v>
      </c>
      <c r="AZ3">
        <v>0</v>
      </c>
      <c r="BA3">
        <v>0</v>
      </c>
      <c r="BB3">
        <v>0</v>
      </c>
      <c r="BC3">
        <v>1</v>
      </c>
      <c r="BD3">
        <v>0</v>
      </c>
      <c r="BE3">
        <v>0</v>
      </c>
      <c r="BF3">
        <v>25151</v>
      </c>
      <c r="BG3">
        <v>1422</v>
      </c>
      <c r="BH3">
        <v>0.92100000000000004</v>
      </c>
      <c r="BI3" s="64">
        <v>38.07</v>
      </c>
      <c r="BJ3">
        <v>0</v>
      </c>
      <c r="BK3">
        <v>1</v>
      </c>
      <c r="BL3">
        <v>0</v>
      </c>
      <c r="BM3">
        <v>0</v>
      </c>
      <c r="BN3">
        <v>0</v>
      </c>
      <c r="BO3">
        <v>0</v>
      </c>
      <c r="BP3">
        <v>0</v>
      </c>
      <c r="BQ3" s="28">
        <v>0</v>
      </c>
      <c r="BR3">
        <v>0</v>
      </c>
      <c r="BS3">
        <v>0</v>
      </c>
      <c r="BT3" s="28">
        <v>1</v>
      </c>
      <c r="BU3">
        <v>1</v>
      </c>
      <c r="BV3">
        <v>0</v>
      </c>
      <c r="BW3">
        <v>0</v>
      </c>
      <c r="BX3">
        <v>1</v>
      </c>
      <c r="BY3">
        <v>0</v>
      </c>
      <c r="BZ3">
        <v>1</v>
      </c>
      <c r="CA3">
        <v>0</v>
      </c>
      <c r="CB3">
        <v>0</v>
      </c>
      <c r="CC3">
        <v>0</v>
      </c>
      <c r="CD3">
        <v>0</v>
      </c>
      <c r="CE3" s="16">
        <v>0</v>
      </c>
      <c r="CF3">
        <v>3.0920000000000001</v>
      </c>
      <c r="CG3">
        <v>908</v>
      </c>
      <c r="CH3">
        <v>1</v>
      </c>
      <c r="CI3">
        <v>0</v>
      </c>
      <c r="CJ3">
        <v>4</v>
      </c>
      <c r="CK3" t="s">
        <v>46</v>
      </c>
    </row>
    <row r="4" spans="1:89" x14ac:dyDescent="0.25">
      <c r="A4">
        <v>3</v>
      </c>
      <c r="B4">
        <v>1</v>
      </c>
      <c r="C4" t="s">
        <v>241</v>
      </c>
      <c r="D4" s="10">
        <v>9.1</v>
      </c>
      <c r="E4" s="6">
        <v>2.4</v>
      </c>
      <c r="F4" s="6">
        <f t="shared" si="0"/>
        <v>3.7916666666666665</v>
      </c>
      <c r="G4" s="7">
        <v>1</v>
      </c>
      <c r="H4" s="8">
        <v>0</v>
      </c>
      <c r="I4" s="8">
        <v>0</v>
      </c>
      <c r="J4" s="8">
        <v>0</v>
      </c>
      <c r="K4" s="8">
        <v>0</v>
      </c>
      <c r="L4" s="7">
        <v>680</v>
      </c>
      <c r="M4" s="8">
        <v>6</v>
      </c>
      <c r="N4" s="8">
        <f t="shared" si="1"/>
        <v>673</v>
      </c>
      <c r="O4" s="60">
        <f t="shared" si="2"/>
        <v>22</v>
      </c>
      <c r="P4" s="6">
        <v>14.03</v>
      </c>
      <c r="Q4" s="6">
        <v>8.34</v>
      </c>
      <c r="R4" s="7">
        <v>1</v>
      </c>
      <c r="S4" s="8">
        <v>0</v>
      </c>
      <c r="T4" s="7">
        <v>1</v>
      </c>
      <c r="U4" s="8">
        <v>0</v>
      </c>
      <c r="V4" s="8">
        <v>0</v>
      </c>
      <c r="W4" s="21">
        <v>0</v>
      </c>
      <c r="X4" s="7">
        <v>0</v>
      </c>
      <c r="Y4" s="8">
        <v>1</v>
      </c>
      <c r="Z4" s="21">
        <v>0</v>
      </c>
      <c r="AA4" s="7">
        <v>0</v>
      </c>
      <c r="AB4" s="21">
        <v>1</v>
      </c>
      <c r="AC4" s="60">
        <v>1992</v>
      </c>
      <c r="AD4" t="s">
        <v>57</v>
      </c>
      <c r="AE4" t="s">
        <v>57</v>
      </c>
      <c r="AF4" t="s">
        <v>57</v>
      </c>
      <c r="AG4" t="s">
        <v>57</v>
      </c>
      <c r="AH4" s="28" t="s">
        <v>57</v>
      </c>
      <c r="AI4" s="12" t="s">
        <v>57</v>
      </c>
      <c r="AJ4" s="28">
        <v>0.41</v>
      </c>
      <c r="AK4">
        <v>0.59</v>
      </c>
      <c r="AL4" s="28">
        <v>0.92</v>
      </c>
      <c r="AM4" s="66">
        <f t="shared" si="3"/>
        <v>7.999999999999996E-2</v>
      </c>
      <c r="AN4">
        <v>0</v>
      </c>
      <c r="AO4">
        <v>1</v>
      </c>
      <c r="AP4" s="28">
        <v>0.64</v>
      </c>
      <c r="AQ4" s="12">
        <f t="shared" si="4"/>
        <v>0.36</v>
      </c>
      <c r="AR4" s="12">
        <v>1</v>
      </c>
      <c r="AS4" s="12">
        <v>0</v>
      </c>
      <c r="AT4" s="12">
        <v>0</v>
      </c>
      <c r="AU4" s="62" t="s">
        <v>87</v>
      </c>
      <c r="AV4">
        <v>1</v>
      </c>
      <c r="AW4">
        <v>0</v>
      </c>
      <c r="AX4">
        <v>0</v>
      </c>
      <c r="AY4">
        <v>0</v>
      </c>
      <c r="AZ4">
        <v>0</v>
      </c>
      <c r="BA4">
        <v>0</v>
      </c>
      <c r="BB4">
        <v>0</v>
      </c>
      <c r="BC4">
        <v>1</v>
      </c>
      <c r="BD4">
        <v>0</v>
      </c>
      <c r="BE4">
        <v>0</v>
      </c>
      <c r="BF4">
        <v>25151</v>
      </c>
      <c r="BG4">
        <v>1422</v>
      </c>
      <c r="BH4">
        <v>0.92100000000000004</v>
      </c>
      <c r="BI4" s="64">
        <v>38.07</v>
      </c>
      <c r="BJ4">
        <v>0</v>
      </c>
      <c r="BK4">
        <v>0</v>
      </c>
      <c r="BL4">
        <v>0</v>
      </c>
      <c r="BM4">
        <v>1</v>
      </c>
      <c r="BN4">
        <v>0</v>
      </c>
      <c r="BO4">
        <v>0</v>
      </c>
      <c r="BP4">
        <v>0</v>
      </c>
      <c r="BQ4" s="28">
        <v>0</v>
      </c>
      <c r="BR4">
        <v>0</v>
      </c>
      <c r="BS4">
        <v>0</v>
      </c>
      <c r="BT4" s="28">
        <v>1</v>
      </c>
      <c r="BU4">
        <v>1</v>
      </c>
      <c r="BV4">
        <v>0</v>
      </c>
      <c r="BW4">
        <v>0</v>
      </c>
      <c r="BX4">
        <v>1</v>
      </c>
      <c r="BY4">
        <v>0</v>
      </c>
      <c r="BZ4">
        <v>1</v>
      </c>
      <c r="CA4">
        <v>0</v>
      </c>
      <c r="CB4">
        <v>0</v>
      </c>
      <c r="CC4">
        <v>0</v>
      </c>
      <c r="CD4">
        <v>0</v>
      </c>
      <c r="CE4" s="16">
        <v>0</v>
      </c>
      <c r="CF4">
        <v>3.0920000000000001</v>
      </c>
      <c r="CG4">
        <v>908</v>
      </c>
      <c r="CH4">
        <v>1</v>
      </c>
      <c r="CI4">
        <v>0</v>
      </c>
      <c r="CJ4">
        <v>4</v>
      </c>
      <c r="CK4" t="s">
        <v>46</v>
      </c>
    </row>
    <row r="5" spans="1:89" x14ac:dyDescent="0.25">
      <c r="A5">
        <v>4</v>
      </c>
      <c r="B5">
        <v>1</v>
      </c>
      <c r="C5" t="s">
        <v>241</v>
      </c>
      <c r="D5" s="10">
        <v>7</v>
      </c>
      <c r="E5" s="6">
        <v>1.9</v>
      </c>
      <c r="F5" s="6">
        <f t="shared" si="0"/>
        <v>3.6842105263157898</v>
      </c>
      <c r="G5" s="7">
        <v>1</v>
      </c>
      <c r="H5" s="8">
        <v>0</v>
      </c>
      <c r="I5" s="8">
        <v>0</v>
      </c>
      <c r="J5" s="8">
        <v>0</v>
      </c>
      <c r="K5" s="8">
        <v>0</v>
      </c>
      <c r="L5" s="7">
        <v>340</v>
      </c>
      <c r="M5" s="8">
        <v>1</v>
      </c>
      <c r="N5" s="8">
        <f t="shared" si="1"/>
        <v>338</v>
      </c>
      <c r="O5" s="60">
        <f t="shared" si="2"/>
        <v>22</v>
      </c>
      <c r="P5" s="6">
        <v>14.03</v>
      </c>
      <c r="Q5" s="6">
        <v>8.34</v>
      </c>
      <c r="R5" s="7">
        <v>1</v>
      </c>
      <c r="S5" s="8">
        <v>0</v>
      </c>
      <c r="T5" s="7">
        <v>1</v>
      </c>
      <c r="U5" s="8">
        <v>0</v>
      </c>
      <c r="V5" s="8">
        <v>0</v>
      </c>
      <c r="W5" s="21">
        <v>0</v>
      </c>
      <c r="X5" s="7">
        <v>0</v>
      </c>
      <c r="Y5" s="8">
        <v>1</v>
      </c>
      <c r="Z5" s="21">
        <v>0</v>
      </c>
      <c r="AA5" s="7">
        <v>0</v>
      </c>
      <c r="AB5" s="21">
        <v>1</v>
      </c>
      <c r="AC5" s="60">
        <v>1992</v>
      </c>
      <c r="AD5" t="s">
        <v>57</v>
      </c>
      <c r="AE5" t="s">
        <v>57</v>
      </c>
      <c r="AF5" t="s">
        <v>57</v>
      </c>
      <c r="AG5" t="s">
        <v>57</v>
      </c>
      <c r="AH5" s="28" t="s">
        <v>57</v>
      </c>
      <c r="AI5" s="12" t="s">
        <v>57</v>
      </c>
      <c r="AJ5" s="28">
        <v>0.41</v>
      </c>
      <c r="AK5">
        <v>0.59</v>
      </c>
      <c r="AL5" s="28">
        <v>0.92</v>
      </c>
      <c r="AM5" s="66">
        <f t="shared" si="3"/>
        <v>7.999999999999996E-2</v>
      </c>
      <c r="AN5">
        <v>0</v>
      </c>
      <c r="AO5">
        <v>1</v>
      </c>
      <c r="AP5" s="28">
        <v>0.64</v>
      </c>
      <c r="AQ5" s="12">
        <f t="shared" si="4"/>
        <v>0.36</v>
      </c>
      <c r="AR5" s="12">
        <v>1</v>
      </c>
      <c r="AS5" s="12">
        <v>0</v>
      </c>
      <c r="AT5" s="12">
        <v>0</v>
      </c>
      <c r="AU5" s="62" t="s">
        <v>87</v>
      </c>
      <c r="AV5">
        <v>1</v>
      </c>
      <c r="AW5">
        <v>0</v>
      </c>
      <c r="AX5">
        <v>0</v>
      </c>
      <c r="AY5">
        <v>0</v>
      </c>
      <c r="AZ5">
        <v>0</v>
      </c>
      <c r="BA5">
        <v>0</v>
      </c>
      <c r="BB5">
        <v>0</v>
      </c>
      <c r="BC5">
        <v>1</v>
      </c>
      <c r="BD5">
        <v>0</v>
      </c>
      <c r="BE5">
        <v>0</v>
      </c>
      <c r="BF5">
        <v>25151</v>
      </c>
      <c r="BG5">
        <v>1422</v>
      </c>
      <c r="BH5">
        <v>0.92100000000000004</v>
      </c>
      <c r="BI5" s="64">
        <v>38.07</v>
      </c>
      <c r="BJ5">
        <v>0</v>
      </c>
      <c r="BK5">
        <v>0</v>
      </c>
      <c r="BL5">
        <v>0</v>
      </c>
      <c r="BM5">
        <v>0</v>
      </c>
      <c r="BN5">
        <v>1</v>
      </c>
      <c r="BO5">
        <v>0</v>
      </c>
      <c r="BP5">
        <v>0</v>
      </c>
      <c r="BQ5" s="28">
        <v>0</v>
      </c>
      <c r="BR5">
        <v>0</v>
      </c>
      <c r="BS5">
        <v>0</v>
      </c>
      <c r="BT5" s="28">
        <v>0</v>
      </c>
      <c r="BU5">
        <v>0</v>
      </c>
      <c r="BV5">
        <v>0</v>
      </c>
      <c r="BW5">
        <v>0</v>
      </c>
      <c r="BX5">
        <v>0</v>
      </c>
      <c r="BY5">
        <v>0</v>
      </c>
      <c r="BZ5">
        <v>0</v>
      </c>
      <c r="CA5">
        <v>0</v>
      </c>
      <c r="CB5">
        <v>0</v>
      </c>
      <c r="CC5">
        <v>0</v>
      </c>
      <c r="CD5">
        <v>0</v>
      </c>
      <c r="CE5" s="16">
        <v>0</v>
      </c>
      <c r="CF5">
        <v>3.0920000000000001</v>
      </c>
      <c r="CG5">
        <v>908</v>
      </c>
      <c r="CH5">
        <v>1</v>
      </c>
      <c r="CI5">
        <v>0</v>
      </c>
      <c r="CJ5">
        <v>4</v>
      </c>
      <c r="CK5" t="s">
        <v>46</v>
      </c>
    </row>
    <row r="6" spans="1:89" x14ac:dyDescent="0.25">
      <c r="A6">
        <v>5</v>
      </c>
      <c r="B6">
        <v>1</v>
      </c>
      <c r="C6" t="s">
        <v>241</v>
      </c>
      <c r="D6" s="10">
        <v>8.8000000000000007</v>
      </c>
      <c r="E6" s="6">
        <v>2.5</v>
      </c>
      <c r="F6" s="6">
        <f t="shared" si="0"/>
        <v>3.5200000000000005</v>
      </c>
      <c r="G6" s="7">
        <v>1</v>
      </c>
      <c r="H6" s="8">
        <v>0</v>
      </c>
      <c r="I6" s="8">
        <v>0</v>
      </c>
      <c r="J6" s="8">
        <v>0</v>
      </c>
      <c r="K6" s="8">
        <v>0</v>
      </c>
      <c r="L6" s="7">
        <v>340</v>
      </c>
      <c r="M6" s="8">
        <v>1</v>
      </c>
      <c r="N6" s="8">
        <f t="shared" si="1"/>
        <v>338</v>
      </c>
      <c r="O6" s="60">
        <f t="shared" si="2"/>
        <v>22</v>
      </c>
      <c r="P6" s="6">
        <v>14.03</v>
      </c>
      <c r="Q6" s="6">
        <v>8.34</v>
      </c>
      <c r="R6" s="7">
        <v>1</v>
      </c>
      <c r="S6" s="8">
        <v>0</v>
      </c>
      <c r="T6" s="7">
        <v>1</v>
      </c>
      <c r="U6" s="8">
        <v>0</v>
      </c>
      <c r="V6" s="8">
        <v>0</v>
      </c>
      <c r="W6" s="21">
        <v>0</v>
      </c>
      <c r="X6" s="7">
        <v>0</v>
      </c>
      <c r="Y6" s="8">
        <v>1</v>
      </c>
      <c r="Z6" s="21">
        <v>0</v>
      </c>
      <c r="AA6" s="7">
        <v>0</v>
      </c>
      <c r="AB6" s="21">
        <v>1</v>
      </c>
      <c r="AC6" s="60">
        <v>1992</v>
      </c>
      <c r="AD6" t="s">
        <v>57</v>
      </c>
      <c r="AE6" t="s">
        <v>57</v>
      </c>
      <c r="AF6" t="s">
        <v>57</v>
      </c>
      <c r="AG6" t="s">
        <v>57</v>
      </c>
      <c r="AH6" s="28" t="s">
        <v>57</v>
      </c>
      <c r="AI6" s="12" t="s">
        <v>57</v>
      </c>
      <c r="AJ6" s="28">
        <v>0.41</v>
      </c>
      <c r="AK6">
        <v>0.59</v>
      </c>
      <c r="AL6" s="28">
        <v>0.92</v>
      </c>
      <c r="AM6" s="66">
        <f t="shared" si="3"/>
        <v>7.999999999999996E-2</v>
      </c>
      <c r="AN6">
        <v>0</v>
      </c>
      <c r="AO6">
        <v>1</v>
      </c>
      <c r="AP6" s="28">
        <v>0.64</v>
      </c>
      <c r="AQ6" s="12">
        <f t="shared" si="4"/>
        <v>0.36</v>
      </c>
      <c r="AR6" s="12">
        <v>1</v>
      </c>
      <c r="AS6" s="12">
        <v>0</v>
      </c>
      <c r="AT6" s="12">
        <v>0</v>
      </c>
      <c r="AU6" s="62" t="s">
        <v>87</v>
      </c>
      <c r="AV6">
        <v>1</v>
      </c>
      <c r="AW6">
        <v>0</v>
      </c>
      <c r="AX6">
        <v>0</v>
      </c>
      <c r="AY6">
        <v>0</v>
      </c>
      <c r="AZ6">
        <v>0</v>
      </c>
      <c r="BA6">
        <v>0</v>
      </c>
      <c r="BB6">
        <v>0</v>
      </c>
      <c r="BC6">
        <v>1</v>
      </c>
      <c r="BD6">
        <v>0</v>
      </c>
      <c r="BE6">
        <v>0</v>
      </c>
      <c r="BF6">
        <v>25151</v>
      </c>
      <c r="BG6">
        <v>1422</v>
      </c>
      <c r="BH6">
        <v>0.92100000000000004</v>
      </c>
      <c r="BI6" s="64">
        <v>38.07</v>
      </c>
      <c r="BJ6">
        <v>0</v>
      </c>
      <c r="BK6">
        <v>0</v>
      </c>
      <c r="BL6">
        <v>0</v>
      </c>
      <c r="BM6">
        <v>0</v>
      </c>
      <c r="BN6">
        <v>0</v>
      </c>
      <c r="BO6">
        <v>1</v>
      </c>
      <c r="BP6">
        <v>0</v>
      </c>
      <c r="BQ6" s="28">
        <v>1</v>
      </c>
      <c r="BR6">
        <v>0</v>
      </c>
      <c r="BS6">
        <v>0</v>
      </c>
      <c r="BT6" s="28">
        <v>0</v>
      </c>
      <c r="BU6">
        <v>0</v>
      </c>
      <c r="BV6">
        <v>0</v>
      </c>
      <c r="BW6">
        <v>0</v>
      </c>
      <c r="BX6">
        <v>0</v>
      </c>
      <c r="BY6">
        <v>0</v>
      </c>
      <c r="BZ6">
        <v>0</v>
      </c>
      <c r="CA6">
        <v>0</v>
      </c>
      <c r="CB6">
        <v>0</v>
      </c>
      <c r="CC6">
        <v>0</v>
      </c>
      <c r="CD6">
        <v>0</v>
      </c>
      <c r="CE6" s="16">
        <v>0</v>
      </c>
      <c r="CF6">
        <v>3.0920000000000001</v>
      </c>
      <c r="CG6">
        <v>908</v>
      </c>
      <c r="CH6">
        <v>1</v>
      </c>
      <c r="CI6">
        <v>0</v>
      </c>
      <c r="CJ6">
        <v>4</v>
      </c>
      <c r="CK6" t="s">
        <v>46</v>
      </c>
    </row>
    <row r="7" spans="1:89" x14ac:dyDescent="0.25">
      <c r="A7">
        <v>6</v>
      </c>
      <c r="B7">
        <v>1</v>
      </c>
      <c r="C7" t="s">
        <v>241</v>
      </c>
      <c r="D7" s="10">
        <v>11.3</v>
      </c>
      <c r="E7" s="6">
        <v>1</v>
      </c>
      <c r="F7" s="6">
        <f t="shared" si="0"/>
        <v>11.3</v>
      </c>
      <c r="G7" s="7">
        <v>1</v>
      </c>
      <c r="H7" s="8">
        <v>0</v>
      </c>
      <c r="I7" s="8">
        <v>0</v>
      </c>
      <c r="J7" s="8">
        <v>0</v>
      </c>
      <c r="K7" s="8">
        <v>0</v>
      </c>
      <c r="L7" s="7">
        <v>666</v>
      </c>
      <c r="M7" s="8">
        <v>8</v>
      </c>
      <c r="N7" s="8">
        <f t="shared" si="1"/>
        <v>657</v>
      </c>
      <c r="O7" s="60">
        <f t="shared" si="2"/>
        <v>22</v>
      </c>
      <c r="P7" s="6">
        <v>14.03</v>
      </c>
      <c r="Q7" s="6">
        <v>8.34</v>
      </c>
      <c r="R7" s="7">
        <v>1</v>
      </c>
      <c r="S7" s="8">
        <v>0</v>
      </c>
      <c r="T7" s="7">
        <v>1</v>
      </c>
      <c r="U7" s="8">
        <v>0</v>
      </c>
      <c r="V7" s="8">
        <v>0</v>
      </c>
      <c r="W7" s="21">
        <v>0</v>
      </c>
      <c r="X7" s="7">
        <v>0</v>
      </c>
      <c r="Y7" s="8">
        <v>1</v>
      </c>
      <c r="Z7" s="21">
        <v>0</v>
      </c>
      <c r="AA7" s="7">
        <v>0</v>
      </c>
      <c r="AB7" s="21">
        <v>1</v>
      </c>
      <c r="AC7" s="60">
        <v>1992</v>
      </c>
      <c r="AD7" t="s">
        <v>57</v>
      </c>
      <c r="AE7" t="s">
        <v>57</v>
      </c>
      <c r="AF7" t="s">
        <v>57</v>
      </c>
      <c r="AG7" t="s">
        <v>57</v>
      </c>
      <c r="AH7" s="28" t="s">
        <v>57</v>
      </c>
      <c r="AI7" s="12" t="s">
        <v>57</v>
      </c>
      <c r="AJ7" s="28">
        <v>0.41</v>
      </c>
      <c r="AK7">
        <v>0.59</v>
      </c>
      <c r="AL7" s="28">
        <v>0.92</v>
      </c>
      <c r="AM7" s="66">
        <f t="shared" si="3"/>
        <v>7.999999999999996E-2</v>
      </c>
      <c r="AN7">
        <v>0</v>
      </c>
      <c r="AO7">
        <v>1</v>
      </c>
      <c r="AP7" s="28">
        <v>0.64</v>
      </c>
      <c r="AQ7" s="12">
        <f t="shared" si="4"/>
        <v>0.36</v>
      </c>
      <c r="AR7" s="12">
        <v>1</v>
      </c>
      <c r="AS7" s="12">
        <v>0</v>
      </c>
      <c r="AT7" s="12">
        <v>0</v>
      </c>
      <c r="AU7" s="62" t="s">
        <v>87</v>
      </c>
      <c r="AV7">
        <v>1</v>
      </c>
      <c r="AW7">
        <v>0</v>
      </c>
      <c r="AX7">
        <v>0</v>
      </c>
      <c r="AY7">
        <v>0</v>
      </c>
      <c r="AZ7">
        <v>0</v>
      </c>
      <c r="BA7">
        <v>0</v>
      </c>
      <c r="BB7">
        <v>0</v>
      </c>
      <c r="BC7">
        <v>1</v>
      </c>
      <c r="BD7">
        <v>0</v>
      </c>
      <c r="BE7">
        <v>0</v>
      </c>
      <c r="BF7">
        <v>25151</v>
      </c>
      <c r="BG7">
        <v>1422</v>
      </c>
      <c r="BH7">
        <v>0.92100000000000004</v>
      </c>
      <c r="BI7" s="64">
        <v>38.07</v>
      </c>
      <c r="BJ7">
        <v>0</v>
      </c>
      <c r="BK7">
        <v>1</v>
      </c>
      <c r="BL7">
        <v>0</v>
      </c>
      <c r="BM7">
        <v>0</v>
      </c>
      <c r="BN7">
        <v>0</v>
      </c>
      <c r="BO7">
        <v>0</v>
      </c>
      <c r="BP7">
        <v>0</v>
      </c>
      <c r="BQ7" s="28">
        <v>0</v>
      </c>
      <c r="BR7">
        <v>0</v>
      </c>
      <c r="BS7">
        <v>0</v>
      </c>
      <c r="BT7" s="28">
        <v>1</v>
      </c>
      <c r="BU7">
        <v>1</v>
      </c>
      <c r="BV7">
        <v>0</v>
      </c>
      <c r="BW7">
        <v>1</v>
      </c>
      <c r="BX7">
        <v>1</v>
      </c>
      <c r="BY7">
        <v>0</v>
      </c>
      <c r="BZ7">
        <v>1</v>
      </c>
      <c r="CA7">
        <v>1</v>
      </c>
      <c r="CB7">
        <v>0</v>
      </c>
      <c r="CC7">
        <v>0</v>
      </c>
      <c r="CD7">
        <v>0</v>
      </c>
      <c r="CE7" s="16">
        <v>1</v>
      </c>
      <c r="CF7">
        <v>3.0920000000000001</v>
      </c>
      <c r="CG7">
        <v>908</v>
      </c>
      <c r="CH7">
        <v>1</v>
      </c>
      <c r="CI7">
        <v>0</v>
      </c>
      <c r="CJ7">
        <v>4</v>
      </c>
      <c r="CK7" t="s">
        <v>46</v>
      </c>
    </row>
    <row r="8" spans="1:89" x14ac:dyDescent="0.25">
      <c r="A8">
        <v>7</v>
      </c>
      <c r="B8">
        <v>1</v>
      </c>
      <c r="C8" t="s">
        <v>241</v>
      </c>
      <c r="D8" s="10">
        <v>7.4</v>
      </c>
      <c r="E8" s="6">
        <v>1.7</v>
      </c>
      <c r="F8" s="6">
        <f t="shared" si="0"/>
        <v>4.3529411764705888</v>
      </c>
      <c r="G8" s="7">
        <v>1</v>
      </c>
      <c r="H8" s="8">
        <v>0</v>
      </c>
      <c r="I8" s="8">
        <v>0</v>
      </c>
      <c r="J8" s="8">
        <v>0</v>
      </c>
      <c r="K8" s="8">
        <v>0</v>
      </c>
      <c r="L8" s="7">
        <v>666</v>
      </c>
      <c r="M8" s="8">
        <v>9</v>
      </c>
      <c r="N8" s="8">
        <f t="shared" si="1"/>
        <v>656</v>
      </c>
      <c r="O8" s="60">
        <f t="shared" si="2"/>
        <v>22</v>
      </c>
      <c r="P8" s="6">
        <v>14.03</v>
      </c>
      <c r="Q8" s="6">
        <v>8.34</v>
      </c>
      <c r="R8" s="7">
        <v>1</v>
      </c>
      <c r="S8" s="8">
        <v>0</v>
      </c>
      <c r="T8" s="7">
        <v>1</v>
      </c>
      <c r="U8" s="8">
        <v>0</v>
      </c>
      <c r="V8" s="8">
        <v>0</v>
      </c>
      <c r="W8" s="21">
        <v>0</v>
      </c>
      <c r="X8" s="7">
        <v>0</v>
      </c>
      <c r="Y8" s="8">
        <v>1</v>
      </c>
      <c r="Z8" s="21">
        <v>0</v>
      </c>
      <c r="AA8" s="7">
        <v>0</v>
      </c>
      <c r="AB8" s="21">
        <v>1</v>
      </c>
      <c r="AC8" s="60">
        <v>1992</v>
      </c>
      <c r="AD8" t="s">
        <v>57</v>
      </c>
      <c r="AE8" t="s">
        <v>57</v>
      </c>
      <c r="AF8" t="s">
        <v>57</v>
      </c>
      <c r="AG8" t="s">
        <v>57</v>
      </c>
      <c r="AH8" s="28" t="s">
        <v>57</v>
      </c>
      <c r="AI8" s="12" t="s">
        <v>57</v>
      </c>
      <c r="AJ8" s="28">
        <v>0.41</v>
      </c>
      <c r="AK8">
        <v>0.59</v>
      </c>
      <c r="AL8" s="28">
        <v>0.92</v>
      </c>
      <c r="AM8" s="66">
        <f t="shared" si="3"/>
        <v>7.999999999999996E-2</v>
      </c>
      <c r="AN8">
        <v>0</v>
      </c>
      <c r="AO8">
        <v>1</v>
      </c>
      <c r="AP8" s="28">
        <v>0.64</v>
      </c>
      <c r="AQ8" s="12">
        <f t="shared" si="4"/>
        <v>0.36</v>
      </c>
      <c r="AR8" s="12">
        <v>1</v>
      </c>
      <c r="AS8" s="12">
        <v>0</v>
      </c>
      <c r="AT8" s="12">
        <v>0</v>
      </c>
      <c r="AU8" s="62" t="s">
        <v>87</v>
      </c>
      <c r="AV8">
        <v>1</v>
      </c>
      <c r="AW8">
        <v>0</v>
      </c>
      <c r="AX8">
        <v>0</v>
      </c>
      <c r="AY8">
        <v>0</v>
      </c>
      <c r="AZ8">
        <v>0</v>
      </c>
      <c r="BA8">
        <v>0</v>
      </c>
      <c r="BB8">
        <v>0</v>
      </c>
      <c r="BC8">
        <v>1</v>
      </c>
      <c r="BD8">
        <v>0</v>
      </c>
      <c r="BE8">
        <v>0</v>
      </c>
      <c r="BF8">
        <v>25151</v>
      </c>
      <c r="BG8">
        <v>1422</v>
      </c>
      <c r="BH8">
        <v>0.92100000000000004</v>
      </c>
      <c r="BI8" s="64">
        <v>38.07</v>
      </c>
      <c r="BJ8">
        <v>0</v>
      </c>
      <c r="BK8">
        <v>1</v>
      </c>
      <c r="BL8">
        <v>0</v>
      </c>
      <c r="BM8">
        <v>0</v>
      </c>
      <c r="BN8">
        <v>0</v>
      </c>
      <c r="BO8">
        <v>0</v>
      </c>
      <c r="BP8">
        <v>0</v>
      </c>
      <c r="BQ8" s="28">
        <v>0</v>
      </c>
      <c r="BR8">
        <v>0</v>
      </c>
      <c r="BS8">
        <v>0</v>
      </c>
      <c r="BT8" s="28">
        <v>1</v>
      </c>
      <c r="BU8">
        <v>1</v>
      </c>
      <c r="BV8">
        <v>0</v>
      </c>
      <c r="BW8">
        <v>0</v>
      </c>
      <c r="BX8">
        <v>1</v>
      </c>
      <c r="BY8">
        <v>0</v>
      </c>
      <c r="BZ8">
        <v>1</v>
      </c>
      <c r="CA8">
        <v>1</v>
      </c>
      <c r="CB8">
        <v>0</v>
      </c>
      <c r="CC8">
        <v>0</v>
      </c>
      <c r="CD8">
        <v>0</v>
      </c>
      <c r="CE8" s="16">
        <v>1</v>
      </c>
      <c r="CF8">
        <v>3.0920000000000001</v>
      </c>
      <c r="CG8">
        <v>908</v>
      </c>
      <c r="CH8">
        <v>1</v>
      </c>
      <c r="CI8">
        <v>0</v>
      </c>
      <c r="CJ8">
        <v>4</v>
      </c>
      <c r="CK8" t="s">
        <v>46</v>
      </c>
    </row>
    <row r="9" spans="1:89" x14ac:dyDescent="0.25">
      <c r="A9">
        <v>8</v>
      </c>
      <c r="B9">
        <v>1</v>
      </c>
      <c r="C9" t="s">
        <v>241</v>
      </c>
      <c r="D9" s="10">
        <v>10.6</v>
      </c>
      <c r="E9" s="6">
        <v>2.2000000000000002</v>
      </c>
      <c r="F9" s="6">
        <f t="shared" si="0"/>
        <v>4.8181818181818175</v>
      </c>
      <c r="G9" s="7">
        <v>1</v>
      </c>
      <c r="H9" s="8">
        <v>0</v>
      </c>
      <c r="I9" s="8">
        <v>0</v>
      </c>
      <c r="J9" s="8">
        <v>0</v>
      </c>
      <c r="K9" s="8">
        <v>0</v>
      </c>
      <c r="L9" s="7">
        <v>666</v>
      </c>
      <c r="M9" s="8">
        <v>9</v>
      </c>
      <c r="N9" s="8">
        <f t="shared" si="1"/>
        <v>656</v>
      </c>
      <c r="O9" s="60">
        <f t="shared" si="2"/>
        <v>22</v>
      </c>
      <c r="P9" s="6">
        <v>14.03</v>
      </c>
      <c r="Q9" s="6">
        <v>8.34</v>
      </c>
      <c r="R9" s="7">
        <v>1</v>
      </c>
      <c r="S9" s="8">
        <v>0</v>
      </c>
      <c r="T9" s="7">
        <v>1</v>
      </c>
      <c r="U9" s="8">
        <v>0</v>
      </c>
      <c r="V9" s="8">
        <v>0</v>
      </c>
      <c r="W9" s="21">
        <v>0</v>
      </c>
      <c r="X9" s="7">
        <v>0</v>
      </c>
      <c r="Y9" s="8">
        <v>1</v>
      </c>
      <c r="Z9" s="21">
        <v>0</v>
      </c>
      <c r="AA9" s="7">
        <v>0</v>
      </c>
      <c r="AB9" s="21">
        <v>1</v>
      </c>
      <c r="AC9" s="60">
        <v>1992</v>
      </c>
      <c r="AD9" t="s">
        <v>57</v>
      </c>
      <c r="AE9" t="s">
        <v>57</v>
      </c>
      <c r="AF9" t="s">
        <v>57</v>
      </c>
      <c r="AG9" t="s">
        <v>57</v>
      </c>
      <c r="AH9" s="28" t="s">
        <v>57</v>
      </c>
      <c r="AI9" s="12" t="s">
        <v>57</v>
      </c>
      <c r="AJ9" s="28">
        <v>0.41</v>
      </c>
      <c r="AK9">
        <v>0.59</v>
      </c>
      <c r="AL9" s="28">
        <v>0.92</v>
      </c>
      <c r="AM9" s="66">
        <f t="shared" si="3"/>
        <v>7.999999999999996E-2</v>
      </c>
      <c r="AN9">
        <v>0</v>
      </c>
      <c r="AO9">
        <v>1</v>
      </c>
      <c r="AP9" s="28">
        <v>0.64</v>
      </c>
      <c r="AQ9" s="12">
        <f t="shared" si="4"/>
        <v>0.36</v>
      </c>
      <c r="AR9" s="12">
        <v>1</v>
      </c>
      <c r="AS9" s="12">
        <v>0</v>
      </c>
      <c r="AT9" s="12">
        <v>0</v>
      </c>
      <c r="AU9" s="62" t="s">
        <v>87</v>
      </c>
      <c r="AV9">
        <v>1</v>
      </c>
      <c r="AW9">
        <v>0</v>
      </c>
      <c r="AX9">
        <v>0</v>
      </c>
      <c r="AY9">
        <v>0</v>
      </c>
      <c r="AZ9">
        <v>0</v>
      </c>
      <c r="BA9">
        <v>0</v>
      </c>
      <c r="BB9">
        <v>0</v>
      </c>
      <c r="BC9">
        <v>1</v>
      </c>
      <c r="BD9">
        <v>0</v>
      </c>
      <c r="BE9">
        <v>0</v>
      </c>
      <c r="BF9">
        <v>25151</v>
      </c>
      <c r="BG9">
        <v>1422</v>
      </c>
      <c r="BH9">
        <v>0.92100000000000004</v>
      </c>
      <c r="BI9" s="64">
        <v>38.07</v>
      </c>
      <c r="BJ9">
        <v>0</v>
      </c>
      <c r="BK9">
        <v>0</v>
      </c>
      <c r="BL9">
        <v>0</v>
      </c>
      <c r="BM9">
        <v>1</v>
      </c>
      <c r="BN9">
        <v>0</v>
      </c>
      <c r="BO9">
        <v>0</v>
      </c>
      <c r="BP9">
        <v>0</v>
      </c>
      <c r="BQ9" s="28">
        <v>0</v>
      </c>
      <c r="BR9">
        <v>0</v>
      </c>
      <c r="BS9">
        <v>0</v>
      </c>
      <c r="BT9" s="28">
        <v>1</v>
      </c>
      <c r="BU9">
        <v>1</v>
      </c>
      <c r="BV9">
        <v>0</v>
      </c>
      <c r="BW9">
        <v>0</v>
      </c>
      <c r="BX9">
        <v>1</v>
      </c>
      <c r="BY9">
        <v>0</v>
      </c>
      <c r="BZ9">
        <v>1</v>
      </c>
      <c r="CA9">
        <v>1</v>
      </c>
      <c r="CB9">
        <v>0</v>
      </c>
      <c r="CC9">
        <v>0</v>
      </c>
      <c r="CD9">
        <v>0</v>
      </c>
      <c r="CE9" s="16">
        <v>1</v>
      </c>
      <c r="CF9">
        <v>3.0920000000000001</v>
      </c>
      <c r="CG9">
        <v>908</v>
      </c>
      <c r="CH9">
        <v>1</v>
      </c>
      <c r="CI9">
        <v>0</v>
      </c>
      <c r="CJ9">
        <v>4</v>
      </c>
      <c r="CK9" t="s">
        <v>46</v>
      </c>
    </row>
    <row r="10" spans="1:89" x14ac:dyDescent="0.25">
      <c r="A10">
        <v>9</v>
      </c>
      <c r="B10">
        <v>1</v>
      </c>
      <c r="C10" t="s">
        <v>241</v>
      </c>
      <c r="D10" s="10">
        <v>7.8</v>
      </c>
      <c r="E10" s="6">
        <v>1.8</v>
      </c>
      <c r="F10" s="6">
        <f t="shared" si="0"/>
        <v>4.333333333333333</v>
      </c>
      <c r="G10" s="7">
        <v>1</v>
      </c>
      <c r="H10" s="8">
        <v>0</v>
      </c>
      <c r="I10" s="8">
        <v>0</v>
      </c>
      <c r="J10" s="8">
        <v>0</v>
      </c>
      <c r="K10" s="8">
        <v>0</v>
      </c>
      <c r="L10" s="7">
        <v>333</v>
      </c>
      <c r="M10" s="8">
        <v>4</v>
      </c>
      <c r="N10" s="8">
        <f t="shared" si="1"/>
        <v>328</v>
      </c>
      <c r="O10" s="60">
        <f t="shared" si="2"/>
        <v>22</v>
      </c>
      <c r="P10" s="6">
        <v>14.03</v>
      </c>
      <c r="Q10" s="6">
        <v>8.34</v>
      </c>
      <c r="R10" s="7">
        <v>1</v>
      </c>
      <c r="S10" s="8">
        <v>0</v>
      </c>
      <c r="T10" s="7">
        <v>1</v>
      </c>
      <c r="U10" s="8">
        <v>0</v>
      </c>
      <c r="V10" s="8">
        <v>0</v>
      </c>
      <c r="W10" s="21">
        <v>0</v>
      </c>
      <c r="X10" s="7">
        <v>0</v>
      </c>
      <c r="Y10" s="8">
        <v>1</v>
      </c>
      <c r="Z10" s="21">
        <v>0</v>
      </c>
      <c r="AA10" s="7">
        <v>0</v>
      </c>
      <c r="AB10" s="21">
        <v>1</v>
      </c>
      <c r="AC10" s="60">
        <v>1992</v>
      </c>
      <c r="AD10" t="s">
        <v>57</v>
      </c>
      <c r="AE10" t="s">
        <v>57</v>
      </c>
      <c r="AF10" t="s">
        <v>57</v>
      </c>
      <c r="AG10" t="s">
        <v>57</v>
      </c>
      <c r="AH10" s="28" t="s">
        <v>57</v>
      </c>
      <c r="AI10" s="12" t="s">
        <v>57</v>
      </c>
      <c r="AJ10" s="28">
        <v>0.41</v>
      </c>
      <c r="AK10">
        <v>0.59</v>
      </c>
      <c r="AL10" s="28">
        <v>0.92</v>
      </c>
      <c r="AM10" s="66">
        <f t="shared" si="3"/>
        <v>7.999999999999996E-2</v>
      </c>
      <c r="AN10">
        <v>0</v>
      </c>
      <c r="AO10">
        <v>1</v>
      </c>
      <c r="AP10" s="28">
        <v>0.64</v>
      </c>
      <c r="AQ10" s="12">
        <f t="shared" si="4"/>
        <v>0.36</v>
      </c>
      <c r="AR10" s="12">
        <v>1</v>
      </c>
      <c r="AS10" s="12">
        <v>0</v>
      </c>
      <c r="AT10" s="12">
        <v>0</v>
      </c>
      <c r="AU10" s="62" t="s">
        <v>87</v>
      </c>
      <c r="AV10">
        <v>1</v>
      </c>
      <c r="AW10">
        <v>0</v>
      </c>
      <c r="AX10">
        <v>0</v>
      </c>
      <c r="AY10">
        <v>0</v>
      </c>
      <c r="AZ10">
        <v>0</v>
      </c>
      <c r="BA10">
        <v>0</v>
      </c>
      <c r="BB10">
        <v>0</v>
      </c>
      <c r="BC10">
        <v>1</v>
      </c>
      <c r="BD10">
        <v>0</v>
      </c>
      <c r="BE10">
        <v>0</v>
      </c>
      <c r="BF10">
        <v>25151</v>
      </c>
      <c r="BG10">
        <v>1422</v>
      </c>
      <c r="BH10">
        <v>0.92100000000000004</v>
      </c>
      <c r="BI10" s="64">
        <v>38.07</v>
      </c>
      <c r="BJ10">
        <v>0</v>
      </c>
      <c r="BK10">
        <v>0</v>
      </c>
      <c r="BL10">
        <v>0</v>
      </c>
      <c r="BM10">
        <v>0</v>
      </c>
      <c r="BN10">
        <v>1</v>
      </c>
      <c r="BO10">
        <v>0</v>
      </c>
      <c r="BP10">
        <v>0</v>
      </c>
      <c r="BQ10" s="28">
        <v>0</v>
      </c>
      <c r="BR10">
        <v>0</v>
      </c>
      <c r="BS10">
        <v>0</v>
      </c>
      <c r="BT10" s="28">
        <v>0</v>
      </c>
      <c r="BU10">
        <v>0</v>
      </c>
      <c r="BV10">
        <v>0</v>
      </c>
      <c r="BW10">
        <v>0</v>
      </c>
      <c r="BX10">
        <v>0</v>
      </c>
      <c r="BY10">
        <v>0</v>
      </c>
      <c r="BZ10">
        <v>0</v>
      </c>
      <c r="CA10">
        <v>1</v>
      </c>
      <c r="CB10">
        <v>0</v>
      </c>
      <c r="CC10">
        <v>0</v>
      </c>
      <c r="CD10">
        <v>0</v>
      </c>
      <c r="CE10" s="16">
        <v>1</v>
      </c>
      <c r="CF10">
        <v>3.0920000000000001</v>
      </c>
      <c r="CG10">
        <v>908</v>
      </c>
      <c r="CH10">
        <v>1</v>
      </c>
      <c r="CI10">
        <v>0</v>
      </c>
      <c r="CJ10">
        <v>4</v>
      </c>
      <c r="CK10" t="s">
        <v>46</v>
      </c>
    </row>
    <row r="11" spans="1:89" x14ac:dyDescent="0.25">
      <c r="A11">
        <v>10</v>
      </c>
      <c r="B11">
        <v>1</v>
      </c>
      <c r="C11" t="s">
        <v>241</v>
      </c>
      <c r="D11" s="10">
        <v>10</v>
      </c>
      <c r="E11" s="6">
        <v>2.2999999999999998</v>
      </c>
      <c r="F11" s="6">
        <f t="shared" si="0"/>
        <v>4.3478260869565224</v>
      </c>
      <c r="G11" s="7">
        <v>1</v>
      </c>
      <c r="H11" s="8">
        <v>0</v>
      </c>
      <c r="I11" s="8">
        <v>0</v>
      </c>
      <c r="J11" s="8">
        <v>0</v>
      </c>
      <c r="K11" s="8">
        <v>0</v>
      </c>
      <c r="L11" s="7">
        <v>333</v>
      </c>
      <c r="M11" s="8">
        <v>4</v>
      </c>
      <c r="N11" s="8">
        <f t="shared" si="1"/>
        <v>328</v>
      </c>
      <c r="O11" s="60">
        <f t="shared" si="2"/>
        <v>22</v>
      </c>
      <c r="P11" s="6">
        <v>14.03</v>
      </c>
      <c r="Q11" s="6">
        <v>8.34</v>
      </c>
      <c r="R11" s="7">
        <v>1</v>
      </c>
      <c r="S11" s="8">
        <v>0</v>
      </c>
      <c r="T11" s="7">
        <v>1</v>
      </c>
      <c r="U11" s="8">
        <v>0</v>
      </c>
      <c r="V11" s="8">
        <v>0</v>
      </c>
      <c r="W11" s="21">
        <v>0</v>
      </c>
      <c r="X11" s="7">
        <v>0</v>
      </c>
      <c r="Y11" s="8">
        <v>1</v>
      </c>
      <c r="Z11" s="21">
        <v>0</v>
      </c>
      <c r="AA11" s="7">
        <v>0</v>
      </c>
      <c r="AB11" s="21">
        <v>1</v>
      </c>
      <c r="AC11" s="60">
        <v>1992</v>
      </c>
      <c r="AD11" t="s">
        <v>57</v>
      </c>
      <c r="AE11" t="s">
        <v>57</v>
      </c>
      <c r="AF11" t="s">
        <v>57</v>
      </c>
      <c r="AG11" t="s">
        <v>57</v>
      </c>
      <c r="AH11" s="28" t="s">
        <v>57</v>
      </c>
      <c r="AI11" s="12" t="s">
        <v>57</v>
      </c>
      <c r="AJ11" s="28">
        <v>0.41</v>
      </c>
      <c r="AK11">
        <v>0.59</v>
      </c>
      <c r="AL11" s="28">
        <v>0.92</v>
      </c>
      <c r="AM11" s="66">
        <f t="shared" si="3"/>
        <v>7.999999999999996E-2</v>
      </c>
      <c r="AN11">
        <v>0</v>
      </c>
      <c r="AO11">
        <v>1</v>
      </c>
      <c r="AP11" s="28">
        <v>0.64</v>
      </c>
      <c r="AQ11" s="12">
        <f t="shared" si="4"/>
        <v>0.36</v>
      </c>
      <c r="AR11" s="12">
        <v>1</v>
      </c>
      <c r="AS11" s="12">
        <v>0</v>
      </c>
      <c r="AT11" s="12">
        <v>0</v>
      </c>
      <c r="AU11" s="62" t="s">
        <v>87</v>
      </c>
      <c r="AV11">
        <v>1</v>
      </c>
      <c r="AW11">
        <v>0</v>
      </c>
      <c r="AX11">
        <v>0</v>
      </c>
      <c r="AY11">
        <v>0</v>
      </c>
      <c r="AZ11">
        <v>0</v>
      </c>
      <c r="BA11">
        <v>0</v>
      </c>
      <c r="BB11">
        <v>0</v>
      </c>
      <c r="BC11">
        <v>1</v>
      </c>
      <c r="BD11">
        <v>0</v>
      </c>
      <c r="BE11">
        <v>0</v>
      </c>
      <c r="BF11">
        <v>25151</v>
      </c>
      <c r="BG11">
        <v>1422</v>
      </c>
      <c r="BH11">
        <v>0.92100000000000004</v>
      </c>
      <c r="BI11" s="64">
        <v>38.07</v>
      </c>
      <c r="BJ11">
        <v>0</v>
      </c>
      <c r="BK11">
        <v>0</v>
      </c>
      <c r="BL11">
        <v>0</v>
      </c>
      <c r="BM11">
        <v>0</v>
      </c>
      <c r="BN11">
        <v>0</v>
      </c>
      <c r="BO11">
        <v>1</v>
      </c>
      <c r="BP11">
        <v>0</v>
      </c>
      <c r="BQ11" s="28">
        <v>1</v>
      </c>
      <c r="BR11">
        <v>0</v>
      </c>
      <c r="BS11">
        <v>0</v>
      </c>
      <c r="BT11" s="28">
        <v>0</v>
      </c>
      <c r="BU11">
        <v>0</v>
      </c>
      <c r="BV11">
        <v>0</v>
      </c>
      <c r="BW11">
        <v>0</v>
      </c>
      <c r="BX11">
        <v>0</v>
      </c>
      <c r="BY11">
        <v>0</v>
      </c>
      <c r="BZ11">
        <v>0</v>
      </c>
      <c r="CA11">
        <v>1</v>
      </c>
      <c r="CB11">
        <v>0</v>
      </c>
      <c r="CC11">
        <v>0</v>
      </c>
      <c r="CD11">
        <v>0</v>
      </c>
      <c r="CE11" s="16">
        <v>1</v>
      </c>
      <c r="CF11">
        <v>3.0920000000000001</v>
      </c>
      <c r="CG11">
        <v>908</v>
      </c>
      <c r="CH11">
        <v>1</v>
      </c>
      <c r="CI11">
        <v>0</v>
      </c>
      <c r="CJ11">
        <v>4</v>
      </c>
      <c r="CK11" t="s">
        <v>46</v>
      </c>
    </row>
    <row r="12" spans="1:89" x14ac:dyDescent="0.25">
      <c r="A12">
        <v>11</v>
      </c>
      <c r="B12">
        <v>1</v>
      </c>
      <c r="C12" t="s">
        <v>241</v>
      </c>
      <c r="D12" s="10">
        <v>6.6</v>
      </c>
      <c r="E12" s="6">
        <v>1.8</v>
      </c>
      <c r="F12" s="6">
        <f t="shared" si="0"/>
        <v>3.6666666666666665</v>
      </c>
      <c r="G12" s="7">
        <v>1</v>
      </c>
      <c r="H12" s="8">
        <v>0</v>
      </c>
      <c r="I12" s="8">
        <v>0</v>
      </c>
      <c r="J12" s="8">
        <v>0</v>
      </c>
      <c r="K12" s="8">
        <v>0</v>
      </c>
      <c r="L12" s="7">
        <v>395</v>
      </c>
      <c r="M12" s="8">
        <v>5</v>
      </c>
      <c r="N12" s="8">
        <f t="shared" si="1"/>
        <v>389</v>
      </c>
      <c r="O12" s="60">
        <f t="shared" si="2"/>
        <v>22</v>
      </c>
      <c r="P12" s="6">
        <v>14.03</v>
      </c>
      <c r="Q12" s="6">
        <v>8.34</v>
      </c>
      <c r="R12" s="7">
        <v>1</v>
      </c>
      <c r="S12" s="8">
        <v>0</v>
      </c>
      <c r="T12" s="7">
        <v>1</v>
      </c>
      <c r="U12" s="8">
        <v>0</v>
      </c>
      <c r="V12" s="8">
        <v>0</v>
      </c>
      <c r="W12" s="21">
        <v>0</v>
      </c>
      <c r="X12" s="7">
        <v>0</v>
      </c>
      <c r="Y12" s="8">
        <v>1</v>
      </c>
      <c r="Z12" s="21">
        <v>0</v>
      </c>
      <c r="AA12" s="7">
        <v>0</v>
      </c>
      <c r="AB12" s="21">
        <v>1</v>
      </c>
      <c r="AC12" s="60">
        <v>1992</v>
      </c>
      <c r="AD12" t="s">
        <v>57</v>
      </c>
      <c r="AE12" t="s">
        <v>57</v>
      </c>
      <c r="AF12" t="s">
        <v>57</v>
      </c>
      <c r="AG12" t="s">
        <v>57</v>
      </c>
      <c r="AH12" s="28" t="s">
        <v>57</v>
      </c>
      <c r="AI12" s="12" t="s">
        <v>57</v>
      </c>
      <c r="AJ12" s="28">
        <v>0.41</v>
      </c>
      <c r="AK12">
        <v>0.59</v>
      </c>
      <c r="AL12" s="28">
        <v>0.92</v>
      </c>
      <c r="AM12" s="66">
        <f t="shared" si="3"/>
        <v>7.999999999999996E-2</v>
      </c>
      <c r="AN12">
        <v>0</v>
      </c>
      <c r="AO12">
        <v>1</v>
      </c>
      <c r="AP12" s="28">
        <v>0.64</v>
      </c>
      <c r="AQ12" s="12">
        <f t="shared" si="4"/>
        <v>0.36</v>
      </c>
      <c r="AR12" s="12">
        <v>1</v>
      </c>
      <c r="AS12" s="12">
        <v>0</v>
      </c>
      <c r="AT12" s="12">
        <v>0</v>
      </c>
      <c r="AU12" s="62" t="s">
        <v>87</v>
      </c>
      <c r="AV12">
        <v>1</v>
      </c>
      <c r="AW12">
        <v>0</v>
      </c>
      <c r="AX12">
        <v>0</v>
      </c>
      <c r="AY12">
        <v>0</v>
      </c>
      <c r="AZ12">
        <v>0</v>
      </c>
      <c r="BA12">
        <v>0</v>
      </c>
      <c r="BB12">
        <v>0</v>
      </c>
      <c r="BC12">
        <v>1</v>
      </c>
      <c r="BD12">
        <v>0</v>
      </c>
      <c r="BE12">
        <v>0</v>
      </c>
      <c r="BF12">
        <v>25151</v>
      </c>
      <c r="BG12">
        <v>1422</v>
      </c>
      <c r="BH12">
        <v>0.92100000000000004</v>
      </c>
      <c r="BI12" s="64">
        <v>38.07</v>
      </c>
      <c r="BJ12">
        <v>1</v>
      </c>
      <c r="BK12">
        <v>0</v>
      </c>
      <c r="BL12">
        <v>0</v>
      </c>
      <c r="BM12">
        <v>0</v>
      </c>
      <c r="BN12">
        <v>0</v>
      </c>
      <c r="BO12">
        <v>0</v>
      </c>
      <c r="BP12">
        <v>0</v>
      </c>
      <c r="BQ12" s="28">
        <v>0</v>
      </c>
      <c r="BR12">
        <v>0</v>
      </c>
      <c r="BS12">
        <v>0</v>
      </c>
      <c r="BT12" s="28">
        <v>1</v>
      </c>
      <c r="BU12">
        <v>1</v>
      </c>
      <c r="BV12">
        <v>0</v>
      </c>
      <c r="BW12">
        <v>0</v>
      </c>
      <c r="BX12">
        <v>1</v>
      </c>
      <c r="BY12">
        <v>0</v>
      </c>
      <c r="BZ12">
        <v>1</v>
      </c>
      <c r="CA12">
        <v>0</v>
      </c>
      <c r="CB12">
        <v>0</v>
      </c>
      <c r="CC12">
        <v>0</v>
      </c>
      <c r="CD12">
        <v>0</v>
      </c>
      <c r="CE12" s="16">
        <v>0</v>
      </c>
      <c r="CF12">
        <v>3.0920000000000001</v>
      </c>
      <c r="CG12">
        <v>908</v>
      </c>
      <c r="CH12">
        <v>1</v>
      </c>
      <c r="CI12">
        <v>0</v>
      </c>
      <c r="CJ12">
        <v>4</v>
      </c>
      <c r="CK12" t="s">
        <v>46</v>
      </c>
    </row>
    <row r="13" spans="1:89" x14ac:dyDescent="0.25">
      <c r="A13">
        <v>12</v>
      </c>
      <c r="B13">
        <v>1</v>
      </c>
      <c r="C13" t="s">
        <v>241</v>
      </c>
      <c r="D13" s="10">
        <v>6.4</v>
      </c>
      <c r="E13" s="6">
        <v>1.9</v>
      </c>
      <c r="F13" s="6">
        <f t="shared" si="0"/>
        <v>3.3684210526315792</v>
      </c>
      <c r="G13" s="7">
        <v>1</v>
      </c>
      <c r="H13" s="8">
        <v>0</v>
      </c>
      <c r="I13" s="8">
        <v>0</v>
      </c>
      <c r="J13" s="8">
        <v>0</v>
      </c>
      <c r="K13" s="8">
        <v>0</v>
      </c>
      <c r="L13" s="7">
        <v>353</v>
      </c>
      <c r="M13" s="8">
        <v>5</v>
      </c>
      <c r="N13" s="8">
        <f t="shared" si="1"/>
        <v>347</v>
      </c>
      <c r="O13" s="60">
        <f t="shared" si="2"/>
        <v>22</v>
      </c>
      <c r="P13" s="6">
        <v>14.03</v>
      </c>
      <c r="Q13" s="6">
        <v>8.34</v>
      </c>
      <c r="R13" s="7">
        <v>1</v>
      </c>
      <c r="S13" s="8">
        <v>0</v>
      </c>
      <c r="T13" s="7">
        <v>1</v>
      </c>
      <c r="U13" s="8">
        <v>0</v>
      </c>
      <c r="V13" s="8">
        <v>0</v>
      </c>
      <c r="W13" s="21">
        <v>0</v>
      </c>
      <c r="X13" s="7">
        <v>0</v>
      </c>
      <c r="Y13" s="8">
        <v>1</v>
      </c>
      <c r="Z13" s="21">
        <v>0</v>
      </c>
      <c r="AA13" s="7">
        <v>0</v>
      </c>
      <c r="AB13" s="21">
        <v>1</v>
      </c>
      <c r="AC13" s="60">
        <v>1992</v>
      </c>
      <c r="AD13" t="s">
        <v>57</v>
      </c>
      <c r="AE13" t="s">
        <v>57</v>
      </c>
      <c r="AF13" t="s">
        <v>57</v>
      </c>
      <c r="AG13" t="s">
        <v>57</v>
      </c>
      <c r="AH13" s="28" t="s">
        <v>57</v>
      </c>
      <c r="AI13" s="12" t="s">
        <v>57</v>
      </c>
      <c r="AJ13" s="28">
        <v>0.41</v>
      </c>
      <c r="AK13">
        <v>0.59</v>
      </c>
      <c r="AL13" s="28">
        <v>0.92</v>
      </c>
      <c r="AM13" s="66">
        <f t="shared" si="3"/>
        <v>7.999999999999996E-2</v>
      </c>
      <c r="AN13">
        <v>0</v>
      </c>
      <c r="AO13">
        <v>1</v>
      </c>
      <c r="AP13" s="28">
        <v>0.64</v>
      </c>
      <c r="AQ13" s="12">
        <f t="shared" si="4"/>
        <v>0.36</v>
      </c>
      <c r="AR13" s="12">
        <v>1</v>
      </c>
      <c r="AS13" s="12">
        <v>0</v>
      </c>
      <c r="AT13" s="12">
        <v>0</v>
      </c>
      <c r="AU13" s="62" t="s">
        <v>87</v>
      </c>
      <c r="AV13">
        <v>1</v>
      </c>
      <c r="AW13">
        <v>0</v>
      </c>
      <c r="AX13">
        <v>0</v>
      </c>
      <c r="AY13">
        <v>0</v>
      </c>
      <c r="AZ13">
        <v>0</v>
      </c>
      <c r="BA13">
        <v>0</v>
      </c>
      <c r="BB13">
        <v>0</v>
      </c>
      <c r="BC13">
        <v>1</v>
      </c>
      <c r="BD13">
        <v>0</v>
      </c>
      <c r="BE13">
        <v>0</v>
      </c>
      <c r="BF13">
        <v>25151</v>
      </c>
      <c r="BG13">
        <v>1422</v>
      </c>
      <c r="BH13">
        <v>0.92100000000000004</v>
      </c>
      <c r="BI13" s="64">
        <v>38.07</v>
      </c>
      <c r="BJ13">
        <v>1</v>
      </c>
      <c r="BK13">
        <v>0</v>
      </c>
      <c r="BL13">
        <v>0</v>
      </c>
      <c r="BM13">
        <v>0</v>
      </c>
      <c r="BN13">
        <v>0</v>
      </c>
      <c r="BO13">
        <v>0</v>
      </c>
      <c r="BP13">
        <v>0</v>
      </c>
      <c r="BQ13" s="28">
        <v>0</v>
      </c>
      <c r="BR13">
        <v>0</v>
      </c>
      <c r="BS13">
        <v>0</v>
      </c>
      <c r="BT13" s="28">
        <v>1</v>
      </c>
      <c r="BU13">
        <v>1</v>
      </c>
      <c r="BV13">
        <v>0</v>
      </c>
      <c r="BW13">
        <v>0</v>
      </c>
      <c r="BX13">
        <v>1</v>
      </c>
      <c r="BY13">
        <v>0</v>
      </c>
      <c r="BZ13">
        <v>1</v>
      </c>
      <c r="CA13">
        <v>0</v>
      </c>
      <c r="CB13">
        <v>0</v>
      </c>
      <c r="CC13">
        <v>0</v>
      </c>
      <c r="CD13">
        <v>0</v>
      </c>
      <c r="CE13" s="16">
        <v>0</v>
      </c>
      <c r="CF13">
        <v>3.0920000000000001</v>
      </c>
      <c r="CG13">
        <v>908</v>
      </c>
      <c r="CH13">
        <v>1</v>
      </c>
      <c r="CI13">
        <v>0</v>
      </c>
      <c r="CJ13">
        <v>4</v>
      </c>
      <c r="CK13" t="s">
        <v>46</v>
      </c>
    </row>
    <row r="14" spans="1:89" x14ac:dyDescent="0.25">
      <c r="A14">
        <v>13</v>
      </c>
      <c r="B14">
        <v>1</v>
      </c>
      <c r="C14" t="s">
        <v>241</v>
      </c>
      <c r="D14" s="10">
        <v>5.8</v>
      </c>
      <c r="E14" s="6">
        <v>1.9</v>
      </c>
      <c r="F14" s="6">
        <f t="shared" si="0"/>
        <v>3.0526315789473686</v>
      </c>
      <c r="G14" s="7">
        <v>1</v>
      </c>
      <c r="H14" s="8">
        <v>0</v>
      </c>
      <c r="I14" s="8">
        <v>0</v>
      </c>
      <c r="J14" s="8">
        <v>0</v>
      </c>
      <c r="K14" s="8">
        <v>0</v>
      </c>
      <c r="L14" s="7">
        <v>342</v>
      </c>
      <c r="M14" s="8">
        <v>5</v>
      </c>
      <c r="N14" s="8">
        <f t="shared" si="1"/>
        <v>336</v>
      </c>
      <c r="O14" s="60">
        <f t="shared" si="2"/>
        <v>22</v>
      </c>
      <c r="P14" s="6">
        <v>14.03</v>
      </c>
      <c r="Q14" s="6">
        <v>8.34</v>
      </c>
      <c r="R14" s="7">
        <v>1</v>
      </c>
      <c r="S14" s="8">
        <v>0</v>
      </c>
      <c r="T14" s="7">
        <v>1</v>
      </c>
      <c r="U14" s="8">
        <v>0</v>
      </c>
      <c r="V14" s="8">
        <v>0</v>
      </c>
      <c r="W14" s="21">
        <v>0</v>
      </c>
      <c r="X14" s="7">
        <v>0</v>
      </c>
      <c r="Y14" s="8">
        <v>1</v>
      </c>
      <c r="Z14" s="21">
        <v>0</v>
      </c>
      <c r="AA14" s="7">
        <v>0</v>
      </c>
      <c r="AB14" s="21">
        <v>1</v>
      </c>
      <c r="AC14" s="60">
        <v>1992</v>
      </c>
      <c r="AD14" t="s">
        <v>57</v>
      </c>
      <c r="AE14" t="s">
        <v>57</v>
      </c>
      <c r="AF14" t="s">
        <v>57</v>
      </c>
      <c r="AG14" t="s">
        <v>57</v>
      </c>
      <c r="AH14" s="28" t="s">
        <v>57</v>
      </c>
      <c r="AI14" s="12" t="s">
        <v>57</v>
      </c>
      <c r="AJ14" s="28">
        <v>0.41</v>
      </c>
      <c r="AK14">
        <v>0.59</v>
      </c>
      <c r="AL14" s="28">
        <v>0.92</v>
      </c>
      <c r="AM14" s="66">
        <f t="shared" si="3"/>
        <v>7.999999999999996E-2</v>
      </c>
      <c r="AN14">
        <v>0</v>
      </c>
      <c r="AO14">
        <v>1</v>
      </c>
      <c r="AP14" s="28">
        <v>0.64</v>
      </c>
      <c r="AQ14" s="12">
        <f t="shared" si="4"/>
        <v>0.36</v>
      </c>
      <c r="AR14" s="12">
        <v>1</v>
      </c>
      <c r="AS14" s="12">
        <v>0</v>
      </c>
      <c r="AT14" s="12">
        <v>0</v>
      </c>
      <c r="AU14" s="62" t="s">
        <v>87</v>
      </c>
      <c r="AV14">
        <v>1</v>
      </c>
      <c r="AW14">
        <v>0</v>
      </c>
      <c r="AX14">
        <v>0</v>
      </c>
      <c r="AY14">
        <v>0</v>
      </c>
      <c r="AZ14">
        <v>0</v>
      </c>
      <c r="BA14">
        <v>0</v>
      </c>
      <c r="BB14">
        <v>0</v>
      </c>
      <c r="BC14">
        <v>1</v>
      </c>
      <c r="BD14">
        <v>0</v>
      </c>
      <c r="BE14">
        <v>0</v>
      </c>
      <c r="BF14">
        <v>25151</v>
      </c>
      <c r="BG14">
        <v>1422</v>
      </c>
      <c r="BH14">
        <v>0.92100000000000004</v>
      </c>
      <c r="BI14" s="64">
        <v>38.07</v>
      </c>
      <c r="BJ14">
        <v>1</v>
      </c>
      <c r="BK14">
        <v>0</v>
      </c>
      <c r="BL14">
        <v>0</v>
      </c>
      <c r="BM14">
        <v>0</v>
      </c>
      <c r="BN14">
        <v>0</v>
      </c>
      <c r="BO14">
        <v>0</v>
      </c>
      <c r="BP14">
        <v>0</v>
      </c>
      <c r="BQ14" s="28">
        <v>0</v>
      </c>
      <c r="BR14">
        <v>0</v>
      </c>
      <c r="BS14">
        <v>0</v>
      </c>
      <c r="BT14" s="28">
        <v>1</v>
      </c>
      <c r="BU14">
        <v>1</v>
      </c>
      <c r="BV14">
        <v>0</v>
      </c>
      <c r="BW14">
        <v>0</v>
      </c>
      <c r="BX14">
        <v>1</v>
      </c>
      <c r="BY14">
        <v>0</v>
      </c>
      <c r="BZ14">
        <v>1</v>
      </c>
      <c r="CA14">
        <v>0</v>
      </c>
      <c r="CB14">
        <v>0</v>
      </c>
      <c r="CC14">
        <v>0</v>
      </c>
      <c r="CD14">
        <v>0</v>
      </c>
      <c r="CE14" s="16">
        <v>0</v>
      </c>
      <c r="CF14">
        <v>3.0920000000000001</v>
      </c>
      <c r="CG14">
        <v>908</v>
      </c>
      <c r="CH14">
        <v>1</v>
      </c>
      <c r="CI14">
        <v>0</v>
      </c>
      <c r="CJ14">
        <v>4</v>
      </c>
      <c r="CK14" t="s">
        <v>46</v>
      </c>
    </row>
    <row r="15" spans="1:89" x14ac:dyDescent="0.25">
      <c r="A15">
        <v>14</v>
      </c>
      <c r="B15">
        <v>1</v>
      </c>
      <c r="C15" t="s">
        <v>241</v>
      </c>
      <c r="D15" s="10">
        <v>6.6</v>
      </c>
      <c r="E15" s="6">
        <v>1.9</v>
      </c>
      <c r="F15" s="6">
        <f t="shared" si="0"/>
        <v>3.4736842105263159</v>
      </c>
      <c r="G15" s="7">
        <v>1</v>
      </c>
      <c r="H15" s="8">
        <v>0</v>
      </c>
      <c r="I15" s="8">
        <v>0</v>
      </c>
      <c r="J15" s="8">
        <v>0</v>
      </c>
      <c r="K15" s="8">
        <v>0</v>
      </c>
      <c r="L15" s="7">
        <v>335</v>
      </c>
      <c r="M15" s="8">
        <v>5</v>
      </c>
      <c r="N15" s="8">
        <f t="shared" si="1"/>
        <v>329</v>
      </c>
      <c r="O15" s="60">
        <f t="shared" si="2"/>
        <v>22</v>
      </c>
      <c r="P15" s="6">
        <v>14.03</v>
      </c>
      <c r="Q15" s="6">
        <v>8.34</v>
      </c>
      <c r="R15" s="7">
        <v>1</v>
      </c>
      <c r="S15" s="8">
        <v>0</v>
      </c>
      <c r="T15" s="7">
        <v>1</v>
      </c>
      <c r="U15" s="8">
        <v>0</v>
      </c>
      <c r="V15" s="8">
        <v>0</v>
      </c>
      <c r="W15" s="21">
        <v>0</v>
      </c>
      <c r="X15" s="7">
        <v>0</v>
      </c>
      <c r="Y15" s="8">
        <v>1</v>
      </c>
      <c r="Z15" s="21">
        <v>0</v>
      </c>
      <c r="AA15" s="7">
        <v>0</v>
      </c>
      <c r="AB15" s="21">
        <v>1</v>
      </c>
      <c r="AC15" s="60">
        <v>1992</v>
      </c>
      <c r="AD15" t="s">
        <v>57</v>
      </c>
      <c r="AE15" t="s">
        <v>57</v>
      </c>
      <c r="AF15" t="s">
        <v>57</v>
      </c>
      <c r="AG15" t="s">
        <v>57</v>
      </c>
      <c r="AH15" s="28" t="s">
        <v>57</v>
      </c>
      <c r="AI15" s="12" t="s">
        <v>57</v>
      </c>
      <c r="AJ15" s="28">
        <v>0.41</v>
      </c>
      <c r="AK15">
        <v>0.59</v>
      </c>
      <c r="AL15" s="28">
        <v>0.92</v>
      </c>
      <c r="AM15" s="66">
        <f t="shared" si="3"/>
        <v>7.999999999999996E-2</v>
      </c>
      <c r="AN15">
        <v>0</v>
      </c>
      <c r="AO15">
        <v>1</v>
      </c>
      <c r="AP15" s="28">
        <v>0.64</v>
      </c>
      <c r="AQ15" s="12">
        <f t="shared" si="4"/>
        <v>0.36</v>
      </c>
      <c r="AR15" s="12">
        <v>1</v>
      </c>
      <c r="AS15" s="12">
        <v>0</v>
      </c>
      <c r="AT15" s="12">
        <v>0</v>
      </c>
      <c r="AU15" s="62" t="s">
        <v>87</v>
      </c>
      <c r="AV15">
        <v>1</v>
      </c>
      <c r="AW15">
        <v>0</v>
      </c>
      <c r="AX15">
        <v>0</v>
      </c>
      <c r="AY15">
        <v>0</v>
      </c>
      <c r="AZ15">
        <v>0</v>
      </c>
      <c r="BA15">
        <v>0</v>
      </c>
      <c r="BB15">
        <v>0</v>
      </c>
      <c r="BC15">
        <v>1</v>
      </c>
      <c r="BD15">
        <v>0</v>
      </c>
      <c r="BE15">
        <v>0</v>
      </c>
      <c r="BF15">
        <v>25151</v>
      </c>
      <c r="BG15">
        <v>1422</v>
      </c>
      <c r="BH15">
        <v>0.92100000000000004</v>
      </c>
      <c r="BI15" s="64">
        <v>38.07</v>
      </c>
      <c r="BJ15">
        <v>1</v>
      </c>
      <c r="BK15">
        <v>0</v>
      </c>
      <c r="BL15">
        <v>0</v>
      </c>
      <c r="BM15">
        <v>0</v>
      </c>
      <c r="BN15">
        <v>0</v>
      </c>
      <c r="BO15">
        <v>0</v>
      </c>
      <c r="BP15">
        <v>0</v>
      </c>
      <c r="BQ15" s="28">
        <v>0</v>
      </c>
      <c r="BR15">
        <v>0</v>
      </c>
      <c r="BS15">
        <v>0</v>
      </c>
      <c r="BT15" s="28">
        <v>1</v>
      </c>
      <c r="BU15">
        <v>1</v>
      </c>
      <c r="BV15">
        <v>0</v>
      </c>
      <c r="BW15">
        <v>0</v>
      </c>
      <c r="BX15">
        <v>1</v>
      </c>
      <c r="BY15">
        <v>0</v>
      </c>
      <c r="BZ15">
        <v>1</v>
      </c>
      <c r="CA15">
        <v>0</v>
      </c>
      <c r="CB15">
        <v>0</v>
      </c>
      <c r="CC15">
        <v>0</v>
      </c>
      <c r="CD15">
        <v>0</v>
      </c>
      <c r="CE15" s="16">
        <v>0</v>
      </c>
      <c r="CF15">
        <v>3.0920000000000001</v>
      </c>
      <c r="CG15">
        <v>908</v>
      </c>
      <c r="CH15">
        <v>1</v>
      </c>
      <c r="CI15">
        <v>0</v>
      </c>
      <c r="CJ15">
        <v>4</v>
      </c>
      <c r="CK15" t="s">
        <v>46</v>
      </c>
    </row>
    <row r="16" spans="1:89" x14ac:dyDescent="0.25">
      <c r="A16">
        <v>15</v>
      </c>
      <c r="B16">
        <v>1</v>
      </c>
      <c r="C16" t="s">
        <v>241</v>
      </c>
      <c r="D16" s="10">
        <v>6.7</v>
      </c>
      <c r="E16" s="6">
        <v>2</v>
      </c>
      <c r="F16" s="6">
        <f t="shared" si="0"/>
        <v>3.35</v>
      </c>
      <c r="G16" s="7">
        <v>1</v>
      </c>
      <c r="H16" s="8">
        <v>0</v>
      </c>
      <c r="I16" s="8">
        <v>0</v>
      </c>
      <c r="J16" s="8">
        <v>0</v>
      </c>
      <c r="K16" s="8">
        <v>0</v>
      </c>
      <c r="L16" s="7">
        <v>297</v>
      </c>
      <c r="M16" s="8">
        <v>5</v>
      </c>
      <c r="N16" s="8">
        <f t="shared" si="1"/>
        <v>291</v>
      </c>
      <c r="O16" s="60">
        <f t="shared" si="2"/>
        <v>22</v>
      </c>
      <c r="P16" s="6">
        <v>14.03</v>
      </c>
      <c r="Q16" s="6">
        <v>8.34</v>
      </c>
      <c r="R16" s="7">
        <v>1</v>
      </c>
      <c r="S16" s="8">
        <v>0</v>
      </c>
      <c r="T16" s="7">
        <v>1</v>
      </c>
      <c r="U16" s="8">
        <v>0</v>
      </c>
      <c r="V16" s="8">
        <v>0</v>
      </c>
      <c r="W16" s="21">
        <v>0</v>
      </c>
      <c r="X16" s="7">
        <v>0</v>
      </c>
      <c r="Y16" s="8">
        <v>1</v>
      </c>
      <c r="Z16" s="21">
        <v>0</v>
      </c>
      <c r="AA16" s="7">
        <v>0</v>
      </c>
      <c r="AB16" s="21">
        <v>1</v>
      </c>
      <c r="AC16" s="60">
        <v>1992</v>
      </c>
      <c r="AD16" t="s">
        <v>57</v>
      </c>
      <c r="AE16" t="s">
        <v>57</v>
      </c>
      <c r="AF16" t="s">
        <v>57</v>
      </c>
      <c r="AG16" t="s">
        <v>57</v>
      </c>
      <c r="AH16" s="28" t="s">
        <v>57</v>
      </c>
      <c r="AI16" s="12" t="s">
        <v>57</v>
      </c>
      <c r="AJ16" s="28">
        <v>0.41</v>
      </c>
      <c r="AK16">
        <v>0.59</v>
      </c>
      <c r="AL16" s="28">
        <v>0.92</v>
      </c>
      <c r="AM16" s="66">
        <f t="shared" si="3"/>
        <v>7.999999999999996E-2</v>
      </c>
      <c r="AN16">
        <v>0</v>
      </c>
      <c r="AO16">
        <v>1</v>
      </c>
      <c r="AP16" s="28">
        <v>0.64</v>
      </c>
      <c r="AQ16" s="12">
        <f t="shared" si="4"/>
        <v>0.36</v>
      </c>
      <c r="AR16" s="12">
        <v>1</v>
      </c>
      <c r="AS16" s="12">
        <v>0</v>
      </c>
      <c r="AT16" s="12">
        <v>0</v>
      </c>
      <c r="AU16" s="62" t="s">
        <v>87</v>
      </c>
      <c r="AV16">
        <v>1</v>
      </c>
      <c r="AW16">
        <v>0</v>
      </c>
      <c r="AX16">
        <v>0</v>
      </c>
      <c r="AY16">
        <v>0</v>
      </c>
      <c r="AZ16">
        <v>0</v>
      </c>
      <c r="BA16">
        <v>0</v>
      </c>
      <c r="BB16">
        <v>0</v>
      </c>
      <c r="BC16">
        <v>1</v>
      </c>
      <c r="BD16">
        <v>0</v>
      </c>
      <c r="BE16">
        <v>0</v>
      </c>
      <c r="BF16">
        <v>25151</v>
      </c>
      <c r="BG16">
        <v>1422</v>
      </c>
      <c r="BH16">
        <v>0.92100000000000004</v>
      </c>
      <c r="BI16" s="64">
        <v>38.07</v>
      </c>
      <c r="BJ16">
        <v>1</v>
      </c>
      <c r="BK16">
        <v>0</v>
      </c>
      <c r="BL16">
        <v>0</v>
      </c>
      <c r="BM16">
        <v>0</v>
      </c>
      <c r="BN16">
        <v>0</v>
      </c>
      <c r="BO16">
        <v>0</v>
      </c>
      <c r="BP16">
        <v>0</v>
      </c>
      <c r="BQ16" s="28">
        <v>0</v>
      </c>
      <c r="BR16">
        <v>0</v>
      </c>
      <c r="BS16">
        <v>0</v>
      </c>
      <c r="BT16" s="28">
        <v>1</v>
      </c>
      <c r="BU16">
        <v>1</v>
      </c>
      <c r="BV16">
        <v>0</v>
      </c>
      <c r="BW16">
        <v>0</v>
      </c>
      <c r="BX16">
        <v>1</v>
      </c>
      <c r="BY16">
        <v>0</v>
      </c>
      <c r="BZ16">
        <v>1</v>
      </c>
      <c r="CA16">
        <v>0</v>
      </c>
      <c r="CB16">
        <v>0</v>
      </c>
      <c r="CC16">
        <v>0</v>
      </c>
      <c r="CD16">
        <v>0</v>
      </c>
      <c r="CE16" s="16">
        <v>0</v>
      </c>
      <c r="CF16">
        <v>3.0920000000000001</v>
      </c>
      <c r="CG16">
        <v>908</v>
      </c>
      <c r="CH16">
        <v>1</v>
      </c>
      <c r="CI16">
        <v>0</v>
      </c>
      <c r="CJ16">
        <v>4</v>
      </c>
      <c r="CK16" t="s">
        <v>46</v>
      </c>
    </row>
    <row r="17" spans="1:89" x14ac:dyDescent="0.25">
      <c r="A17">
        <v>16</v>
      </c>
      <c r="B17">
        <v>1</v>
      </c>
      <c r="C17" t="s">
        <v>241</v>
      </c>
      <c r="D17" s="10">
        <v>8.9</v>
      </c>
      <c r="E17" s="6">
        <v>3.3</v>
      </c>
      <c r="F17" s="6">
        <f t="shared" si="0"/>
        <v>2.6969696969696972</v>
      </c>
      <c r="G17" s="7">
        <v>1</v>
      </c>
      <c r="H17" s="8">
        <v>0</v>
      </c>
      <c r="I17" s="8">
        <v>0</v>
      </c>
      <c r="J17" s="8">
        <v>0</v>
      </c>
      <c r="K17" s="8">
        <v>0</v>
      </c>
      <c r="L17" s="7">
        <v>52</v>
      </c>
      <c r="M17" s="8">
        <v>5</v>
      </c>
      <c r="N17" s="8">
        <f t="shared" si="1"/>
        <v>46</v>
      </c>
      <c r="O17" s="60">
        <f t="shared" si="2"/>
        <v>22</v>
      </c>
      <c r="P17" s="6">
        <v>14.03</v>
      </c>
      <c r="Q17" s="6">
        <v>8.34</v>
      </c>
      <c r="R17" s="7">
        <v>1</v>
      </c>
      <c r="S17" s="8">
        <v>0</v>
      </c>
      <c r="T17" s="7">
        <v>1</v>
      </c>
      <c r="U17" s="8">
        <v>0</v>
      </c>
      <c r="V17" s="8">
        <v>0</v>
      </c>
      <c r="W17" s="21">
        <v>0</v>
      </c>
      <c r="X17" s="7">
        <v>0</v>
      </c>
      <c r="Y17" s="8">
        <v>1</v>
      </c>
      <c r="Z17" s="21">
        <v>0</v>
      </c>
      <c r="AA17" s="7">
        <v>0</v>
      </c>
      <c r="AB17" s="21">
        <v>1</v>
      </c>
      <c r="AC17" s="60">
        <v>1992</v>
      </c>
      <c r="AD17" t="s">
        <v>57</v>
      </c>
      <c r="AE17" t="s">
        <v>57</v>
      </c>
      <c r="AF17" t="s">
        <v>57</v>
      </c>
      <c r="AG17" t="s">
        <v>57</v>
      </c>
      <c r="AH17" s="28" t="s">
        <v>57</v>
      </c>
      <c r="AI17" s="12" t="s">
        <v>57</v>
      </c>
      <c r="AJ17" s="28">
        <v>0.41</v>
      </c>
      <c r="AK17">
        <v>0.59</v>
      </c>
      <c r="AL17" s="28">
        <v>0.92</v>
      </c>
      <c r="AM17" s="66">
        <f t="shared" si="3"/>
        <v>7.999999999999996E-2</v>
      </c>
      <c r="AN17">
        <v>0</v>
      </c>
      <c r="AO17">
        <v>1</v>
      </c>
      <c r="AP17" s="28">
        <v>0.64</v>
      </c>
      <c r="AQ17" s="12">
        <f t="shared" si="4"/>
        <v>0.36</v>
      </c>
      <c r="AR17" s="12">
        <v>1</v>
      </c>
      <c r="AS17" s="12">
        <v>0</v>
      </c>
      <c r="AT17" s="12">
        <v>0</v>
      </c>
      <c r="AU17" s="62" t="s">
        <v>87</v>
      </c>
      <c r="AV17">
        <v>1</v>
      </c>
      <c r="AW17">
        <v>0</v>
      </c>
      <c r="AX17">
        <v>0</v>
      </c>
      <c r="AY17">
        <v>0</v>
      </c>
      <c r="AZ17">
        <v>0</v>
      </c>
      <c r="BA17">
        <v>0</v>
      </c>
      <c r="BB17">
        <v>0</v>
      </c>
      <c r="BC17">
        <v>1</v>
      </c>
      <c r="BD17">
        <v>0</v>
      </c>
      <c r="BE17">
        <v>0</v>
      </c>
      <c r="BF17">
        <v>25151</v>
      </c>
      <c r="BG17">
        <v>1422</v>
      </c>
      <c r="BH17">
        <v>0.92100000000000004</v>
      </c>
      <c r="BI17" s="64">
        <v>38.07</v>
      </c>
      <c r="BJ17">
        <v>1</v>
      </c>
      <c r="BK17">
        <v>0</v>
      </c>
      <c r="BL17">
        <v>0</v>
      </c>
      <c r="BM17">
        <v>0</v>
      </c>
      <c r="BN17">
        <v>0</v>
      </c>
      <c r="BO17">
        <v>0</v>
      </c>
      <c r="BP17">
        <v>0</v>
      </c>
      <c r="BQ17" s="28">
        <v>0</v>
      </c>
      <c r="BR17">
        <v>0</v>
      </c>
      <c r="BS17">
        <v>0</v>
      </c>
      <c r="BT17" s="28">
        <v>1</v>
      </c>
      <c r="BU17">
        <v>1</v>
      </c>
      <c r="BV17">
        <v>0</v>
      </c>
      <c r="BW17">
        <v>0</v>
      </c>
      <c r="BX17">
        <v>1</v>
      </c>
      <c r="BY17">
        <v>0</v>
      </c>
      <c r="BZ17">
        <v>1</v>
      </c>
      <c r="CA17">
        <v>0</v>
      </c>
      <c r="CB17">
        <v>0</v>
      </c>
      <c r="CC17">
        <v>0</v>
      </c>
      <c r="CD17">
        <v>0</v>
      </c>
      <c r="CE17" s="16">
        <v>0</v>
      </c>
      <c r="CF17">
        <v>3.0920000000000001</v>
      </c>
      <c r="CG17">
        <v>908</v>
      </c>
      <c r="CH17">
        <v>1</v>
      </c>
      <c r="CI17">
        <v>0</v>
      </c>
      <c r="CJ17">
        <v>4</v>
      </c>
      <c r="CK17" t="s">
        <v>46</v>
      </c>
    </row>
    <row r="18" spans="1:89" x14ac:dyDescent="0.25">
      <c r="A18">
        <v>17</v>
      </c>
      <c r="B18">
        <v>1</v>
      </c>
      <c r="C18" t="s">
        <v>241</v>
      </c>
      <c r="D18" s="10">
        <v>8.5</v>
      </c>
      <c r="E18" s="6">
        <v>2.2999999999999998</v>
      </c>
      <c r="F18" s="6">
        <f t="shared" si="0"/>
        <v>3.6956521739130439</v>
      </c>
      <c r="G18" s="7">
        <v>1</v>
      </c>
      <c r="H18" s="8">
        <v>0</v>
      </c>
      <c r="I18" s="8">
        <v>0</v>
      </c>
      <c r="J18" s="8">
        <v>0</v>
      </c>
      <c r="K18" s="8">
        <v>0</v>
      </c>
      <c r="L18" s="7">
        <v>395</v>
      </c>
      <c r="M18" s="8">
        <v>4</v>
      </c>
      <c r="N18" s="8">
        <f t="shared" si="1"/>
        <v>390</v>
      </c>
      <c r="O18" s="60">
        <f t="shared" si="2"/>
        <v>22</v>
      </c>
      <c r="P18" s="6">
        <v>14.03</v>
      </c>
      <c r="Q18" s="6">
        <v>8.34</v>
      </c>
      <c r="R18" s="7">
        <v>1</v>
      </c>
      <c r="S18" s="8">
        <v>0</v>
      </c>
      <c r="T18" s="7">
        <v>1</v>
      </c>
      <c r="U18" s="8">
        <v>0</v>
      </c>
      <c r="V18" s="8">
        <v>0</v>
      </c>
      <c r="W18" s="21">
        <v>0</v>
      </c>
      <c r="X18" s="7">
        <v>0</v>
      </c>
      <c r="Y18" s="8">
        <v>1</v>
      </c>
      <c r="Z18" s="21">
        <v>0</v>
      </c>
      <c r="AA18" s="7">
        <v>0</v>
      </c>
      <c r="AB18" s="21">
        <v>1</v>
      </c>
      <c r="AC18" s="60">
        <v>1992</v>
      </c>
      <c r="AD18" t="s">
        <v>57</v>
      </c>
      <c r="AE18" t="s">
        <v>57</v>
      </c>
      <c r="AF18" t="s">
        <v>57</v>
      </c>
      <c r="AG18" t="s">
        <v>57</v>
      </c>
      <c r="AH18" s="28" t="s">
        <v>57</v>
      </c>
      <c r="AI18" s="12" t="s">
        <v>57</v>
      </c>
      <c r="AJ18" s="28">
        <v>0.41</v>
      </c>
      <c r="AK18">
        <v>0.59</v>
      </c>
      <c r="AL18" s="28">
        <v>0.92</v>
      </c>
      <c r="AM18" s="66">
        <f t="shared" si="3"/>
        <v>7.999999999999996E-2</v>
      </c>
      <c r="AN18">
        <v>0</v>
      </c>
      <c r="AO18">
        <v>1</v>
      </c>
      <c r="AP18" s="28">
        <v>0.64</v>
      </c>
      <c r="AQ18" s="12">
        <f t="shared" si="4"/>
        <v>0.36</v>
      </c>
      <c r="AR18" s="12">
        <v>1</v>
      </c>
      <c r="AS18" s="12">
        <v>0</v>
      </c>
      <c r="AT18" s="12">
        <v>0</v>
      </c>
      <c r="AU18" s="62" t="s">
        <v>87</v>
      </c>
      <c r="AV18">
        <v>1</v>
      </c>
      <c r="AW18">
        <v>0</v>
      </c>
      <c r="AX18">
        <v>0</v>
      </c>
      <c r="AY18">
        <v>0</v>
      </c>
      <c r="AZ18">
        <v>0</v>
      </c>
      <c r="BA18">
        <v>0</v>
      </c>
      <c r="BB18">
        <v>0</v>
      </c>
      <c r="BC18">
        <v>1</v>
      </c>
      <c r="BD18">
        <v>0</v>
      </c>
      <c r="BE18">
        <v>0</v>
      </c>
      <c r="BF18">
        <v>25151</v>
      </c>
      <c r="BG18">
        <v>1422</v>
      </c>
      <c r="BH18">
        <v>0.92100000000000004</v>
      </c>
      <c r="BI18" s="64">
        <v>38.07</v>
      </c>
      <c r="BJ18">
        <v>0</v>
      </c>
      <c r="BK18">
        <v>0</v>
      </c>
      <c r="BL18">
        <v>0</v>
      </c>
      <c r="BM18">
        <v>0</v>
      </c>
      <c r="BN18">
        <v>0</v>
      </c>
      <c r="BO18">
        <v>1</v>
      </c>
      <c r="BP18">
        <v>0</v>
      </c>
      <c r="BQ18" s="28">
        <v>1</v>
      </c>
      <c r="BR18">
        <v>0</v>
      </c>
      <c r="BS18">
        <v>0</v>
      </c>
      <c r="BT18" s="28">
        <v>0</v>
      </c>
      <c r="BU18">
        <v>0</v>
      </c>
      <c r="BV18">
        <v>0</v>
      </c>
      <c r="BW18">
        <v>0</v>
      </c>
      <c r="BX18">
        <v>0</v>
      </c>
      <c r="BY18">
        <v>0</v>
      </c>
      <c r="BZ18">
        <v>0</v>
      </c>
      <c r="CA18">
        <v>1</v>
      </c>
      <c r="CB18">
        <v>0</v>
      </c>
      <c r="CC18">
        <v>0</v>
      </c>
      <c r="CD18">
        <v>0</v>
      </c>
      <c r="CE18" s="16">
        <v>1</v>
      </c>
      <c r="CF18">
        <v>3.0920000000000001</v>
      </c>
      <c r="CG18">
        <v>908</v>
      </c>
      <c r="CH18">
        <v>1</v>
      </c>
      <c r="CI18">
        <v>0</v>
      </c>
      <c r="CJ18">
        <v>4</v>
      </c>
      <c r="CK18" t="s">
        <v>46</v>
      </c>
    </row>
    <row r="19" spans="1:89" x14ac:dyDescent="0.25">
      <c r="A19">
        <v>18</v>
      </c>
      <c r="B19">
        <v>1</v>
      </c>
      <c r="C19" t="s">
        <v>241</v>
      </c>
      <c r="D19" s="10">
        <v>8.6</v>
      </c>
      <c r="E19" s="6">
        <v>2.5</v>
      </c>
      <c r="F19" s="6">
        <f t="shared" si="0"/>
        <v>3.44</v>
      </c>
      <c r="G19" s="7">
        <v>1</v>
      </c>
      <c r="H19" s="8">
        <v>0</v>
      </c>
      <c r="I19" s="8">
        <v>0</v>
      </c>
      <c r="J19" s="8">
        <v>0</v>
      </c>
      <c r="K19" s="8">
        <v>0</v>
      </c>
      <c r="L19" s="7">
        <v>353</v>
      </c>
      <c r="M19" s="8">
        <v>4</v>
      </c>
      <c r="N19" s="8">
        <f t="shared" si="1"/>
        <v>348</v>
      </c>
      <c r="O19" s="60">
        <f t="shared" si="2"/>
        <v>22</v>
      </c>
      <c r="P19" s="6">
        <v>14.03</v>
      </c>
      <c r="Q19" s="6">
        <v>8.34</v>
      </c>
      <c r="R19" s="7">
        <v>1</v>
      </c>
      <c r="S19" s="8">
        <v>0</v>
      </c>
      <c r="T19" s="7">
        <v>1</v>
      </c>
      <c r="U19" s="8">
        <v>0</v>
      </c>
      <c r="V19" s="8">
        <v>0</v>
      </c>
      <c r="W19" s="21">
        <v>0</v>
      </c>
      <c r="X19" s="7">
        <v>0</v>
      </c>
      <c r="Y19" s="8">
        <v>1</v>
      </c>
      <c r="Z19" s="21">
        <v>0</v>
      </c>
      <c r="AA19" s="7">
        <v>0</v>
      </c>
      <c r="AB19" s="21">
        <v>1</v>
      </c>
      <c r="AC19" s="60">
        <v>1992</v>
      </c>
      <c r="AD19" t="s">
        <v>57</v>
      </c>
      <c r="AE19" t="s">
        <v>57</v>
      </c>
      <c r="AF19" t="s">
        <v>57</v>
      </c>
      <c r="AG19" t="s">
        <v>57</v>
      </c>
      <c r="AH19" s="28" t="s">
        <v>57</v>
      </c>
      <c r="AI19" s="12" t="s">
        <v>57</v>
      </c>
      <c r="AJ19" s="28">
        <v>0.41</v>
      </c>
      <c r="AK19">
        <v>0.59</v>
      </c>
      <c r="AL19" s="28">
        <v>0.92</v>
      </c>
      <c r="AM19" s="66">
        <f t="shared" si="3"/>
        <v>7.999999999999996E-2</v>
      </c>
      <c r="AN19">
        <v>0</v>
      </c>
      <c r="AO19">
        <v>1</v>
      </c>
      <c r="AP19" s="28">
        <v>0.64</v>
      </c>
      <c r="AQ19" s="12">
        <f t="shared" si="4"/>
        <v>0.36</v>
      </c>
      <c r="AR19" s="12">
        <v>1</v>
      </c>
      <c r="AS19" s="12">
        <v>0</v>
      </c>
      <c r="AT19" s="12">
        <v>0</v>
      </c>
      <c r="AU19" s="62" t="s">
        <v>87</v>
      </c>
      <c r="AV19">
        <v>1</v>
      </c>
      <c r="AW19">
        <v>0</v>
      </c>
      <c r="AX19">
        <v>0</v>
      </c>
      <c r="AY19">
        <v>0</v>
      </c>
      <c r="AZ19">
        <v>0</v>
      </c>
      <c r="BA19">
        <v>0</v>
      </c>
      <c r="BB19">
        <v>0</v>
      </c>
      <c r="BC19">
        <v>1</v>
      </c>
      <c r="BD19">
        <v>0</v>
      </c>
      <c r="BE19">
        <v>0</v>
      </c>
      <c r="BF19">
        <v>25151</v>
      </c>
      <c r="BG19">
        <v>1422</v>
      </c>
      <c r="BH19">
        <v>0.92100000000000004</v>
      </c>
      <c r="BI19" s="64">
        <v>38.07</v>
      </c>
      <c r="BJ19">
        <v>0</v>
      </c>
      <c r="BK19">
        <v>0</v>
      </c>
      <c r="BL19">
        <v>0</v>
      </c>
      <c r="BM19">
        <v>0</v>
      </c>
      <c r="BN19">
        <v>0</v>
      </c>
      <c r="BO19">
        <v>1</v>
      </c>
      <c r="BP19">
        <v>0</v>
      </c>
      <c r="BQ19" s="28">
        <v>1</v>
      </c>
      <c r="BR19">
        <v>0</v>
      </c>
      <c r="BS19">
        <v>0</v>
      </c>
      <c r="BT19" s="28">
        <v>0</v>
      </c>
      <c r="BU19">
        <v>0</v>
      </c>
      <c r="BV19">
        <v>0</v>
      </c>
      <c r="BW19">
        <v>0</v>
      </c>
      <c r="BX19">
        <v>0</v>
      </c>
      <c r="BY19">
        <v>0</v>
      </c>
      <c r="BZ19">
        <v>0</v>
      </c>
      <c r="CA19">
        <v>1</v>
      </c>
      <c r="CB19">
        <v>0</v>
      </c>
      <c r="CC19">
        <v>0</v>
      </c>
      <c r="CD19">
        <v>0</v>
      </c>
      <c r="CE19" s="16">
        <v>1</v>
      </c>
      <c r="CF19">
        <v>3.0920000000000001</v>
      </c>
      <c r="CG19">
        <v>908</v>
      </c>
      <c r="CH19">
        <v>1</v>
      </c>
      <c r="CI19">
        <v>0</v>
      </c>
      <c r="CJ19">
        <v>4</v>
      </c>
      <c r="CK19" t="s">
        <v>46</v>
      </c>
    </row>
    <row r="20" spans="1:89" x14ac:dyDescent="0.25">
      <c r="A20">
        <v>19</v>
      </c>
      <c r="B20">
        <v>1</v>
      </c>
      <c r="C20" t="s">
        <v>241</v>
      </c>
      <c r="D20" s="10">
        <v>7.7</v>
      </c>
      <c r="E20" s="6">
        <v>2.6</v>
      </c>
      <c r="F20" s="6">
        <f t="shared" si="0"/>
        <v>2.9615384615384617</v>
      </c>
      <c r="G20" s="7">
        <v>1</v>
      </c>
      <c r="H20" s="8">
        <v>0</v>
      </c>
      <c r="I20" s="8">
        <v>0</v>
      </c>
      <c r="J20" s="8">
        <v>0</v>
      </c>
      <c r="K20" s="8">
        <v>0</v>
      </c>
      <c r="L20" s="7">
        <v>342</v>
      </c>
      <c r="M20" s="8">
        <v>4</v>
      </c>
      <c r="N20" s="8">
        <f t="shared" si="1"/>
        <v>337</v>
      </c>
      <c r="O20" s="60">
        <f t="shared" si="2"/>
        <v>22</v>
      </c>
      <c r="P20" s="6">
        <v>14.03</v>
      </c>
      <c r="Q20" s="6">
        <v>8.34</v>
      </c>
      <c r="R20" s="7">
        <v>1</v>
      </c>
      <c r="S20" s="8">
        <v>0</v>
      </c>
      <c r="T20" s="7">
        <v>1</v>
      </c>
      <c r="U20" s="8">
        <v>0</v>
      </c>
      <c r="V20" s="8">
        <v>0</v>
      </c>
      <c r="W20" s="21">
        <v>0</v>
      </c>
      <c r="X20" s="7">
        <v>0</v>
      </c>
      <c r="Y20" s="8">
        <v>1</v>
      </c>
      <c r="Z20" s="21">
        <v>0</v>
      </c>
      <c r="AA20" s="7">
        <v>0</v>
      </c>
      <c r="AB20" s="21">
        <v>1</v>
      </c>
      <c r="AC20" s="60">
        <v>1992</v>
      </c>
      <c r="AD20" t="s">
        <v>57</v>
      </c>
      <c r="AE20" t="s">
        <v>57</v>
      </c>
      <c r="AF20" t="s">
        <v>57</v>
      </c>
      <c r="AG20" t="s">
        <v>57</v>
      </c>
      <c r="AH20" s="28" t="s">
        <v>57</v>
      </c>
      <c r="AI20" s="12" t="s">
        <v>57</v>
      </c>
      <c r="AJ20" s="28">
        <v>0.41</v>
      </c>
      <c r="AK20">
        <v>0.59</v>
      </c>
      <c r="AL20" s="28">
        <v>0.92</v>
      </c>
      <c r="AM20" s="66">
        <f t="shared" si="3"/>
        <v>7.999999999999996E-2</v>
      </c>
      <c r="AN20">
        <v>0</v>
      </c>
      <c r="AO20">
        <v>1</v>
      </c>
      <c r="AP20" s="28">
        <v>0.64</v>
      </c>
      <c r="AQ20" s="12">
        <f t="shared" si="4"/>
        <v>0.36</v>
      </c>
      <c r="AR20" s="12">
        <v>1</v>
      </c>
      <c r="AS20" s="12">
        <v>0</v>
      </c>
      <c r="AT20" s="12">
        <v>0</v>
      </c>
      <c r="AU20" s="62" t="s">
        <v>87</v>
      </c>
      <c r="AV20">
        <v>1</v>
      </c>
      <c r="AW20">
        <v>0</v>
      </c>
      <c r="AX20">
        <v>0</v>
      </c>
      <c r="AY20">
        <v>0</v>
      </c>
      <c r="AZ20">
        <v>0</v>
      </c>
      <c r="BA20">
        <v>0</v>
      </c>
      <c r="BB20">
        <v>0</v>
      </c>
      <c r="BC20">
        <v>1</v>
      </c>
      <c r="BD20">
        <v>0</v>
      </c>
      <c r="BE20">
        <v>0</v>
      </c>
      <c r="BF20">
        <v>25151</v>
      </c>
      <c r="BG20">
        <v>1422</v>
      </c>
      <c r="BH20">
        <v>0.92100000000000004</v>
      </c>
      <c r="BI20" s="64">
        <v>38.07</v>
      </c>
      <c r="BJ20">
        <v>0</v>
      </c>
      <c r="BK20">
        <v>0</v>
      </c>
      <c r="BL20">
        <v>0</v>
      </c>
      <c r="BM20">
        <v>0</v>
      </c>
      <c r="BN20">
        <v>0</v>
      </c>
      <c r="BO20">
        <v>1</v>
      </c>
      <c r="BP20">
        <v>0</v>
      </c>
      <c r="BQ20" s="28">
        <v>1</v>
      </c>
      <c r="BR20">
        <v>0</v>
      </c>
      <c r="BS20">
        <v>0</v>
      </c>
      <c r="BT20" s="28">
        <v>0</v>
      </c>
      <c r="BU20">
        <v>0</v>
      </c>
      <c r="BV20">
        <v>0</v>
      </c>
      <c r="BW20">
        <v>0</v>
      </c>
      <c r="BX20">
        <v>0</v>
      </c>
      <c r="BY20">
        <v>0</v>
      </c>
      <c r="BZ20">
        <v>0</v>
      </c>
      <c r="CA20">
        <v>1</v>
      </c>
      <c r="CB20">
        <v>0</v>
      </c>
      <c r="CC20">
        <v>0</v>
      </c>
      <c r="CD20">
        <v>0</v>
      </c>
      <c r="CE20" s="16">
        <v>1</v>
      </c>
      <c r="CF20">
        <v>3.0920000000000001</v>
      </c>
      <c r="CG20">
        <v>908</v>
      </c>
      <c r="CH20">
        <v>1</v>
      </c>
      <c r="CI20">
        <v>0</v>
      </c>
      <c r="CJ20">
        <v>4</v>
      </c>
      <c r="CK20" t="s">
        <v>46</v>
      </c>
    </row>
    <row r="21" spans="1:89" x14ac:dyDescent="0.25">
      <c r="A21">
        <v>20</v>
      </c>
      <c r="B21">
        <v>1</v>
      </c>
      <c r="C21" t="s">
        <v>241</v>
      </c>
      <c r="D21" s="10">
        <v>8.3000000000000007</v>
      </c>
      <c r="E21" s="6">
        <v>2.5</v>
      </c>
      <c r="F21" s="6">
        <f t="shared" si="0"/>
        <v>3.3200000000000003</v>
      </c>
      <c r="G21" s="7">
        <v>1</v>
      </c>
      <c r="H21" s="8">
        <v>0</v>
      </c>
      <c r="I21" s="8">
        <v>0</v>
      </c>
      <c r="J21" s="8">
        <v>0</v>
      </c>
      <c r="K21" s="8">
        <v>0</v>
      </c>
      <c r="L21" s="7">
        <v>335</v>
      </c>
      <c r="M21" s="8">
        <v>4</v>
      </c>
      <c r="N21" s="8">
        <f t="shared" si="1"/>
        <v>330</v>
      </c>
      <c r="O21" s="60">
        <f t="shared" si="2"/>
        <v>22</v>
      </c>
      <c r="P21" s="6">
        <v>14.03</v>
      </c>
      <c r="Q21" s="6">
        <v>8.34</v>
      </c>
      <c r="R21" s="7">
        <v>1</v>
      </c>
      <c r="S21" s="8">
        <v>0</v>
      </c>
      <c r="T21" s="7">
        <v>1</v>
      </c>
      <c r="U21" s="8">
        <v>0</v>
      </c>
      <c r="V21" s="8">
        <v>0</v>
      </c>
      <c r="W21" s="21">
        <v>0</v>
      </c>
      <c r="X21" s="7">
        <v>0</v>
      </c>
      <c r="Y21" s="8">
        <v>1</v>
      </c>
      <c r="Z21" s="21">
        <v>0</v>
      </c>
      <c r="AA21" s="7">
        <v>0</v>
      </c>
      <c r="AB21" s="21">
        <v>1</v>
      </c>
      <c r="AC21" s="60">
        <v>1992</v>
      </c>
      <c r="AD21" t="s">
        <v>57</v>
      </c>
      <c r="AE21" t="s">
        <v>57</v>
      </c>
      <c r="AF21" t="s">
        <v>57</v>
      </c>
      <c r="AG21" t="s">
        <v>57</v>
      </c>
      <c r="AH21" s="28" t="s">
        <v>57</v>
      </c>
      <c r="AI21" s="12" t="s">
        <v>57</v>
      </c>
      <c r="AJ21" s="28">
        <v>0.41</v>
      </c>
      <c r="AK21">
        <v>0.59</v>
      </c>
      <c r="AL21" s="28">
        <v>0.92</v>
      </c>
      <c r="AM21" s="66">
        <f t="shared" si="3"/>
        <v>7.999999999999996E-2</v>
      </c>
      <c r="AN21">
        <v>0</v>
      </c>
      <c r="AO21">
        <v>1</v>
      </c>
      <c r="AP21" s="28">
        <v>0.64</v>
      </c>
      <c r="AQ21" s="12">
        <f t="shared" si="4"/>
        <v>0.36</v>
      </c>
      <c r="AR21" s="12">
        <v>1</v>
      </c>
      <c r="AS21" s="12">
        <v>0</v>
      </c>
      <c r="AT21" s="12">
        <v>0</v>
      </c>
      <c r="AU21" s="62" t="s">
        <v>87</v>
      </c>
      <c r="AV21">
        <v>1</v>
      </c>
      <c r="AW21">
        <v>0</v>
      </c>
      <c r="AX21">
        <v>0</v>
      </c>
      <c r="AY21">
        <v>0</v>
      </c>
      <c r="AZ21">
        <v>0</v>
      </c>
      <c r="BA21">
        <v>0</v>
      </c>
      <c r="BB21">
        <v>0</v>
      </c>
      <c r="BC21">
        <v>1</v>
      </c>
      <c r="BD21">
        <v>0</v>
      </c>
      <c r="BE21">
        <v>0</v>
      </c>
      <c r="BF21">
        <v>25151</v>
      </c>
      <c r="BG21">
        <v>1422</v>
      </c>
      <c r="BH21">
        <v>0.92100000000000004</v>
      </c>
      <c r="BI21" s="64">
        <v>38.07</v>
      </c>
      <c r="BJ21">
        <v>0</v>
      </c>
      <c r="BK21">
        <v>0</v>
      </c>
      <c r="BL21">
        <v>0</v>
      </c>
      <c r="BM21">
        <v>0</v>
      </c>
      <c r="BN21">
        <v>0</v>
      </c>
      <c r="BO21">
        <v>1</v>
      </c>
      <c r="BP21">
        <v>0</v>
      </c>
      <c r="BQ21" s="28">
        <v>1</v>
      </c>
      <c r="BR21">
        <v>0</v>
      </c>
      <c r="BS21">
        <v>0</v>
      </c>
      <c r="BT21" s="28">
        <v>0</v>
      </c>
      <c r="BU21">
        <v>0</v>
      </c>
      <c r="BV21">
        <v>0</v>
      </c>
      <c r="BW21">
        <v>0</v>
      </c>
      <c r="BX21">
        <v>0</v>
      </c>
      <c r="BY21">
        <v>0</v>
      </c>
      <c r="BZ21">
        <v>0</v>
      </c>
      <c r="CA21">
        <v>1</v>
      </c>
      <c r="CB21">
        <v>0</v>
      </c>
      <c r="CC21">
        <v>0</v>
      </c>
      <c r="CD21">
        <v>0</v>
      </c>
      <c r="CE21" s="16">
        <v>1</v>
      </c>
      <c r="CF21">
        <v>3.0920000000000001</v>
      </c>
      <c r="CG21">
        <v>908</v>
      </c>
      <c r="CH21">
        <v>1</v>
      </c>
      <c r="CI21">
        <v>0</v>
      </c>
      <c r="CJ21">
        <v>4</v>
      </c>
      <c r="CK21" t="s">
        <v>46</v>
      </c>
    </row>
    <row r="22" spans="1:89" x14ac:dyDescent="0.25">
      <c r="A22">
        <v>21</v>
      </c>
      <c r="B22">
        <v>1</v>
      </c>
      <c r="C22" t="s">
        <v>241</v>
      </c>
      <c r="D22" s="10">
        <v>8.3000000000000007</v>
      </c>
      <c r="E22" s="6">
        <v>2.7</v>
      </c>
      <c r="F22" s="6">
        <f t="shared" si="0"/>
        <v>3.074074074074074</v>
      </c>
      <c r="G22" s="7">
        <v>1</v>
      </c>
      <c r="H22" s="8">
        <v>0</v>
      </c>
      <c r="I22" s="8">
        <v>0</v>
      </c>
      <c r="J22" s="8">
        <v>0</v>
      </c>
      <c r="K22" s="8">
        <v>0</v>
      </c>
      <c r="L22" s="7">
        <v>297</v>
      </c>
      <c r="M22" s="8">
        <v>4</v>
      </c>
      <c r="N22" s="8">
        <f t="shared" si="1"/>
        <v>292</v>
      </c>
      <c r="O22" s="60">
        <f t="shared" si="2"/>
        <v>22</v>
      </c>
      <c r="P22" s="6">
        <v>14.03</v>
      </c>
      <c r="Q22" s="6">
        <v>8.34</v>
      </c>
      <c r="R22" s="7">
        <v>1</v>
      </c>
      <c r="S22" s="8">
        <v>0</v>
      </c>
      <c r="T22" s="7">
        <v>1</v>
      </c>
      <c r="U22" s="8">
        <v>0</v>
      </c>
      <c r="V22" s="8">
        <v>0</v>
      </c>
      <c r="W22" s="21">
        <v>0</v>
      </c>
      <c r="X22" s="7">
        <v>0</v>
      </c>
      <c r="Y22" s="8">
        <v>1</v>
      </c>
      <c r="Z22" s="21">
        <v>0</v>
      </c>
      <c r="AA22" s="7">
        <v>0</v>
      </c>
      <c r="AB22" s="21">
        <v>1</v>
      </c>
      <c r="AC22" s="60">
        <v>1992</v>
      </c>
      <c r="AD22" t="s">
        <v>57</v>
      </c>
      <c r="AE22" t="s">
        <v>57</v>
      </c>
      <c r="AF22" t="s">
        <v>57</v>
      </c>
      <c r="AG22" t="s">
        <v>57</v>
      </c>
      <c r="AH22" s="28" t="s">
        <v>57</v>
      </c>
      <c r="AI22" s="12" t="s">
        <v>57</v>
      </c>
      <c r="AJ22" s="28">
        <v>0.41</v>
      </c>
      <c r="AK22">
        <v>0.59</v>
      </c>
      <c r="AL22" s="28">
        <v>0.92</v>
      </c>
      <c r="AM22" s="66">
        <f t="shared" si="3"/>
        <v>7.999999999999996E-2</v>
      </c>
      <c r="AN22">
        <v>0</v>
      </c>
      <c r="AO22">
        <v>1</v>
      </c>
      <c r="AP22" s="28">
        <v>0.64</v>
      </c>
      <c r="AQ22" s="12">
        <f t="shared" si="4"/>
        <v>0.36</v>
      </c>
      <c r="AR22" s="12">
        <v>1</v>
      </c>
      <c r="AS22" s="12">
        <v>0</v>
      </c>
      <c r="AT22" s="12">
        <v>0</v>
      </c>
      <c r="AU22" s="62" t="s">
        <v>87</v>
      </c>
      <c r="AV22">
        <v>1</v>
      </c>
      <c r="AW22">
        <v>0</v>
      </c>
      <c r="AX22">
        <v>0</v>
      </c>
      <c r="AY22">
        <v>0</v>
      </c>
      <c r="AZ22">
        <v>0</v>
      </c>
      <c r="BA22">
        <v>0</v>
      </c>
      <c r="BB22">
        <v>0</v>
      </c>
      <c r="BC22">
        <v>1</v>
      </c>
      <c r="BD22">
        <v>0</v>
      </c>
      <c r="BE22">
        <v>0</v>
      </c>
      <c r="BF22">
        <v>25151</v>
      </c>
      <c r="BG22">
        <v>1422</v>
      </c>
      <c r="BH22">
        <v>0.92100000000000004</v>
      </c>
      <c r="BI22" s="64">
        <v>38.07</v>
      </c>
      <c r="BJ22">
        <v>0</v>
      </c>
      <c r="BK22">
        <v>0</v>
      </c>
      <c r="BL22">
        <v>0</v>
      </c>
      <c r="BM22">
        <v>0</v>
      </c>
      <c r="BN22">
        <v>0</v>
      </c>
      <c r="BO22">
        <v>1</v>
      </c>
      <c r="BP22">
        <v>0</v>
      </c>
      <c r="BQ22" s="28">
        <v>1</v>
      </c>
      <c r="BR22">
        <v>0</v>
      </c>
      <c r="BS22">
        <v>0</v>
      </c>
      <c r="BT22" s="28">
        <v>0</v>
      </c>
      <c r="BU22">
        <v>0</v>
      </c>
      <c r="BV22">
        <v>0</v>
      </c>
      <c r="BW22">
        <v>0</v>
      </c>
      <c r="BX22">
        <v>0</v>
      </c>
      <c r="BY22">
        <v>0</v>
      </c>
      <c r="BZ22">
        <v>0</v>
      </c>
      <c r="CA22">
        <v>1</v>
      </c>
      <c r="CB22">
        <v>0</v>
      </c>
      <c r="CC22">
        <v>0</v>
      </c>
      <c r="CD22">
        <v>0</v>
      </c>
      <c r="CE22" s="16">
        <v>1</v>
      </c>
      <c r="CF22">
        <v>3.0920000000000001</v>
      </c>
      <c r="CG22">
        <v>908</v>
      </c>
      <c r="CH22">
        <v>1</v>
      </c>
      <c r="CI22">
        <v>0</v>
      </c>
      <c r="CJ22">
        <v>4</v>
      </c>
      <c r="CK22" t="s">
        <v>46</v>
      </c>
    </row>
    <row r="23" spans="1:89" x14ac:dyDescent="0.25">
      <c r="A23">
        <v>22</v>
      </c>
      <c r="B23">
        <v>1</v>
      </c>
      <c r="C23" t="s">
        <v>241</v>
      </c>
      <c r="D23" s="10">
        <v>16.3</v>
      </c>
      <c r="E23" s="6">
        <v>4.7</v>
      </c>
      <c r="F23" s="6">
        <f t="shared" si="0"/>
        <v>3.4680851063829787</v>
      </c>
      <c r="G23" s="7">
        <v>1</v>
      </c>
      <c r="H23" s="8">
        <v>0</v>
      </c>
      <c r="I23" s="8">
        <v>0</v>
      </c>
      <c r="J23" s="8">
        <v>0</v>
      </c>
      <c r="K23" s="8">
        <v>0</v>
      </c>
      <c r="L23" s="7">
        <v>52</v>
      </c>
      <c r="M23" s="8">
        <v>4</v>
      </c>
      <c r="N23" s="8">
        <f t="shared" si="1"/>
        <v>47</v>
      </c>
      <c r="O23" s="60">
        <f t="shared" si="2"/>
        <v>22</v>
      </c>
      <c r="P23" s="6">
        <v>14.03</v>
      </c>
      <c r="Q23" s="6">
        <v>8.34</v>
      </c>
      <c r="R23" s="7">
        <v>1</v>
      </c>
      <c r="S23" s="8">
        <v>0</v>
      </c>
      <c r="T23" s="7">
        <v>1</v>
      </c>
      <c r="U23" s="8">
        <v>0</v>
      </c>
      <c r="V23" s="8">
        <v>0</v>
      </c>
      <c r="W23" s="21">
        <v>0</v>
      </c>
      <c r="X23" s="7">
        <v>0</v>
      </c>
      <c r="Y23" s="8">
        <v>1</v>
      </c>
      <c r="Z23" s="21">
        <v>0</v>
      </c>
      <c r="AA23" s="7">
        <v>0</v>
      </c>
      <c r="AB23" s="21">
        <v>1</v>
      </c>
      <c r="AC23" s="60">
        <v>1992</v>
      </c>
      <c r="AD23" t="s">
        <v>57</v>
      </c>
      <c r="AE23" t="s">
        <v>57</v>
      </c>
      <c r="AF23" t="s">
        <v>57</v>
      </c>
      <c r="AG23" t="s">
        <v>57</v>
      </c>
      <c r="AH23" s="28" t="s">
        <v>57</v>
      </c>
      <c r="AI23" s="12" t="s">
        <v>57</v>
      </c>
      <c r="AJ23" s="28">
        <v>0.41</v>
      </c>
      <c r="AK23">
        <v>0.59</v>
      </c>
      <c r="AL23" s="28">
        <v>0.92</v>
      </c>
      <c r="AM23" s="66">
        <f t="shared" si="3"/>
        <v>7.999999999999996E-2</v>
      </c>
      <c r="AN23">
        <v>0</v>
      </c>
      <c r="AO23">
        <v>1</v>
      </c>
      <c r="AP23" s="28">
        <v>0.64</v>
      </c>
      <c r="AQ23" s="12">
        <f t="shared" si="4"/>
        <v>0.36</v>
      </c>
      <c r="AR23" s="12">
        <v>1</v>
      </c>
      <c r="AS23" s="12">
        <v>0</v>
      </c>
      <c r="AT23" s="12">
        <v>0</v>
      </c>
      <c r="AU23" s="62" t="s">
        <v>87</v>
      </c>
      <c r="AV23">
        <v>1</v>
      </c>
      <c r="AW23">
        <v>0</v>
      </c>
      <c r="AX23">
        <v>0</v>
      </c>
      <c r="AY23">
        <v>0</v>
      </c>
      <c r="AZ23">
        <v>0</v>
      </c>
      <c r="BA23">
        <v>0</v>
      </c>
      <c r="BB23">
        <v>0</v>
      </c>
      <c r="BC23">
        <v>1</v>
      </c>
      <c r="BD23">
        <v>0</v>
      </c>
      <c r="BE23">
        <v>0</v>
      </c>
      <c r="BF23">
        <v>25151</v>
      </c>
      <c r="BG23">
        <v>1422</v>
      </c>
      <c r="BH23">
        <v>0.92100000000000004</v>
      </c>
      <c r="BI23" s="64">
        <v>38.07</v>
      </c>
      <c r="BJ23">
        <v>0</v>
      </c>
      <c r="BK23">
        <v>0</v>
      </c>
      <c r="BL23">
        <v>0</v>
      </c>
      <c r="BM23">
        <v>0</v>
      </c>
      <c r="BN23">
        <v>0</v>
      </c>
      <c r="BO23">
        <v>1</v>
      </c>
      <c r="BP23">
        <v>0</v>
      </c>
      <c r="BQ23" s="28">
        <v>1</v>
      </c>
      <c r="BR23">
        <v>0</v>
      </c>
      <c r="BS23">
        <v>0</v>
      </c>
      <c r="BT23" s="28">
        <v>0</v>
      </c>
      <c r="BU23">
        <v>0</v>
      </c>
      <c r="BV23">
        <v>0</v>
      </c>
      <c r="BW23">
        <v>0</v>
      </c>
      <c r="BX23">
        <v>0</v>
      </c>
      <c r="BY23">
        <v>0</v>
      </c>
      <c r="BZ23">
        <v>0</v>
      </c>
      <c r="CA23">
        <v>1</v>
      </c>
      <c r="CB23">
        <v>0</v>
      </c>
      <c r="CC23">
        <v>0</v>
      </c>
      <c r="CD23">
        <v>0</v>
      </c>
      <c r="CE23" s="16">
        <v>1</v>
      </c>
      <c r="CF23">
        <v>3.0920000000000001</v>
      </c>
      <c r="CG23">
        <v>908</v>
      </c>
      <c r="CH23">
        <v>1</v>
      </c>
      <c r="CI23">
        <v>0</v>
      </c>
      <c r="CJ23">
        <v>4</v>
      </c>
      <c r="CK23" t="s">
        <v>46</v>
      </c>
    </row>
    <row r="24" spans="1:89" x14ac:dyDescent="0.25">
      <c r="A24">
        <v>23</v>
      </c>
      <c r="B24">
        <v>2</v>
      </c>
      <c r="C24" t="s">
        <v>247</v>
      </c>
      <c r="D24" s="10">
        <v>8.4</v>
      </c>
      <c r="E24" s="6">
        <v>1.4</v>
      </c>
      <c r="F24" s="6">
        <f t="shared" si="0"/>
        <v>6.0000000000000009</v>
      </c>
      <c r="G24" s="7">
        <v>1</v>
      </c>
      <c r="H24" s="8">
        <v>0</v>
      </c>
      <c r="I24" s="8">
        <v>0</v>
      </c>
      <c r="J24" s="8">
        <v>0</v>
      </c>
      <c r="K24" s="8">
        <v>0</v>
      </c>
      <c r="L24" s="7">
        <v>298</v>
      </c>
      <c r="M24" s="8">
        <v>5</v>
      </c>
      <c r="N24" s="8">
        <f t="shared" si="1"/>
        <v>292</v>
      </c>
      <c r="O24" s="60">
        <f t="shared" si="2"/>
        <v>15</v>
      </c>
      <c r="P24" s="6">
        <v>14.11</v>
      </c>
      <c r="Q24" s="6">
        <f t="shared" ref="Q24:Q52" si="5">BI24-P24-6</f>
        <v>16.450000000000003</v>
      </c>
      <c r="R24" s="7">
        <v>1</v>
      </c>
      <c r="S24" s="8">
        <v>0</v>
      </c>
      <c r="T24" s="7">
        <v>1</v>
      </c>
      <c r="U24" s="8">
        <v>0</v>
      </c>
      <c r="V24" s="8">
        <v>0</v>
      </c>
      <c r="W24" s="21">
        <v>0</v>
      </c>
      <c r="X24" s="7">
        <v>0</v>
      </c>
      <c r="Y24" s="8">
        <v>1</v>
      </c>
      <c r="Z24" s="21">
        <v>0</v>
      </c>
      <c r="AA24" s="7">
        <v>1</v>
      </c>
      <c r="AB24" s="21">
        <v>0</v>
      </c>
      <c r="AC24" s="60">
        <v>1991</v>
      </c>
      <c r="AD24" t="s">
        <v>57</v>
      </c>
      <c r="AE24" t="s">
        <v>57</v>
      </c>
      <c r="AF24" t="s">
        <v>57</v>
      </c>
      <c r="AG24" t="s">
        <v>57</v>
      </c>
      <c r="AH24" s="28">
        <v>0.85</v>
      </c>
      <c r="AI24">
        <v>0.15</v>
      </c>
      <c r="AJ24" s="28">
        <v>0.46</v>
      </c>
      <c r="AK24">
        <v>0.54</v>
      </c>
      <c r="AL24" s="28">
        <v>0.94</v>
      </c>
      <c r="AM24" s="66">
        <v>0.06</v>
      </c>
      <c r="AN24">
        <v>0</v>
      </c>
      <c r="AO24">
        <v>1</v>
      </c>
      <c r="AP24" s="28">
        <v>0.45</v>
      </c>
      <c r="AQ24" s="12">
        <v>0.55000000000000004</v>
      </c>
      <c r="AR24" s="12">
        <v>1</v>
      </c>
      <c r="AS24" s="12">
        <v>0</v>
      </c>
      <c r="AT24" s="12">
        <v>0</v>
      </c>
      <c r="AU24" s="62" t="s">
        <v>87</v>
      </c>
      <c r="AV24">
        <v>1</v>
      </c>
      <c r="AW24">
        <v>0</v>
      </c>
      <c r="AX24">
        <v>0</v>
      </c>
      <c r="AY24">
        <v>0</v>
      </c>
      <c r="AZ24">
        <v>0</v>
      </c>
      <c r="BA24">
        <v>0</v>
      </c>
      <c r="BB24">
        <v>0</v>
      </c>
      <c r="BC24">
        <v>1</v>
      </c>
      <c r="BD24">
        <v>0</v>
      </c>
      <c r="BE24">
        <v>0</v>
      </c>
      <c r="BF24">
        <v>24597</v>
      </c>
      <c r="BG24">
        <v>1426</v>
      </c>
      <c r="BH24">
        <v>0.92100000000000004</v>
      </c>
      <c r="BI24" s="64">
        <v>36.56</v>
      </c>
      <c r="BJ24">
        <v>1</v>
      </c>
      <c r="BK24">
        <v>0</v>
      </c>
      <c r="BL24">
        <v>0</v>
      </c>
      <c r="BM24">
        <v>0</v>
      </c>
      <c r="BN24">
        <v>0</v>
      </c>
      <c r="BO24">
        <v>0</v>
      </c>
      <c r="BP24">
        <v>0</v>
      </c>
      <c r="BQ24" s="28">
        <v>0</v>
      </c>
      <c r="BR24">
        <v>0</v>
      </c>
      <c r="BS24">
        <v>0</v>
      </c>
      <c r="BT24" s="28">
        <v>1</v>
      </c>
      <c r="BU24">
        <v>1</v>
      </c>
      <c r="BV24">
        <v>0</v>
      </c>
      <c r="BW24">
        <v>0</v>
      </c>
      <c r="BX24">
        <v>1</v>
      </c>
      <c r="BY24">
        <v>0</v>
      </c>
      <c r="BZ24">
        <v>1</v>
      </c>
      <c r="CA24">
        <v>0</v>
      </c>
      <c r="CB24">
        <v>0</v>
      </c>
      <c r="CC24">
        <v>0</v>
      </c>
      <c r="CD24">
        <v>0</v>
      </c>
      <c r="CE24" s="16">
        <v>0</v>
      </c>
      <c r="CF24">
        <v>3.0070000000000001</v>
      </c>
      <c r="CG24">
        <v>1812</v>
      </c>
      <c r="CH24">
        <v>1</v>
      </c>
      <c r="CI24">
        <v>0</v>
      </c>
      <c r="CJ24">
        <v>0</v>
      </c>
      <c r="CK24" t="s">
        <v>46</v>
      </c>
    </row>
    <row r="25" spans="1:89" x14ac:dyDescent="0.25">
      <c r="A25">
        <v>24</v>
      </c>
      <c r="B25">
        <v>2</v>
      </c>
      <c r="C25" t="s">
        <v>247</v>
      </c>
      <c r="D25" s="10">
        <v>8.6999999999999993</v>
      </c>
      <c r="E25" s="6">
        <v>1.5</v>
      </c>
      <c r="F25" s="6">
        <f t="shared" si="0"/>
        <v>5.8</v>
      </c>
      <c r="G25" s="7">
        <v>1</v>
      </c>
      <c r="H25" s="8">
        <v>0</v>
      </c>
      <c r="I25" s="8">
        <v>0</v>
      </c>
      <c r="J25" s="8">
        <v>0</v>
      </c>
      <c r="K25" s="8">
        <v>0</v>
      </c>
      <c r="L25" s="7">
        <v>298</v>
      </c>
      <c r="M25" s="8">
        <v>5</v>
      </c>
      <c r="N25" s="8">
        <f t="shared" si="1"/>
        <v>292</v>
      </c>
      <c r="O25" s="60">
        <f t="shared" si="2"/>
        <v>15</v>
      </c>
      <c r="P25" s="6">
        <v>14.11</v>
      </c>
      <c r="Q25" s="6">
        <f t="shared" si="5"/>
        <v>16.450000000000003</v>
      </c>
      <c r="R25" s="7">
        <v>1</v>
      </c>
      <c r="S25" s="8">
        <v>0</v>
      </c>
      <c r="T25" s="7">
        <v>1</v>
      </c>
      <c r="U25" s="8">
        <v>0</v>
      </c>
      <c r="V25" s="8">
        <v>0</v>
      </c>
      <c r="W25" s="21">
        <v>0</v>
      </c>
      <c r="X25" s="7">
        <v>0</v>
      </c>
      <c r="Y25" s="8">
        <v>1</v>
      </c>
      <c r="Z25" s="21">
        <v>0</v>
      </c>
      <c r="AA25" s="7">
        <v>1</v>
      </c>
      <c r="AB25" s="21">
        <v>0</v>
      </c>
      <c r="AC25" s="60">
        <v>1991</v>
      </c>
      <c r="AD25" t="s">
        <v>57</v>
      </c>
      <c r="AE25" t="s">
        <v>57</v>
      </c>
      <c r="AF25" t="s">
        <v>57</v>
      </c>
      <c r="AG25" t="s">
        <v>57</v>
      </c>
      <c r="AH25" s="28">
        <v>0.85</v>
      </c>
      <c r="AI25">
        <v>0.15</v>
      </c>
      <c r="AJ25" s="28">
        <v>0.46</v>
      </c>
      <c r="AK25">
        <v>0.54</v>
      </c>
      <c r="AL25" s="28">
        <v>0.94</v>
      </c>
      <c r="AM25" s="66">
        <v>0.06</v>
      </c>
      <c r="AN25">
        <v>0</v>
      </c>
      <c r="AO25">
        <v>1</v>
      </c>
      <c r="AP25" s="28">
        <v>0.45</v>
      </c>
      <c r="AQ25" s="12">
        <v>0.55000000000000004</v>
      </c>
      <c r="AR25" s="12">
        <v>1</v>
      </c>
      <c r="AS25" s="12">
        <v>0</v>
      </c>
      <c r="AT25" s="12">
        <v>0</v>
      </c>
      <c r="AU25" s="62" t="s">
        <v>87</v>
      </c>
      <c r="AV25">
        <v>1</v>
      </c>
      <c r="AW25">
        <v>0</v>
      </c>
      <c r="AX25">
        <v>0</v>
      </c>
      <c r="AY25">
        <v>0</v>
      </c>
      <c r="AZ25">
        <v>0</v>
      </c>
      <c r="BA25">
        <v>0</v>
      </c>
      <c r="BB25">
        <v>0</v>
      </c>
      <c r="BC25">
        <v>1</v>
      </c>
      <c r="BD25">
        <v>0</v>
      </c>
      <c r="BE25">
        <v>0</v>
      </c>
      <c r="BF25">
        <v>24597</v>
      </c>
      <c r="BG25">
        <v>1426</v>
      </c>
      <c r="BH25">
        <v>0.92100000000000004</v>
      </c>
      <c r="BI25" s="64">
        <v>36.56</v>
      </c>
      <c r="BJ25">
        <v>0</v>
      </c>
      <c r="BK25">
        <v>1</v>
      </c>
      <c r="BL25">
        <v>0</v>
      </c>
      <c r="BM25">
        <v>0</v>
      </c>
      <c r="BN25">
        <v>0</v>
      </c>
      <c r="BO25">
        <v>0</v>
      </c>
      <c r="BP25">
        <v>0</v>
      </c>
      <c r="BQ25" s="28">
        <v>0</v>
      </c>
      <c r="BR25">
        <v>0</v>
      </c>
      <c r="BS25">
        <v>0</v>
      </c>
      <c r="BT25" s="28">
        <v>1</v>
      </c>
      <c r="BU25">
        <v>1</v>
      </c>
      <c r="BV25">
        <v>0</v>
      </c>
      <c r="BW25">
        <v>0</v>
      </c>
      <c r="BX25">
        <v>1</v>
      </c>
      <c r="BY25">
        <v>0</v>
      </c>
      <c r="BZ25">
        <v>1</v>
      </c>
      <c r="CA25">
        <v>0</v>
      </c>
      <c r="CB25">
        <v>0</v>
      </c>
      <c r="CC25">
        <v>0</v>
      </c>
      <c r="CD25">
        <v>0</v>
      </c>
      <c r="CE25" s="16">
        <v>0</v>
      </c>
      <c r="CF25">
        <v>3.0070000000000001</v>
      </c>
      <c r="CG25">
        <v>1812</v>
      </c>
      <c r="CH25">
        <v>1</v>
      </c>
      <c r="CI25">
        <v>0</v>
      </c>
      <c r="CJ25">
        <v>0</v>
      </c>
      <c r="CK25" t="s">
        <v>46</v>
      </c>
    </row>
    <row r="26" spans="1:89" x14ac:dyDescent="0.25">
      <c r="A26">
        <v>25</v>
      </c>
      <c r="B26">
        <v>2</v>
      </c>
      <c r="C26" t="s">
        <v>247</v>
      </c>
      <c r="D26" s="10">
        <v>8.8000000000000007</v>
      </c>
      <c r="E26" s="6">
        <v>1.5</v>
      </c>
      <c r="F26" s="6">
        <f t="shared" si="0"/>
        <v>5.8666666666666671</v>
      </c>
      <c r="G26" s="7">
        <v>1</v>
      </c>
      <c r="H26" s="8">
        <v>0</v>
      </c>
      <c r="I26" s="8">
        <v>0</v>
      </c>
      <c r="J26" s="8">
        <v>0</v>
      </c>
      <c r="K26" s="8">
        <v>0</v>
      </c>
      <c r="L26" s="7">
        <v>298</v>
      </c>
      <c r="M26" s="8">
        <v>6</v>
      </c>
      <c r="N26" s="8">
        <f t="shared" si="1"/>
        <v>291</v>
      </c>
      <c r="O26" s="60">
        <f t="shared" si="2"/>
        <v>15</v>
      </c>
      <c r="P26" s="6">
        <v>14.11</v>
      </c>
      <c r="Q26" s="6">
        <f t="shared" si="5"/>
        <v>16.450000000000003</v>
      </c>
      <c r="R26" s="7">
        <v>1</v>
      </c>
      <c r="S26" s="8">
        <v>0</v>
      </c>
      <c r="T26" s="7">
        <v>1</v>
      </c>
      <c r="U26" s="8">
        <v>0</v>
      </c>
      <c r="V26" s="8">
        <v>0</v>
      </c>
      <c r="W26" s="21">
        <v>0</v>
      </c>
      <c r="X26" s="7">
        <v>0</v>
      </c>
      <c r="Y26" s="8">
        <v>1</v>
      </c>
      <c r="Z26" s="21">
        <v>0</v>
      </c>
      <c r="AA26" s="7">
        <v>1</v>
      </c>
      <c r="AB26" s="21">
        <v>0</v>
      </c>
      <c r="AC26" s="60">
        <v>1991</v>
      </c>
      <c r="AD26" t="s">
        <v>57</v>
      </c>
      <c r="AE26" t="s">
        <v>57</v>
      </c>
      <c r="AF26" t="s">
        <v>57</v>
      </c>
      <c r="AG26" t="s">
        <v>57</v>
      </c>
      <c r="AH26" s="28">
        <v>0.85</v>
      </c>
      <c r="AI26">
        <v>0.15</v>
      </c>
      <c r="AJ26" s="28">
        <v>0.46</v>
      </c>
      <c r="AK26">
        <v>0.54</v>
      </c>
      <c r="AL26" s="28">
        <v>0.94</v>
      </c>
      <c r="AM26" s="66">
        <v>0.06</v>
      </c>
      <c r="AN26">
        <v>0</v>
      </c>
      <c r="AO26">
        <v>1</v>
      </c>
      <c r="AP26" s="28">
        <v>0.45</v>
      </c>
      <c r="AQ26" s="12">
        <v>0.55000000000000004</v>
      </c>
      <c r="AR26" s="12">
        <v>1</v>
      </c>
      <c r="AS26" s="12">
        <v>0</v>
      </c>
      <c r="AT26" s="12">
        <v>0</v>
      </c>
      <c r="AU26" s="62" t="s">
        <v>87</v>
      </c>
      <c r="AV26">
        <v>1</v>
      </c>
      <c r="AW26">
        <v>0</v>
      </c>
      <c r="AX26">
        <v>0</v>
      </c>
      <c r="AY26">
        <v>0</v>
      </c>
      <c r="AZ26">
        <v>0</v>
      </c>
      <c r="BA26">
        <v>0</v>
      </c>
      <c r="BB26">
        <v>0</v>
      </c>
      <c r="BC26">
        <v>1</v>
      </c>
      <c r="BD26">
        <v>0</v>
      </c>
      <c r="BE26">
        <v>0</v>
      </c>
      <c r="BF26">
        <v>24597</v>
      </c>
      <c r="BG26">
        <v>1426</v>
      </c>
      <c r="BH26">
        <v>0.92100000000000004</v>
      </c>
      <c r="BI26" s="64">
        <v>36.56</v>
      </c>
      <c r="BJ26">
        <v>0</v>
      </c>
      <c r="BK26">
        <v>1</v>
      </c>
      <c r="BL26">
        <v>0</v>
      </c>
      <c r="BM26">
        <v>0</v>
      </c>
      <c r="BN26">
        <v>0</v>
      </c>
      <c r="BO26">
        <v>0</v>
      </c>
      <c r="BP26">
        <v>0</v>
      </c>
      <c r="BQ26" s="28">
        <v>0</v>
      </c>
      <c r="BR26">
        <v>0</v>
      </c>
      <c r="BS26">
        <v>0</v>
      </c>
      <c r="BT26" s="28">
        <v>1</v>
      </c>
      <c r="BU26">
        <v>1</v>
      </c>
      <c r="BV26">
        <v>0</v>
      </c>
      <c r="BW26">
        <v>0</v>
      </c>
      <c r="BX26">
        <v>1</v>
      </c>
      <c r="BY26">
        <v>0</v>
      </c>
      <c r="BZ26">
        <v>1</v>
      </c>
      <c r="CA26">
        <v>0</v>
      </c>
      <c r="CB26">
        <v>0</v>
      </c>
      <c r="CC26">
        <v>0</v>
      </c>
      <c r="CD26">
        <v>0</v>
      </c>
      <c r="CE26" s="16">
        <v>0</v>
      </c>
      <c r="CF26">
        <v>3.0070000000000001</v>
      </c>
      <c r="CG26">
        <v>1812</v>
      </c>
      <c r="CH26">
        <v>1</v>
      </c>
      <c r="CI26">
        <v>0</v>
      </c>
      <c r="CJ26">
        <v>0</v>
      </c>
      <c r="CK26" t="s">
        <v>46</v>
      </c>
    </row>
    <row r="27" spans="1:89" x14ac:dyDescent="0.25">
      <c r="A27">
        <v>26</v>
      </c>
      <c r="B27">
        <v>2</v>
      </c>
      <c r="C27" t="s">
        <v>247</v>
      </c>
      <c r="D27" s="10">
        <v>11.6</v>
      </c>
      <c r="E27" s="6">
        <v>3</v>
      </c>
      <c r="F27" s="6">
        <f t="shared" si="0"/>
        <v>3.8666666666666667</v>
      </c>
      <c r="G27" s="7">
        <v>1</v>
      </c>
      <c r="H27" s="8">
        <v>0</v>
      </c>
      <c r="I27" s="8">
        <v>0</v>
      </c>
      <c r="J27" s="8">
        <v>0</v>
      </c>
      <c r="K27" s="8">
        <v>0</v>
      </c>
      <c r="L27" s="7">
        <v>298</v>
      </c>
      <c r="M27" s="8">
        <v>6</v>
      </c>
      <c r="N27" s="8">
        <f t="shared" si="1"/>
        <v>291</v>
      </c>
      <c r="O27" s="60">
        <f t="shared" si="2"/>
        <v>15</v>
      </c>
      <c r="P27" s="6">
        <v>14.11</v>
      </c>
      <c r="Q27" s="6">
        <f t="shared" si="5"/>
        <v>16.450000000000003</v>
      </c>
      <c r="R27" s="7">
        <v>1</v>
      </c>
      <c r="S27" s="8">
        <v>0</v>
      </c>
      <c r="T27" s="7">
        <v>1</v>
      </c>
      <c r="U27" s="8">
        <v>0</v>
      </c>
      <c r="V27" s="8">
        <v>0</v>
      </c>
      <c r="W27" s="21">
        <v>0</v>
      </c>
      <c r="X27" s="7">
        <v>0</v>
      </c>
      <c r="Y27" s="8">
        <v>1</v>
      </c>
      <c r="Z27" s="21">
        <v>0</v>
      </c>
      <c r="AA27" s="7">
        <v>1</v>
      </c>
      <c r="AB27" s="21">
        <v>0</v>
      </c>
      <c r="AC27" s="60">
        <v>1991</v>
      </c>
      <c r="AD27" t="s">
        <v>57</v>
      </c>
      <c r="AE27" t="s">
        <v>57</v>
      </c>
      <c r="AF27" t="s">
        <v>57</v>
      </c>
      <c r="AG27" t="s">
        <v>57</v>
      </c>
      <c r="AH27" s="28">
        <v>0.85</v>
      </c>
      <c r="AI27">
        <v>0.15</v>
      </c>
      <c r="AJ27" s="28">
        <v>0.46</v>
      </c>
      <c r="AK27">
        <v>0.54</v>
      </c>
      <c r="AL27" s="28">
        <v>0.94</v>
      </c>
      <c r="AM27" s="66">
        <v>0.06</v>
      </c>
      <c r="AN27">
        <v>0</v>
      </c>
      <c r="AO27">
        <v>1</v>
      </c>
      <c r="AP27" s="28">
        <v>0.45</v>
      </c>
      <c r="AQ27" s="12">
        <v>0.55000000000000004</v>
      </c>
      <c r="AR27" s="12">
        <v>1</v>
      </c>
      <c r="AS27" s="12">
        <v>0</v>
      </c>
      <c r="AT27" s="12">
        <v>0</v>
      </c>
      <c r="AU27" s="62" t="s">
        <v>87</v>
      </c>
      <c r="AV27">
        <v>1</v>
      </c>
      <c r="AW27">
        <v>0</v>
      </c>
      <c r="AX27">
        <v>0</v>
      </c>
      <c r="AY27">
        <v>0</v>
      </c>
      <c r="AZ27">
        <v>0</v>
      </c>
      <c r="BA27">
        <v>0</v>
      </c>
      <c r="BB27">
        <v>0</v>
      </c>
      <c r="BC27">
        <v>1</v>
      </c>
      <c r="BD27">
        <v>0</v>
      </c>
      <c r="BE27">
        <v>0</v>
      </c>
      <c r="BF27">
        <v>24597</v>
      </c>
      <c r="BG27">
        <v>1426</v>
      </c>
      <c r="BH27">
        <v>0.92100000000000004</v>
      </c>
      <c r="BI27" s="64">
        <v>36.56</v>
      </c>
      <c r="BJ27">
        <v>0</v>
      </c>
      <c r="BK27">
        <v>0</v>
      </c>
      <c r="BL27">
        <v>0</v>
      </c>
      <c r="BM27">
        <v>0</v>
      </c>
      <c r="BN27">
        <v>0</v>
      </c>
      <c r="BO27">
        <v>0</v>
      </c>
      <c r="BP27">
        <v>1</v>
      </c>
      <c r="BQ27" s="28">
        <v>1</v>
      </c>
      <c r="BR27">
        <v>0</v>
      </c>
      <c r="BS27">
        <v>0</v>
      </c>
      <c r="BT27" s="28">
        <v>1</v>
      </c>
      <c r="BU27">
        <v>1</v>
      </c>
      <c r="BV27">
        <v>0</v>
      </c>
      <c r="BW27">
        <v>0</v>
      </c>
      <c r="BX27">
        <v>1</v>
      </c>
      <c r="BY27">
        <v>0</v>
      </c>
      <c r="BZ27">
        <v>1</v>
      </c>
      <c r="CA27">
        <v>0</v>
      </c>
      <c r="CB27">
        <v>0</v>
      </c>
      <c r="CC27">
        <v>0</v>
      </c>
      <c r="CD27">
        <v>0</v>
      </c>
      <c r="CE27" s="16">
        <v>0</v>
      </c>
      <c r="CF27">
        <v>3.0070000000000001</v>
      </c>
      <c r="CG27">
        <v>1812</v>
      </c>
      <c r="CH27">
        <v>1</v>
      </c>
      <c r="CI27">
        <v>0</v>
      </c>
      <c r="CJ27">
        <v>0</v>
      </c>
      <c r="CK27" t="s">
        <v>46</v>
      </c>
    </row>
    <row r="28" spans="1:89" x14ac:dyDescent="0.25">
      <c r="A28">
        <v>27</v>
      </c>
      <c r="B28">
        <v>2</v>
      </c>
      <c r="C28" t="s">
        <v>247</v>
      </c>
      <c r="D28" s="10">
        <v>9.1999999999999993</v>
      </c>
      <c r="E28" s="6">
        <v>2.4</v>
      </c>
      <c r="F28" s="6">
        <f t="shared" si="0"/>
        <v>3.833333333333333</v>
      </c>
      <c r="G28" s="7">
        <v>1</v>
      </c>
      <c r="H28" s="8">
        <v>0</v>
      </c>
      <c r="I28" s="8">
        <v>0</v>
      </c>
      <c r="J28" s="8">
        <v>0</v>
      </c>
      <c r="K28" s="8">
        <v>0</v>
      </c>
      <c r="L28" s="7">
        <v>149</v>
      </c>
      <c r="M28" s="8">
        <v>1</v>
      </c>
      <c r="N28" s="8">
        <f t="shared" si="1"/>
        <v>147</v>
      </c>
      <c r="O28" s="60">
        <f t="shared" si="2"/>
        <v>15</v>
      </c>
      <c r="P28" s="6">
        <v>14.11</v>
      </c>
      <c r="Q28" s="6">
        <f t="shared" si="5"/>
        <v>16.450000000000003</v>
      </c>
      <c r="R28" s="7">
        <v>1</v>
      </c>
      <c r="S28" s="8">
        <v>0</v>
      </c>
      <c r="T28" s="7">
        <v>1</v>
      </c>
      <c r="U28" s="8">
        <v>0</v>
      </c>
      <c r="V28" s="8">
        <v>0</v>
      </c>
      <c r="W28" s="21">
        <v>0</v>
      </c>
      <c r="X28" s="7">
        <v>0</v>
      </c>
      <c r="Y28" s="8">
        <v>1</v>
      </c>
      <c r="Z28" s="21">
        <v>0</v>
      </c>
      <c r="AA28" s="7">
        <v>1</v>
      </c>
      <c r="AB28" s="21">
        <v>0</v>
      </c>
      <c r="AC28" s="60">
        <v>1991</v>
      </c>
      <c r="AD28" t="s">
        <v>57</v>
      </c>
      <c r="AE28" t="s">
        <v>57</v>
      </c>
      <c r="AF28" t="s">
        <v>57</v>
      </c>
      <c r="AG28" t="s">
        <v>57</v>
      </c>
      <c r="AH28" s="28">
        <v>0.85</v>
      </c>
      <c r="AI28">
        <v>0.15</v>
      </c>
      <c r="AJ28" s="28">
        <v>0.46</v>
      </c>
      <c r="AK28">
        <v>0.54</v>
      </c>
      <c r="AL28" s="28">
        <v>0.94</v>
      </c>
      <c r="AM28" s="66">
        <v>0.06</v>
      </c>
      <c r="AN28">
        <v>0</v>
      </c>
      <c r="AO28">
        <v>1</v>
      </c>
      <c r="AP28" s="28">
        <v>0.45</v>
      </c>
      <c r="AQ28" s="12">
        <v>0.55000000000000004</v>
      </c>
      <c r="AR28" s="12">
        <v>1</v>
      </c>
      <c r="AS28" s="12">
        <v>0</v>
      </c>
      <c r="AT28" s="12">
        <v>0</v>
      </c>
      <c r="AU28" s="62" t="s">
        <v>87</v>
      </c>
      <c r="AV28">
        <v>1</v>
      </c>
      <c r="AW28">
        <v>0</v>
      </c>
      <c r="AX28">
        <v>0</v>
      </c>
      <c r="AY28">
        <v>0</v>
      </c>
      <c r="AZ28">
        <v>0</v>
      </c>
      <c r="BA28">
        <v>0</v>
      </c>
      <c r="BB28">
        <v>0</v>
      </c>
      <c r="BC28">
        <v>1</v>
      </c>
      <c r="BD28">
        <v>0</v>
      </c>
      <c r="BE28">
        <v>0</v>
      </c>
      <c r="BF28">
        <v>24597</v>
      </c>
      <c r="BG28">
        <v>1426</v>
      </c>
      <c r="BH28">
        <v>0.92100000000000004</v>
      </c>
      <c r="BI28" s="64">
        <v>36.56</v>
      </c>
      <c r="BJ28">
        <v>0</v>
      </c>
      <c r="BK28">
        <v>0</v>
      </c>
      <c r="BL28">
        <v>0</v>
      </c>
      <c r="BM28">
        <v>0</v>
      </c>
      <c r="BN28">
        <v>1</v>
      </c>
      <c r="BO28">
        <v>0</v>
      </c>
      <c r="BP28">
        <v>0</v>
      </c>
      <c r="BQ28" s="28">
        <v>0</v>
      </c>
      <c r="BR28">
        <v>0</v>
      </c>
      <c r="BS28">
        <v>0</v>
      </c>
      <c r="BT28" s="28">
        <v>0</v>
      </c>
      <c r="BU28">
        <v>0</v>
      </c>
      <c r="BV28">
        <v>0</v>
      </c>
      <c r="BW28">
        <v>0</v>
      </c>
      <c r="BX28">
        <v>0</v>
      </c>
      <c r="BY28">
        <v>0</v>
      </c>
      <c r="BZ28">
        <v>0</v>
      </c>
      <c r="CA28">
        <v>0</v>
      </c>
      <c r="CB28">
        <v>0</v>
      </c>
      <c r="CC28">
        <v>0</v>
      </c>
      <c r="CD28">
        <v>0</v>
      </c>
      <c r="CE28" s="16">
        <v>0</v>
      </c>
      <c r="CF28">
        <v>3.0070000000000001</v>
      </c>
      <c r="CG28">
        <v>1812</v>
      </c>
      <c r="CH28">
        <v>1</v>
      </c>
      <c r="CI28">
        <v>0</v>
      </c>
      <c r="CJ28">
        <v>0</v>
      </c>
      <c r="CK28" t="s">
        <v>46</v>
      </c>
    </row>
    <row r="29" spans="1:89" x14ac:dyDescent="0.25">
      <c r="A29">
        <v>28</v>
      </c>
      <c r="B29">
        <v>2</v>
      </c>
      <c r="C29" t="s">
        <v>247</v>
      </c>
      <c r="D29" s="10">
        <v>16.7</v>
      </c>
      <c r="E29" s="6">
        <v>4.3</v>
      </c>
      <c r="F29" s="6">
        <f t="shared" si="0"/>
        <v>3.8837209302325579</v>
      </c>
      <c r="G29" s="7">
        <v>1</v>
      </c>
      <c r="H29" s="8">
        <v>0</v>
      </c>
      <c r="I29" s="8">
        <v>0</v>
      </c>
      <c r="J29" s="8">
        <v>0</v>
      </c>
      <c r="K29" s="8">
        <v>0</v>
      </c>
      <c r="L29" s="7">
        <v>149</v>
      </c>
      <c r="M29" s="8">
        <v>1</v>
      </c>
      <c r="N29" s="8">
        <f t="shared" si="1"/>
        <v>147</v>
      </c>
      <c r="O29" s="60">
        <f t="shared" si="2"/>
        <v>15</v>
      </c>
      <c r="P29" s="6">
        <v>14.11</v>
      </c>
      <c r="Q29" s="6">
        <f t="shared" si="5"/>
        <v>16.450000000000003</v>
      </c>
      <c r="R29" s="7">
        <v>1</v>
      </c>
      <c r="S29" s="8">
        <v>0</v>
      </c>
      <c r="T29" s="7">
        <v>1</v>
      </c>
      <c r="U29" s="8">
        <v>0</v>
      </c>
      <c r="V29" s="8">
        <v>0</v>
      </c>
      <c r="W29" s="21">
        <v>0</v>
      </c>
      <c r="X29" s="7">
        <v>0</v>
      </c>
      <c r="Y29" s="8">
        <v>1</v>
      </c>
      <c r="Z29" s="21">
        <v>0</v>
      </c>
      <c r="AA29" s="7">
        <v>1</v>
      </c>
      <c r="AB29" s="21">
        <v>0</v>
      </c>
      <c r="AC29" s="60">
        <v>1991</v>
      </c>
      <c r="AD29" t="s">
        <v>57</v>
      </c>
      <c r="AE29" t="s">
        <v>57</v>
      </c>
      <c r="AF29" t="s">
        <v>57</v>
      </c>
      <c r="AG29" t="s">
        <v>57</v>
      </c>
      <c r="AH29" s="28">
        <v>0.85</v>
      </c>
      <c r="AI29">
        <v>0.15</v>
      </c>
      <c r="AJ29" s="28">
        <v>0.46</v>
      </c>
      <c r="AK29">
        <v>0.54</v>
      </c>
      <c r="AL29" s="28">
        <v>0.94</v>
      </c>
      <c r="AM29" s="66">
        <v>0.06</v>
      </c>
      <c r="AN29">
        <v>0</v>
      </c>
      <c r="AO29">
        <v>1</v>
      </c>
      <c r="AP29" s="28">
        <v>0.45</v>
      </c>
      <c r="AQ29" s="12">
        <v>0.55000000000000004</v>
      </c>
      <c r="AR29" s="12">
        <v>1</v>
      </c>
      <c r="AS29" s="12">
        <v>0</v>
      </c>
      <c r="AT29" s="12">
        <v>0</v>
      </c>
      <c r="AU29" s="62" t="s">
        <v>87</v>
      </c>
      <c r="AV29">
        <v>1</v>
      </c>
      <c r="AW29">
        <v>0</v>
      </c>
      <c r="AX29">
        <v>0</v>
      </c>
      <c r="AY29">
        <v>0</v>
      </c>
      <c r="AZ29">
        <v>0</v>
      </c>
      <c r="BA29">
        <v>0</v>
      </c>
      <c r="BB29">
        <v>0</v>
      </c>
      <c r="BC29">
        <v>1</v>
      </c>
      <c r="BD29">
        <v>0</v>
      </c>
      <c r="BE29">
        <v>0</v>
      </c>
      <c r="BF29">
        <v>24597</v>
      </c>
      <c r="BG29">
        <v>1426</v>
      </c>
      <c r="BH29">
        <v>0.92100000000000004</v>
      </c>
      <c r="BI29" s="64">
        <v>36.56</v>
      </c>
      <c r="BJ29">
        <v>0</v>
      </c>
      <c r="BK29">
        <v>0</v>
      </c>
      <c r="BL29">
        <v>0</v>
      </c>
      <c r="BM29">
        <v>0</v>
      </c>
      <c r="BN29">
        <v>0</v>
      </c>
      <c r="BO29">
        <v>1</v>
      </c>
      <c r="BP29">
        <v>0</v>
      </c>
      <c r="BQ29" s="28">
        <v>1</v>
      </c>
      <c r="BR29">
        <v>0</v>
      </c>
      <c r="BS29">
        <v>0</v>
      </c>
      <c r="BT29" s="28">
        <v>0</v>
      </c>
      <c r="BU29">
        <v>0</v>
      </c>
      <c r="BV29">
        <v>0</v>
      </c>
      <c r="BW29">
        <v>0</v>
      </c>
      <c r="BX29">
        <v>0</v>
      </c>
      <c r="BY29">
        <v>0</v>
      </c>
      <c r="BZ29">
        <v>0</v>
      </c>
      <c r="CA29">
        <v>0</v>
      </c>
      <c r="CB29">
        <v>0</v>
      </c>
      <c r="CC29">
        <v>0</v>
      </c>
      <c r="CD29">
        <v>0</v>
      </c>
      <c r="CE29" s="16">
        <v>0</v>
      </c>
      <c r="CF29">
        <v>3.0070000000000001</v>
      </c>
      <c r="CG29">
        <v>1812</v>
      </c>
      <c r="CH29">
        <v>1</v>
      </c>
      <c r="CI29">
        <v>0</v>
      </c>
      <c r="CJ29">
        <v>0</v>
      </c>
      <c r="CK29" t="s">
        <v>46</v>
      </c>
    </row>
    <row r="30" spans="1:89" x14ac:dyDescent="0.25">
      <c r="A30">
        <v>29</v>
      </c>
      <c r="B30">
        <v>2</v>
      </c>
      <c r="C30" t="s">
        <v>247</v>
      </c>
      <c r="D30" s="10">
        <v>8.6999999999999993</v>
      </c>
      <c r="E30" s="6">
        <v>1.5</v>
      </c>
      <c r="F30" s="6">
        <f t="shared" si="0"/>
        <v>5.8</v>
      </c>
      <c r="G30" s="7">
        <v>1</v>
      </c>
      <c r="H30" s="8">
        <v>0</v>
      </c>
      <c r="I30" s="8">
        <v>0</v>
      </c>
      <c r="J30" s="8">
        <v>0</v>
      </c>
      <c r="K30" s="8">
        <v>0</v>
      </c>
      <c r="L30" s="7">
        <v>298</v>
      </c>
      <c r="M30" s="8">
        <v>5</v>
      </c>
      <c r="N30" s="8">
        <f t="shared" si="1"/>
        <v>292</v>
      </c>
      <c r="O30" s="60">
        <f t="shared" si="2"/>
        <v>15</v>
      </c>
      <c r="P30" s="6">
        <v>14.11</v>
      </c>
      <c r="Q30" s="6">
        <f t="shared" si="5"/>
        <v>16.450000000000003</v>
      </c>
      <c r="R30" s="7">
        <v>1</v>
      </c>
      <c r="S30" s="8">
        <v>0</v>
      </c>
      <c r="T30" s="7">
        <v>1</v>
      </c>
      <c r="U30" s="8">
        <v>0</v>
      </c>
      <c r="V30" s="8">
        <v>0</v>
      </c>
      <c r="W30" s="21">
        <v>0</v>
      </c>
      <c r="X30" s="7">
        <v>0</v>
      </c>
      <c r="Y30" s="8">
        <v>1</v>
      </c>
      <c r="Z30" s="21">
        <v>0</v>
      </c>
      <c r="AA30" s="7">
        <v>1</v>
      </c>
      <c r="AB30" s="21">
        <v>0</v>
      </c>
      <c r="AC30" s="60">
        <v>1991</v>
      </c>
      <c r="AD30" t="s">
        <v>57</v>
      </c>
      <c r="AE30" t="s">
        <v>57</v>
      </c>
      <c r="AF30" t="s">
        <v>57</v>
      </c>
      <c r="AG30" t="s">
        <v>57</v>
      </c>
      <c r="AH30" s="28">
        <v>0.85</v>
      </c>
      <c r="AI30">
        <v>0.15</v>
      </c>
      <c r="AJ30" s="28">
        <v>0.46</v>
      </c>
      <c r="AK30">
        <v>0.54</v>
      </c>
      <c r="AL30" s="28">
        <v>0.94</v>
      </c>
      <c r="AM30" s="66">
        <v>0.06</v>
      </c>
      <c r="AN30">
        <v>0</v>
      </c>
      <c r="AO30">
        <v>1</v>
      </c>
      <c r="AP30" s="28">
        <v>0.45</v>
      </c>
      <c r="AQ30" s="12">
        <v>0.55000000000000004</v>
      </c>
      <c r="AR30" s="12">
        <v>1</v>
      </c>
      <c r="AS30" s="12">
        <v>0</v>
      </c>
      <c r="AT30" s="12">
        <v>0</v>
      </c>
      <c r="AU30" s="62" t="s">
        <v>87</v>
      </c>
      <c r="AV30">
        <v>1</v>
      </c>
      <c r="AW30">
        <v>0</v>
      </c>
      <c r="AX30">
        <v>0</v>
      </c>
      <c r="AY30">
        <v>0</v>
      </c>
      <c r="AZ30">
        <v>0</v>
      </c>
      <c r="BA30">
        <v>0</v>
      </c>
      <c r="BB30">
        <v>0</v>
      </c>
      <c r="BC30">
        <v>1</v>
      </c>
      <c r="BD30">
        <v>0</v>
      </c>
      <c r="BE30">
        <v>0</v>
      </c>
      <c r="BF30">
        <v>24597</v>
      </c>
      <c r="BG30">
        <v>1426</v>
      </c>
      <c r="BH30">
        <v>0.92100000000000004</v>
      </c>
      <c r="BI30" s="64">
        <v>36.56</v>
      </c>
      <c r="BJ30">
        <v>1</v>
      </c>
      <c r="BK30">
        <v>0</v>
      </c>
      <c r="BL30">
        <v>0</v>
      </c>
      <c r="BM30">
        <v>0</v>
      </c>
      <c r="BN30">
        <v>0</v>
      </c>
      <c r="BO30">
        <v>0</v>
      </c>
      <c r="BP30">
        <v>0</v>
      </c>
      <c r="BQ30" s="28">
        <v>0</v>
      </c>
      <c r="BR30">
        <v>0</v>
      </c>
      <c r="BS30">
        <v>0</v>
      </c>
      <c r="BT30" s="28">
        <v>1</v>
      </c>
      <c r="BU30">
        <v>1</v>
      </c>
      <c r="BV30">
        <v>0</v>
      </c>
      <c r="BW30">
        <v>0</v>
      </c>
      <c r="BX30">
        <v>1</v>
      </c>
      <c r="BY30">
        <v>0</v>
      </c>
      <c r="BZ30">
        <v>1</v>
      </c>
      <c r="CA30">
        <v>0</v>
      </c>
      <c r="CB30">
        <v>0</v>
      </c>
      <c r="CC30">
        <v>0</v>
      </c>
      <c r="CD30">
        <v>0</v>
      </c>
      <c r="CE30" s="16">
        <v>0</v>
      </c>
      <c r="CF30">
        <v>3.0070000000000001</v>
      </c>
      <c r="CG30">
        <v>1812</v>
      </c>
      <c r="CH30">
        <v>1</v>
      </c>
      <c r="CI30">
        <v>0</v>
      </c>
      <c r="CJ30">
        <v>0</v>
      </c>
      <c r="CK30" t="s">
        <v>46</v>
      </c>
    </row>
    <row r="31" spans="1:89" x14ac:dyDescent="0.25">
      <c r="A31">
        <v>30</v>
      </c>
      <c r="B31">
        <v>2</v>
      </c>
      <c r="C31" t="s">
        <v>247</v>
      </c>
      <c r="D31" s="10">
        <v>9.4</v>
      </c>
      <c r="E31" s="6">
        <v>1.6</v>
      </c>
      <c r="F31" s="6">
        <f t="shared" si="0"/>
        <v>5.875</v>
      </c>
      <c r="G31" s="7">
        <v>1</v>
      </c>
      <c r="H31" s="8">
        <v>0</v>
      </c>
      <c r="I31" s="8">
        <v>0</v>
      </c>
      <c r="J31" s="8">
        <v>0</v>
      </c>
      <c r="K31" s="8">
        <v>0</v>
      </c>
      <c r="L31" s="7">
        <v>298</v>
      </c>
      <c r="M31" s="8">
        <v>5</v>
      </c>
      <c r="N31" s="8">
        <f t="shared" si="1"/>
        <v>292</v>
      </c>
      <c r="O31" s="60">
        <f t="shared" si="2"/>
        <v>15</v>
      </c>
      <c r="P31" s="6">
        <v>14.11</v>
      </c>
      <c r="Q31" s="6">
        <f t="shared" si="5"/>
        <v>16.450000000000003</v>
      </c>
      <c r="R31" s="7">
        <v>1</v>
      </c>
      <c r="S31" s="8">
        <v>0</v>
      </c>
      <c r="T31" s="7">
        <v>1</v>
      </c>
      <c r="U31" s="8">
        <v>0</v>
      </c>
      <c r="V31" s="8">
        <v>0</v>
      </c>
      <c r="W31" s="21">
        <v>0</v>
      </c>
      <c r="X31" s="7">
        <v>0</v>
      </c>
      <c r="Y31" s="8">
        <v>1</v>
      </c>
      <c r="Z31" s="21">
        <v>0</v>
      </c>
      <c r="AA31" s="7">
        <v>1</v>
      </c>
      <c r="AB31" s="21">
        <v>0</v>
      </c>
      <c r="AC31" s="60">
        <v>1991</v>
      </c>
      <c r="AD31" t="s">
        <v>57</v>
      </c>
      <c r="AE31" t="s">
        <v>57</v>
      </c>
      <c r="AF31" t="s">
        <v>57</v>
      </c>
      <c r="AG31" t="s">
        <v>57</v>
      </c>
      <c r="AH31" s="28">
        <v>0.85</v>
      </c>
      <c r="AI31">
        <v>0.15</v>
      </c>
      <c r="AJ31" s="28">
        <v>0.46</v>
      </c>
      <c r="AK31">
        <v>0.54</v>
      </c>
      <c r="AL31" s="28">
        <v>0.94</v>
      </c>
      <c r="AM31" s="66">
        <v>0.06</v>
      </c>
      <c r="AN31">
        <v>0</v>
      </c>
      <c r="AO31">
        <v>1</v>
      </c>
      <c r="AP31" s="28">
        <v>0.45</v>
      </c>
      <c r="AQ31" s="12">
        <v>0.55000000000000004</v>
      </c>
      <c r="AR31" s="12">
        <v>1</v>
      </c>
      <c r="AS31" s="12">
        <v>0</v>
      </c>
      <c r="AT31" s="12">
        <v>0</v>
      </c>
      <c r="AU31" s="62" t="s">
        <v>87</v>
      </c>
      <c r="AV31">
        <v>1</v>
      </c>
      <c r="AW31">
        <v>0</v>
      </c>
      <c r="AX31">
        <v>0</v>
      </c>
      <c r="AY31">
        <v>0</v>
      </c>
      <c r="AZ31">
        <v>0</v>
      </c>
      <c r="BA31">
        <v>0</v>
      </c>
      <c r="BB31">
        <v>0</v>
      </c>
      <c r="BC31">
        <v>1</v>
      </c>
      <c r="BD31">
        <v>0</v>
      </c>
      <c r="BE31">
        <v>0</v>
      </c>
      <c r="BF31">
        <v>24597</v>
      </c>
      <c r="BG31">
        <v>1426</v>
      </c>
      <c r="BH31">
        <v>0.92100000000000004</v>
      </c>
      <c r="BI31" s="64">
        <v>36.56</v>
      </c>
      <c r="BJ31">
        <v>0</v>
      </c>
      <c r="BK31">
        <v>1</v>
      </c>
      <c r="BL31">
        <v>0</v>
      </c>
      <c r="BM31">
        <v>0</v>
      </c>
      <c r="BN31">
        <v>0</v>
      </c>
      <c r="BO31">
        <v>0</v>
      </c>
      <c r="BP31">
        <v>0</v>
      </c>
      <c r="BQ31" s="28">
        <v>0</v>
      </c>
      <c r="BR31">
        <v>0</v>
      </c>
      <c r="BS31">
        <v>0</v>
      </c>
      <c r="BT31" s="28">
        <v>1</v>
      </c>
      <c r="BU31">
        <v>1</v>
      </c>
      <c r="BV31">
        <v>0</v>
      </c>
      <c r="BW31">
        <v>0</v>
      </c>
      <c r="BX31">
        <v>1</v>
      </c>
      <c r="BY31">
        <v>0</v>
      </c>
      <c r="BZ31">
        <v>1</v>
      </c>
      <c r="CA31">
        <v>0</v>
      </c>
      <c r="CB31">
        <v>0</v>
      </c>
      <c r="CC31">
        <v>0</v>
      </c>
      <c r="CD31">
        <v>0</v>
      </c>
      <c r="CE31" s="16">
        <v>0</v>
      </c>
      <c r="CF31">
        <v>3.0070000000000001</v>
      </c>
      <c r="CG31">
        <v>1812</v>
      </c>
      <c r="CH31">
        <v>1</v>
      </c>
      <c r="CI31">
        <v>0</v>
      </c>
      <c r="CJ31">
        <v>0</v>
      </c>
      <c r="CK31" t="s">
        <v>46</v>
      </c>
    </row>
    <row r="32" spans="1:89" x14ac:dyDescent="0.25">
      <c r="A32">
        <v>31</v>
      </c>
      <c r="B32">
        <v>2</v>
      </c>
      <c r="C32" t="s">
        <v>247</v>
      </c>
      <c r="D32" s="10">
        <v>9.8000000000000007</v>
      </c>
      <c r="E32" s="6">
        <v>1.6</v>
      </c>
      <c r="F32" s="6">
        <f t="shared" si="0"/>
        <v>6.125</v>
      </c>
      <c r="G32" s="7">
        <v>1</v>
      </c>
      <c r="H32" s="8">
        <v>0</v>
      </c>
      <c r="I32" s="8">
        <v>0</v>
      </c>
      <c r="J32" s="8">
        <v>0</v>
      </c>
      <c r="K32" s="8">
        <v>0</v>
      </c>
      <c r="L32" s="7">
        <v>298</v>
      </c>
      <c r="M32" s="8">
        <v>6</v>
      </c>
      <c r="N32" s="8">
        <f t="shared" si="1"/>
        <v>291</v>
      </c>
      <c r="O32" s="60">
        <f t="shared" si="2"/>
        <v>15</v>
      </c>
      <c r="P32" s="6">
        <v>14.11</v>
      </c>
      <c r="Q32" s="6">
        <f t="shared" si="5"/>
        <v>16.450000000000003</v>
      </c>
      <c r="R32" s="7">
        <v>1</v>
      </c>
      <c r="S32" s="8">
        <v>0</v>
      </c>
      <c r="T32" s="7">
        <v>1</v>
      </c>
      <c r="U32" s="8">
        <v>0</v>
      </c>
      <c r="V32" s="8">
        <v>0</v>
      </c>
      <c r="W32" s="21">
        <v>0</v>
      </c>
      <c r="X32" s="7">
        <v>0</v>
      </c>
      <c r="Y32" s="8">
        <v>1</v>
      </c>
      <c r="Z32" s="21">
        <v>0</v>
      </c>
      <c r="AA32" s="7">
        <v>1</v>
      </c>
      <c r="AB32" s="21">
        <v>0</v>
      </c>
      <c r="AC32" s="60">
        <v>1991</v>
      </c>
      <c r="AD32" t="s">
        <v>57</v>
      </c>
      <c r="AE32" t="s">
        <v>57</v>
      </c>
      <c r="AF32" t="s">
        <v>57</v>
      </c>
      <c r="AG32" t="s">
        <v>57</v>
      </c>
      <c r="AH32" s="28">
        <v>0.85</v>
      </c>
      <c r="AI32">
        <v>0.15</v>
      </c>
      <c r="AJ32" s="28">
        <v>0.46</v>
      </c>
      <c r="AK32">
        <v>0.54</v>
      </c>
      <c r="AL32" s="28">
        <v>0.94</v>
      </c>
      <c r="AM32" s="66">
        <v>0.06</v>
      </c>
      <c r="AN32">
        <v>0</v>
      </c>
      <c r="AO32">
        <v>1</v>
      </c>
      <c r="AP32" s="28">
        <v>0.45</v>
      </c>
      <c r="AQ32" s="12">
        <v>0.55000000000000004</v>
      </c>
      <c r="AR32" s="12">
        <v>1</v>
      </c>
      <c r="AS32" s="12">
        <v>0</v>
      </c>
      <c r="AT32" s="12">
        <v>0</v>
      </c>
      <c r="AU32" s="62" t="s">
        <v>87</v>
      </c>
      <c r="AV32">
        <v>1</v>
      </c>
      <c r="AW32">
        <v>0</v>
      </c>
      <c r="AX32">
        <v>0</v>
      </c>
      <c r="AY32">
        <v>0</v>
      </c>
      <c r="AZ32">
        <v>0</v>
      </c>
      <c r="BA32">
        <v>0</v>
      </c>
      <c r="BB32">
        <v>0</v>
      </c>
      <c r="BC32">
        <v>1</v>
      </c>
      <c r="BD32">
        <v>0</v>
      </c>
      <c r="BE32">
        <v>0</v>
      </c>
      <c r="BF32">
        <v>24597</v>
      </c>
      <c r="BG32">
        <v>1426</v>
      </c>
      <c r="BH32">
        <v>0.92100000000000004</v>
      </c>
      <c r="BI32" s="64">
        <v>36.56</v>
      </c>
      <c r="BJ32">
        <v>0</v>
      </c>
      <c r="BK32">
        <v>1</v>
      </c>
      <c r="BL32">
        <v>0</v>
      </c>
      <c r="BM32">
        <v>0</v>
      </c>
      <c r="BN32">
        <v>0</v>
      </c>
      <c r="BO32">
        <v>0</v>
      </c>
      <c r="BP32">
        <v>0</v>
      </c>
      <c r="BQ32" s="28">
        <v>0</v>
      </c>
      <c r="BR32">
        <v>0</v>
      </c>
      <c r="BS32">
        <v>0</v>
      </c>
      <c r="BT32" s="28">
        <v>1</v>
      </c>
      <c r="BU32">
        <v>1</v>
      </c>
      <c r="BV32">
        <v>0</v>
      </c>
      <c r="BW32">
        <v>0</v>
      </c>
      <c r="BX32">
        <v>1</v>
      </c>
      <c r="BY32">
        <v>0</v>
      </c>
      <c r="BZ32">
        <v>1</v>
      </c>
      <c r="CA32">
        <v>0</v>
      </c>
      <c r="CB32">
        <v>0</v>
      </c>
      <c r="CC32">
        <v>0</v>
      </c>
      <c r="CD32">
        <v>0</v>
      </c>
      <c r="CE32" s="16">
        <v>0</v>
      </c>
      <c r="CF32">
        <v>3.0070000000000001</v>
      </c>
      <c r="CG32">
        <v>1812</v>
      </c>
      <c r="CH32">
        <v>1</v>
      </c>
      <c r="CI32">
        <v>0</v>
      </c>
      <c r="CJ32">
        <v>0</v>
      </c>
      <c r="CK32" t="s">
        <v>46</v>
      </c>
    </row>
    <row r="33" spans="1:89" x14ac:dyDescent="0.25">
      <c r="A33">
        <v>32</v>
      </c>
      <c r="B33">
        <v>2</v>
      </c>
      <c r="C33" t="s">
        <v>247</v>
      </c>
      <c r="D33" s="10">
        <v>11.7</v>
      </c>
      <c r="E33" s="6">
        <v>2.6</v>
      </c>
      <c r="F33" s="6">
        <f t="shared" si="0"/>
        <v>4.5</v>
      </c>
      <c r="G33" s="7">
        <v>1</v>
      </c>
      <c r="H33" s="8">
        <v>0</v>
      </c>
      <c r="I33" s="8">
        <v>0</v>
      </c>
      <c r="J33" s="8">
        <v>0</v>
      </c>
      <c r="K33" s="8">
        <v>0</v>
      </c>
      <c r="L33" s="7">
        <v>149</v>
      </c>
      <c r="M33" s="8">
        <v>1</v>
      </c>
      <c r="N33" s="8">
        <f t="shared" si="1"/>
        <v>147</v>
      </c>
      <c r="O33" s="60">
        <f t="shared" si="2"/>
        <v>15</v>
      </c>
      <c r="P33" s="6">
        <v>14.11</v>
      </c>
      <c r="Q33" s="6">
        <f t="shared" si="5"/>
        <v>16.450000000000003</v>
      </c>
      <c r="R33" s="7">
        <v>1</v>
      </c>
      <c r="S33" s="8">
        <v>0</v>
      </c>
      <c r="T33" s="7">
        <v>1</v>
      </c>
      <c r="U33" s="8">
        <v>0</v>
      </c>
      <c r="V33" s="8">
        <v>0</v>
      </c>
      <c r="W33" s="21">
        <v>0</v>
      </c>
      <c r="X33" s="7">
        <v>0</v>
      </c>
      <c r="Y33" s="8">
        <v>1</v>
      </c>
      <c r="Z33" s="21">
        <v>0</v>
      </c>
      <c r="AA33" s="7">
        <v>1</v>
      </c>
      <c r="AB33" s="21">
        <v>0</v>
      </c>
      <c r="AC33" s="60">
        <v>1991</v>
      </c>
      <c r="AD33" t="s">
        <v>57</v>
      </c>
      <c r="AE33" t="s">
        <v>57</v>
      </c>
      <c r="AF33" t="s">
        <v>57</v>
      </c>
      <c r="AG33" t="s">
        <v>57</v>
      </c>
      <c r="AH33" s="28">
        <v>0.85</v>
      </c>
      <c r="AI33">
        <v>0.15</v>
      </c>
      <c r="AJ33" s="28">
        <v>0.46</v>
      </c>
      <c r="AK33">
        <v>0.54</v>
      </c>
      <c r="AL33" s="28">
        <v>0.94</v>
      </c>
      <c r="AM33" s="66">
        <v>0.06</v>
      </c>
      <c r="AN33">
        <v>0</v>
      </c>
      <c r="AO33">
        <v>1</v>
      </c>
      <c r="AP33" s="28">
        <v>0.45</v>
      </c>
      <c r="AQ33" s="12">
        <v>0.55000000000000004</v>
      </c>
      <c r="AR33" s="12">
        <v>1</v>
      </c>
      <c r="AS33" s="12">
        <v>0</v>
      </c>
      <c r="AT33" s="12">
        <v>0</v>
      </c>
      <c r="AU33" s="62" t="s">
        <v>87</v>
      </c>
      <c r="AV33">
        <v>1</v>
      </c>
      <c r="AW33">
        <v>0</v>
      </c>
      <c r="AX33">
        <v>0</v>
      </c>
      <c r="AY33">
        <v>0</v>
      </c>
      <c r="AZ33">
        <v>0</v>
      </c>
      <c r="BA33">
        <v>0</v>
      </c>
      <c r="BB33">
        <v>0</v>
      </c>
      <c r="BC33">
        <v>1</v>
      </c>
      <c r="BD33">
        <v>0</v>
      </c>
      <c r="BE33">
        <v>0</v>
      </c>
      <c r="BF33">
        <v>24597</v>
      </c>
      <c r="BG33">
        <v>1426</v>
      </c>
      <c r="BH33">
        <v>0.92100000000000004</v>
      </c>
      <c r="BI33" s="64">
        <v>36.56</v>
      </c>
      <c r="BJ33">
        <v>0</v>
      </c>
      <c r="BK33">
        <v>0</v>
      </c>
      <c r="BL33">
        <v>0</v>
      </c>
      <c r="BM33">
        <v>0</v>
      </c>
      <c r="BN33">
        <v>1</v>
      </c>
      <c r="BO33">
        <v>0</v>
      </c>
      <c r="BP33">
        <v>0</v>
      </c>
      <c r="BQ33" s="28">
        <v>0</v>
      </c>
      <c r="BR33">
        <v>0</v>
      </c>
      <c r="BS33">
        <v>0</v>
      </c>
      <c r="BT33" s="28">
        <v>0</v>
      </c>
      <c r="BU33">
        <v>0</v>
      </c>
      <c r="BV33">
        <v>0</v>
      </c>
      <c r="BW33">
        <v>0</v>
      </c>
      <c r="BX33">
        <v>0</v>
      </c>
      <c r="BY33">
        <v>0</v>
      </c>
      <c r="BZ33">
        <v>0</v>
      </c>
      <c r="CA33">
        <v>0</v>
      </c>
      <c r="CB33">
        <v>0</v>
      </c>
      <c r="CC33">
        <v>0</v>
      </c>
      <c r="CD33">
        <v>0</v>
      </c>
      <c r="CE33" s="16">
        <v>0</v>
      </c>
      <c r="CF33">
        <v>3.0070000000000001</v>
      </c>
      <c r="CG33">
        <v>1812</v>
      </c>
      <c r="CH33">
        <v>1</v>
      </c>
      <c r="CI33">
        <v>0</v>
      </c>
      <c r="CJ33">
        <v>0</v>
      </c>
      <c r="CK33" t="s">
        <v>46</v>
      </c>
    </row>
    <row r="34" spans="1:89" x14ac:dyDescent="0.25">
      <c r="A34">
        <v>33</v>
      </c>
      <c r="B34">
        <v>2</v>
      </c>
      <c r="C34" t="s">
        <v>247</v>
      </c>
      <c r="D34" s="10">
        <v>10.5</v>
      </c>
      <c r="E34" s="6">
        <v>1.6</v>
      </c>
      <c r="F34" s="6">
        <f t="shared" si="0"/>
        <v>6.5625</v>
      </c>
      <c r="G34" s="7">
        <v>1</v>
      </c>
      <c r="H34" s="8">
        <v>0</v>
      </c>
      <c r="I34" s="8">
        <v>0</v>
      </c>
      <c r="J34" s="8">
        <v>0</v>
      </c>
      <c r="K34" s="8">
        <v>0</v>
      </c>
      <c r="L34" s="7">
        <v>284</v>
      </c>
      <c r="M34" s="8">
        <v>10</v>
      </c>
      <c r="N34" s="8">
        <f t="shared" si="1"/>
        <v>273</v>
      </c>
      <c r="O34" s="60">
        <f t="shared" si="2"/>
        <v>15</v>
      </c>
      <c r="P34" s="6">
        <v>14.11</v>
      </c>
      <c r="Q34" s="6">
        <f t="shared" si="5"/>
        <v>16.450000000000003</v>
      </c>
      <c r="R34" s="7">
        <v>1</v>
      </c>
      <c r="S34" s="8">
        <v>0</v>
      </c>
      <c r="T34" s="7">
        <v>1</v>
      </c>
      <c r="U34" s="8">
        <v>0</v>
      </c>
      <c r="V34" s="8">
        <v>0</v>
      </c>
      <c r="W34" s="21">
        <v>0</v>
      </c>
      <c r="X34" s="7">
        <v>0</v>
      </c>
      <c r="Y34" s="8">
        <v>1</v>
      </c>
      <c r="Z34" s="21">
        <v>0</v>
      </c>
      <c r="AA34" s="7">
        <v>1</v>
      </c>
      <c r="AB34" s="21">
        <v>0</v>
      </c>
      <c r="AC34" s="60">
        <v>1991</v>
      </c>
      <c r="AD34" t="s">
        <v>57</v>
      </c>
      <c r="AE34" t="s">
        <v>57</v>
      </c>
      <c r="AF34" t="s">
        <v>57</v>
      </c>
      <c r="AG34" t="s">
        <v>57</v>
      </c>
      <c r="AH34" s="28">
        <v>0.85</v>
      </c>
      <c r="AI34">
        <v>0.15</v>
      </c>
      <c r="AJ34" s="28">
        <v>0.46</v>
      </c>
      <c r="AK34">
        <v>0.54</v>
      </c>
      <c r="AL34" s="28">
        <v>0.94</v>
      </c>
      <c r="AM34" s="66">
        <v>0.06</v>
      </c>
      <c r="AN34">
        <v>0</v>
      </c>
      <c r="AO34">
        <v>1</v>
      </c>
      <c r="AP34" s="28">
        <v>0.45</v>
      </c>
      <c r="AQ34" s="12">
        <v>0.55000000000000004</v>
      </c>
      <c r="AR34" s="12">
        <v>1</v>
      </c>
      <c r="AS34" s="12">
        <v>0</v>
      </c>
      <c r="AT34" s="12">
        <v>0</v>
      </c>
      <c r="AU34" s="62" t="s">
        <v>87</v>
      </c>
      <c r="AV34">
        <v>1</v>
      </c>
      <c r="AW34">
        <v>0</v>
      </c>
      <c r="AX34">
        <v>0</v>
      </c>
      <c r="AY34">
        <v>0</v>
      </c>
      <c r="AZ34">
        <v>0</v>
      </c>
      <c r="BA34">
        <v>0</v>
      </c>
      <c r="BB34">
        <v>0</v>
      </c>
      <c r="BC34">
        <v>1</v>
      </c>
      <c r="BD34">
        <v>0</v>
      </c>
      <c r="BE34">
        <v>0</v>
      </c>
      <c r="BF34">
        <v>24597</v>
      </c>
      <c r="BG34">
        <v>1426</v>
      </c>
      <c r="BH34">
        <v>0.92100000000000004</v>
      </c>
      <c r="BI34" s="64">
        <v>36.56</v>
      </c>
      <c r="BJ34">
        <v>0</v>
      </c>
      <c r="BK34">
        <v>1</v>
      </c>
      <c r="BL34">
        <v>0</v>
      </c>
      <c r="BM34">
        <v>0</v>
      </c>
      <c r="BN34">
        <v>0</v>
      </c>
      <c r="BO34">
        <v>0</v>
      </c>
      <c r="BP34">
        <v>0</v>
      </c>
      <c r="BQ34" s="28">
        <v>0</v>
      </c>
      <c r="BR34">
        <v>0</v>
      </c>
      <c r="BS34">
        <v>0</v>
      </c>
      <c r="BT34" s="28">
        <v>1</v>
      </c>
      <c r="BU34">
        <v>1</v>
      </c>
      <c r="BV34">
        <v>1</v>
      </c>
      <c r="BW34">
        <v>0</v>
      </c>
      <c r="BX34">
        <v>1</v>
      </c>
      <c r="BY34">
        <v>0</v>
      </c>
      <c r="BZ34">
        <v>1</v>
      </c>
      <c r="CA34">
        <v>1</v>
      </c>
      <c r="CB34">
        <v>0</v>
      </c>
      <c r="CC34">
        <v>1</v>
      </c>
      <c r="CD34">
        <v>0</v>
      </c>
      <c r="CE34" s="16">
        <v>0</v>
      </c>
      <c r="CF34">
        <v>3.0070000000000001</v>
      </c>
      <c r="CG34">
        <v>1812</v>
      </c>
      <c r="CH34">
        <v>1</v>
      </c>
      <c r="CI34">
        <v>0</v>
      </c>
      <c r="CJ34">
        <v>0</v>
      </c>
      <c r="CK34" t="s">
        <v>46</v>
      </c>
    </row>
    <row r="35" spans="1:89" x14ac:dyDescent="0.25">
      <c r="A35">
        <v>34</v>
      </c>
      <c r="B35">
        <v>2</v>
      </c>
      <c r="C35" t="s">
        <v>247</v>
      </c>
      <c r="D35" s="10">
        <v>10.5</v>
      </c>
      <c r="E35" s="6">
        <v>1.6</v>
      </c>
      <c r="F35" s="6">
        <f t="shared" si="0"/>
        <v>6.5625</v>
      </c>
      <c r="G35" s="7">
        <v>1</v>
      </c>
      <c r="H35" s="8">
        <v>0</v>
      </c>
      <c r="I35" s="8">
        <v>0</v>
      </c>
      <c r="J35" s="8">
        <v>0</v>
      </c>
      <c r="K35" s="8">
        <v>0</v>
      </c>
      <c r="L35" s="7">
        <v>284</v>
      </c>
      <c r="M35" s="8">
        <v>11</v>
      </c>
      <c r="N35" s="8">
        <f t="shared" si="1"/>
        <v>272</v>
      </c>
      <c r="O35" s="60">
        <f t="shared" si="2"/>
        <v>15</v>
      </c>
      <c r="P35" s="6">
        <v>14.11</v>
      </c>
      <c r="Q35" s="6">
        <f t="shared" si="5"/>
        <v>16.450000000000003</v>
      </c>
      <c r="R35" s="7">
        <v>1</v>
      </c>
      <c r="S35" s="8">
        <v>0</v>
      </c>
      <c r="T35" s="7">
        <v>1</v>
      </c>
      <c r="U35" s="8">
        <v>0</v>
      </c>
      <c r="V35" s="8">
        <v>0</v>
      </c>
      <c r="W35" s="21">
        <v>0</v>
      </c>
      <c r="X35" s="7">
        <v>0</v>
      </c>
      <c r="Y35" s="8">
        <v>1</v>
      </c>
      <c r="Z35" s="21">
        <v>0</v>
      </c>
      <c r="AA35" s="7">
        <v>1</v>
      </c>
      <c r="AB35" s="21">
        <v>0</v>
      </c>
      <c r="AC35" s="60">
        <v>1991</v>
      </c>
      <c r="AD35" t="s">
        <v>57</v>
      </c>
      <c r="AE35" t="s">
        <v>57</v>
      </c>
      <c r="AF35" t="s">
        <v>57</v>
      </c>
      <c r="AG35" t="s">
        <v>57</v>
      </c>
      <c r="AH35" s="28">
        <v>0.85</v>
      </c>
      <c r="AI35">
        <v>0.15</v>
      </c>
      <c r="AJ35" s="28">
        <v>0.46</v>
      </c>
      <c r="AK35">
        <v>0.54</v>
      </c>
      <c r="AL35" s="28">
        <v>0.94</v>
      </c>
      <c r="AM35" s="66">
        <v>0.06</v>
      </c>
      <c r="AN35">
        <v>0</v>
      </c>
      <c r="AO35">
        <v>1</v>
      </c>
      <c r="AP35" s="28">
        <v>0.45</v>
      </c>
      <c r="AQ35" s="12">
        <v>0.55000000000000004</v>
      </c>
      <c r="AR35" s="12">
        <v>1</v>
      </c>
      <c r="AS35" s="12">
        <v>0</v>
      </c>
      <c r="AT35" s="12">
        <v>0</v>
      </c>
      <c r="AU35" s="62" t="s">
        <v>87</v>
      </c>
      <c r="AV35">
        <v>1</v>
      </c>
      <c r="AW35">
        <v>0</v>
      </c>
      <c r="AX35">
        <v>0</v>
      </c>
      <c r="AY35">
        <v>0</v>
      </c>
      <c r="AZ35">
        <v>0</v>
      </c>
      <c r="BA35">
        <v>0</v>
      </c>
      <c r="BB35">
        <v>0</v>
      </c>
      <c r="BC35">
        <v>1</v>
      </c>
      <c r="BD35">
        <v>0</v>
      </c>
      <c r="BE35">
        <v>0</v>
      </c>
      <c r="BF35">
        <v>24597</v>
      </c>
      <c r="BG35">
        <v>1426</v>
      </c>
      <c r="BH35">
        <v>0.92100000000000004</v>
      </c>
      <c r="BI35" s="64">
        <v>36.56</v>
      </c>
      <c r="BJ35">
        <v>0</v>
      </c>
      <c r="BK35">
        <v>1</v>
      </c>
      <c r="BL35">
        <v>0</v>
      </c>
      <c r="BM35">
        <v>0</v>
      </c>
      <c r="BN35">
        <v>0</v>
      </c>
      <c r="BO35">
        <v>0</v>
      </c>
      <c r="BP35">
        <v>0</v>
      </c>
      <c r="BQ35" s="28">
        <v>0</v>
      </c>
      <c r="BR35">
        <v>0</v>
      </c>
      <c r="BS35">
        <v>0</v>
      </c>
      <c r="BT35" s="28">
        <v>1</v>
      </c>
      <c r="BU35">
        <v>1</v>
      </c>
      <c r="BV35">
        <v>1</v>
      </c>
      <c r="BW35">
        <v>0</v>
      </c>
      <c r="BX35">
        <v>1</v>
      </c>
      <c r="BY35">
        <v>0</v>
      </c>
      <c r="BZ35">
        <v>1</v>
      </c>
      <c r="CA35">
        <v>1</v>
      </c>
      <c r="CB35">
        <v>0</v>
      </c>
      <c r="CC35">
        <v>1</v>
      </c>
      <c r="CD35">
        <v>0</v>
      </c>
      <c r="CE35" s="16">
        <v>0</v>
      </c>
      <c r="CF35">
        <v>3.0070000000000001</v>
      </c>
      <c r="CG35">
        <v>1812</v>
      </c>
      <c r="CH35">
        <v>1</v>
      </c>
      <c r="CI35">
        <v>0</v>
      </c>
      <c r="CJ35">
        <v>0</v>
      </c>
      <c r="CK35" t="s">
        <v>46</v>
      </c>
    </row>
    <row r="36" spans="1:89" x14ac:dyDescent="0.25">
      <c r="A36">
        <v>35</v>
      </c>
      <c r="B36">
        <v>2</v>
      </c>
      <c r="C36" t="s">
        <v>247</v>
      </c>
      <c r="D36" s="10">
        <v>14.7</v>
      </c>
      <c r="E36" s="6">
        <v>3.4</v>
      </c>
      <c r="F36" s="6">
        <f t="shared" si="0"/>
        <v>4.3235294117647056</v>
      </c>
      <c r="G36" s="7">
        <v>1</v>
      </c>
      <c r="H36" s="8">
        <v>0</v>
      </c>
      <c r="I36" s="8">
        <v>0</v>
      </c>
      <c r="J36" s="8">
        <v>0</v>
      </c>
      <c r="K36" s="8">
        <v>0</v>
      </c>
      <c r="L36" s="7">
        <v>284</v>
      </c>
      <c r="M36" s="8">
        <v>11</v>
      </c>
      <c r="N36" s="8">
        <f t="shared" si="1"/>
        <v>272</v>
      </c>
      <c r="O36" s="60">
        <f t="shared" si="2"/>
        <v>15</v>
      </c>
      <c r="P36" s="6">
        <v>14.11</v>
      </c>
      <c r="Q36" s="6">
        <f t="shared" si="5"/>
        <v>16.450000000000003</v>
      </c>
      <c r="R36" s="7">
        <v>1</v>
      </c>
      <c r="S36" s="8">
        <v>0</v>
      </c>
      <c r="T36" s="7">
        <v>1</v>
      </c>
      <c r="U36" s="8">
        <v>0</v>
      </c>
      <c r="V36" s="8">
        <v>0</v>
      </c>
      <c r="W36" s="21">
        <v>0</v>
      </c>
      <c r="X36" s="7">
        <v>0</v>
      </c>
      <c r="Y36" s="8">
        <v>1</v>
      </c>
      <c r="Z36" s="21">
        <v>0</v>
      </c>
      <c r="AA36" s="7">
        <v>1</v>
      </c>
      <c r="AB36" s="21">
        <v>0</v>
      </c>
      <c r="AC36" s="60">
        <v>1991</v>
      </c>
      <c r="AD36" t="s">
        <v>57</v>
      </c>
      <c r="AE36" t="s">
        <v>57</v>
      </c>
      <c r="AF36" t="s">
        <v>57</v>
      </c>
      <c r="AG36" t="s">
        <v>57</v>
      </c>
      <c r="AH36" s="28">
        <v>0.85</v>
      </c>
      <c r="AI36">
        <v>0.15</v>
      </c>
      <c r="AJ36" s="28">
        <v>0.46</v>
      </c>
      <c r="AK36">
        <v>0.54</v>
      </c>
      <c r="AL36" s="28">
        <v>0.94</v>
      </c>
      <c r="AM36" s="66">
        <v>0.06</v>
      </c>
      <c r="AN36">
        <v>0</v>
      </c>
      <c r="AO36">
        <v>1</v>
      </c>
      <c r="AP36" s="28">
        <v>0.45</v>
      </c>
      <c r="AQ36" s="12">
        <v>0.55000000000000004</v>
      </c>
      <c r="AR36" s="12">
        <v>1</v>
      </c>
      <c r="AS36" s="12">
        <v>0</v>
      </c>
      <c r="AT36" s="12">
        <v>0</v>
      </c>
      <c r="AU36" s="62" t="s">
        <v>87</v>
      </c>
      <c r="AV36">
        <v>1</v>
      </c>
      <c r="AW36">
        <v>0</v>
      </c>
      <c r="AX36">
        <v>0</v>
      </c>
      <c r="AY36">
        <v>0</v>
      </c>
      <c r="AZ36">
        <v>0</v>
      </c>
      <c r="BA36">
        <v>0</v>
      </c>
      <c r="BB36">
        <v>0</v>
      </c>
      <c r="BC36">
        <v>1</v>
      </c>
      <c r="BD36">
        <v>0</v>
      </c>
      <c r="BE36">
        <v>0</v>
      </c>
      <c r="BF36">
        <v>24597</v>
      </c>
      <c r="BG36">
        <v>1426</v>
      </c>
      <c r="BH36">
        <v>0.92100000000000004</v>
      </c>
      <c r="BI36" s="64">
        <v>36.56</v>
      </c>
      <c r="BJ36">
        <v>0</v>
      </c>
      <c r="BK36">
        <v>0</v>
      </c>
      <c r="BL36">
        <v>0</v>
      </c>
      <c r="BM36">
        <v>0</v>
      </c>
      <c r="BN36">
        <v>0</v>
      </c>
      <c r="BO36">
        <v>0</v>
      </c>
      <c r="BP36">
        <v>1</v>
      </c>
      <c r="BQ36" s="28">
        <v>1</v>
      </c>
      <c r="BR36">
        <v>0</v>
      </c>
      <c r="BS36">
        <v>0</v>
      </c>
      <c r="BT36" s="28">
        <v>1</v>
      </c>
      <c r="BU36">
        <v>1</v>
      </c>
      <c r="BV36">
        <v>1</v>
      </c>
      <c r="BW36">
        <v>0</v>
      </c>
      <c r="BX36">
        <v>1</v>
      </c>
      <c r="BY36">
        <v>0</v>
      </c>
      <c r="BZ36">
        <v>1</v>
      </c>
      <c r="CA36">
        <v>1</v>
      </c>
      <c r="CB36">
        <v>0</v>
      </c>
      <c r="CC36">
        <v>1</v>
      </c>
      <c r="CD36">
        <v>0</v>
      </c>
      <c r="CE36" s="16">
        <v>0</v>
      </c>
      <c r="CF36">
        <v>3.0070000000000001</v>
      </c>
      <c r="CG36">
        <v>1812</v>
      </c>
      <c r="CH36">
        <v>1</v>
      </c>
      <c r="CI36">
        <v>0</v>
      </c>
      <c r="CJ36">
        <v>0</v>
      </c>
      <c r="CK36" t="s">
        <v>46</v>
      </c>
    </row>
    <row r="37" spans="1:89" x14ac:dyDescent="0.25">
      <c r="A37">
        <v>36</v>
      </c>
      <c r="B37">
        <v>2</v>
      </c>
      <c r="C37" t="s">
        <v>247</v>
      </c>
      <c r="D37" s="10">
        <v>9.1</v>
      </c>
      <c r="E37" s="6">
        <v>2.2000000000000002</v>
      </c>
      <c r="F37" s="6">
        <f t="shared" si="0"/>
        <v>4.1363636363636358</v>
      </c>
      <c r="G37" s="7">
        <v>1</v>
      </c>
      <c r="H37" s="8">
        <v>0</v>
      </c>
      <c r="I37" s="8">
        <v>0</v>
      </c>
      <c r="J37" s="8">
        <v>0</v>
      </c>
      <c r="K37" s="8">
        <v>0</v>
      </c>
      <c r="L37" s="7">
        <v>147</v>
      </c>
      <c r="M37" s="8">
        <v>5</v>
      </c>
      <c r="N37" s="8">
        <f t="shared" si="1"/>
        <v>141</v>
      </c>
      <c r="O37" s="60">
        <f t="shared" si="2"/>
        <v>15</v>
      </c>
      <c r="P37" s="6">
        <v>14.11</v>
      </c>
      <c r="Q37" s="6">
        <f t="shared" si="5"/>
        <v>16.450000000000003</v>
      </c>
      <c r="R37" s="7">
        <v>1</v>
      </c>
      <c r="S37" s="8">
        <v>0</v>
      </c>
      <c r="T37" s="7">
        <v>1</v>
      </c>
      <c r="U37" s="8">
        <v>0</v>
      </c>
      <c r="V37" s="8">
        <v>0</v>
      </c>
      <c r="W37" s="21">
        <v>0</v>
      </c>
      <c r="X37" s="7">
        <v>0</v>
      </c>
      <c r="Y37" s="8">
        <v>1</v>
      </c>
      <c r="Z37" s="21">
        <v>0</v>
      </c>
      <c r="AA37" s="7">
        <v>1</v>
      </c>
      <c r="AB37" s="21">
        <v>0</v>
      </c>
      <c r="AC37" s="60">
        <v>1991</v>
      </c>
      <c r="AD37" t="s">
        <v>57</v>
      </c>
      <c r="AE37" t="s">
        <v>57</v>
      </c>
      <c r="AF37" t="s">
        <v>57</v>
      </c>
      <c r="AG37" t="s">
        <v>57</v>
      </c>
      <c r="AH37" s="28">
        <v>0.85</v>
      </c>
      <c r="AI37">
        <v>0.15</v>
      </c>
      <c r="AJ37" s="28">
        <v>0.46</v>
      </c>
      <c r="AK37">
        <v>0.54</v>
      </c>
      <c r="AL37" s="28">
        <v>0.94</v>
      </c>
      <c r="AM37" s="66">
        <v>0.06</v>
      </c>
      <c r="AN37">
        <v>0</v>
      </c>
      <c r="AO37">
        <v>1</v>
      </c>
      <c r="AP37" s="28">
        <v>0.45</v>
      </c>
      <c r="AQ37" s="12">
        <v>0.55000000000000004</v>
      </c>
      <c r="AR37" s="12">
        <v>1</v>
      </c>
      <c r="AS37" s="12">
        <v>0</v>
      </c>
      <c r="AT37" s="12">
        <v>0</v>
      </c>
      <c r="AU37" s="62" t="s">
        <v>87</v>
      </c>
      <c r="AV37">
        <v>1</v>
      </c>
      <c r="AW37">
        <v>0</v>
      </c>
      <c r="AX37">
        <v>0</v>
      </c>
      <c r="AY37">
        <v>0</v>
      </c>
      <c r="AZ37">
        <v>0</v>
      </c>
      <c r="BA37">
        <v>0</v>
      </c>
      <c r="BB37">
        <v>0</v>
      </c>
      <c r="BC37">
        <v>1</v>
      </c>
      <c r="BD37">
        <v>0</v>
      </c>
      <c r="BE37">
        <v>0</v>
      </c>
      <c r="BF37">
        <v>24597</v>
      </c>
      <c r="BG37">
        <v>1426</v>
      </c>
      <c r="BH37">
        <v>0.92100000000000004</v>
      </c>
      <c r="BI37" s="64">
        <v>36.56</v>
      </c>
      <c r="BJ37">
        <v>0</v>
      </c>
      <c r="BK37">
        <v>0</v>
      </c>
      <c r="BL37">
        <v>0</v>
      </c>
      <c r="BM37">
        <v>0</v>
      </c>
      <c r="BN37">
        <v>1</v>
      </c>
      <c r="BO37">
        <v>0</v>
      </c>
      <c r="BP37">
        <v>0</v>
      </c>
      <c r="BQ37" s="28">
        <v>0</v>
      </c>
      <c r="BR37">
        <v>0</v>
      </c>
      <c r="BS37">
        <v>0</v>
      </c>
      <c r="BT37" s="28">
        <v>0</v>
      </c>
      <c r="BU37">
        <v>0</v>
      </c>
      <c r="BV37">
        <v>1</v>
      </c>
      <c r="BW37">
        <v>0</v>
      </c>
      <c r="BX37">
        <v>0</v>
      </c>
      <c r="BY37">
        <v>0</v>
      </c>
      <c r="BZ37">
        <v>0</v>
      </c>
      <c r="CA37">
        <v>1</v>
      </c>
      <c r="CB37">
        <v>0</v>
      </c>
      <c r="CC37">
        <v>1</v>
      </c>
      <c r="CD37">
        <v>0</v>
      </c>
      <c r="CE37" s="16">
        <v>0</v>
      </c>
      <c r="CF37">
        <v>3.0070000000000001</v>
      </c>
      <c r="CG37">
        <v>1812</v>
      </c>
      <c r="CH37">
        <v>1</v>
      </c>
      <c r="CI37">
        <v>0</v>
      </c>
      <c r="CJ37">
        <v>0</v>
      </c>
      <c r="CK37" t="s">
        <v>46</v>
      </c>
    </row>
    <row r="38" spans="1:89" x14ac:dyDescent="0.25">
      <c r="A38">
        <v>37</v>
      </c>
      <c r="B38">
        <v>2</v>
      </c>
      <c r="C38" t="s">
        <v>247</v>
      </c>
      <c r="D38" s="10">
        <v>17</v>
      </c>
      <c r="E38" s="6">
        <v>4.0999999999999996</v>
      </c>
      <c r="F38" s="6">
        <f t="shared" si="0"/>
        <v>4.1463414634146343</v>
      </c>
      <c r="G38" s="7">
        <v>1</v>
      </c>
      <c r="H38" s="8">
        <v>0</v>
      </c>
      <c r="I38" s="8">
        <v>0</v>
      </c>
      <c r="J38" s="8">
        <v>0</v>
      </c>
      <c r="K38" s="8">
        <v>0</v>
      </c>
      <c r="L38" s="7">
        <v>147</v>
      </c>
      <c r="M38" s="8">
        <v>4</v>
      </c>
      <c r="N38" s="8">
        <f t="shared" si="1"/>
        <v>142</v>
      </c>
      <c r="O38" s="60">
        <f t="shared" si="2"/>
        <v>15</v>
      </c>
      <c r="P38" s="6">
        <v>14.11</v>
      </c>
      <c r="Q38" s="6">
        <f t="shared" si="5"/>
        <v>16.450000000000003</v>
      </c>
      <c r="R38" s="7">
        <v>1</v>
      </c>
      <c r="S38" s="8">
        <v>0</v>
      </c>
      <c r="T38" s="7">
        <v>1</v>
      </c>
      <c r="U38" s="8">
        <v>0</v>
      </c>
      <c r="V38" s="8">
        <v>0</v>
      </c>
      <c r="W38" s="21">
        <v>0</v>
      </c>
      <c r="X38" s="7">
        <v>0</v>
      </c>
      <c r="Y38" s="8">
        <v>1</v>
      </c>
      <c r="Z38" s="21">
        <v>0</v>
      </c>
      <c r="AA38" s="7">
        <v>1</v>
      </c>
      <c r="AB38" s="21">
        <v>0</v>
      </c>
      <c r="AC38" s="60">
        <v>1991</v>
      </c>
      <c r="AD38" t="s">
        <v>57</v>
      </c>
      <c r="AE38" t="s">
        <v>57</v>
      </c>
      <c r="AF38" t="s">
        <v>57</v>
      </c>
      <c r="AG38" t="s">
        <v>57</v>
      </c>
      <c r="AH38" s="28">
        <v>0.85</v>
      </c>
      <c r="AI38">
        <v>0.15</v>
      </c>
      <c r="AJ38" s="28">
        <v>0.46</v>
      </c>
      <c r="AK38">
        <v>0.54</v>
      </c>
      <c r="AL38" s="28">
        <v>0.94</v>
      </c>
      <c r="AM38" s="66">
        <v>0.06</v>
      </c>
      <c r="AN38">
        <v>0</v>
      </c>
      <c r="AO38">
        <v>1</v>
      </c>
      <c r="AP38" s="28">
        <v>0.45</v>
      </c>
      <c r="AQ38" s="12">
        <v>0.55000000000000004</v>
      </c>
      <c r="AR38" s="12">
        <v>1</v>
      </c>
      <c r="AS38" s="12">
        <v>0</v>
      </c>
      <c r="AT38" s="12">
        <v>0</v>
      </c>
      <c r="AU38" s="62" t="s">
        <v>87</v>
      </c>
      <c r="AV38">
        <v>1</v>
      </c>
      <c r="AW38">
        <v>0</v>
      </c>
      <c r="AX38">
        <v>0</v>
      </c>
      <c r="AY38">
        <v>0</v>
      </c>
      <c r="AZ38">
        <v>0</v>
      </c>
      <c r="BA38">
        <v>0</v>
      </c>
      <c r="BB38">
        <v>0</v>
      </c>
      <c r="BC38">
        <v>1</v>
      </c>
      <c r="BD38">
        <v>0</v>
      </c>
      <c r="BE38">
        <v>0</v>
      </c>
      <c r="BF38">
        <v>24597</v>
      </c>
      <c r="BG38">
        <v>1426</v>
      </c>
      <c r="BH38">
        <v>0.92100000000000004</v>
      </c>
      <c r="BI38" s="64">
        <v>36.56</v>
      </c>
      <c r="BJ38">
        <v>0</v>
      </c>
      <c r="BK38">
        <v>0</v>
      </c>
      <c r="BL38">
        <v>0</v>
      </c>
      <c r="BM38">
        <v>0</v>
      </c>
      <c r="BN38">
        <v>0</v>
      </c>
      <c r="BO38">
        <v>1</v>
      </c>
      <c r="BP38">
        <v>0</v>
      </c>
      <c r="BQ38" s="28">
        <v>1</v>
      </c>
      <c r="BR38">
        <v>0</v>
      </c>
      <c r="BS38">
        <v>0</v>
      </c>
      <c r="BT38" s="28">
        <v>0</v>
      </c>
      <c r="BU38">
        <v>0</v>
      </c>
      <c r="BV38">
        <v>1</v>
      </c>
      <c r="BW38">
        <v>0</v>
      </c>
      <c r="BX38">
        <v>0</v>
      </c>
      <c r="BY38">
        <v>0</v>
      </c>
      <c r="BZ38">
        <v>0</v>
      </c>
      <c r="CA38">
        <v>1</v>
      </c>
      <c r="CB38">
        <v>0</v>
      </c>
      <c r="CC38">
        <v>1</v>
      </c>
      <c r="CD38">
        <v>0</v>
      </c>
      <c r="CE38" s="16">
        <v>0</v>
      </c>
      <c r="CF38">
        <v>3.0070000000000001</v>
      </c>
      <c r="CG38">
        <v>1812</v>
      </c>
      <c r="CH38">
        <v>1</v>
      </c>
      <c r="CI38">
        <v>0</v>
      </c>
      <c r="CJ38">
        <v>0</v>
      </c>
      <c r="CK38" t="s">
        <v>46</v>
      </c>
    </row>
    <row r="39" spans="1:89" x14ac:dyDescent="0.25">
      <c r="A39">
        <v>38</v>
      </c>
      <c r="B39">
        <v>3</v>
      </c>
      <c r="C39" t="s">
        <v>253</v>
      </c>
      <c r="D39" s="10">
        <v>10.5</v>
      </c>
      <c r="E39" s="6">
        <v>0.8</v>
      </c>
      <c r="F39" s="6">
        <f t="shared" si="0"/>
        <v>13.125</v>
      </c>
      <c r="G39" s="78">
        <v>1</v>
      </c>
      <c r="H39" s="8">
        <v>0</v>
      </c>
      <c r="I39" s="8">
        <v>0</v>
      </c>
      <c r="J39" s="8">
        <v>0</v>
      </c>
      <c r="K39" s="8">
        <v>0</v>
      </c>
      <c r="L39" s="7">
        <v>906</v>
      </c>
      <c r="M39" s="8">
        <v>5</v>
      </c>
      <c r="N39" s="8">
        <f t="shared" si="1"/>
        <v>900</v>
      </c>
      <c r="O39" s="60">
        <f t="shared" si="2"/>
        <v>14</v>
      </c>
      <c r="P39" s="6">
        <v>14.08</v>
      </c>
      <c r="Q39" s="6">
        <f t="shared" si="5"/>
        <v>16.480000000000004</v>
      </c>
      <c r="R39" s="78">
        <v>1</v>
      </c>
      <c r="S39" s="8">
        <v>0</v>
      </c>
      <c r="T39" s="78">
        <v>1</v>
      </c>
      <c r="U39" s="8">
        <v>0</v>
      </c>
      <c r="V39" s="8">
        <v>0</v>
      </c>
      <c r="W39" s="21">
        <v>0</v>
      </c>
      <c r="X39" s="78">
        <v>0</v>
      </c>
      <c r="Y39" s="8">
        <v>1</v>
      </c>
      <c r="Z39" s="21">
        <v>0</v>
      </c>
      <c r="AA39" s="78">
        <v>1</v>
      </c>
      <c r="AB39" s="21">
        <v>0</v>
      </c>
      <c r="AC39" s="69">
        <v>1993</v>
      </c>
      <c r="AD39" t="s">
        <v>57</v>
      </c>
      <c r="AE39" t="s">
        <v>57</v>
      </c>
      <c r="AF39" t="s">
        <v>57</v>
      </c>
      <c r="AG39" t="s">
        <v>57</v>
      </c>
      <c r="AH39" s="28" t="s">
        <v>57</v>
      </c>
      <c r="AI39" t="s">
        <v>57</v>
      </c>
      <c r="AJ39" s="28">
        <v>0.46</v>
      </c>
      <c r="AK39">
        <v>0.54</v>
      </c>
      <c r="AL39" s="28">
        <v>0.94</v>
      </c>
      <c r="AM39" s="66">
        <f t="shared" ref="AM39:AM80" si="6">1-AL39</f>
        <v>6.0000000000000053E-2</v>
      </c>
      <c r="AN39">
        <v>0</v>
      </c>
      <c r="AO39">
        <v>1</v>
      </c>
      <c r="AP39" s="28">
        <v>0.45</v>
      </c>
      <c r="AQ39" s="12">
        <f t="shared" ref="AQ39:AQ95" si="7">1-AP39</f>
        <v>0.55000000000000004</v>
      </c>
      <c r="AR39" s="12">
        <v>1</v>
      </c>
      <c r="AS39" s="12">
        <v>0</v>
      </c>
      <c r="AT39" s="12">
        <v>0</v>
      </c>
      <c r="AU39" s="62" t="s">
        <v>87</v>
      </c>
      <c r="AV39">
        <v>1</v>
      </c>
      <c r="AW39">
        <v>0</v>
      </c>
      <c r="AX39">
        <v>0</v>
      </c>
      <c r="AY39">
        <v>0</v>
      </c>
      <c r="AZ39">
        <v>0</v>
      </c>
      <c r="BA39">
        <v>0</v>
      </c>
      <c r="BB39">
        <v>0</v>
      </c>
      <c r="BC39">
        <v>1</v>
      </c>
      <c r="BD39">
        <v>0</v>
      </c>
      <c r="BE39">
        <v>0</v>
      </c>
      <c r="BF39">
        <v>25687</v>
      </c>
      <c r="BG39">
        <v>1381</v>
      </c>
      <c r="BH39">
        <v>0.92600000000000005</v>
      </c>
      <c r="BI39" s="64">
        <v>36.56</v>
      </c>
      <c r="BJ39">
        <v>1</v>
      </c>
      <c r="BK39">
        <v>0</v>
      </c>
      <c r="BL39">
        <v>0</v>
      </c>
      <c r="BM39">
        <v>0</v>
      </c>
      <c r="BN39">
        <v>0</v>
      </c>
      <c r="BO39">
        <v>0</v>
      </c>
      <c r="BP39">
        <v>0</v>
      </c>
      <c r="BQ39" s="28">
        <v>0</v>
      </c>
      <c r="BR39">
        <v>0</v>
      </c>
      <c r="BS39">
        <v>0</v>
      </c>
      <c r="BT39" s="28">
        <v>1</v>
      </c>
      <c r="BU39">
        <v>1</v>
      </c>
      <c r="BV39">
        <v>0</v>
      </c>
      <c r="BW39">
        <v>0</v>
      </c>
      <c r="BX39">
        <v>1</v>
      </c>
      <c r="BY39">
        <v>0</v>
      </c>
      <c r="BZ39">
        <v>1</v>
      </c>
      <c r="CA39">
        <v>0</v>
      </c>
      <c r="CB39">
        <v>0</v>
      </c>
      <c r="CC39">
        <v>0</v>
      </c>
      <c r="CD39">
        <v>0</v>
      </c>
      <c r="CE39" s="16">
        <v>0</v>
      </c>
      <c r="CF39">
        <v>0.29799999999999999</v>
      </c>
      <c r="CG39">
        <v>188</v>
      </c>
      <c r="CH39">
        <v>1</v>
      </c>
      <c r="CI39">
        <v>0</v>
      </c>
      <c r="CJ39">
        <v>5</v>
      </c>
      <c r="CK39" t="s">
        <v>46</v>
      </c>
    </row>
    <row r="40" spans="1:89" x14ac:dyDescent="0.25">
      <c r="A40">
        <v>39</v>
      </c>
      <c r="B40">
        <v>3</v>
      </c>
      <c r="C40" t="s">
        <v>253</v>
      </c>
      <c r="D40" s="10">
        <v>10.1</v>
      </c>
      <c r="E40" s="6">
        <v>0.9</v>
      </c>
      <c r="F40" s="6">
        <f t="shared" si="0"/>
        <v>11.222222222222221</v>
      </c>
      <c r="G40" s="78">
        <v>1</v>
      </c>
      <c r="H40" s="8">
        <v>0</v>
      </c>
      <c r="I40" s="8">
        <v>0</v>
      </c>
      <c r="J40" s="8">
        <v>0</v>
      </c>
      <c r="K40" s="8">
        <v>0</v>
      </c>
      <c r="L40" s="7">
        <v>906</v>
      </c>
      <c r="M40" s="8">
        <v>5</v>
      </c>
      <c r="N40" s="8">
        <f t="shared" si="1"/>
        <v>900</v>
      </c>
      <c r="O40" s="60">
        <f t="shared" si="2"/>
        <v>14</v>
      </c>
      <c r="P40" s="6">
        <v>14.08</v>
      </c>
      <c r="Q40" s="6">
        <f t="shared" si="5"/>
        <v>16.480000000000004</v>
      </c>
      <c r="R40" s="78">
        <v>1</v>
      </c>
      <c r="S40" s="8">
        <v>0</v>
      </c>
      <c r="T40" s="78">
        <v>1</v>
      </c>
      <c r="U40" s="8">
        <v>0</v>
      </c>
      <c r="V40" s="8">
        <v>0</v>
      </c>
      <c r="W40" s="21">
        <v>0</v>
      </c>
      <c r="X40" s="78">
        <v>0</v>
      </c>
      <c r="Y40" s="8">
        <v>1</v>
      </c>
      <c r="Z40" s="21">
        <v>0</v>
      </c>
      <c r="AA40" s="78">
        <v>1</v>
      </c>
      <c r="AB40" s="21">
        <v>0</v>
      </c>
      <c r="AC40" s="69">
        <v>1993</v>
      </c>
      <c r="AD40" t="s">
        <v>57</v>
      </c>
      <c r="AE40" t="s">
        <v>57</v>
      </c>
      <c r="AF40" t="s">
        <v>57</v>
      </c>
      <c r="AG40" t="s">
        <v>57</v>
      </c>
      <c r="AH40" s="28" t="s">
        <v>57</v>
      </c>
      <c r="AI40" t="s">
        <v>57</v>
      </c>
      <c r="AJ40" s="28">
        <v>0.46</v>
      </c>
      <c r="AK40">
        <v>0.54</v>
      </c>
      <c r="AL40" s="28">
        <v>0.94</v>
      </c>
      <c r="AM40" s="66">
        <f t="shared" si="6"/>
        <v>6.0000000000000053E-2</v>
      </c>
      <c r="AN40">
        <v>0</v>
      </c>
      <c r="AO40">
        <v>1</v>
      </c>
      <c r="AP40" s="28">
        <v>0.45</v>
      </c>
      <c r="AQ40" s="12">
        <f t="shared" si="7"/>
        <v>0.55000000000000004</v>
      </c>
      <c r="AR40" s="12">
        <v>1</v>
      </c>
      <c r="AS40" s="12">
        <v>0</v>
      </c>
      <c r="AT40" s="12">
        <v>0</v>
      </c>
      <c r="AU40" s="62" t="s">
        <v>87</v>
      </c>
      <c r="AV40">
        <v>1</v>
      </c>
      <c r="AW40">
        <v>0</v>
      </c>
      <c r="AX40">
        <v>0</v>
      </c>
      <c r="AY40">
        <v>0</v>
      </c>
      <c r="AZ40">
        <v>0</v>
      </c>
      <c r="BA40">
        <v>0</v>
      </c>
      <c r="BB40">
        <v>0</v>
      </c>
      <c r="BC40">
        <v>1</v>
      </c>
      <c r="BD40">
        <v>0</v>
      </c>
      <c r="BE40">
        <v>0</v>
      </c>
      <c r="BF40">
        <v>25687</v>
      </c>
      <c r="BG40">
        <v>1381</v>
      </c>
      <c r="BH40">
        <v>0.92600000000000005</v>
      </c>
      <c r="BI40" s="64">
        <v>36.56</v>
      </c>
      <c r="BJ40">
        <v>0</v>
      </c>
      <c r="BK40">
        <v>1</v>
      </c>
      <c r="BL40">
        <v>0</v>
      </c>
      <c r="BM40">
        <v>0</v>
      </c>
      <c r="BN40">
        <v>0</v>
      </c>
      <c r="BO40">
        <v>0</v>
      </c>
      <c r="BP40">
        <v>0</v>
      </c>
      <c r="BQ40" s="28">
        <v>0</v>
      </c>
      <c r="BR40">
        <v>0</v>
      </c>
      <c r="BS40">
        <v>0</v>
      </c>
      <c r="BT40" s="28">
        <v>1</v>
      </c>
      <c r="BU40">
        <v>1</v>
      </c>
      <c r="BV40">
        <v>0</v>
      </c>
      <c r="BW40">
        <v>0</v>
      </c>
      <c r="BX40">
        <v>1</v>
      </c>
      <c r="BY40">
        <v>0</v>
      </c>
      <c r="BZ40">
        <v>1</v>
      </c>
      <c r="CA40">
        <v>0</v>
      </c>
      <c r="CB40">
        <v>0</v>
      </c>
      <c r="CC40">
        <v>0</v>
      </c>
      <c r="CD40">
        <v>0</v>
      </c>
      <c r="CE40" s="16">
        <v>0</v>
      </c>
      <c r="CF40">
        <v>0.29799999999999999</v>
      </c>
      <c r="CG40">
        <v>188</v>
      </c>
      <c r="CH40">
        <v>1</v>
      </c>
      <c r="CI40">
        <v>0</v>
      </c>
      <c r="CJ40">
        <v>5</v>
      </c>
      <c r="CK40" t="s">
        <v>46</v>
      </c>
    </row>
    <row r="41" spans="1:89" x14ac:dyDescent="0.25">
      <c r="A41">
        <v>40</v>
      </c>
      <c r="B41">
        <v>3</v>
      </c>
      <c r="C41" t="s">
        <v>253</v>
      </c>
      <c r="D41" s="10">
        <v>7.5</v>
      </c>
      <c r="E41" s="6">
        <v>1.7</v>
      </c>
      <c r="F41" s="6">
        <f t="shared" si="0"/>
        <v>4.4117647058823533</v>
      </c>
      <c r="G41" s="78">
        <v>1</v>
      </c>
      <c r="H41" s="8">
        <v>0</v>
      </c>
      <c r="I41" s="8">
        <v>0</v>
      </c>
      <c r="J41" s="8">
        <v>0</v>
      </c>
      <c r="K41" s="8">
        <v>0</v>
      </c>
      <c r="L41" s="7">
        <v>453</v>
      </c>
      <c r="M41" s="8">
        <v>1</v>
      </c>
      <c r="N41" s="8">
        <f t="shared" si="1"/>
        <v>451</v>
      </c>
      <c r="O41" s="60">
        <f t="shared" si="2"/>
        <v>14</v>
      </c>
      <c r="P41" s="6">
        <v>14.08</v>
      </c>
      <c r="Q41" s="6">
        <f t="shared" si="5"/>
        <v>16.480000000000004</v>
      </c>
      <c r="R41" s="78">
        <v>1</v>
      </c>
      <c r="S41" s="8">
        <v>0</v>
      </c>
      <c r="T41" s="78">
        <v>1</v>
      </c>
      <c r="U41" s="8">
        <v>0</v>
      </c>
      <c r="V41" s="8">
        <v>0</v>
      </c>
      <c r="W41" s="21">
        <v>0</v>
      </c>
      <c r="X41" s="78">
        <v>0</v>
      </c>
      <c r="Y41" s="8">
        <v>1</v>
      </c>
      <c r="Z41" s="21">
        <v>0</v>
      </c>
      <c r="AA41" s="78">
        <v>1</v>
      </c>
      <c r="AB41" s="21">
        <v>0</v>
      </c>
      <c r="AC41" s="69">
        <v>1993</v>
      </c>
      <c r="AD41" t="s">
        <v>57</v>
      </c>
      <c r="AE41" t="s">
        <v>57</v>
      </c>
      <c r="AF41" t="s">
        <v>57</v>
      </c>
      <c r="AG41" t="s">
        <v>57</v>
      </c>
      <c r="AH41" s="28" t="s">
        <v>57</v>
      </c>
      <c r="AI41" t="s">
        <v>57</v>
      </c>
      <c r="AJ41" s="28">
        <v>0.46</v>
      </c>
      <c r="AK41">
        <v>0.54</v>
      </c>
      <c r="AL41" s="28">
        <v>0.94</v>
      </c>
      <c r="AM41" s="66">
        <f t="shared" si="6"/>
        <v>6.0000000000000053E-2</v>
      </c>
      <c r="AN41">
        <v>0</v>
      </c>
      <c r="AO41">
        <v>1</v>
      </c>
      <c r="AP41" s="28">
        <v>0.45</v>
      </c>
      <c r="AQ41" s="12">
        <f t="shared" si="7"/>
        <v>0.55000000000000004</v>
      </c>
      <c r="AR41" s="12">
        <v>1</v>
      </c>
      <c r="AS41" s="12">
        <v>0</v>
      </c>
      <c r="AT41" s="12">
        <v>0</v>
      </c>
      <c r="AU41" s="62" t="s">
        <v>87</v>
      </c>
      <c r="AV41">
        <v>1</v>
      </c>
      <c r="AW41">
        <v>0</v>
      </c>
      <c r="AX41">
        <v>0</v>
      </c>
      <c r="AY41">
        <v>0</v>
      </c>
      <c r="AZ41">
        <v>0</v>
      </c>
      <c r="BA41">
        <v>0</v>
      </c>
      <c r="BB41">
        <v>0</v>
      </c>
      <c r="BC41">
        <v>1</v>
      </c>
      <c r="BD41">
        <v>0</v>
      </c>
      <c r="BE41">
        <v>0</v>
      </c>
      <c r="BF41">
        <v>25687</v>
      </c>
      <c r="BG41">
        <v>1381</v>
      </c>
      <c r="BH41">
        <v>0.92600000000000005</v>
      </c>
      <c r="BI41" s="64">
        <v>36.56</v>
      </c>
      <c r="BJ41">
        <v>0</v>
      </c>
      <c r="BK41">
        <v>0</v>
      </c>
      <c r="BL41">
        <v>0</v>
      </c>
      <c r="BM41">
        <v>0</v>
      </c>
      <c r="BN41">
        <v>1</v>
      </c>
      <c r="BO41">
        <v>0</v>
      </c>
      <c r="BP41">
        <v>0</v>
      </c>
      <c r="BQ41" s="28">
        <v>0</v>
      </c>
      <c r="BR41">
        <v>0</v>
      </c>
      <c r="BS41">
        <v>0</v>
      </c>
      <c r="BT41" s="28">
        <v>0</v>
      </c>
      <c r="BU41">
        <v>0</v>
      </c>
      <c r="BV41">
        <v>0</v>
      </c>
      <c r="BW41">
        <v>0</v>
      </c>
      <c r="BX41">
        <v>0</v>
      </c>
      <c r="BY41">
        <v>0</v>
      </c>
      <c r="BZ41">
        <v>0</v>
      </c>
      <c r="CA41">
        <v>0</v>
      </c>
      <c r="CB41">
        <v>0</v>
      </c>
      <c r="CC41">
        <v>0</v>
      </c>
      <c r="CD41">
        <v>0</v>
      </c>
      <c r="CE41" s="16">
        <v>0</v>
      </c>
      <c r="CF41">
        <v>0.29799999999999999</v>
      </c>
      <c r="CG41">
        <v>188</v>
      </c>
      <c r="CH41">
        <v>1</v>
      </c>
      <c r="CI41">
        <v>0</v>
      </c>
      <c r="CJ41">
        <v>5</v>
      </c>
      <c r="CK41" t="s">
        <v>46</v>
      </c>
    </row>
    <row r="42" spans="1:89" x14ac:dyDescent="0.25">
      <c r="A42">
        <v>41</v>
      </c>
      <c r="B42">
        <v>3</v>
      </c>
      <c r="C42" t="s">
        <v>253</v>
      </c>
      <c r="D42" s="10">
        <v>9.5</v>
      </c>
      <c r="E42" s="6">
        <v>2.7</v>
      </c>
      <c r="F42" s="6">
        <f t="shared" si="0"/>
        <v>3.5185185185185182</v>
      </c>
      <c r="G42" s="78">
        <v>1</v>
      </c>
      <c r="H42" s="8">
        <v>0</v>
      </c>
      <c r="I42" s="8">
        <v>0</v>
      </c>
      <c r="J42" s="8">
        <v>0</v>
      </c>
      <c r="K42" s="8">
        <v>0</v>
      </c>
      <c r="L42" s="7">
        <v>453</v>
      </c>
      <c r="M42" s="8">
        <v>1</v>
      </c>
      <c r="N42" s="8">
        <f t="shared" si="1"/>
        <v>451</v>
      </c>
      <c r="O42" s="60">
        <f t="shared" si="2"/>
        <v>14</v>
      </c>
      <c r="P42" s="6">
        <v>14.08</v>
      </c>
      <c r="Q42" s="6">
        <f t="shared" si="5"/>
        <v>16.480000000000004</v>
      </c>
      <c r="R42" s="78">
        <v>1</v>
      </c>
      <c r="S42" s="8">
        <v>0</v>
      </c>
      <c r="T42" s="78">
        <v>1</v>
      </c>
      <c r="U42" s="8">
        <v>0</v>
      </c>
      <c r="V42" s="8">
        <v>0</v>
      </c>
      <c r="W42" s="21">
        <v>0</v>
      </c>
      <c r="X42" s="78">
        <v>0</v>
      </c>
      <c r="Y42" s="8">
        <v>1</v>
      </c>
      <c r="Z42" s="21">
        <v>0</v>
      </c>
      <c r="AA42" s="78">
        <v>1</v>
      </c>
      <c r="AB42" s="21">
        <v>0</v>
      </c>
      <c r="AC42" s="69">
        <v>1993</v>
      </c>
      <c r="AD42" t="s">
        <v>57</v>
      </c>
      <c r="AE42" t="s">
        <v>57</v>
      </c>
      <c r="AF42" t="s">
        <v>57</v>
      </c>
      <c r="AG42" t="s">
        <v>57</v>
      </c>
      <c r="AH42" s="28" t="s">
        <v>57</v>
      </c>
      <c r="AI42" t="s">
        <v>57</v>
      </c>
      <c r="AJ42" s="28">
        <v>0.46</v>
      </c>
      <c r="AK42">
        <v>0.54</v>
      </c>
      <c r="AL42" s="28">
        <v>0.94</v>
      </c>
      <c r="AM42" s="66">
        <f t="shared" si="6"/>
        <v>6.0000000000000053E-2</v>
      </c>
      <c r="AN42">
        <v>0</v>
      </c>
      <c r="AO42">
        <v>1</v>
      </c>
      <c r="AP42" s="28">
        <v>0.45</v>
      </c>
      <c r="AQ42" s="12">
        <f t="shared" si="7"/>
        <v>0.55000000000000004</v>
      </c>
      <c r="AR42" s="12">
        <v>1</v>
      </c>
      <c r="AS42" s="12">
        <v>0</v>
      </c>
      <c r="AT42" s="12">
        <v>0</v>
      </c>
      <c r="AU42" s="62" t="s">
        <v>87</v>
      </c>
      <c r="AV42">
        <v>1</v>
      </c>
      <c r="AW42">
        <v>0</v>
      </c>
      <c r="AX42">
        <v>0</v>
      </c>
      <c r="AY42">
        <v>0</v>
      </c>
      <c r="AZ42">
        <v>0</v>
      </c>
      <c r="BA42">
        <v>0</v>
      </c>
      <c r="BB42">
        <v>0</v>
      </c>
      <c r="BC42">
        <v>1</v>
      </c>
      <c r="BD42">
        <v>0</v>
      </c>
      <c r="BE42">
        <v>0</v>
      </c>
      <c r="BF42">
        <v>25687</v>
      </c>
      <c r="BG42">
        <v>1381</v>
      </c>
      <c r="BH42">
        <v>0.92600000000000005</v>
      </c>
      <c r="BI42" s="64">
        <v>36.56</v>
      </c>
      <c r="BJ42">
        <v>0</v>
      </c>
      <c r="BK42">
        <v>0</v>
      </c>
      <c r="BL42">
        <v>0</v>
      </c>
      <c r="BM42">
        <v>0</v>
      </c>
      <c r="BN42">
        <v>0</v>
      </c>
      <c r="BO42">
        <v>0</v>
      </c>
      <c r="BP42">
        <v>1</v>
      </c>
      <c r="BQ42" s="28">
        <v>0</v>
      </c>
      <c r="BR42">
        <v>0</v>
      </c>
      <c r="BS42">
        <v>0</v>
      </c>
      <c r="BT42" s="28">
        <v>0</v>
      </c>
      <c r="BU42">
        <v>0</v>
      </c>
      <c r="BV42">
        <v>0</v>
      </c>
      <c r="BW42">
        <v>0</v>
      </c>
      <c r="BX42">
        <v>0</v>
      </c>
      <c r="BY42">
        <v>0</v>
      </c>
      <c r="BZ42">
        <v>0</v>
      </c>
      <c r="CA42">
        <v>0</v>
      </c>
      <c r="CB42">
        <v>0</v>
      </c>
      <c r="CC42">
        <v>0</v>
      </c>
      <c r="CD42">
        <v>0</v>
      </c>
      <c r="CE42" s="16">
        <v>0</v>
      </c>
      <c r="CF42">
        <v>0.29799999999999999</v>
      </c>
      <c r="CG42">
        <v>188</v>
      </c>
      <c r="CH42">
        <v>1</v>
      </c>
      <c r="CI42">
        <v>0</v>
      </c>
      <c r="CJ42">
        <v>5</v>
      </c>
      <c r="CK42" t="s">
        <v>46</v>
      </c>
    </row>
    <row r="43" spans="1:89" x14ac:dyDescent="0.25">
      <c r="A43">
        <v>42</v>
      </c>
      <c r="B43">
        <v>3</v>
      </c>
      <c r="C43" t="s">
        <v>253</v>
      </c>
      <c r="D43" s="10">
        <v>11.1</v>
      </c>
      <c r="E43" s="6">
        <v>0.9</v>
      </c>
      <c r="F43" s="6">
        <f t="shared" si="0"/>
        <v>12.333333333333332</v>
      </c>
      <c r="G43" s="78">
        <v>1</v>
      </c>
      <c r="H43" s="8">
        <v>0</v>
      </c>
      <c r="I43" s="8">
        <v>0</v>
      </c>
      <c r="J43" s="8">
        <v>0</v>
      </c>
      <c r="K43" s="8">
        <v>0</v>
      </c>
      <c r="L43" s="7">
        <v>890</v>
      </c>
      <c r="M43" s="8">
        <v>8</v>
      </c>
      <c r="N43" s="8">
        <f t="shared" si="1"/>
        <v>881</v>
      </c>
      <c r="O43" s="60">
        <f t="shared" si="2"/>
        <v>14</v>
      </c>
      <c r="P43" s="6">
        <v>14.08</v>
      </c>
      <c r="Q43" s="6">
        <f t="shared" si="5"/>
        <v>16.480000000000004</v>
      </c>
      <c r="R43" s="78">
        <v>1</v>
      </c>
      <c r="S43" s="8">
        <v>0</v>
      </c>
      <c r="T43" s="78">
        <v>1</v>
      </c>
      <c r="U43" s="8">
        <v>0</v>
      </c>
      <c r="V43" s="8">
        <v>0</v>
      </c>
      <c r="W43" s="21">
        <v>0</v>
      </c>
      <c r="X43" s="78">
        <v>0</v>
      </c>
      <c r="Y43" s="8">
        <v>1</v>
      </c>
      <c r="Z43" s="21">
        <v>0</v>
      </c>
      <c r="AA43" s="78">
        <v>1</v>
      </c>
      <c r="AB43" s="21">
        <v>0</v>
      </c>
      <c r="AC43" s="69">
        <v>1993</v>
      </c>
      <c r="AD43" t="s">
        <v>57</v>
      </c>
      <c r="AE43" t="s">
        <v>57</v>
      </c>
      <c r="AF43" t="s">
        <v>57</v>
      </c>
      <c r="AG43" t="s">
        <v>57</v>
      </c>
      <c r="AH43" s="28" t="s">
        <v>57</v>
      </c>
      <c r="AI43" t="s">
        <v>57</v>
      </c>
      <c r="AJ43" s="28">
        <v>0.46</v>
      </c>
      <c r="AK43">
        <v>0.54</v>
      </c>
      <c r="AL43" s="28">
        <v>0.94</v>
      </c>
      <c r="AM43" s="66">
        <f t="shared" si="6"/>
        <v>6.0000000000000053E-2</v>
      </c>
      <c r="AN43">
        <v>0</v>
      </c>
      <c r="AO43">
        <v>1</v>
      </c>
      <c r="AP43" s="28">
        <v>0.45</v>
      </c>
      <c r="AQ43" s="12">
        <f t="shared" si="7"/>
        <v>0.55000000000000004</v>
      </c>
      <c r="AR43" s="12">
        <v>1</v>
      </c>
      <c r="AS43" s="12">
        <v>0</v>
      </c>
      <c r="AT43" s="12">
        <v>0</v>
      </c>
      <c r="AU43" s="62" t="s">
        <v>87</v>
      </c>
      <c r="AV43">
        <v>1</v>
      </c>
      <c r="AW43">
        <v>0</v>
      </c>
      <c r="AX43">
        <v>0</v>
      </c>
      <c r="AY43">
        <v>0</v>
      </c>
      <c r="AZ43">
        <v>0</v>
      </c>
      <c r="BA43">
        <v>0</v>
      </c>
      <c r="BB43">
        <v>0</v>
      </c>
      <c r="BC43">
        <v>1</v>
      </c>
      <c r="BD43">
        <v>0</v>
      </c>
      <c r="BE43">
        <v>0</v>
      </c>
      <c r="BF43">
        <v>25687</v>
      </c>
      <c r="BG43">
        <v>1381</v>
      </c>
      <c r="BH43">
        <v>0.92600000000000005</v>
      </c>
      <c r="BI43" s="64">
        <v>36.56</v>
      </c>
      <c r="BJ43">
        <v>1</v>
      </c>
      <c r="BK43">
        <v>0</v>
      </c>
      <c r="BL43">
        <v>0</v>
      </c>
      <c r="BM43">
        <v>0</v>
      </c>
      <c r="BN43">
        <v>0</v>
      </c>
      <c r="BO43">
        <v>0</v>
      </c>
      <c r="BP43">
        <v>0</v>
      </c>
      <c r="BQ43" s="28">
        <v>0</v>
      </c>
      <c r="BR43">
        <v>0</v>
      </c>
      <c r="BS43">
        <v>0</v>
      </c>
      <c r="BT43" s="28">
        <v>1</v>
      </c>
      <c r="BU43">
        <v>1</v>
      </c>
      <c r="BV43">
        <v>1</v>
      </c>
      <c r="BW43">
        <v>0</v>
      </c>
      <c r="BX43">
        <v>1</v>
      </c>
      <c r="BY43">
        <v>0</v>
      </c>
      <c r="BZ43">
        <v>1</v>
      </c>
      <c r="CA43">
        <v>1</v>
      </c>
      <c r="CB43">
        <v>0</v>
      </c>
      <c r="CC43">
        <v>1</v>
      </c>
      <c r="CD43">
        <v>0</v>
      </c>
      <c r="CE43" s="16">
        <v>0</v>
      </c>
      <c r="CF43">
        <v>0.29799999999999999</v>
      </c>
      <c r="CG43">
        <v>188</v>
      </c>
      <c r="CH43">
        <v>1</v>
      </c>
      <c r="CI43">
        <v>0</v>
      </c>
      <c r="CJ43">
        <v>5</v>
      </c>
      <c r="CK43" t="s">
        <v>46</v>
      </c>
    </row>
    <row r="44" spans="1:89" x14ac:dyDescent="0.25">
      <c r="A44">
        <v>43</v>
      </c>
      <c r="B44">
        <v>3</v>
      </c>
      <c r="C44" t="s">
        <v>253</v>
      </c>
      <c r="D44" s="10">
        <v>8.9</v>
      </c>
      <c r="E44" s="6">
        <v>1.6</v>
      </c>
      <c r="F44" s="6">
        <f t="shared" si="0"/>
        <v>5.5625</v>
      </c>
      <c r="G44" s="78">
        <v>1</v>
      </c>
      <c r="H44" s="8">
        <v>0</v>
      </c>
      <c r="I44" s="8">
        <v>0</v>
      </c>
      <c r="J44" s="8">
        <v>0</v>
      </c>
      <c r="K44" s="8">
        <v>0</v>
      </c>
      <c r="L44" s="7">
        <v>445</v>
      </c>
      <c r="M44" s="8">
        <v>4</v>
      </c>
      <c r="N44" s="8">
        <f t="shared" si="1"/>
        <v>440</v>
      </c>
      <c r="O44" s="60">
        <f t="shared" si="2"/>
        <v>14</v>
      </c>
      <c r="P44" s="6">
        <v>14.08</v>
      </c>
      <c r="Q44" s="6">
        <f t="shared" si="5"/>
        <v>16.480000000000004</v>
      </c>
      <c r="R44" s="78">
        <v>1</v>
      </c>
      <c r="S44" s="8">
        <v>0</v>
      </c>
      <c r="T44" s="78">
        <v>1</v>
      </c>
      <c r="U44" s="8">
        <v>0</v>
      </c>
      <c r="V44" s="8">
        <v>0</v>
      </c>
      <c r="W44" s="21">
        <v>0</v>
      </c>
      <c r="X44" s="78">
        <v>0</v>
      </c>
      <c r="Y44" s="8">
        <v>1</v>
      </c>
      <c r="Z44" s="21">
        <v>0</v>
      </c>
      <c r="AA44" s="78">
        <v>1</v>
      </c>
      <c r="AB44" s="21">
        <v>0</v>
      </c>
      <c r="AC44" s="69">
        <v>1993</v>
      </c>
      <c r="AD44" t="s">
        <v>57</v>
      </c>
      <c r="AE44" t="s">
        <v>57</v>
      </c>
      <c r="AF44" t="s">
        <v>57</v>
      </c>
      <c r="AG44" t="s">
        <v>57</v>
      </c>
      <c r="AH44" s="28" t="s">
        <v>57</v>
      </c>
      <c r="AI44" t="s">
        <v>57</v>
      </c>
      <c r="AJ44" s="28">
        <v>0.46</v>
      </c>
      <c r="AK44">
        <v>0.54</v>
      </c>
      <c r="AL44" s="28">
        <v>0.94</v>
      </c>
      <c r="AM44" s="66">
        <f t="shared" si="6"/>
        <v>6.0000000000000053E-2</v>
      </c>
      <c r="AN44">
        <v>0</v>
      </c>
      <c r="AO44">
        <v>1</v>
      </c>
      <c r="AP44" s="28">
        <v>0.45</v>
      </c>
      <c r="AQ44" s="12">
        <f t="shared" si="7"/>
        <v>0.55000000000000004</v>
      </c>
      <c r="AR44" s="12">
        <v>1</v>
      </c>
      <c r="AS44" s="12">
        <v>0</v>
      </c>
      <c r="AT44" s="12">
        <v>0</v>
      </c>
      <c r="AU44" s="62" t="s">
        <v>87</v>
      </c>
      <c r="AV44">
        <v>1</v>
      </c>
      <c r="AW44">
        <v>0</v>
      </c>
      <c r="AX44">
        <v>0</v>
      </c>
      <c r="AY44">
        <v>0</v>
      </c>
      <c r="AZ44">
        <v>0</v>
      </c>
      <c r="BA44">
        <v>0</v>
      </c>
      <c r="BB44">
        <v>0</v>
      </c>
      <c r="BC44">
        <v>1</v>
      </c>
      <c r="BD44">
        <v>0</v>
      </c>
      <c r="BE44">
        <v>0</v>
      </c>
      <c r="BF44">
        <v>25687</v>
      </c>
      <c r="BG44">
        <v>1381</v>
      </c>
      <c r="BH44">
        <v>0.92600000000000005</v>
      </c>
      <c r="BI44" s="64">
        <v>36.56</v>
      </c>
      <c r="BJ44">
        <v>0</v>
      </c>
      <c r="BK44">
        <v>0</v>
      </c>
      <c r="BL44">
        <v>0</v>
      </c>
      <c r="BM44">
        <v>0</v>
      </c>
      <c r="BN44">
        <v>1</v>
      </c>
      <c r="BO44">
        <v>0</v>
      </c>
      <c r="BP44">
        <v>0</v>
      </c>
      <c r="BQ44" s="28">
        <v>0</v>
      </c>
      <c r="BR44">
        <v>0</v>
      </c>
      <c r="BS44">
        <v>0</v>
      </c>
      <c r="BT44" s="28">
        <v>0</v>
      </c>
      <c r="BU44">
        <v>0</v>
      </c>
      <c r="BV44">
        <v>1</v>
      </c>
      <c r="BW44">
        <v>0</v>
      </c>
      <c r="BX44">
        <v>0</v>
      </c>
      <c r="BY44">
        <v>0</v>
      </c>
      <c r="BZ44">
        <v>0</v>
      </c>
      <c r="CA44">
        <v>1</v>
      </c>
      <c r="CB44">
        <v>0</v>
      </c>
      <c r="CC44">
        <v>1</v>
      </c>
      <c r="CD44">
        <v>0</v>
      </c>
      <c r="CE44" s="16">
        <v>0</v>
      </c>
      <c r="CF44">
        <v>0.29799999999999999</v>
      </c>
      <c r="CG44">
        <v>188</v>
      </c>
      <c r="CH44">
        <v>1</v>
      </c>
      <c r="CI44">
        <v>0</v>
      </c>
      <c r="CJ44">
        <v>5</v>
      </c>
      <c r="CK44" t="s">
        <v>46</v>
      </c>
    </row>
    <row r="45" spans="1:89" x14ac:dyDescent="0.25">
      <c r="A45">
        <v>44</v>
      </c>
      <c r="B45">
        <v>3</v>
      </c>
      <c r="C45" t="s">
        <v>253</v>
      </c>
      <c r="D45" s="10">
        <v>11</v>
      </c>
      <c r="E45" s="6">
        <v>2.7</v>
      </c>
      <c r="F45" s="6">
        <f t="shared" si="0"/>
        <v>4.0740740740740735</v>
      </c>
      <c r="G45" s="78">
        <v>1</v>
      </c>
      <c r="H45" s="8">
        <v>0</v>
      </c>
      <c r="I45" s="8">
        <v>0</v>
      </c>
      <c r="J45" s="8">
        <v>0</v>
      </c>
      <c r="K45" s="8">
        <v>0</v>
      </c>
      <c r="L45" s="7">
        <v>445</v>
      </c>
      <c r="M45" s="8">
        <v>4</v>
      </c>
      <c r="N45" s="8">
        <f t="shared" si="1"/>
        <v>440</v>
      </c>
      <c r="O45" s="60">
        <f t="shared" si="2"/>
        <v>14</v>
      </c>
      <c r="P45" s="6">
        <v>14.08</v>
      </c>
      <c r="Q45" s="6">
        <f t="shared" si="5"/>
        <v>16.480000000000004</v>
      </c>
      <c r="R45" s="78">
        <v>1</v>
      </c>
      <c r="S45" s="8">
        <v>0</v>
      </c>
      <c r="T45" s="78">
        <v>1</v>
      </c>
      <c r="U45" s="8">
        <v>0</v>
      </c>
      <c r="V45" s="8">
        <v>0</v>
      </c>
      <c r="W45" s="21">
        <v>0</v>
      </c>
      <c r="X45" s="78">
        <v>0</v>
      </c>
      <c r="Y45" s="8">
        <v>1</v>
      </c>
      <c r="Z45" s="21">
        <v>0</v>
      </c>
      <c r="AA45" s="78">
        <v>1</v>
      </c>
      <c r="AB45" s="21">
        <v>0</v>
      </c>
      <c r="AC45" s="69">
        <v>1993</v>
      </c>
      <c r="AD45" t="s">
        <v>57</v>
      </c>
      <c r="AE45" t="s">
        <v>57</v>
      </c>
      <c r="AF45" t="s">
        <v>57</v>
      </c>
      <c r="AG45" t="s">
        <v>57</v>
      </c>
      <c r="AH45" s="28" t="s">
        <v>57</v>
      </c>
      <c r="AI45" t="s">
        <v>57</v>
      </c>
      <c r="AJ45" s="28">
        <v>0.46</v>
      </c>
      <c r="AK45">
        <v>0.54</v>
      </c>
      <c r="AL45" s="28">
        <v>0.94</v>
      </c>
      <c r="AM45" s="66">
        <f t="shared" si="6"/>
        <v>6.0000000000000053E-2</v>
      </c>
      <c r="AN45">
        <v>0</v>
      </c>
      <c r="AO45">
        <v>1</v>
      </c>
      <c r="AP45" s="28">
        <v>0.45</v>
      </c>
      <c r="AQ45" s="12">
        <f t="shared" si="7"/>
        <v>0.55000000000000004</v>
      </c>
      <c r="AR45" s="12">
        <v>1</v>
      </c>
      <c r="AS45" s="12">
        <v>0</v>
      </c>
      <c r="AT45" s="12">
        <v>0</v>
      </c>
      <c r="AU45" s="62" t="s">
        <v>87</v>
      </c>
      <c r="AV45">
        <v>1</v>
      </c>
      <c r="AW45">
        <v>0</v>
      </c>
      <c r="AX45">
        <v>0</v>
      </c>
      <c r="AY45">
        <v>0</v>
      </c>
      <c r="AZ45">
        <v>0</v>
      </c>
      <c r="BA45">
        <v>0</v>
      </c>
      <c r="BB45">
        <v>0</v>
      </c>
      <c r="BC45">
        <v>1</v>
      </c>
      <c r="BD45">
        <v>0</v>
      </c>
      <c r="BE45">
        <v>0</v>
      </c>
      <c r="BF45">
        <v>25687</v>
      </c>
      <c r="BG45">
        <v>1381</v>
      </c>
      <c r="BH45">
        <v>0.92600000000000005</v>
      </c>
      <c r="BI45" s="64">
        <v>36.56</v>
      </c>
      <c r="BJ45">
        <v>0</v>
      </c>
      <c r="BK45">
        <v>0</v>
      </c>
      <c r="BL45">
        <v>0</v>
      </c>
      <c r="BM45">
        <v>0</v>
      </c>
      <c r="BN45">
        <v>0</v>
      </c>
      <c r="BO45">
        <v>0</v>
      </c>
      <c r="BP45">
        <v>1</v>
      </c>
      <c r="BQ45" s="28">
        <v>0</v>
      </c>
      <c r="BR45">
        <v>0</v>
      </c>
      <c r="BS45">
        <v>0</v>
      </c>
      <c r="BT45" s="28">
        <v>0</v>
      </c>
      <c r="BU45">
        <v>0</v>
      </c>
      <c r="BV45">
        <v>1</v>
      </c>
      <c r="BW45">
        <v>0</v>
      </c>
      <c r="BX45">
        <v>0</v>
      </c>
      <c r="BY45">
        <v>0</v>
      </c>
      <c r="BZ45">
        <v>0</v>
      </c>
      <c r="CA45">
        <v>1</v>
      </c>
      <c r="CB45">
        <v>0</v>
      </c>
      <c r="CC45">
        <v>1</v>
      </c>
      <c r="CD45">
        <v>0</v>
      </c>
      <c r="CE45" s="16">
        <v>0</v>
      </c>
      <c r="CF45">
        <v>0.29799999999999999</v>
      </c>
      <c r="CG45">
        <v>188</v>
      </c>
      <c r="CH45">
        <v>1</v>
      </c>
      <c r="CI45">
        <v>0</v>
      </c>
      <c r="CJ45">
        <v>5</v>
      </c>
      <c r="CK45" t="s">
        <v>46</v>
      </c>
    </row>
    <row r="46" spans="1:89" x14ac:dyDescent="0.25">
      <c r="A46">
        <v>45</v>
      </c>
      <c r="B46">
        <v>3</v>
      </c>
      <c r="C46" t="s">
        <v>253</v>
      </c>
      <c r="D46" s="10">
        <v>7.1</v>
      </c>
      <c r="E46" s="6">
        <v>1.6</v>
      </c>
      <c r="F46" s="6">
        <f t="shared" si="0"/>
        <v>4.4374999999999991</v>
      </c>
      <c r="G46" s="78">
        <v>1</v>
      </c>
      <c r="H46" s="8">
        <v>0</v>
      </c>
      <c r="I46" s="8">
        <v>0</v>
      </c>
      <c r="J46" s="8">
        <v>0</v>
      </c>
      <c r="K46" s="8">
        <v>0</v>
      </c>
      <c r="L46" s="7">
        <v>445</v>
      </c>
      <c r="M46" s="8">
        <v>4</v>
      </c>
      <c r="N46" s="8">
        <f t="shared" si="1"/>
        <v>440</v>
      </c>
      <c r="O46" s="60">
        <f t="shared" si="2"/>
        <v>14</v>
      </c>
      <c r="P46" s="6">
        <v>14.08</v>
      </c>
      <c r="Q46" s="6">
        <f t="shared" si="5"/>
        <v>16.480000000000004</v>
      </c>
      <c r="R46" s="78">
        <v>1</v>
      </c>
      <c r="S46" s="8">
        <v>0</v>
      </c>
      <c r="T46" s="78">
        <v>1</v>
      </c>
      <c r="U46" s="8">
        <v>0</v>
      </c>
      <c r="V46" s="8">
        <v>0</v>
      </c>
      <c r="W46" s="21">
        <v>0</v>
      </c>
      <c r="X46" s="78">
        <v>0</v>
      </c>
      <c r="Y46" s="8">
        <v>1</v>
      </c>
      <c r="Z46" s="21">
        <v>0</v>
      </c>
      <c r="AA46" s="78">
        <v>1</v>
      </c>
      <c r="AB46" s="21">
        <v>0</v>
      </c>
      <c r="AC46" s="69">
        <v>1993</v>
      </c>
      <c r="AD46" t="s">
        <v>57</v>
      </c>
      <c r="AE46" t="s">
        <v>57</v>
      </c>
      <c r="AF46" t="s">
        <v>57</v>
      </c>
      <c r="AG46" t="s">
        <v>57</v>
      </c>
      <c r="AH46" s="28" t="s">
        <v>57</v>
      </c>
      <c r="AI46" t="s">
        <v>57</v>
      </c>
      <c r="AJ46" s="28">
        <v>0.46</v>
      </c>
      <c r="AK46">
        <v>0.54</v>
      </c>
      <c r="AL46" s="28">
        <v>0.94</v>
      </c>
      <c r="AM46" s="66">
        <f t="shared" si="6"/>
        <v>6.0000000000000053E-2</v>
      </c>
      <c r="AN46">
        <v>0</v>
      </c>
      <c r="AO46">
        <v>1</v>
      </c>
      <c r="AP46" s="28">
        <v>0.45</v>
      </c>
      <c r="AQ46" s="12">
        <f t="shared" si="7"/>
        <v>0.55000000000000004</v>
      </c>
      <c r="AR46" s="12">
        <v>1</v>
      </c>
      <c r="AS46" s="12">
        <v>0</v>
      </c>
      <c r="AT46" s="12">
        <v>0</v>
      </c>
      <c r="AU46" s="62" t="s">
        <v>87</v>
      </c>
      <c r="AV46">
        <v>1</v>
      </c>
      <c r="AW46">
        <v>0</v>
      </c>
      <c r="AX46">
        <v>0</v>
      </c>
      <c r="AY46">
        <v>0</v>
      </c>
      <c r="AZ46">
        <v>0</v>
      </c>
      <c r="BA46">
        <v>0</v>
      </c>
      <c r="BB46">
        <v>0</v>
      </c>
      <c r="BC46">
        <v>1</v>
      </c>
      <c r="BD46">
        <v>0</v>
      </c>
      <c r="BE46">
        <v>0</v>
      </c>
      <c r="BF46">
        <v>25687</v>
      </c>
      <c r="BG46">
        <v>1381</v>
      </c>
      <c r="BH46">
        <v>0.92600000000000005</v>
      </c>
      <c r="BI46" s="64">
        <v>36.56</v>
      </c>
      <c r="BJ46">
        <v>0</v>
      </c>
      <c r="BK46">
        <v>0</v>
      </c>
      <c r="BL46">
        <v>0</v>
      </c>
      <c r="BM46">
        <v>0</v>
      </c>
      <c r="BN46">
        <v>1</v>
      </c>
      <c r="BO46">
        <v>0</v>
      </c>
      <c r="BP46">
        <v>0</v>
      </c>
      <c r="BQ46" s="28">
        <v>0</v>
      </c>
      <c r="BR46">
        <v>0</v>
      </c>
      <c r="BS46">
        <v>0</v>
      </c>
      <c r="BT46" s="28">
        <v>0</v>
      </c>
      <c r="BU46">
        <v>0</v>
      </c>
      <c r="BV46">
        <v>1</v>
      </c>
      <c r="BW46">
        <v>0</v>
      </c>
      <c r="BX46">
        <v>0</v>
      </c>
      <c r="BY46">
        <v>0</v>
      </c>
      <c r="BZ46">
        <v>0</v>
      </c>
      <c r="CA46">
        <v>1</v>
      </c>
      <c r="CB46">
        <v>0</v>
      </c>
      <c r="CC46">
        <v>1</v>
      </c>
      <c r="CD46">
        <v>0</v>
      </c>
      <c r="CE46" s="16">
        <v>0</v>
      </c>
      <c r="CF46">
        <v>0.29799999999999999</v>
      </c>
      <c r="CG46">
        <v>188</v>
      </c>
      <c r="CH46">
        <v>1</v>
      </c>
      <c r="CI46">
        <v>0</v>
      </c>
      <c r="CJ46">
        <v>5</v>
      </c>
      <c r="CK46" t="s">
        <v>46</v>
      </c>
    </row>
    <row r="47" spans="1:89" x14ac:dyDescent="0.25">
      <c r="A47">
        <v>46</v>
      </c>
      <c r="B47">
        <v>3</v>
      </c>
      <c r="C47" t="s">
        <v>253</v>
      </c>
      <c r="D47" s="10">
        <v>11.9</v>
      </c>
      <c r="E47" s="6">
        <v>2.1</v>
      </c>
      <c r="F47" s="6">
        <f t="shared" si="0"/>
        <v>5.666666666666667</v>
      </c>
      <c r="G47" s="78">
        <v>1</v>
      </c>
      <c r="H47" s="8">
        <v>0</v>
      </c>
      <c r="I47" s="8">
        <v>0</v>
      </c>
      <c r="J47" s="8">
        <v>0</v>
      </c>
      <c r="K47" s="8">
        <v>0</v>
      </c>
      <c r="L47" s="7">
        <v>445</v>
      </c>
      <c r="M47" s="8">
        <v>4</v>
      </c>
      <c r="N47" s="8">
        <f t="shared" si="1"/>
        <v>440</v>
      </c>
      <c r="O47" s="60">
        <f t="shared" si="2"/>
        <v>14</v>
      </c>
      <c r="P47" s="6">
        <v>14.08</v>
      </c>
      <c r="Q47" s="6">
        <f t="shared" si="5"/>
        <v>16.480000000000004</v>
      </c>
      <c r="R47" s="78">
        <v>1</v>
      </c>
      <c r="S47" s="8">
        <v>0</v>
      </c>
      <c r="T47" s="78">
        <v>1</v>
      </c>
      <c r="U47" s="8">
        <v>0</v>
      </c>
      <c r="V47" s="8">
        <v>0</v>
      </c>
      <c r="W47" s="21">
        <v>0</v>
      </c>
      <c r="X47" s="78">
        <v>0</v>
      </c>
      <c r="Y47" s="8">
        <v>1</v>
      </c>
      <c r="Z47" s="21">
        <v>0</v>
      </c>
      <c r="AA47" s="78">
        <v>1</v>
      </c>
      <c r="AB47" s="21">
        <v>0</v>
      </c>
      <c r="AC47" s="69">
        <v>1993</v>
      </c>
      <c r="AD47" t="s">
        <v>57</v>
      </c>
      <c r="AE47" t="s">
        <v>57</v>
      </c>
      <c r="AF47" t="s">
        <v>57</v>
      </c>
      <c r="AG47" t="s">
        <v>57</v>
      </c>
      <c r="AH47" s="28" t="s">
        <v>57</v>
      </c>
      <c r="AI47" t="s">
        <v>57</v>
      </c>
      <c r="AJ47" s="28">
        <v>0.46</v>
      </c>
      <c r="AK47">
        <v>0.54</v>
      </c>
      <c r="AL47" s="28">
        <v>0.94</v>
      </c>
      <c r="AM47" s="66">
        <f t="shared" si="6"/>
        <v>6.0000000000000053E-2</v>
      </c>
      <c r="AN47">
        <v>0</v>
      </c>
      <c r="AO47">
        <v>1</v>
      </c>
      <c r="AP47" s="28">
        <v>0.45</v>
      </c>
      <c r="AQ47" s="12">
        <f t="shared" si="7"/>
        <v>0.55000000000000004</v>
      </c>
      <c r="AR47" s="12">
        <v>1</v>
      </c>
      <c r="AS47" s="12">
        <v>0</v>
      </c>
      <c r="AT47" s="12">
        <v>0</v>
      </c>
      <c r="AU47" s="62" t="s">
        <v>87</v>
      </c>
      <c r="AV47">
        <v>1</v>
      </c>
      <c r="AW47">
        <v>0</v>
      </c>
      <c r="AX47">
        <v>0</v>
      </c>
      <c r="AY47">
        <v>0</v>
      </c>
      <c r="AZ47">
        <v>0</v>
      </c>
      <c r="BA47">
        <v>0</v>
      </c>
      <c r="BB47">
        <v>0</v>
      </c>
      <c r="BC47">
        <v>1</v>
      </c>
      <c r="BD47">
        <v>0</v>
      </c>
      <c r="BE47">
        <v>0</v>
      </c>
      <c r="BF47">
        <v>25687</v>
      </c>
      <c r="BG47">
        <v>1381</v>
      </c>
      <c r="BH47">
        <v>0.92600000000000005</v>
      </c>
      <c r="BI47" s="64">
        <v>36.56</v>
      </c>
      <c r="BJ47">
        <v>0</v>
      </c>
      <c r="BK47">
        <v>0</v>
      </c>
      <c r="BL47">
        <v>0</v>
      </c>
      <c r="BM47">
        <v>0</v>
      </c>
      <c r="BN47">
        <v>0</v>
      </c>
      <c r="BO47">
        <v>0</v>
      </c>
      <c r="BP47">
        <v>1</v>
      </c>
      <c r="BQ47" s="28">
        <v>0</v>
      </c>
      <c r="BR47">
        <v>0</v>
      </c>
      <c r="BS47">
        <v>0</v>
      </c>
      <c r="BT47" s="28">
        <v>0</v>
      </c>
      <c r="BU47">
        <v>0</v>
      </c>
      <c r="BV47">
        <v>1</v>
      </c>
      <c r="BW47">
        <v>0</v>
      </c>
      <c r="BX47">
        <v>0</v>
      </c>
      <c r="BY47">
        <v>0</v>
      </c>
      <c r="BZ47">
        <v>0</v>
      </c>
      <c r="CA47">
        <v>1</v>
      </c>
      <c r="CB47">
        <v>0</v>
      </c>
      <c r="CC47">
        <v>1</v>
      </c>
      <c r="CD47">
        <v>0</v>
      </c>
      <c r="CE47" s="16">
        <v>0</v>
      </c>
      <c r="CF47">
        <v>0.29799999999999999</v>
      </c>
      <c r="CG47">
        <v>188</v>
      </c>
      <c r="CH47">
        <v>1</v>
      </c>
      <c r="CI47">
        <v>0</v>
      </c>
      <c r="CJ47">
        <v>5</v>
      </c>
      <c r="CK47" t="s">
        <v>46</v>
      </c>
    </row>
    <row r="48" spans="1:89" x14ac:dyDescent="0.25">
      <c r="A48">
        <v>47</v>
      </c>
      <c r="B48">
        <v>3</v>
      </c>
      <c r="C48" t="s">
        <v>253</v>
      </c>
      <c r="D48" s="10">
        <v>11.5</v>
      </c>
      <c r="E48" s="6">
        <v>1</v>
      </c>
      <c r="F48" s="6">
        <f t="shared" si="0"/>
        <v>11.5</v>
      </c>
      <c r="G48" s="78">
        <v>1</v>
      </c>
      <c r="H48" s="8">
        <v>0</v>
      </c>
      <c r="I48" s="8">
        <v>0</v>
      </c>
      <c r="J48" s="8">
        <v>0</v>
      </c>
      <c r="K48" s="8">
        <v>0</v>
      </c>
      <c r="L48" s="7">
        <v>588</v>
      </c>
      <c r="M48" s="8">
        <v>8</v>
      </c>
      <c r="N48" s="8">
        <f t="shared" si="1"/>
        <v>579</v>
      </c>
      <c r="O48" s="60">
        <f t="shared" si="2"/>
        <v>14</v>
      </c>
      <c r="P48" s="6">
        <v>14.08</v>
      </c>
      <c r="Q48" s="6">
        <f t="shared" si="5"/>
        <v>16.480000000000004</v>
      </c>
      <c r="R48" s="78">
        <v>1</v>
      </c>
      <c r="S48" s="8">
        <v>0</v>
      </c>
      <c r="T48" s="78">
        <v>1</v>
      </c>
      <c r="U48" s="8">
        <v>0</v>
      </c>
      <c r="V48" s="8">
        <v>0</v>
      </c>
      <c r="W48" s="21">
        <v>0</v>
      </c>
      <c r="X48" s="78">
        <v>0</v>
      </c>
      <c r="Y48" s="8">
        <v>1</v>
      </c>
      <c r="Z48" s="21">
        <v>0</v>
      </c>
      <c r="AA48" s="78">
        <v>1</v>
      </c>
      <c r="AB48" s="21">
        <v>0</v>
      </c>
      <c r="AC48" s="69">
        <v>1993</v>
      </c>
      <c r="AD48" t="s">
        <v>57</v>
      </c>
      <c r="AE48" t="s">
        <v>57</v>
      </c>
      <c r="AF48" t="s">
        <v>57</v>
      </c>
      <c r="AG48" t="s">
        <v>57</v>
      </c>
      <c r="AH48" s="28" t="s">
        <v>57</v>
      </c>
      <c r="AI48" t="s">
        <v>57</v>
      </c>
      <c r="AJ48" s="28">
        <v>0.46</v>
      </c>
      <c r="AK48">
        <v>0.54</v>
      </c>
      <c r="AL48" s="28">
        <v>0.94</v>
      </c>
      <c r="AM48" s="66">
        <f t="shared" si="6"/>
        <v>6.0000000000000053E-2</v>
      </c>
      <c r="AN48">
        <v>0</v>
      </c>
      <c r="AO48">
        <v>1</v>
      </c>
      <c r="AP48" s="28">
        <v>0.45</v>
      </c>
      <c r="AQ48" s="12">
        <f t="shared" si="7"/>
        <v>0.55000000000000004</v>
      </c>
      <c r="AR48" s="12">
        <v>1</v>
      </c>
      <c r="AS48" s="12">
        <v>0</v>
      </c>
      <c r="AT48" s="12">
        <v>0</v>
      </c>
      <c r="AU48" s="62" t="s">
        <v>87</v>
      </c>
      <c r="AV48">
        <v>1</v>
      </c>
      <c r="AW48">
        <v>0</v>
      </c>
      <c r="AX48">
        <v>0</v>
      </c>
      <c r="AY48">
        <v>0</v>
      </c>
      <c r="AZ48">
        <v>0</v>
      </c>
      <c r="BA48">
        <v>0</v>
      </c>
      <c r="BB48">
        <v>0</v>
      </c>
      <c r="BC48">
        <v>1</v>
      </c>
      <c r="BD48">
        <v>0</v>
      </c>
      <c r="BE48">
        <v>0</v>
      </c>
      <c r="BF48">
        <v>25687</v>
      </c>
      <c r="BG48">
        <v>1381</v>
      </c>
      <c r="BH48">
        <v>0.92600000000000005</v>
      </c>
      <c r="BI48" s="64">
        <v>36.56</v>
      </c>
      <c r="BJ48">
        <v>0</v>
      </c>
      <c r="BK48">
        <v>0</v>
      </c>
      <c r="BL48">
        <v>0</v>
      </c>
      <c r="BM48">
        <v>0</v>
      </c>
      <c r="BN48">
        <v>0</v>
      </c>
      <c r="BO48">
        <v>0</v>
      </c>
      <c r="BP48">
        <v>0</v>
      </c>
      <c r="BQ48" s="28">
        <v>0</v>
      </c>
      <c r="BR48">
        <v>0</v>
      </c>
      <c r="BS48">
        <v>0</v>
      </c>
      <c r="BT48" s="28">
        <v>1</v>
      </c>
      <c r="BU48">
        <v>1</v>
      </c>
      <c r="BV48">
        <v>1</v>
      </c>
      <c r="BW48">
        <v>0</v>
      </c>
      <c r="BX48">
        <v>1</v>
      </c>
      <c r="BY48">
        <v>0</v>
      </c>
      <c r="BZ48">
        <v>1</v>
      </c>
      <c r="CA48">
        <v>1</v>
      </c>
      <c r="CB48">
        <v>0</v>
      </c>
      <c r="CC48">
        <v>1</v>
      </c>
      <c r="CD48">
        <v>0</v>
      </c>
      <c r="CE48" s="16">
        <v>0</v>
      </c>
      <c r="CF48">
        <v>0.29799999999999999</v>
      </c>
      <c r="CG48">
        <v>188</v>
      </c>
      <c r="CH48">
        <v>1</v>
      </c>
      <c r="CI48">
        <v>0</v>
      </c>
      <c r="CJ48">
        <v>5</v>
      </c>
      <c r="CK48" t="s">
        <v>46</v>
      </c>
    </row>
    <row r="49" spans="1:89" x14ac:dyDescent="0.25">
      <c r="A49">
        <v>48</v>
      </c>
      <c r="B49">
        <v>3</v>
      </c>
      <c r="C49" t="s">
        <v>253</v>
      </c>
      <c r="D49" s="10">
        <v>6.9</v>
      </c>
      <c r="E49" s="6">
        <v>2.2000000000000002</v>
      </c>
      <c r="F49" s="6">
        <f t="shared" si="0"/>
        <v>3.1363636363636362</v>
      </c>
      <c r="G49" s="78">
        <v>1</v>
      </c>
      <c r="H49" s="8">
        <v>0</v>
      </c>
      <c r="I49" s="8">
        <v>0</v>
      </c>
      <c r="J49" s="8">
        <v>0</v>
      </c>
      <c r="K49" s="8">
        <v>0</v>
      </c>
      <c r="L49" s="7">
        <v>294</v>
      </c>
      <c r="M49" s="8">
        <v>4</v>
      </c>
      <c r="N49" s="8">
        <f t="shared" si="1"/>
        <v>289</v>
      </c>
      <c r="O49" s="60">
        <f t="shared" si="2"/>
        <v>14</v>
      </c>
      <c r="P49" s="70">
        <v>14.11</v>
      </c>
      <c r="Q49" s="6">
        <f t="shared" si="5"/>
        <v>17.770000000000003</v>
      </c>
      <c r="R49" s="78">
        <v>1</v>
      </c>
      <c r="S49" s="8">
        <v>0</v>
      </c>
      <c r="T49" s="78">
        <v>1</v>
      </c>
      <c r="U49" s="8">
        <v>0</v>
      </c>
      <c r="V49" s="8">
        <v>0</v>
      </c>
      <c r="W49" s="21">
        <v>0</v>
      </c>
      <c r="X49" s="78">
        <v>0</v>
      </c>
      <c r="Y49" s="8">
        <v>1</v>
      </c>
      <c r="Z49" s="21">
        <v>0</v>
      </c>
      <c r="AA49" s="78">
        <v>1</v>
      </c>
      <c r="AB49" s="21">
        <v>0</v>
      </c>
      <c r="AC49" s="69">
        <v>1993</v>
      </c>
      <c r="AD49" t="s">
        <v>57</v>
      </c>
      <c r="AE49" t="s">
        <v>57</v>
      </c>
      <c r="AF49" t="s">
        <v>57</v>
      </c>
      <c r="AG49" t="s">
        <v>57</v>
      </c>
      <c r="AH49" s="28" t="s">
        <v>57</v>
      </c>
      <c r="AI49" t="s">
        <v>57</v>
      </c>
      <c r="AJ49" s="28">
        <v>0.61</v>
      </c>
      <c r="AK49">
        <v>0.59</v>
      </c>
      <c r="AL49" s="28">
        <v>0.48</v>
      </c>
      <c r="AM49" s="66">
        <f t="shared" si="6"/>
        <v>0.52</v>
      </c>
      <c r="AN49">
        <v>0</v>
      </c>
      <c r="AO49">
        <v>1</v>
      </c>
      <c r="AP49" s="28">
        <v>0.92</v>
      </c>
      <c r="AQ49" s="12">
        <f t="shared" si="7"/>
        <v>7.999999999999996E-2</v>
      </c>
      <c r="AR49" s="12">
        <v>1</v>
      </c>
      <c r="AS49" s="12">
        <v>0</v>
      </c>
      <c r="AT49" s="12">
        <v>0</v>
      </c>
      <c r="AU49" s="62" t="s">
        <v>87</v>
      </c>
      <c r="AV49">
        <v>1</v>
      </c>
      <c r="AW49">
        <v>0</v>
      </c>
      <c r="AX49">
        <v>0</v>
      </c>
      <c r="AY49">
        <v>0</v>
      </c>
      <c r="AZ49">
        <v>0</v>
      </c>
      <c r="BA49">
        <v>0</v>
      </c>
      <c r="BB49">
        <v>0</v>
      </c>
      <c r="BC49">
        <v>1</v>
      </c>
      <c r="BD49">
        <v>0</v>
      </c>
      <c r="BE49">
        <v>0</v>
      </c>
      <c r="BF49">
        <v>25687</v>
      </c>
      <c r="BG49">
        <v>1381</v>
      </c>
      <c r="BH49">
        <v>0.92600000000000005</v>
      </c>
      <c r="BI49" s="64">
        <v>37.880000000000003</v>
      </c>
      <c r="BJ49">
        <v>0</v>
      </c>
      <c r="BK49">
        <v>1</v>
      </c>
      <c r="BL49">
        <v>0</v>
      </c>
      <c r="BM49">
        <v>0</v>
      </c>
      <c r="BN49">
        <v>1</v>
      </c>
      <c r="BO49">
        <v>0</v>
      </c>
      <c r="BP49">
        <v>0</v>
      </c>
      <c r="BQ49" s="28">
        <v>0</v>
      </c>
      <c r="BR49">
        <v>0</v>
      </c>
      <c r="BS49">
        <v>0</v>
      </c>
      <c r="BT49" s="28">
        <v>0</v>
      </c>
      <c r="BU49">
        <v>0</v>
      </c>
      <c r="BV49">
        <v>1</v>
      </c>
      <c r="BW49">
        <v>0</v>
      </c>
      <c r="BX49">
        <v>0</v>
      </c>
      <c r="BY49">
        <v>0</v>
      </c>
      <c r="BZ49">
        <v>0</v>
      </c>
      <c r="CA49">
        <v>1</v>
      </c>
      <c r="CB49">
        <v>0</v>
      </c>
      <c r="CC49">
        <v>1</v>
      </c>
      <c r="CD49">
        <v>0</v>
      </c>
      <c r="CE49" s="16">
        <v>0</v>
      </c>
      <c r="CF49">
        <v>0.29799999999999999</v>
      </c>
      <c r="CG49">
        <v>188</v>
      </c>
      <c r="CH49">
        <v>1</v>
      </c>
      <c r="CI49">
        <v>0</v>
      </c>
      <c r="CJ49">
        <v>5</v>
      </c>
      <c r="CK49" t="s">
        <v>46</v>
      </c>
    </row>
    <row r="50" spans="1:89" x14ac:dyDescent="0.25">
      <c r="A50">
        <v>49</v>
      </c>
      <c r="B50">
        <v>3</v>
      </c>
      <c r="C50" t="s">
        <v>253</v>
      </c>
      <c r="D50" s="10">
        <v>7.6</v>
      </c>
      <c r="E50" s="6">
        <v>3.9</v>
      </c>
      <c r="F50" s="6">
        <f t="shared" si="0"/>
        <v>1.9487179487179487</v>
      </c>
      <c r="G50" s="78">
        <v>1</v>
      </c>
      <c r="H50" s="8">
        <v>0</v>
      </c>
      <c r="I50" s="8">
        <v>0</v>
      </c>
      <c r="J50" s="8">
        <v>0</v>
      </c>
      <c r="K50" s="8">
        <v>0</v>
      </c>
      <c r="L50" s="7">
        <v>294</v>
      </c>
      <c r="M50" s="8">
        <v>4</v>
      </c>
      <c r="N50" s="8">
        <f t="shared" si="1"/>
        <v>289</v>
      </c>
      <c r="O50" s="60">
        <f t="shared" si="2"/>
        <v>14</v>
      </c>
      <c r="P50" s="70">
        <v>14.11</v>
      </c>
      <c r="Q50" s="6">
        <f t="shared" si="5"/>
        <v>17.770000000000003</v>
      </c>
      <c r="R50" s="78">
        <v>1</v>
      </c>
      <c r="S50" s="8">
        <v>0</v>
      </c>
      <c r="T50" s="78">
        <v>1</v>
      </c>
      <c r="U50" s="8">
        <v>0</v>
      </c>
      <c r="V50" s="8">
        <v>0</v>
      </c>
      <c r="W50" s="21">
        <v>0</v>
      </c>
      <c r="X50" s="78">
        <v>0</v>
      </c>
      <c r="Y50" s="8">
        <v>1</v>
      </c>
      <c r="Z50" s="21">
        <v>0</v>
      </c>
      <c r="AA50" s="78">
        <v>1</v>
      </c>
      <c r="AB50" s="21">
        <v>0</v>
      </c>
      <c r="AC50" s="69">
        <v>1993</v>
      </c>
      <c r="AD50" t="s">
        <v>57</v>
      </c>
      <c r="AE50" t="s">
        <v>57</v>
      </c>
      <c r="AF50" t="s">
        <v>57</v>
      </c>
      <c r="AG50" t="s">
        <v>57</v>
      </c>
      <c r="AH50" s="28" t="s">
        <v>57</v>
      </c>
      <c r="AI50" t="s">
        <v>57</v>
      </c>
      <c r="AJ50" s="28">
        <v>0.61</v>
      </c>
      <c r="AK50">
        <v>0.59</v>
      </c>
      <c r="AL50" s="28">
        <v>0.48</v>
      </c>
      <c r="AM50" s="66">
        <f t="shared" si="6"/>
        <v>0.52</v>
      </c>
      <c r="AN50">
        <v>0</v>
      </c>
      <c r="AO50">
        <v>1</v>
      </c>
      <c r="AP50" s="28">
        <v>0.92</v>
      </c>
      <c r="AQ50" s="12">
        <f t="shared" si="7"/>
        <v>7.999999999999996E-2</v>
      </c>
      <c r="AR50" s="12">
        <v>1</v>
      </c>
      <c r="AS50" s="12">
        <v>0</v>
      </c>
      <c r="AT50" s="12">
        <v>0</v>
      </c>
      <c r="AU50" s="62" t="s">
        <v>87</v>
      </c>
      <c r="AV50">
        <v>1</v>
      </c>
      <c r="AW50">
        <v>0</v>
      </c>
      <c r="AX50">
        <v>0</v>
      </c>
      <c r="AY50">
        <v>0</v>
      </c>
      <c r="AZ50">
        <v>0</v>
      </c>
      <c r="BA50">
        <v>0</v>
      </c>
      <c r="BB50">
        <v>0</v>
      </c>
      <c r="BC50">
        <v>1</v>
      </c>
      <c r="BD50">
        <v>0</v>
      </c>
      <c r="BE50">
        <v>0</v>
      </c>
      <c r="BF50">
        <v>25687</v>
      </c>
      <c r="BG50">
        <v>1381</v>
      </c>
      <c r="BH50">
        <v>0.92600000000000005</v>
      </c>
      <c r="BI50" s="64">
        <v>37.880000000000003</v>
      </c>
      <c r="BJ50">
        <v>0</v>
      </c>
      <c r="BK50">
        <v>0</v>
      </c>
      <c r="BL50">
        <v>0</v>
      </c>
      <c r="BM50">
        <v>0</v>
      </c>
      <c r="BN50">
        <v>0</v>
      </c>
      <c r="BO50">
        <v>0</v>
      </c>
      <c r="BP50">
        <v>1</v>
      </c>
      <c r="BQ50" s="28">
        <v>0</v>
      </c>
      <c r="BR50">
        <v>0</v>
      </c>
      <c r="BS50">
        <v>0</v>
      </c>
      <c r="BT50" s="28">
        <v>0</v>
      </c>
      <c r="BU50">
        <v>0</v>
      </c>
      <c r="BV50">
        <v>1</v>
      </c>
      <c r="BW50">
        <v>0</v>
      </c>
      <c r="BX50">
        <v>0</v>
      </c>
      <c r="BY50">
        <v>0</v>
      </c>
      <c r="BZ50">
        <v>0</v>
      </c>
      <c r="CA50">
        <v>1</v>
      </c>
      <c r="CB50">
        <v>0</v>
      </c>
      <c r="CC50">
        <v>1</v>
      </c>
      <c r="CD50">
        <v>0</v>
      </c>
      <c r="CE50" s="16">
        <v>0</v>
      </c>
      <c r="CF50">
        <v>0.29799999999999999</v>
      </c>
      <c r="CG50">
        <v>188</v>
      </c>
      <c r="CH50">
        <v>1</v>
      </c>
      <c r="CI50">
        <v>0</v>
      </c>
      <c r="CJ50">
        <v>5</v>
      </c>
      <c r="CK50" t="s">
        <v>46</v>
      </c>
    </row>
    <row r="51" spans="1:89" x14ac:dyDescent="0.25">
      <c r="A51">
        <v>50</v>
      </c>
      <c r="B51">
        <v>3</v>
      </c>
      <c r="C51" t="s">
        <v>253</v>
      </c>
      <c r="D51" s="10">
        <v>4</v>
      </c>
      <c r="E51" s="6">
        <v>2.1</v>
      </c>
      <c r="F51" s="6">
        <f t="shared" si="0"/>
        <v>1.9047619047619047</v>
      </c>
      <c r="G51" s="78">
        <v>1</v>
      </c>
      <c r="H51" s="8">
        <v>0</v>
      </c>
      <c r="I51" s="8">
        <v>0</v>
      </c>
      <c r="J51" s="8">
        <v>0</v>
      </c>
      <c r="K51" s="8">
        <v>0</v>
      </c>
      <c r="L51" s="7">
        <v>294</v>
      </c>
      <c r="M51" s="8">
        <v>4</v>
      </c>
      <c r="N51" s="8">
        <f t="shared" si="1"/>
        <v>289</v>
      </c>
      <c r="O51" s="60">
        <f t="shared" si="2"/>
        <v>14</v>
      </c>
      <c r="P51" s="70">
        <v>14.11</v>
      </c>
      <c r="Q51" s="6">
        <f t="shared" si="5"/>
        <v>17.770000000000003</v>
      </c>
      <c r="R51" s="78">
        <v>1</v>
      </c>
      <c r="S51" s="8">
        <v>0</v>
      </c>
      <c r="T51" s="78">
        <v>1</v>
      </c>
      <c r="U51" s="8">
        <v>0</v>
      </c>
      <c r="V51" s="8">
        <v>0</v>
      </c>
      <c r="W51" s="21">
        <v>0</v>
      </c>
      <c r="X51" s="78">
        <v>0</v>
      </c>
      <c r="Y51" s="8">
        <v>1</v>
      </c>
      <c r="Z51" s="21">
        <v>0</v>
      </c>
      <c r="AA51" s="78">
        <v>1</v>
      </c>
      <c r="AB51" s="21">
        <v>0</v>
      </c>
      <c r="AC51" s="69">
        <v>1993</v>
      </c>
      <c r="AD51" t="s">
        <v>57</v>
      </c>
      <c r="AE51" t="s">
        <v>57</v>
      </c>
      <c r="AF51" t="s">
        <v>57</v>
      </c>
      <c r="AG51" t="s">
        <v>57</v>
      </c>
      <c r="AH51" s="28" t="s">
        <v>57</v>
      </c>
      <c r="AI51" t="s">
        <v>57</v>
      </c>
      <c r="AJ51" s="28">
        <v>0.61</v>
      </c>
      <c r="AK51">
        <v>0.59</v>
      </c>
      <c r="AL51" s="28">
        <v>0.48</v>
      </c>
      <c r="AM51" s="66">
        <f t="shared" si="6"/>
        <v>0.52</v>
      </c>
      <c r="AN51">
        <v>0</v>
      </c>
      <c r="AO51">
        <v>1</v>
      </c>
      <c r="AP51" s="28">
        <v>0.92</v>
      </c>
      <c r="AQ51" s="12">
        <f t="shared" si="7"/>
        <v>7.999999999999996E-2</v>
      </c>
      <c r="AR51" s="12">
        <v>1</v>
      </c>
      <c r="AS51" s="12">
        <v>0</v>
      </c>
      <c r="AT51" s="12">
        <v>0</v>
      </c>
      <c r="AU51" s="62" t="s">
        <v>87</v>
      </c>
      <c r="AV51">
        <v>1</v>
      </c>
      <c r="AW51">
        <v>0</v>
      </c>
      <c r="AX51">
        <v>0</v>
      </c>
      <c r="AY51">
        <v>0</v>
      </c>
      <c r="AZ51">
        <v>0</v>
      </c>
      <c r="BA51">
        <v>0</v>
      </c>
      <c r="BB51">
        <v>0</v>
      </c>
      <c r="BC51">
        <v>1</v>
      </c>
      <c r="BD51">
        <v>0</v>
      </c>
      <c r="BE51">
        <v>0</v>
      </c>
      <c r="BF51">
        <v>25687</v>
      </c>
      <c r="BG51">
        <v>1381</v>
      </c>
      <c r="BH51">
        <v>0.92600000000000005</v>
      </c>
      <c r="BI51" s="64">
        <v>37.880000000000003</v>
      </c>
      <c r="BJ51">
        <v>0</v>
      </c>
      <c r="BK51">
        <v>0</v>
      </c>
      <c r="BL51">
        <v>0</v>
      </c>
      <c r="BM51">
        <v>0</v>
      </c>
      <c r="BN51">
        <v>1</v>
      </c>
      <c r="BO51">
        <v>0</v>
      </c>
      <c r="BP51">
        <v>0</v>
      </c>
      <c r="BQ51" s="28">
        <v>0</v>
      </c>
      <c r="BR51">
        <v>0</v>
      </c>
      <c r="BS51">
        <v>0</v>
      </c>
      <c r="BT51" s="28">
        <v>0</v>
      </c>
      <c r="BU51">
        <v>0</v>
      </c>
      <c r="BV51">
        <v>1</v>
      </c>
      <c r="BW51">
        <v>0</v>
      </c>
      <c r="BX51">
        <v>0</v>
      </c>
      <c r="BY51">
        <v>0</v>
      </c>
      <c r="BZ51">
        <v>0</v>
      </c>
      <c r="CA51">
        <v>1</v>
      </c>
      <c r="CB51">
        <v>0</v>
      </c>
      <c r="CC51">
        <v>1</v>
      </c>
      <c r="CD51">
        <v>0</v>
      </c>
      <c r="CE51" s="16">
        <v>0</v>
      </c>
      <c r="CF51">
        <v>0.29799999999999999</v>
      </c>
      <c r="CG51">
        <v>188</v>
      </c>
      <c r="CH51">
        <v>1</v>
      </c>
      <c r="CI51">
        <v>0</v>
      </c>
      <c r="CJ51">
        <v>5</v>
      </c>
      <c r="CK51" t="s">
        <v>46</v>
      </c>
    </row>
    <row r="52" spans="1:89" x14ac:dyDescent="0.25">
      <c r="A52">
        <v>51</v>
      </c>
      <c r="B52">
        <v>3</v>
      </c>
      <c r="C52" t="s">
        <v>253</v>
      </c>
      <c r="D52" s="10">
        <v>10.4</v>
      </c>
      <c r="E52" s="6">
        <v>3</v>
      </c>
      <c r="F52" s="6">
        <f t="shared" si="0"/>
        <v>3.4666666666666668</v>
      </c>
      <c r="G52" s="78">
        <v>1</v>
      </c>
      <c r="H52" s="8">
        <v>0</v>
      </c>
      <c r="I52" s="8">
        <v>0</v>
      </c>
      <c r="J52" s="8">
        <v>0</v>
      </c>
      <c r="K52" s="8">
        <v>0</v>
      </c>
      <c r="L52" s="7">
        <v>294</v>
      </c>
      <c r="M52" s="8">
        <v>4</v>
      </c>
      <c r="N52" s="8">
        <f t="shared" si="1"/>
        <v>289</v>
      </c>
      <c r="O52" s="60">
        <f t="shared" si="2"/>
        <v>14</v>
      </c>
      <c r="P52" s="70">
        <v>14.11</v>
      </c>
      <c r="Q52" s="6">
        <f t="shared" si="5"/>
        <v>17.770000000000003</v>
      </c>
      <c r="R52" s="78">
        <v>1</v>
      </c>
      <c r="S52" s="8">
        <v>0</v>
      </c>
      <c r="T52" s="78">
        <v>1</v>
      </c>
      <c r="U52" s="8">
        <v>0</v>
      </c>
      <c r="V52" s="8">
        <v>0</v>
      </c>
      <c r="W52" s="21">
        <v>0</v>
      </c>
      <c r="X52" s="78">
        <v>0</v>
      </c>
      <c r="Y52" s="8">
        <v>1</v>
      </c>
      <c r="Z52" s="21">
        <v>0</v>
      </c>
      <c r="AA52" s="78">
        <v>1</v>
      </c>
      <c r="AB52" s="21">
        <v>0</v>
      </c>
      <c r="AC52" s="69">
        <v>1993</v>
      </c>
      <c r="AD52" t="s">
        <v>57</v>
      </c>
      <c r="AE52" t="s">
        <v>57</v>
      </c>
      <c r="AF52" t="s">
        <v>57</v>
      </c>
      <c r="AG52" t="s">
        <v>57</v>
      </c>
      <c r="AH52" s="28" t="s">
        <v>57</v>
      </c>
      <c r="AI52" t="s">
        <v>57</v>
      </c>
      <c r="AJ52" s="28">
        <v>0.61</v>
      </c>
      <c r="AK52">
        <v>0.59</v>
      </c>
      <c r="AL52" s="28">
        <v>0.48</v>
      </c>
      <c r="AM52" s="66">
        <f t="shared" si="6"/>
        <v>0.52</v>
      </c>
      <c r="AN52">
        <v>0</v>
      </c>
      <c r="AO52">
        <v>1</v>
      </c>
      <c r="AP52" s="28">
        <v>0.92</v>
      </c>
      <c r="AQ52" s="12">
        <f t="shared" si="7"/>
        <v>7.999999999999996E-2</v>
      </c>
      <c r="AR52" s="12">
        <v>1</v>
      </c>
      <c r="AS52" s="12">
        <v>0</v>
      </c>
      <c r="AT52" s="12">
        <v>0</v>
      </c>
      <c r="AU52" s="62" t="s">
        <v>87</v>
      </c>
      <c r="AV52">
        <v>1</v>
      </c>
      <c r="AW52">
        <v>0</v>
      </c>
      <c r="AX52">
        <v>0</v>
      </c>
      <c r="AY52">
        <v>0</v>
      </c>
      <c r="AZ52">
        <v>0</v>
      </c>
      <c r="BA52">
        <v>0</v>
      </c>
      <c r="BB52">
        <v>0</v>
      </c>
      <c r="BC52">
        <v>1</v>
      </c>
      <c r="BD52">
        <v>0</v>
      </c>
      <c r="BE52">
        <v>0</v>
      </c>
      <c r="BF52">
        <v>25687</v>
      </c>
      <c r="BG52">
        <v>1381</v>
      </c>
      <c r="BH52">
        <v>0.92600000000000005</v>
      </c>
      <c r="BI52" s="64">
        <v>37.880000000000003</v>
      </c>
      <c r="BJ52">
        <v>0</v>
      </c>
      <c r="BK52">
        <v>0</v>
      </c>
      <c r="BL52">
        <v>0</v>
      </c>
      <c r="BM52">
        <v>0</v>
      </c>
      <c r="BN52">
        <v>0</v>
      </c>
      <c r="BO52">
        <v>0</v>
      </c>
      <c r="BP52">
        <v>1</v>
      </c>
      <c r="BQ52" s="28">
        <v>0</v>
      </c>
      <c r="BR52">
        <v>0</v>
      </c>
      <c r="BS52">
        <v>0</v>
      </c>
      <c r="BT52" s="28">
        <v>0</v>
      </c>
      <c r="BU52">
        <v>0</v>
      </c>
      <c r="BV52">
        <v>1</v>
      </c>
      <c r="BW52">
        <v>0</v>
      </c>
      <c r="BX52">
        <v>0</v>
      </c>
      <c r="BY52">
        <v>0</v>
      </c>
      <c r="BZ52">
        <v>0</v>
      </c>
      <c r="CA52">
        <v>1</v>
      </c>
      <c r="CB52">
        <v>0</v>
      </c>
      <c r="CC52">
        <v>1</v>
      </c>
      <c r="CD52">
        <v>0</v>
      </c>
      <c r="CE52" s="16">
        <v>0</v>
      </c>
      <c r="CF52">
        <v>0.29799999999999999</v>
      </c>
      <c r="CG52">
        <v>188</v>
      </c>
      <c r="CH52">
        <v>1</v>
      </c>
      <c r="CI52">
        <v>0</v>
      </c>
      <c r="CJ52">
        <v>5</v>
      </c>
      <c r="CK52" t="s">
        <v>46</v>
      </c>
    </row>
    <row r="53" spans="1:89" x14ac:dyDescent="0.25">
      <c r="A53">
        <v>52</v>
      </c>
      <c r="B53">
        <v>4</v>
      </c>
      <c r="C53" t="s">
        <v>260</v>
      </c>
      <c r="D53" s="10">
        <v>7.8</v>
      </c>
      <c r="E53" s="6">
        <v>0.2</v>
      </c>
      <c r="F53" s="6">
        <f t="shared" si="0"/>
        <v>39</v>
      </c>
      <c r="G53" s="78">
        <v>1</v>
      </c>
      <c r="H53" s="8">
        <v>0</v>
      </c>
      <c r="I53" s="8">
        <v>0</v>
      </c>
      <c r="J53" s="8">
        <v>0</v>
      </c>
      <c r="K53" s="8">
        <v>0</v>
      </c>
      <c r="L53" s="78">
        <v>4398</v>
      </c>
      <c r="M53" s="70">
        <v>3</v>
      </c>
      <c r="N53" s="70">
        <f t="shared" si="1"/>
        <v>4394</v>
      </c>
      <c r="O53" s="60">
        <f t="shared" si="2"/>
        <v>12</v>
      </c>
      <c r="P53" s="70">
        <v>12.1</v>
      </c>
      <c r="Q53" s="70">
        <v>6.9</v>
      </c>
      <c r="R53" s="78">
        <v>0</v>
      </c>
      <c r="S53" s="70">
        <v>1</v>
      </c>
      <c r="T53" s="78">
        <v>1</v>
      </c>
      <c r="U53" s="8">
        <v>0</v>
      </c>
      <c r="V53" s="8">
        <v>0</v>
      </c>
      <c r="W53" s="21">
        <v>0</v>
      </c>
      <c r="X53" s="78">
        <v>0</v>
      </c>
      <c r="Y53" s="70">
        <v>1</v>
      </c>
      <c r="Z53" s="70">
        <v>0</v>
      </c>
      <c r="AA53" s="78">
        <v>1</v>
      </c>
      <c r="AB53" s="70">
        <v>0</v>
      </c>
      <c r="AC53" s="69">
        <v>1999</v>
      </c>
      <c r="AD53" t="s">
        <v>57</v>
      </c>
      <c r="AE53" t="s">
        <v>57</v>
      </c>
      <c r="AF53" t="s">
        <v>57</v>
      </c>
      <c r="AG53" t="s">
        <v>57</v>
      </c>
      <c r="AH53" s="28">
        <f t="shared" ref="AH53:AH64" si="8">1-AI53</f>
        <v>0.95199999999999996</v>
      </c>
      <c r="AI53">
        <v>4.8000000000000001E-2</v>
      </c>
      <c r="AJ53" s="28">
        <v>0</v>
      </c>
      <c r="AK53">
        <v>1</v>
      </c>
      <c r="AL53" s="28">
        <v>0.59499999999999997</v>
      </c>
      <c r="AM53" s="66">
        <f t="shared" si="6"/>
        <v>0.40500000000000003</v>
      </c>
      <c r="AN53">
        <v>1</v>
      </c>
      <c r="AO53">
        <v>0</v>
      </c>
      <c r="AP53" s="28">
        <v>0.94899999999999995</v>
      </c>
      <c r="AQ53" s="12">
        <f t="shared" si="7"/>
        <v>5.1000000000000045E-2</v>
      </c>
      <c r="AR53" s="12">
        <v>0</v>
      </c>
      <c r="AS53" s="12">
        <v>0</v>
      </c>
      <c r="AT53" s="12">
        <v>1</v>
      </c>
      <c r="AU53" s="62" t="s">
        <v>334</v>
      </c>
      <c r="AV53">
        <v>1</v>
      </c>
      <c r="AW53">
        <v>0</v>
      </c>
      <c r="AX53">
        <v>1</v>
      </c>
      <c r="AY53">
        <v>0</v>
      </c>
      <c r="AZ53">
        <v>0</v>
      </c>
      <c r="BA53">
        <v>0</v>
      </c>
      <c r="BB53">
        <v>0</v>
      </c>
      <c r="BC53">
        <v>1</v>
      </c>
      <c r="BD53">
        <v>0</v>
      </c>
      <c r="BE53">
        <v>0</v>
      </c>
      <c r="BF53">
        <v>23477</v>
      </c>
      <c r="BG53">
        <v>1423</v>
      </c>
      <c r="BH53">
        <v>0.92400000000000004</v>
      </c>
      <c r="BI53" s="64">
        <v>38.9</v>
      </c>
      <c r="BJ53">
        <v>1</v>
      </c>
      <c r="BK53">
        <v>0</v>
      </c>
      <c r="BL53">
        <v>0</v>
      </c>
      <c r="BM53">
        <v>0</v>
      </c>
      <c r="BN53">
        <v>0</v>
      </c>
      <c r="BO53">
        <v>0</v>
      </c>
      <c r="BP53">
        <v>0</v>
      </c>
      <c r="BQ53" s="28">
        <v>0</v>
      </c>
      <c r="BR53">
        <v>0</v>
      </c>
      <c r="BS53">
        <v>0</v>
      </c>
      <c r="BT53" s="28">
        <v>1</v>
      </c>
      <c r="BU53">
        <v>1</v>
      </c>
      <c r="BV53">
        <v>0</v>
      </c>
      <c r="BW53">
        <v>0</v>
      </c>
      <c r="BX53">
        <v>0</v>
      </c>
      <c r="BY53">
        <v>0</v>
      </c>
      <c r="BZ53">
        <v>0</v>
      </c>
      <c r="CA53">
        <v>0</v>
      </c>
      <c r="CB53">
        <v>0</v>
      </c>
      <c r="CC53">
        <v>0</v>
      </c>
      <c r="CD53">
        <v>0</v>
      </c>
      <c r="CE53" s="16">
        <v>0</v>
      </c>
      <c r="CF53">
        <v>3.0070000000000001</v>
      </c>
      <c r="CG53">
        <v>158</v>
      </c>
      <c r="CH53">
        <v>1</v>
      </c>
      <c r="CI53">
        <v>0</v>
      </c>
      <c r="CJ53">
        <v>9</v>
      </c>
      <c r="CK53" t="s">
        <v>46</v>
      </c>
    </row>
    <row r="54" spans="1:89" x14ac:dyDescent="0.25">
      <c r="A54">
        <v>53</v>
      </c>
      <c r="B54">
        <v>4</v>
      </c>
      <c r="C54" t="s">
        <v>260</v>
      </c>
      <c r="D54" s="10">
        <v>7.7</v>
      </c>
      <c r="E54" s="6">
        <v>1.1000000000000001</v>
      </c>
      <c r="F54" s="6">
        <f t="shared" si="0"/>
        <v>7</v>
      </c>
      <c r="G54" s="78">
        <v>1</v>
      </c>
      <c r="H54" s="8">
        <v>0</v>
      </c>
      <c r="I54" s="8">
        <v>0</v>
      </c>
      <c r="J54" s="8">
        <v>0</v>
      </c>
      <c r="K54" s="8">
        <v>0</v>
      </c>
      <c r="L54" s="78">
        <v>428</v>
      </c>
      <c r="M54" s="70">
        <v>3</v>
      </c>
      <c r="N54" s="70">
        <f t="shared" si="1"/>
        <v>424</v>
      </c>
      <c r="O54" s="60">
        <f t="shared" si="2"/>
        <v>12</v>
      </c>
      <c r="P54" s="70">
        <v>13.2</v>
      </c>
      <c r="Q54" s="70">
        <v>11.9</v>
      </c>
      <c r="R54" s="78">
        <v>0</v>
      </c>
      <c r="S54" s="70">
        <v>1</v>
      </c>
      <c r="T54" s="78">
        <v>1</v>
      </c>
      <c r="U54" s="8">
        <v>0</v>
      </c>
      <c r="V54" s="8">
        <v>0</v>
      </c>
      <c r="W54" s="21">
        <v>0</v>
      </c>
      <c r="X54" s="78">
        <v>0</v>
      </c>
      <c r="Y54" s="70">
        <v>1</v>
      </c>
      <c r="Z54" s="70">
        <v>0</v>
      </c>
      <c r="AA54" s="78">
        <v>1</v>
      </c>
      <c r="AB54" s="70">
        <v>0</v>
      </c>
      <c r="AC54" s="69">
        <v>1999</v>
      </c>
      <c r="AD54" t="s">
        <v>57</v>
      </c>
      <c r="AE54" t="s">
        <v>57</v>
      </c>
      <c r="AF54" t="s">
        <v>57</v>
      </c>
      <c r="AG54" t="s">
        <v>57</v>
      </c>
      <c r="AH54" s="28">
        <f t="shared" si="8"/>
        <v>0.95099999999999996</v>
      </c>
      <c r="AI54">
        <v>4.9000000000000002E-2</v>
      </c>
      <c r="AJ54" s="28">
        <v>0</v>
      </c>
      <c r="AK54">
        <v>1</v>
      </c>
      <c r="AL54" s="28">
        <v>0.61299999999999999</v>
      </c>
      <c r="AM54" s="66">
        <f t="shared" si="6"/>
        <v>0.38700000000000001</v>
      </c>
      <c r="AN54">
        <v>1</v>
      </c>
      <c r="AO54">
        <v>0</v>
      </c>
      <c r="AP54" s="28">
        <v>0.98299999999999998</v>
      </c>
      <c r="AQ54" s="12">
        <f t="shared" si="7"/>
        <v>1.7000000000000015E-2</v>
      </c>
      <c r="AR54" s="12">
        <v>1</v>
      </c>
      <c r="AS54" s="12">
        <v>0</v>
      </c>
      <c r="AT54" s="12">
        <v>0</v>
      </c>
      <c r="AU54" s="62" t="s">
        <v>334</v>
      </c>
      <c r="AV54">
        <v>1</v>
      </c>
      <c r="AW54">
        <v>0</v>
      </c>
      <c r="AX54">
        <v>1</v>
      </c>
      <c r="AY54">
        <v>0</v>
      </c>
      <c r="AZ54">
        <v>0</v>
      </c>
      <c r="BA54">
        <v>0</v>
      </c>
      <c r="BB54">
        <v>0</v>
      </c>
      <c r="BC54">
        <v>1</v>
      </c>
      <c r="BD54">
        <v>0</v>
      </c>
      <c r="BE54">
        <v>0</v>
      </c>
      <c r="BF54">
        <v>23477</v>
      </c>
      <c r="BG54">
        <v>1423</v>
      </c>
      <c r="BH54">
        <v>0.92400000000000004</v>
      </c>
      <c r="BI54" s="64">
        <v>42.5</v>
      </c>
      <c r="BJ54">
        <v>1</v>
      </c>
      <c r="BK54">
        <v>0</v>
      </c>
      <c r="BL54">
        <v>0</v>
      </c>
      <c r="BM54">
        <v>0</v>
      </c>
      <c r="BN54">
        <v>0</v>
      </c>
      <c r="BO54">
        <v>0</v>
      </c>
      <c r="BP54">
        <v>0</v>
      </c>
      <c r="BQ54" s="28">
        <v>0</v>
      </c>
      <c r="BR54">
        <v>0</v>
      </c>
      <c r="BS54">
        <v>0</v>
      </c>
      <c r="BT54" s="28">
        <v>1</v>
      </c>
      <c r="BU54">
        <v>1</v>
      </c>
      <c r="BV54">
        <v>0</v>
      </c>
      <c r="BW54">
        <v>0</v>
      </c>
      <c r="BX54">
        <v>0</v>
      </c>
      <c r="BY54">
        <v>0</v>
      </c>
      <c r="BZ54">
        <v>0</v>
      </c>
      <c r="CA54">
        <v>0</v>
      </c>
      <c r="CB54">
        <v>0</v>
      </c>
      <c r="CC54">
        <v>0</v>
      </c>
      <c r="CD54">
        <v>0</v>
      </c>
      <c r="CE54" s="16">
        <v>0</v>
      </c>
      <c r="CF54">
        <v>3.0070000000000001</v>
      </c>
      <c r="CG54">
        <v>158</v>
      </c>
      <c r="CH54">
        <v>1</v>
      </c>
      <c r="CI54">
        <v>0</v>
      </c>
      <c r="CJ54">
        <v>9</v>
      </c>
      <c r="CK54" t="s">
        <v>46</v>
      </c>
    </row>
    <row r="55" spans="1:89" x14ac:dyDescent="0.25">
      <c r="A55">
        <v>54</v>
      </c>
      <c r="B55">
        <v>4</v>
      </c>
      <c r="C55" t="s">
        <v>260</v>
      </c>
      <c r="D55" s="10">
        <v>8.5</v>
      </c>
      <c r="E55" s="6">
        <v>1.2</v>
      </c>
      <c r="F55" s="6">
        <f t="shared" si="0"/>
        <v>7.0833333333333339</v>
      </c>
      <c r="G55" s="78">
        <v>1</v>
      </c>
      <c r="H55" s="8">
        <v>0</v>
      </c>
      <c r="I55" s="8">
        <v>0</v>
      </c>
      <c r="J55" s="8">
        <v>0</v>
      </c>
      <c r="K55" s="8">
        <v>0</v>
      </c>
      <c r="L55" s="78">
        <v>428</v>
      </c>
      <c r="M55" s="70">
        <v>3</v>
      </c>
      <c r="N55" s="70">
        <f t="shared" si="1"/>
        <v>424</v>
      </c>
      <c r="O55" s="60">
        <f t="shared" si="2"/>
        <v>12</v>
      </c>
      <c r="P55" s="70">
        <v>13.2</v>
      </c>
      <c r="Q55" s="70">
        <v>11.9</v>
      </c>
      <c r="R55" s="78">
        <v>0</v>
      </c>
      <c r="S55" s="70">
        <v>1</v>
      </c>
      <c r="T55" s="78">
        <v>1</v>
      </c>
      <c r="U55" s="8">
        <v>0</v>
      </c>
      <c r="V55" s="8">
        <v>0</v>
      </c>
      <c r="W55" s="21">
        <v>0</v>
      </c>
      <c r="X55" s="78">
        <v>0</v>
      </c>
      <c r="Y55" s="70">
        <v>1</v>
      </c>
      <c r="Z55" s="70">
        <v>0</v>
      </c>
      <c r="AA55" s="78">
        <v>1</v>
      </c>
      <c r="AB55" s="70">
        <v>0</v>
      </c>
      <c r="AC55" s="69">
        <v>1999</v>
      </c>
      <c r="AD55" t="s">
        <v>57</v>
      </c>
      <c r="AE55" t="s">
        <v>57</v>
      </c>
      <c r="AF55" t="s">
        <v>57</v>
      </c>
      <c r="AG55" t="s">
        <v>57</v>
      </c>
      <c r="AH55" s="28">
        <f t="shared" si="8"/>
        <v>0.95099999999999996</v>
      </c>
      <c r="AI55">
        <v>4.9000000000000002E-2</v>
      </c>
      <c r="AJ55" s="28">
        <v>0</v>
      </c>
      <c r="AK55">
        <v>1</v>
      </c>
      <c r="AL55" s="28">
        <v>0.61299999999999999</v>
      </c>
      <c r="AM55" s="66">
        <f t="shared" si="6"/>
        <v>0.38700000000000001</v>
      </c>
      <c r="AN55">
        <v>1</v>
      </c>
      <c r="AO55">
        <v>0</v>
      </c>
      <c r="AP55" s="28">
        <v>0.98299999999999998</v>
      </c>
      <c r="AQ55" s="12">
        <f t="shared" si="7"/>
        <v>1.7000000000000015E-2</v>
      </c>
      <c r="AR55" s="12">
        <v>1</v>
      </c>
      <c r="AS55" s="12">
        <v>0</v>
      </c>
      <c r="AT55" s="12">
        <v>0</v>
      </c>
      <c r="AU55" s="62" t="s">
        <v>334</v>
      </c>
      <c r="AV55">
        <v>1</v>
      </c>
      <c r="AW55">
        <v>0</v>
      </c>
      <c r="AX55">
        <v>1</v>
      </c>
      <c r="AY55">
        <v>0</v>
      </c>
      <c r="AZ55">
        <v>0</v>
      </c>
      <c r="BA55">
        <v>0</v>
      </c>
      <c r="BB55">
        <v>0</v>
      </c>
      <c r="BC55">
        <v>1</v>
      </c>
      <c r="BD55">
        <v>0</v>
      </c>
      <c r="BE55">
        <v>0</v>
      </c>
      <c r="BF55">
        <v>23477</v>
      </c>
      <c r="BG55">
        <v>1423</v>
      </c>
      <c r="BH55">
        <v>0.92400000000000004</v>
      </c>
      <c r="BI55" s="64">
        <v>42.5</v>
      </c>
      <c r="BJ55">
        <v>0</v>
      </c>
      <c r="BK55">
        <v>0</v>
      </c>
      <c r="BL55">
        <v>0</v>
      </c>
      <c r="BM55">
        <v>0</v>
      </c>
      <c r="BN55">
        <v>0</v>
      </c>
      <c r="BO55">
        <v>0</v>
      </c>
      <c r="BP55">
        <v>1</v>
      </c>
      <c r="BQ55" s="28">
        <v>1</v>
      </c>
      <c r="BR55">
        <v>0</v>
      </c>
      <c r="BS55">
        <v>0</v>
      </c>
      <c r="BT55" s="28">
        <v>1</v>
      </c>
      <c r="BU55">
        <v>1</v>
      </c>
      <c r="BV55">
        <v>0</v>
      </c>
      <c r="BW55">
        <v>0</v>
      </c>
      <c r="BX55">
        <v>0</v>
      </c>
      <c r="BY55">
        <v>0</v>
      </c>
      <c r="BZ55">
        <v>0</v>
      </c>
      <c r="CA55">
        <v>0</v>
      </c>
      <c r="CB55">
        <v>0</v>
      </c>
      <c r="CC55">
        <v>0</v>
      </c>
      <c r="CD55">
        <v>0</v>
      </c>
      <c r="CE55" s="16">
        <v>0</v>
      </c>
      <c r="CF55">
        <v>3.0070000000000001</v>
      </c>
      <c r="CG55">
        <v>158</v>
      </c>
      <c r="CH55">
        <v>1</v>
      </c>
      <c r="CI55">
        <v>0</v>
      </c>
      <c r="CJ55">
        <v>9</v>
      </c>
      <c r="CK55" t="s">
        <v>46</v>
      </c>
    </row>
    <row r="56" spans="1:89" x14ac:dyDescent="0.25">
      <c r="A56">
        <v>55</v>
      </c>
      <c r="B56">
        <v>4</v>
      </c>
      <c r="C56" t="s">
        <v>260</v>
      </c>
      <c r="D56" s="10">
        <v>3.9</v>
      </c>
      <c r="E56" s="6">
        <v>2.2999999999999998</v>
      </c>
      <c r="F56" s="6">
        <f t="shared" si="0"/>
        <v>1.6956521739130437</v>
      </c>
      <c r="G56" s="78">
        <v>1</v>
      </c>
      <c r="H56" s="8">
        <v>0</v>
      </c>
      <c r="I56" s="8">
        <v>0</v>
      </c>
      <c r="J56" s="8">
        <v>0</v>
      </c>
      <c r="K56" s="8">
        <v>0</v>
      </c>
      <c r="L56" s="78">
        <v>214</v>
      </c>
      <c r="M56" s="70">
        <v>1</v>
      </c>
      <c r="N56" s="70">
        <f t="shared" si="1"/>
        <v>212</v>
      </c>
      <c r="O56" s="60">
        <f t="shared" si="2"/>
        <v>12</v>
      </c>
      <c r="P56" s="70">
        <v>13.2</v>
      </c>
      <c r="Q56" s="70">
        <v>11.9</v>
      </c>
      <c r="R56" s="78">
        <v>0</v>
      </c>
      <c r="S56" s="70">
        <v>1</v>
      </c>
      <c r="T56" s="78">
        <v>1</v>
      </c>
      <c r="U56" s="8">
        <v>0</v>
      </c>
      <c r="V56" s="8">
        <v>0</v>
      </c>
      <c r="W56" s="21">
        <v>0</v>
      </c>
      <c r="X56" s="78">
        <v>0</v>
      </c>
      <c r="Y56" s="70">
        <v>1</v>
      </c>
      <c r="Z56" s="70">
        <v>0</v>
      </c>
      <c r="AA56" s="78">
        <v>1</v>
      </c>
      <c r="AB56" s="70">
        <v>0</v>
      </c>
      <c r="AC56" s="69">
        <v>1999</v>
      </c>
      <c r="AD56" t="s">
        <v>57</v>
      </c>
      <c r="AE56" t="s">
        <v>57</v>
      </c>
      <c r="AF56" t="s">
        <v>57</v>
      </c>
      <c r="AG56" t="s">
        <v>57</v>
      </c>
      <c r="AH56" s="28">
        <f t="shared" si="8"/>
        <v>0.95099999999999996</v>
      </c>
      <c r="AI56">
        <v>4.9000000000000002E-2</v>
      </c>
      <c r="AJ56" s="28">
        <v>0</v>
      </c>
      <c r="AK56">
        <v>1</v>
      </c>
      <c r="AL56" s="28">
        <v>0.61299999999999999</v>
      </c>
      <c r="AM56" s="66">
        <f t="shared" si="6"/>
        <v>0.38700000000000001</v>
      </c>
      <c r="AN56">
        <v>1</v>
      </c>
      <c r="AO56">
        <v>0</v>
      </c>
      <c r="AP56" s="28">
        <v>0.98299999999999998</v>
      </c>
      <c r="AQ56" s="12">
        <f t="shared" si="7"/>
        <v>1.7000000000000015E-2</v>
      </c>
      <c r="AR56" s="12">
        <v>1</v>
      </c>
      <c r="AS56" s="12">
        <v>0</v>
      </c>
      <c r="AT56" s="12">
        <v>0</v>
      </c>
      <c r="AU56" s="62" t="s">
        <v>334</v>
      </c>
      <c r="AV56">
        <v>1</v>
      </c>
      <c r="AW56">
        <v>0</v>
      </c>
      <c r="AX56">
        <v>1</v>
      </c>
      <c r="AY56">
        <v>0</v>
      </c>
      <c r="AZ56">
        <v>0</v>
      </c>
      <c r="BA56">
        <v>0</v>
      </c>
      <c r="BB56">
        <v>0</v>
      </c>
      <c r="BC56">
        <v>1</v>
      </c>
      <c r="BD56">
        <v>0</v>
      </c>
      <c r="BE56">
        <v>0</v>
      </c>
      <c r="BF56">
        <v>23477</v>
      </c>
      <c r="BG56">
        <v>1423</v>
      </c>
      <c r="BH56">
        <v>0.92400000000000004</v>
      </c>
      <c r="BI56" s="64">
        <v>42.5</v>
      </c>
      <c r="BJ56">
        <v>1</v>
      </c>
      <c r="BK56">
        <v>0</v>
      </c>
      <c r="BL56">
        <v>0</v>
      </c>
      <c r="BM56">
        <v>0</v>
      </c>
      <c r="BN56">
        <v>0</v>
      </c>
      <c r="BO56">
        <v>0</v>
      </c>
      <c r="BP56">
        <v>0</v>
      </c>
      <c r="BQ56" s="28">
        <v>0</v>
      </c>
      <c r="BR56">
        <v>0</v>
      </c>
      <c r="BS56">
        <v>0</v>
      </c>
      <c r="BT56" s="28">
        <v>0</v>
      </c>
      <c r="BU56">
        <v>0</v>
      </c>
      <c r="BV56">
        <v>0</v>
      </c>
      <c r="BW56">
        <v>0</v>
      </c>
      <c r="BX56">
        <v>0</v>
      </c>
      <c r="BY56">
        <v>0</v>
      </c>
      <c r="BZ56">
        <v>0</v>
      </c>
      <c r="CA56">
        <v>0</v>
      </c>
      <c r="CB56">
        <v>0</v>
      </c>
      <c r="CC56">
        <v>0</v>
      </c>
      <c r="CD56">
        <v>0</v>
      </c>
      <c r="CE56" s="16">
        <v>0</v>
      </c>
      <c r="CF56">
        <v>3.0070000000000001</v>
      </c>
      <c r="CG56">
        <v>158</v>
      </c>
      <c r="CH56">
        <v>1</v>
      </c>
      <c r="CI56">
        <v>0</v>
      </c>
      <c r="CJ56">
        <v>9</v>
      </c>
      <c r="CK56" t="s">
        <v>46</v>
      </c>
    </row>
    <row r="57" spans="1:89" x14ac:dyDescent="0.25">
      <c r="A57">
        <v>56</v>
      </c>
      <c r="B57">
        <v>4</v>
      </c>
      <c r="C57" t="s">
        <v>260</v>
      </c>
      <c r="D57" s="10">
        <v>7.7</v>
      </c>
      <c r="E57" s="6">
        <v>3.3</v>
      </c>
      <c r="F57" s="6">
        <f t="shared" si="0"/>
        <v>2.3333333333333335</v>
      </c>
      <c r="G57" s="78">
        <v>1</v>
      </c>
      <c r="H57" s="8">
        <v>0</v>
      </c>
      <c r="I57" s="8">
        <v>0</v>
      </c>
      <c r="J57" s="8">
        <v>0</v>
      </c>
      <c r="K57" s="8">
        <v>0</v>
      </c>
      <c r="L57" s="78">
        <v>214</v>
      </c>
      <c r="M57" s="70">
        <v>1</v>
      </c>
      <c r="N57" s="70">
        <f t="shared" si="1"/>
        <v>212</v>
      </c>
      <c r="O57" s="60">
        <f t="shared" si="2"/>
        <v>12</v>
      </c>
      <c r="P57" s="70">
        <v>13.2</v>
      </c>
      <c r="Q57" s="70">
        <v>11.9</v>
      </c>
      <c r="R57" s="78">
        <v>0</v>
      </c>
      <c r="S57" s="70">
        <v>1</v>
      </c>
      <c r="T57" s="78">
        <v>1</v>
      </c>
      <c r="U57" s="8">
        <v>0</v>
      </c>
      <c r="V57" s="8">
        <v>0</v>
      </c>
      <c r="W57" s="21">
        <v>0</v>
      </c>
      <c r="X57" s="78">
        <v>0</v>
      </c>
      <c r="Y57" s="70">
        <v>1</v>
      </c>
      <c r="Z57" s="70">
        <v>0</v>
      </c>
      <c r="AA57" s="78">
        <v>1</v>
      </c>
      <c r="AB57" s="70">
        <v>0</v>
      </c>
      <c r="AC57" s="69">
        <v>1999</v>
      </c>
      <c r="AD57" t="s">
        <v>57</v>
      </c>
      <c r="AE57" t="s">
        <v>57</v>
      </c>
      <c r="AF57" t="s">
        <v>57</v>
      </c>
      <c r="AG57" t="s">
        <v>57</v>
      </c>
      <c r="AH57" s="28">
        <f t="shared" si="8"/>
        <v>0.95099999999999996</v>
      </c>
      <c r="AI57">
        <v>4.9000000000000002E-2</v>
      </c>
      <c r="AJ57" s="28">
        <v>0</v>
      </c>
      <c r="AK57">
        <v>1</v>
      </c>
      <c r="AL57" s="28">
        <v>0.61299999999999999</v>
      </c>
      <c r="AM57" s="66">
        <f t="shared" si="6"/>
        <v>0.38700000000000001</v>
      </c>
      <c r="AN57">
        <v>1</v>
      </c>
      <c r="AO57">
        <v>0</v>
      </c>
      <c r="AP57" s="28">
        <v>0.98299999999999998</v>
      </c>
      <c r="AQ57" s="12">
        <f t="shared" si="7"/>
        <v>1.7000000000000015E-2</v>
      </c>
      <c r="AR57" s="12">
        <v>1</v>
      </c>
      <c r="AS57" s="12">
        <v>0</v>
      </c>
      <c r="AT57" s="12">
        <v>0</v>
      </c>
      <c r="AU57" s="62" t="s">
        <v>334</v>
      </c>
      <c r="AV57">
        <v>1</v>
      </c>
      <c r="AW57">
        <v>0</v>
      </c>
      <c r="AX57">
        <v>1</v>
      </c>
      <c r="AY57">
        <v>0</v>
      </c>
      <c r="AZ57">
        <v>0</v>
      </c>
      <c r="BA57">
        <v>0</v>
      </c>
      <c r="BB57">
        <v>0</v>
      </c>
      <c r="BC57">
        <v>1</v>
      </c>
      <c r="BD57">
        <v>0</v>
      </c>
      <c r="BE57">
        <v>0</v>
      </c>
      <c r="BF57">
        <v>23477</v>
      </c>
      <c r="BG57">
        <v>1423</v>
      </c>
      <c r="BH57">
        <v>0.92400000000000004</v>
      </c>
      <c r="BI57" s="64">
        <v>42.5</v>
      </c>
      <c r="BJ57">
        <v>0</v>
      </c>
      <c r="BK57">
        <v>0</v>
      </c>
      <c r="BL57">
        <v>0</v>
      </c>
      <c r="BM57">
        <v>0</v>
      </c>
      <c r="BN57">
        <v>0</v>
      </c>
      <c r="BO57">
        <v>0</v>
      </c>
      <c r="BP57">
        <v>1</v>
      </c>
      <c r="BQ57" s="28">
        <v>1</v>
      </c>
      <c r="BR57">
        <v>0</v>
      </c>
      <c r="BS57">
        <v>0</v>
      </c>
      <c r="BT57" s="28">
        <v>0</v>
      </c>
      <c r="BU57">
        <v>0</v>
      </c>
      <c r="BV57">
        <v>0</v>
      </c>
      <c r="BW57">
        <v>0</v>
      </c>
      <c r="BX57">
        <v>0</v>
      </c>
      <c r="BY57">
        <v>0</v>
      </c>
      <c r="BZ57">
        <v>0</v>
      </c>
      <c r="CA57">
        <v>0</v>
      </c>
      <c r="CB57">
        <v>0</v>
      </c>
      <c r="CC57">
        <v>0</v>
      </c>
      <c r="CD57">
        <v>0</v>
      </c>
      <c r="CE57" s="16">
        <v>0</v>
      </c>
      <c r="CF57">
        <v>3.0070000000000001</v>
      </c>
      <c r="CG57">
        <v>158</v>
      </c>
      <c r="CH57">
        <v>1</v>
      </c>
      <c r="CI57">
        <v>0</v>
      </c>
      <c r="CJ57">
        <v>9</v>
      </c>
      <c r="CK57" t="s">
        <v>46</v>
      </c>
    </row>
    <row r="58" spans="1:89" x14ac:dyDescent="0.25">
      <c r="A58">
        <v>57</v>
      </c>
      <c r="B58">
        <v>4</v>
      </c>
      <c r="C58" t="s">
        <v>260</v>
      </c>
      <c r="D58" s="10">
        <v>7.2</v>
      </c>
      <c r="E58" s="6">
        <v>1.1000000000000001</v>
      </c>
      <c r="F58" s="6">
        <f t="shared" si="0"/>
        <v>6.545454545454545</v>
      </c>
      <c r="G58" s="78">
        <v>1</v>
      </c>
      <c r="H58" s="8">
        <v>0</v>
      </c>
      <c r="I58" s="8">
        <v>0</v>
      </c>
      <c r="J58" s="8">
        <v>0</v>
      </c>
      <c r="K58" s="8">
        <v>0</v>
      </c>
      <c r="L58" s="78">
        <v>374</v>
      </c>
      <c r="M58" s="70">
        <v>6</v>
      </c>
      <c r="N58" s="70">
        <f t="shared" si="1"/>
        <v>367</v>
      </c>
      <c r="O58" s="60">
        <f t="shared" si="2"/>
        <v>12</v>
      </c>
      <c r="P58" s="70">
        <v>13.2</v>
      </c>
      <c r="Q58" s="70">
        <v>11.9</v>
      </c>
      <c r="R58" s="78">
        <v>0</v>
      </c>
      <c r="S58" s="70">
        <v>1</v>
      </c>
      <c r="T58" s="78">
        <v>1</v>
      </c>
      <c r="U58" s="8">
        <v>0</v>
      </c>
      <c r="V58" s="8">
        <v>0</v>
      </c>
      <c r="W58" s="21">
        <v>0</v>
      </c>
      <c r="X58" s="78">
        <v>0</v>
      </c>
      <c r="Y58" s="70">
        <v>1</v>
      </c>
      <c r="Z58" s="70">
        <v>0</v>
      </c>
      <c r="AA58" s="78">
        <v>1</v>
      </c>
      <c r="AB58" s="70">
        <v>0</v>
      </c>
      <c r="AC58" s="69">
        <v>1999</v>
      </c>
      <c r="AD58" t="s">
        <v>57</v>
      </c>
      <c r="AE58" t="s">
        <v>57</v>
      </c>
      <c r="AF58" t="s">
        <v>57</v>
      </c>
      <c r="AG58" t="s">
        <v>57</v>
      </c>
      <c r="AH58" s="28">
        <f t="shared" si="8"/>
        <v>0.95099999999999996</v>
      </c>
      <c r="AI58">
        <v>4.9000000000000002E-2</v>
      </c>
      <c r="AJ58" s="28">
        <v>0</v>
      </c>
      <c r="AK58">
        <v>1</v>
      </c>
      <c r="AL58" s="28">
        <v>0.61299999999999999</v>
      </c>
      <c r="AM58" s="66">
        <f t="shared" si="6"/>
        <v>0.38700000000000001</v>
      </c>
      <c r="AN58">
        <v>1</v>
      </c>
      <c r="AO58">
        <v>0</v>
      </c>
      <c r="AP58" s="28">
        <v>0.98299999999999998</v>
      </c>
      <c r="AQ58" s="12">
        <f t="shared" si="7"/>
        <v>1.7000000000000015E-2</v>
      </c>
      <c r="AR58" s="12">
        <v>1</v>
      </c>
      <c r="AS58" s="12">
        <v>0</v>
      </c>
      <c r="AT58" s="12">
        <v>0</v>
      </c>
      <c r="AU58" s="62" t="s">
        <v>334</v>
      </c>
      <c r="AV58">
        <v>1</v>
      </c>
      <c r="AW58">
        <v>0</v>
      </c>
      <c r="AX58">
        <v>1</v>
      </c>
      <c r="AY58">
        <v>0</v>
      </c>
      <c r="AZ58">
        <v>0</v>
      </c>
      <c r="BA58">
        <v>0</v>
      </c>
      <c r="BB58">
        <v>0</v>
      </c>
      <c r="BC58">
        <v>1</v>
      </c>
      <c r="BD58">
        <v>0</v>
      </c>
      <c r="BE58">
        <v>0</v>
      </c>
      <c r="BF58">
        <v>23477</v>
      </c>
      <c r="BG58">
        <v>1423</v>
      </c>
      <c r="BH58">
        <v>0.92400000000000004</v>
      </c>
      <c r="BI58" s="64">
        <v>42.5</v>
      </c>
      <c r="BJ58">
        <v>1</v>
      </c>
      <c r="BK58">
        <v>0</v>
      </c>
      <c r="BL58">
        <v>0</v>
      </c>
      <c r="BM58">
        <v>0</v>
      </c>
      <c r="BN58">
        <v>0</v>
      </c>
      <c r="BO58">
        <v>0</v>
      </c>
      <c r="BP58">
        <v>0</v>
      </c>
      <c r="BQ58" s="28">
        <v>0</v>
      </c>
      <c r="BR58">
        <v>0</v>
      </c>
      <c r="BS58">
        <v>0</v>
      </c>
      <c r="BT58" s="28">
        <v>1</v>
      </c>
      <c r="BU58">
        <v>1</v>
      </c>
      <c r="BV58">
        <v>1</v>
      </c>
      <c r="BW58">
        <v>0</v>
      </c>
      <c r="BX58">
        <v>0</v>
      </c>
      <c r="BY58">
        <v>0</v>
      </c>
      <c r="BZ58">
        <v>0</v>
      </c>
      <c r="CA58">
        <v>1</v>
      </c>
      <c r="CB58">
        <v>1</v>
      </c>
      <c r="CC58">
        <v>0</v>
      </c>
      <c r="CD58">
        <v>0</v>
      </c>
      <c r="CE58" s="16">
        <v>0</v>
      </c>
      <c r="CF58">
        <v>3.0070000000000001</v>
      </c>
      <c r="CG58">
        <v>158</v>
      </c>
      <c r="CH58">
        <v>1</v>
      </c>
      <c r="CI58">
        <v>0</v>
      </c>
      <c r="CJ58">
        <v>9</v>
      </c>
      <c r="CK58" t="s">
        <v>46</v>
      </c>
    </row>
    <row r="59" spans="1:89" x14ac:dyDescent="0.25">
      <c r="A59">
        <v>58</v>
      </c>
      <c r="B59">
        <v>4</v>
      </c>
      <c r="C59" t="s">
        <v>260</v>
      </c>
      <c r="D59" s="10">
        <v>7.9</v>
      </c>
      <c r="E59" s="6">
        <v>1.2</v>
      </c>
      <c r="F59" s="6">
        <f t="shared" si="0"/>
        <v>6.5833333333333339</v>
      </c>
      <c r="G59" s="78">
        <v>1</v>
      </c>
      <c r="H59" s="8">
        <v>0</v>
      </c>
      <c r="I59" s="8">
        <v>0</v>
      </c>
      <c r="J59" s="8">
        <v>0</v>
      </c>
      <c r="K59" s="8">
        <v>0</v>
      </c>
      <c r="L59" s="78">
        <v>374</v>
      </c>
      <c r="M59" s="70">
        <v>6</v>
      </c>
      <c r="N59" s="70">
        <f t="shared" si="1"/>
        <v>367</v>
      </c>
      <c r="O59" s="60">
        <f t="shared" si="2"/>
        <v>12</v>
      </c>
      <c r="P59" s="70">
        <v>13.2</v>
      </c>
      <c r="Q59" s="70">
        <v>11.9</v>
      </c>
      <c r="R59" s="78">
        <v>0</v>
      </c>
      <c r="S59" s="70">
        <v>1</v>
      </c>
      <c r="T59" s="78">
        <v>1</v>
      </c>
      <c r="U59" s="8">
        <v>0</v>
      </c>
      <c r="V59" s="8">
        <v>0</v>
      </c>
      <c r="W59" s="21">
        <v>0</v>
      </c>
      <c r="X59" s="78">
        <v>0</v>
      </c>
      <c r="Y59" s="70">
        <v>1</v>
      </c>
      <c r="Z59" s="70">
        <v>0</v>
      </c>
      <c r="AA59" s="78">
        <v>1</v>
      </c>
      <c r="AB59" s="70">
        <v>0</v>
      </c>
      <c r="AC59" s="69">
        <v>1999</v>
      </c>
      <c r="AD59" t="s">
        <v>57</v>
      </c>
      <c r="AE59" t="s">
        <v>57</v>
      </c>
      <c r="AF59" t="s">
        <v>57</v>
      </c>
      <c r="AG59" t="s">
        <v>57</v>
      </c>
      <c r="AH59" s="28">
        <f t="shared" si="8"/>
        <v>0.95099999999999996</v>
      </c>
      <c r="AI59">
        <v>4.9000000000000002E-2</v>
      </c>
      <c r="AJ59" s="28">
        <v>0</v>
      </c>
      <c r="AK59">
        <v>1</v>
      </c>
      <c r="AL59" s="28">
        <v>0.61299999999999999</v>
      </c>
      <c r="AM59" s="66">
        <f t="shared" si="6"/>
        <v>0.38700000000000001</v>
      </c>
      <c r="AN59">
        <v>1</v>
      </c>
      <c r="AO59">
        <v>0</v>
      </c>
      <c r="AP59" s="28">
        <v>0.98299999999999998</v>
      </c>
      <c r="AQ59" s="12">
        <f t="shared" si="7"/>
        <v>1.7000000000000015E-2</v>
      </c>
      <c r="AR59" s="12">
        <v>1</v>
      </c>
      <c r="AS59" s="12">
        <v>0</v>
      </c>
      <c r="AT59" s="12">
        <v>0</v>
      </c>
      <c r="AU59" s="62" t="s">
        <v>334</v>
      </c>
      <c r="AV59">
        <v>1</v>
      </c>
      <c r="AW59">
        <v>0</v>
      </c>
      <c r="AX59">
        <v>1</v>
      </c>
      <c r="AY59">
        <v>0</v>
      </c>
      <c r="AZ59">
        <v>0</v>
      </c>
      <c r="BA59">
        <v>0</v>
      </c>
      <c r="BB59">
        <v>0</v>
      </c>
      <c r="BC59">
        <v>1</v>
      </c>
      <c r="BD59">
        <v>0</v>
      </c>
      <c r="BE59">
        <v>0</v>
      </c>
      <c r="BF59">
        <v>23477</v>
      </c>
      <c r="BG59">
        <v>1423</v>
      </c>
      <c r="BH59">
        <v>0.92400000000000004</v>
      </c>
      <c r="BI59" s="64">
        <v>42.5</v>
      </c>
      <c r="BJ59">
        <v>0</v>
      </c>
      <c r="BK59">
        <v>0</v>
      </c>
      <c r="BL59">
        <v>0</v>
      </c>
      <c r="BM59">
        <v>0</v>
      </c>
      <c r="BN59">
        <v>0</v>
      </c>
      <c r="BO59">
        <v>0</v>
      </c>
      <c r="BP59">
        <v>1</v>
      </c>
      <c r="BQ59" s="28">
        <v>1</v>
      </c>
      <c r="BR59">
        <v>0</v>
      </c>
      <c r="BS59">
        <v>0</v>
      </c>
      <c r="BT59" s="28">
        <v>1</v>
      </c>
      <c r="BU59">
        <v>1</v>
      </c>
      <c r="BV59">
        <v>1</v>
      </c>
      <c r="BW59">
        <v>0</v>
      </c>
      <c r="BX59">
        <v>0</v>
      </c>
      <c r="BY59">
        <v>0</v>
      </c>
      <c r="BZ59">
        <v>0</v>
      </c>
      <c r="CA59">
        <v>1</v>
      </c>
      <c r="CB59">
        <v>1</v>
      </c>
      <c r="CC59">
        <v>0</v>
      </c>
      <c r="CD59">
        <v>0</v>
      </c>
      <c r="CE59" s="16">
        <v>0</v>
      </c>
      <c r="CF59">
        <v>3.0070000000000001</v>
      </c>
      <c r="CG59">
        <v>158</v>
      </c>
      <c r="CH59">
        <v>1</v>
      </c>
      <c r="CI59">
        <v>0</v>
      </c>
      <c r="CJ59">
        <v>9</v>
      </c>
      <c r="CK59" t="s">
        <v>46</v>
      </c>
    </row>
    <row r="60" spans="1:89" x14ac:dyDescent="0.25">
      <c r="A60">
        <v>59</v>
      </c>
      <c r="B60">
        <v>4</v>
      </c>
      <c r="C60" t="s">
        <v>260</v>
      </c>
      <c r="D60" s="10">
        <v>3.8</v>
      </c>
      <c r="E60" s="6">
        <v>2.4</v>
      </c>
      <c r="F60" s="6">
        <f t="shared" si="0"/>
        <v>1.5833333333333333</v>
      </c>
      <c r="G60" s="78">
        <v>1</v>
      </c>
      <c r="H60" s="8">
        <v>0</v>
      </c>
      <c r="I60" s="8">
        <v>0</v>
      </c>
      <c r="J60" s="8">
        <v>0</v>
      </c>
      <c r="K60" s="8">
        <v>0</v>
      </c>
      <c r="L60" s="78">
        <v>187</v>
      </c>
      <c r="M60" s="70">
        <v>4</v>
      </c>
      <c r="N60" s="70">
        <f t="shared" si="1"/>
        <v>182</v>
      </c>
      <c r="O60" s="60">
        <f t="shared" si="2"/>
        <v>12</v>
      </c>
      <c r="P60" s="70">
        <v>13.2</v>
      </c>
      <c r="Q60" s="70">
        <v>11.9</v>
      </c>
      <c r="R60" s="78">
        <v>0</v>
      </c>
      <c r="S60" s="70">
        <v>1</v>
      </c>
      <c r="T60" s="78">
        <v>1</v>
      </c>
      <c r="U60" s="8">
        <v>0</v>
      </c>
      <c r="V60" s="8">
        <v>0</v>
      </c>
      <c r="W60" s="21">
        <v>0</v>
      </c>
      <c r="X60" s="78">
        <v>0</v>
      </c>
      <c r="Y60" s="70">
        <v>1</v>
      </c>
      <c r="Z60" s="70">
        <v>0</v>
      </c>
      <c r="AA60" s="78">
        <v>1</v>
      </c>
      <c r="AB60" s="70">
        <v>0</v>
      </c>
      <c r="AC60" s="69">
        <v>1999</v>
      </c>
      <c r="AD60" t="s">
        <v>57</v>
      </c>
      <c r="AE60" t="s">
        <v>57</v>
      </c>
      <c r="AF60" t="s">
        <v>57</v>
      </c>
      <c r="AG60" t="s">
        <v>57</v>
      </c>
      <c r="AH60" s="28">
        <f t="shared" si="8"/>
        <v>0.95099999999999996</v>
      </c>
      <c r="AI60">
        <v>4.9000000000000002E-2</v>
      </c>
      <c r="AJ60" s="28">
        <v>0</v>
      </c>
      <c r="AK60">
        <v>1</v>
      </c>
      <c r="AL60" s="28">
        <v>0.61299999999999999</v>
      </c>
      <c r="AM60" s="66">
        <f t="shared" si="6"/>
        <v>0.38700000000000001</v>
      </c>
      <c r="AN60">
        <v>1</v>
      </c>
      <c r="AO60">
        <v>0</v>
      </c>
      <c r="AP60" s="28">
        <v>0.98299999999999998</v>
      </c>
      <c r="AQ60" s="12">
        <f t="shared" si="7"/>
        <v>1.7000000000000015E-2</v>
      </c>
      <c r="AR60" s="12">
        <v>1</v>
      </c>
      <c r="AS60" s="12">
        <v>0</v>
      </c>
      <c r="AT60" s="12">
        <v>0</v>
      </c>
      <c r="AU60" s="62" t="s">
        <v>334</v>
      </c>
      <c r="AV60">
        <v>1</v>
      </c>
      <c r="AW60">
        <v>0</v>
      </c>
      <c r="AX60">
        <v>1</v>
      </c>
      <c r="AY60">
        <v>0</v>
      </c>
      <c r="AZ60">
        <v>0</v>
      </c>
      <c r="BA60">
        <v>0</v>
      </c>
      <c r="BB60">
        <v>0</v>
      </c>
      <c r="BC60">
        <v>1</v>
      </c>
      <c r="BD60">
        <v>0</v>
      </c>
      <c r="BE60">
        <v>0</v>
      </c>
      <c r="BF60">
        <v>23477</v>
      </c>
      <c r="BG60">
        <v>1423</v>
      </c>
      <c r="BH60">
        <v>0.92400000000000004</v>
      </c>
      <c r="BI60" s="64">
        <v>42.5</v>
      </c>
      <c r="BJ60">
        <v>1</v>
      </c>
      <c r="BK60">
        <v>0</v>
      </c>
      <c r="BL60">
        <v>0</v>
      </c>
      <c r="BM60">
        <v>0</v>
      </c>
      <c r="BN60">
        <v>0</v>
      </c>
      <c r="BO60">
        <v>0</v>
      </c>
      <c r="BP60">
        <v>0</v>
      </c>
      <c r="BQ60" s="28">
        <v>0</v>
      </c>
      <c r="BR60">
        <v>0</v>
      </c>
      <c r="BS60">
        <v>0</v>
      </c>
      <c r="BT60" s="28">
        <v>0</v>
      </c>
      <c r="BU60">
        <v>0</v>
      </c>
      <c r="BV60">
        <v>1</v>
      </c>
      <c r="BW60">
        <v>0</v>
      </c>
      <c r="BX60">
        <v>0</v>
      </c>
      <c r="BY60">
        <v>0</v>
      </c>
      <c r="BZ60">
        <v>0</v>
      </c>
      <c r="CA60">
        <v>1</v>
      </c>
      <c r="CB60">
        <v>1</v>
      </c>
      <c r="CC60">
        <v>0</v>
      </c>
      <c r="CD60">
        <v>0</v>
      </c>
      <c r="CE60" s="16">
        <v>0</v>
      </c>
      <c r="CF60">
        <v>3.0070000000000001</v>
      </c>
      <c r="CG60">
        <v>158</v>
      </c>
      <c r="CH60">
        <v>1</v>
      </c>
      <c r="CI60">
        <v>0</v>
      </c>
      <c r="CJ60">
        <v>9</v>
      </c>
      <c r="CK60" t="s">
        <v>46</v>
      </c>
    </row>
    <row r="61" spans="1:89" x14ac:dyDescent="0.25">
      <c r="A61">
        <v>60</v>
      </c>
      <c r="B61">
        <v>4</v>
      </c>
      <c r="C61" t="s">
        <v>260</v>
      </c>
      <c r="D61" s="10">
        <v>7.9</v>
      </c>
      <c r="E61" s="6">
        <v>3.6</v>
      </c>
      <c r="F61" s="6">
        <f t="shared" si="0"/>
        <v>2.1944444444444446</v>
      </c>
      <c r="G61" s="78">
        <v>1</v>
      </c>
      <c r="H61" s="8">
        <v>0</v>
      </c>
      <c r="I61" s="8">
        <v>0</v>
      </c>
      <c r="J61" s="8">
        <v>0</v>
      </c>
      <c r="K61" s="8">
        <v>0</v>
      </c>
      <c r="L61" s="78">
        <v>187</v>
      </c>
      <c r="M61" s="70">
        <v>4</v>
      </c>
      <c r="N61" s="70">
        <f t="shared" si="1"/>
        <v>182</v>
      </c>
      <c r="O61" s="60">
        <f t="shared" si="2"/>
        <v>12</v>
      </c>
      <c r="P61" s="70">
        <v>13.2</v>
      </c>
      <c r="Q61" s="70">
        <v>11.9</v>
      </c>
      <c r="R61" s="78">
        <v>0</v>
      </c>
      <c r="S61" s="70">
        <v>1</v>
      </c>
      <c r="T61" s="78">
        <v>1</v>
      </c>
      <c r="U61" s="8">
        <v>0</v>
      </c>
      <c r="V61" s="8">
        <v>0</v>
      </c>
      <c r="W61" s="21">
        <v>0</v>
      </c>
      <c r="X61" s="78">
        <v>0</v>
      </c>
      <c r="Y61" s="70">
        <v>1</v>
      </c>
      <c r="Z61" s="70">
        <v>0</v>
      </c>
      <c r="AA61" s="78">
        <v>1</v>
      </c>
      <c r="AB61" s="70">
        <v>0</v>
      </c>
      <c r="AC61" s="69">
        <v>1999</v>
      </c>
      <c r="AD61" t="s">
        <v>57</v>
      </c>
      <c r="AE61" t="s">
        <v>57</v>
      </c>
      <c r="AF61" t="s">
        <v>57</v>
      </c>
      <c r="AG61" t="s">
        <v>57</v>
      </c>
      <c r="AH61" s="28">
        <f t="shared" si="8"/>
        <v>0.95099999999999996</v>
      </c>
      <c r="AI61">
        <v>4.9000000000000002E-2</v>
      </c>
      <c r="AJ61" s="28">
        <v>0</v>
      </c>
      <c r="AK61">
        <v>1</v>
      </c>
      <c r="AL61" s="28">
        <v>0.61299999999999999</v>
      </c>
      <c r="AM61" s="66">
        <f t="shared" si="6"/>
        <v>0.38700000000000001</v>
      </c>
      <c r="AN61">
        <v>1</v>
      </c>
      <c r="AO61">
        <v>0</v>
      </c>
      <c r="AP61" s="28">
        <v>0.98299999999999998</v>
      </c>
      <c r="AQ61" s="12">
        <f t="shared" si="7"/>
        <v>1.7000000000000015E-2</v>
      </c>
      <c r="AR61" s="12">
        <v>1</v>
      </c>
      <c r="AS61" s="12">
        <v>0</v>
      </c>
      <c r="AT61" s="12">
        <v>0</v>
      </c>
      <c r="AU61" s="62" t="s">
        <v>334</v>
      </c>
      <c r="AV61">
        <v>1</v>
      </c>
      <c r="AW61">
        <v>0</v>
      </c>
      <c r="AX61">
        <v>1</v>
      </c>
      <c r="AY61">
        <v>0</v>
      </c>
      <c r="AZ61">
        <v>0</v>
      </c>
      <c r="BA61">
        <v>0</v>
      </c>
      <c r="BB61">
        <v>0</v>
      </c>
      <c r="BC61">
        <v>1</v>
      </c>
      <c r="BD61">
        <v>0</v>
      </c>
      <c r="BE61">
        <v>0</v>
      </c>
      <c r="BF61">
        <v>23477</v>
      </c>
      <c r="BG61">
        <v>1423</v>
      </c>
      <c r="BH61">
        <v>0.92400000000000004</v>
      </c>
      <c r="BI61" s="64">
        <v>42.5</v>
      </c>
      <c r="BJ61">
        <v>0</v>
      </c>
      <c r="BK61">
        <v>0</v>
      </c>
      <c r="BL61">
        <v>0</v>
      </c>
      <c r="BM61">
        <v>0</v>
      </c>
      <c r="BN61">
        <v>0</v>
      </c>
      <c r="BO61">
        <v>0</v>
      </c>
      <c r="BP61">
        <v>1</v>
      </c>
      <c r="BQ61" s="28">
        <v>1</v>
      </c>
      <c r="BR61">
        <v>0</v>
      </c>
      <c r="BS61">
        <v>0</v>
      </c>
      <c r="BT61" s="28">
        <v>0</v>
      </c>
      <c r="BU61">
        <v>0</v>
      </c>
      <c r="BV61">
        <v>1</v>
      </c>
      <c r="BW61">
        <v>0</v>
      </c>
      <c r="BX61">
        <v>0</v>
      </c>
      <c r="BY61">
        <v>0</v>
      </c>
      <c r="BZ61">
        <v>0</v>
      </c>
      <c r="CA61">
        <v>1</v>
      </c>
      <c r="CB61">
        <v>1</v>
      </c>
      <c r="CC61">
        <v>0</v>
      </c>
      <c r="CD61">
        <v>0</v>
      </c>
      <c r="CE61" s="16">
        <v>0</v>
      </c>
      <c r="CF61">
        <v>3.0070000000000001</v>
      </c>
      <c r="CG61">
        <v>158</v>
      </c>
      <c r="CH61">
        <v>1</v>
      </c>
      <c r="CI61">
        <v>0</v>
      </c>
      <c r="CJ61">
        <v>9</v>
      </c>
      <c r="CK61" t="s">
        <v>46</v>
      </c>
    </row>
    <row r="62" spans="1:89" x14ac:dyDescent="0.25">
      <c r="A62">
        <v>61</v>
      </c>
      <c r="B62">
        <v>4</v>
      </c>
      <c r="C62" t="s">
        <v>260</v>
      </c>
      <c r="D62" s="10">
        <v>7.7</v>
      </c>
      <c r="E62" s="6">
        <v>1.1000000000000001</v>
      </c>
      <c r="F62" s="6">
        <f t="shared" si="0"/>
        <v>7</v>
      </c>
      <c r="G62" s="78">
        <v>1</v>
      </c>
      <c r="H62" s="8">
        <v>0</v>
      </c>
      <c r="I62" s="8">
        <v>0</v>
      </c>
      <c r="J62" s="8">
        <v>0</v>
      </c>
      <c r="K62" s="8">
        <v>0</v>
      </c>
      <c r="L62" s="78">
        <v>428</v>
      </c>
      <c r="M62" s="70">
        <v>3</v>
      </c>
      <c r="N62" s="70">
        <f t="shared" si="1"/>
        <v>424</v>
      </c>
      <c r="O62" s="60">
        <f t="shared" si="2"/>
        <v>12</v>
      </c>
      <c r="P62" s="70">
        <v>13.2</v>
      </c>
      <c r="Q62" s="70">
        <v>11.9</v>
      </c>
      <c r="R62" s="78">
        <v>0</v>
      </c>
      <c r="S62" s="70">
        <v>1</v>
      </c>
      <c r="T62" s="78">
        <v>1</v>
      </c>
      <c r="U62" s="8">
        <v>0</v>
      </c>
      <c r="V62" s="8">
        <v>0</v>
      </c>
      <c r="W62" s="21">
        <v>0</v>
      </c>
      <c r="X62" s="78">
        <v>0</v>
      </c>
      <c r="Y62" s="70">
        <v>1</v>
      </c>
      <c r="Z62" s="70">
        <v>0</v>
      </c>
      <c r="AA62" s="78">
        <v>1</v>
      </c>
      <c r="AB62" s="70">
        <v>0</v>
      </c>
      <c r="AC62" s="69">
        <v>1999</v>
      </c>
      <c r="AD62" t="s">
        <v>57</v>
      </c>
      <c r="AE62" t="s">
        <v>57</v>
      </c>
      <c r="AF62" t="s">
        <v>57</v>
      </c>
      <c r="AG62" t="s">
        <v>57</v>
      </c>
      <c r="AH62" s="28">
        <f t="shared" si="8"/>
        <v>0.95099999999999996</v>
      </c>
      <c r="AI62">
        <v>4.9000000000000002E-2</v>
      </c>
      <c r="AJ62" s="28">
        <v>0</v>
      </c>
      <c r="AK62">
        <v>1</v>
      </c>
      <c r="AL62" s="28">
        <v>0.61299999999999999</v>
      </c>
      <c r="AM62" s="66">
        <f t="shared" si="6"/>
        <v>0.38700000000000001</v>
      </c>
      <c r="AN62">
        <v>1</v>
      </c>
      <c r="AO62">
        <v>0</v>
      </c>
      <c r="AP62" s="28">
        <v>0.98299999999999998</v>
      </c>
      <c r="AQ62" s="12">
        <f t="shared" si="7"/>
        <v>1.7000000000000015E-2</v>
      </c>
      <c r="AR62" s="12">
        <v>1</v>
      </c>
      <c r="AS62" s="12">
        <v>0</v>
      </c>
      <c r="AT62" s="12">
        <v>0</v>
      </c>
      <c r="AU62" s="62" t="s">
        <v>334</v>
      </c>
      <c r="AV62">
        <v>1</v>
      </c>
      <c r="AW62">
        <v>0</v>
      </c>
      <c r="AX62">
        <v>1</v>
      </c>
      <c r="AY62">
        <v>0</v>
      </c>
      <c r="AZ62">
        <v>0</v>
      </c>
      <c r="BA62">
        <v>0</v>
      </c>
      <c r="BB62">
        <v>0</v>
      </c>
      <c r="BC62">
        <v>1</v>
      </c>
      <c r="BD62">
        <v>0</v>
      </c>
      <c r="BE62">
        <v>0</v>
      </c>
      <c r="BF62">
        <v>23477</v>
      </c>
      <c r="BG62">
        <v>1423</v>
      </c>
      <c r="BH62">
        <v>0.92400000000000004</v>
      </c>
      <c r="BI62" s="64">
        <v>42.5</v>
      </c>
      <c r="BJ62">
        <v>1</v>
      </c>
      <c r="BK62">
        <v>0</v>
      </c>
      <c r="BL62">
        <v>0</v>
      </c>
      <c r="BM62">
        <v>0</v>
      </c>
      <c r="BN62">
        <v>0</v>
      </c>
      <c r="BO62">
        <v>0</v>
      </c>
      <c r="BP62">
        <v>0</v>
      </c>
      <c r="BQ62" s="28">
        <v>0</v>
      </c>
      <c r="BR62">
        <v>0</v>
      </c>
      <c r="BS62">
        <v>0</v>
      </c>
      <c r="BT62" s="28">
        <v>1</v>
      </c>
      <c r="BU62">
        <v>1</v>
      </c>
      <c r="BV62">
        <v>0</v>
      </c>
      <c r="BW62">
        <v>0</v>
      </c>
      <c r="BX62">
        <v>0</v>
      </c>
      <c r="BY62">
        <v>0</v>
      </c>
      <c r="BZ62">
        <v>0</v>
      </c>
      <c r="CA62">
        <v>0</v>
      </c>
      <c r="CB62">
        <v>0</v>
      </c>
      <c r="CC62">
        <v>0</v>
      </c>
      <c r="CD62">
        <v>0</v>
      </c>
      <c r="CE62" s="16">
        <v>0</v>
      </c>
      <c r="CF62">
        <v>3.0070000000000001</v>
      </c>
      <c r="CG62">
        <v>158</v>
      </c>
      <c r="CH62">
        <v>1</v>
      </c>
      <c r="CI62">
        <v>0</v>
      </c>
      <c r="CJ62">
        <v>9</v>
      </c>
      <c r="CK62" t="s">
        <v>46</v>
      </c>
    </row>
    <row r="63" spans="1:89" x14ac:dyDescent="0.25">
      <c r="A63">
        <v>62</v>
      </c>
      <c r="B63">
        <v>4</v>
      </c>
      <c r="C63" t="s">
        <v>260</v>
      </c>
      <c r="D63" s="10">
        <v>11</v>
      </c>
      <c r="E63" s="6">
        <v>4.4000000000000004</v>
      </c>
      <c r="F63" s="6">
        <f t="shared" si="0"/>
        <v>2.5</v>
      </c>
      <c r="G63" s="78">
        <v>1</v>
      </c>
      <c r="H63" s="8">
        <v>0</v>
      </c>
      <c r="I63" s="8">
        <v>0</v>
      </c>
      <c r="J63" s="8">
        <v>0</v>
      </c>
      <c r="K63" s="8">
        <v>0</v>
      </c>
      <c r="L63" s="78">
        <v>428</v>
      </c>
      <c r="M63" s="70">
        <v>3</v>
      </c>
      <c r="N63" s="70">
        <f t="shared" si="1"/>
        <v>424</v>
      </c>
      <c r="O63" s="60">
        <f t="shared" si="2"/>
        <v>12</v>
      </c>
      <c r="P63" s="70">
        <v>13.2</v>
      </c>
      <c r="Q63" s="70">
        <v>11.9</v>
      </c>
      <c r="R63" s="78">
        <v>0</v>
      </c>
      <c r="S63" s="70">
        <v>1</v>
      </c>
      <c r="T63" s="78">
        <v>1</v>
      </c>
      <c r="U63" s="8">
        <v>0</v>
      </c>
      <c r="V63" s="8">
        <v>0</v>
      </c>
      <c r="W63" s="21">
        <v>0</v>
      </c>
      <c r="X63" s="78">
        <v>0</v>
      </c>
      <c r="Y63" s="70">
        <v>1</v>
      </c>
      <c r="Z63" s="70">
        <v>0</v>
      </c>
      <c r="AA63" s="78">
        <v>1</v>
      </c>
      <c r="AB63" s="70">
        <v>0</v>
      </c>
      <c r="AC63" s="69">
        <v>1999</v>
      </c>
      <c r="AD63" t="s">
        <v>57</v>
      </c>
      <c r="AE63" t="s">
        <v>57</v>
      </c>
      <c r="AF63" t="s">
        <v>57</v>
      </c>
      <c r="AG63" t="s">
        <v>57</v>
      </c>
      <c r="AH63" s="28">
        <f t="shared" si="8"/>
        <v>0.95099999999999996</v>
      </c>
      <c r="AI63">
        <v>4.9000000000000002E-2</v>
      </c>
      <c r="AJ63" s="28">
        <v>0</v>
      </c>
      <c r="AK63">
        <v>1</v>
      </c>
      <c r="AL63" s="28">
        <v>0.61299999999999999</v>
      </c>
      <c r="AM63" s="66">
        <f t="shared" si="6"/>
        <v>0.38700000000000001</v>
      </c>
      <c r="AN63">
        <v>1</v>
      </c>
      <c r="AO63">
        <v>0</v>
      </c>
      <c r="AP63" s="28">
        <v>0.98299999999999998</v>
      </c>
      <c r="AQ63" s="12">
        <f t="shared" si="7"/>
        <v>1.7000000000000015E-2</v>
      </c>
      <c r="AR63" s="12">
        <v>1</v>
      </c>
      <c r="AS63" s="12">
        <v>0</v>
      </c>
      <c r="AT63" s="12">
        <v>0</v>
      </c>
      <c r="AU63" s="62" t="s">
        <v>334</v>
      </c>
      <c r="AV63">
        <v>1</v>
      </c>
      <c r="AW63">
        <v>0</v>
      </c>
      <c r="AX63">
        <v>1</v>
      </c>
      <c r="AY63">
        <v>0</v>
      </c>
      <c r="AZ63">
        <v>0</v>
      </c>
      <c r="BA63">
        <v>0</v>
      </c>
      <c r="BB63">
        <v>0</v>
      </c>
      <c r="BC63">
        <v>1</v>
      </c>
      <c r="BD63">
        <v>0</v>
      </c>
      <c r="BE63">
        <v>0</v>
      </c>
      <c r="BF63">
        <v>23477</v>
      </c>
      <c r="BG63">
        <v>1423</v>
      </c>
      <c r="BH63">
        <v>0.92400000000000004</v>
      </c>
      <c r="BI63" s="64">
        <v>42.5</v>
      </c>
      <c r="BJ63">
        <v>0</v>
      </c>
      <c r="BK63">
        <v>0</v>
      </c>
      <c r="BL63">
        <v>0</v>
      </c>
      <c r="BM63">
        <v>0</v>
      </c>
      <c r="BN63">
        <v>0</v>
      </c>
      <c r="BO63">
        <v>0</v>
      </c>
      <c r="BP63">
        <v>1</v>
      </c>
      <c r="BQ63" s="28">
        <v>0</v>
      </c>
      <c r="BR63">
        <v>1</v>
      </c>
      <c r="BS63">
        <v>0</v>
      </c>
      <c r="BT63" s="28">
        <v>1</v>
      </c>
      <c r="BU63">
        <v>1</v>
      </c>
      <c r="BV63">
        <v>0</v>
      </c>
      <c r="BW63">
        <v>0</v>
      </c>
      <c r="BX63">
        <v>0</v>
      </c>
      <c r="BY63">
        <v>0</v>
      </c>
      <c r="BZ63">
        <v>0</v>
      </c>
      <c r="CA63">
        <v>0</v>
      </c>
      <c r="CB63">
        <v>0</v>
      </c>
      <c r="CC63">
        <v>0</v>
      </c>
      <c r="CD63">
        <v>0</v>
      </c>
      <c r="CE63" s="16">
        <v>0</v>
      </c>
      <c r="CF63">
        <v>3.0070000000000001</v>
      </c>
      <c r="CG63">
        <v>158</v>
      </c>
      <c r="CH63">
        <v>1</v>
      </c>
      <c r="CI63">
        <v>0</v>
      </c>
      <c r="CJ63">
        <v>9</v>
      </c>
      <c r="CK63" t="s">
        <v>46</v>
      </c>
    </row>
    <row r="64" spans="1:89" x14ac:dyDescent="0.25">
      <c r="A64">
        <v>63</v>
      </c>
      <c r="B64">
        <v>4</v>
      </c>
      <c r="C64" t="s">
        <v>260</v>
      </c>
      <c r="D64" s="10">
        <v>10.4</v>
      </c>
      <c r="E64" s="6">
        <v>4.5</v>
      </c>
      <c r="F64" s="6">
        <f t="shared" si="0"/>
        <v>2.3111111111111113</v>
      </c>
      <c r="G64" s="78">
        <v>1</v>
      </c>
      <c r="H64" s="8">
        <v>0</v>
      </c>
      <c r="I64" s="8">
        <v>0</v>
      </c>
      <c r="J64" s="8">
        <v>0</v>
      </c>
      <c r="K64" s="8">
        <v>0</v>
      </c>
      <c r="L64" s="78">
        <v>428</v>
      </c>
      <c r="M64" s="70">
        <v>3</v>
      </c>
      <c r="N64" s="70">
        <f t="shared" si="1"/>
        <v>424</v>
      </c>
      <c r="O64" s="60">
        <f t="shared" si="2"/>
        <v>12</v>
      </c>
      <c r="P64" s="70">
        <v>13.2</v>
      </c>
      <c r="Q64" s="70">
        <v>11.9</v>
      </c>
      <c r="R64" s="78">
        <v>0</v>
      </c>
      <c r="S64" s="70">
        <v>1</v>
      </c>
      <c r="T64" s="78">
        <v>1</v>
      </c>
      <c r="U64" s="8">
        <v>0</v>
      </c>
      <c r="V64" s="8">
        <v>0</v>
      </c>
      <c r="W64" s="21">
        <v>0</v>
      </c>
      <c r="X64" s="78">
        <v>0</v>
      </c>
      <c r="Y64" s="70">
        <v>1</v>
      </c>
      <c r="Z64" s="70">
        <v>0</v>
      </c>
      <c r="AA64" s="78">
        <v>1</v>
      </c>
      <c r="AB64" s="70">
        <v>0</v>
      </c>
      <c r="AC64" s="69">
        <v>1999</v>
      </c>
      <c r="AD64" t="s">
        <v>57</v>
      </c>
      <c r="AE64" t="s">
        <v>57</v>
      </c>
      <c r="AF64" t="s">
        <v>57</v>
      </c>
      <c r="AG64" t="s">
        <v>57</v>
      </c>
      <c r="AH64" s="28">
        <f t="shared" si="8"/>
        <v>0.95099999999999996</v>
      </c>
      <c r="AI64">
        <v>4.9000000000000002E-2</v>
      </c>
      <c r="AJ64" s="28">
        <v>0</v>
      </c>
      <c r="AK64">
        <v>1</v>
      </c>
      <c r="AL64" s="28">
        <v>0.61299999999999999</v>
      </c>
      <c r="AM64" s="66">
        <f t="shared" si="6"/>
        <v>0.38700000000000001</v>
      </c>
      <c r="AN64">
        <v>1</v>
      </c>
      <c r="AO64">
        <v>0</v>
      </c>
      <c r="AP64" s="28">
        <v>0.98299999999999998</v>
      </c>
      <c r="AQ64" s="12">
        <f t="shared" si="7"/>
        <v>1.7000000000000015E-2</v>
      </c>
      <c r="AR64" s="12">
        <v>1</v>
      </c>
      <c r="AS64" s="12">
        <v>0</v>
      </c>
      <c r="AT64" s="12">
        <v>0</v>
      </c>
      <c r="AU64" s="62" t="s">
        <v>334</v>
      </c>
      <c r="AV64">
        <v>1</v>
      </c>
      <c r="AW64">
        <v>0</v>
      </c>
      <c r="AX64">
        <v>1</v>
      </c>
      <c r="AY64">
        <v>0</v>
      </c>
      <c r="AZ64">
        <v>0</v>
      </c>
      <c r="BA64">
        <v>0</v>
      </c>
      <c r="BB64">
        <v>0</v>
      </c>
      <c r="BC64">
        <v>1</v>
      </c>
      <c r="BD64">
        <v>0</v>
      </c>
      <c r="BE64">
        <v>0</v>
      </c>
      <c r="BF64">
        <v>23477</v>
      </c>
      <c r="BG64">
        <v>1423</v>
      </c>
      <c r="BH64">
        <v>0.92400000000000004</v>
      </c>
      <c r="BI64" s="64">
        <v>42.5</v>
      </c>
      <c r="BJ64">
        <v>0</v>
      </c>
      <c r="BK64">
        <v>0</v>
      </c>
      <c r="BL64">
        <v>0</v>
      </c>
      <c r="BM64">
        <v>0</v>
      </c>
      <c r="BN64">
        <v>0</v>
      </c>
      <c r="BO64">
        <v>0</v>
      </c>
      <c r="BP64">
        <v>1</v>
      </c>
      <c r="BQ64" s="28">
        <v>0</v>
      </c>
      <c r="BR64">
        <v>1</v>
      </c>
      <c r="BS64">
        <v>0</v>
      </c>
      <c r="BT64" s="28">
        <v>1</v>
      </c>
      <c r="BU64">
        <v>1</v>
      </c>
      <c r="BV64">
        <v>0</v>
      </c>
      <c r="BW64">
        <v>0</v>
      </c>
      <c r="BX64">
        <v>0</v>
      </c>
      <c r="BY64">
        <v>0</v>
      </c>
      <c r="BZ64">
        <v>0</v>
      </c>
      <c r="CA64">
        <v>0</v>
      </c>
      <c r="CB64">
        <v>0</v>
      </c>
      <c r="CC64">
        <v>0</v>
      </c>
      <c r="CD64">
        <v>0</v>
      </c>
      <c r="CE64" s="16">
        <v>0</v>
      </c>
      <c r="CF64">
        <v>3.0070000000000001</v>
      </c>
      <c r="CG64">
        <v>158</v>
      </c>
      <c r="CH64">
        <v>1</v>
      </c>
      <c r="CI64">
        <v>0</v>
      </c>
      <c r="CJ64">
        <v>9</v>
      </c>
      <c r="CK64" t="s">
        <v>46</v>
      </c>
    </row>
    <row r="65" spans="1:89" x14ac:dyDescent="0.25">
      <c r="A65">
        <v>64</v>
      </c>
      <c r="B65">
        <v>5</v>
      </c>
      <c r="C65" t="s">
        <v>266</v>
      </c>
      <c r="D65" s="10">
        <v>6.6</v>
      </c>
      <c r="E65" s="6">
        <v>0.4</v>
      </c>
      <c r="F65" s="6">
        <f t="shared" si="0"/>
        <v>16.499999999999996</v>
      </c>
      <c r="G65" s="78">
        <v>0</v>
      </c>
      <c r="H65" s="70">
        <v>0</v>
      </c>
      <c r="I65" s="70">
        <v>1</v>
      </c>
      <c r="J65" s="70">
        <v>0</v>
      </c>
      <c r="K65" s="70">
        <v>0</v>
      </c>
      <c r="L65" s="78">
        <v>2253</v>
      </c>
      <c r="M65" s="70">
        <v>4</v>
      </c>
      <c r="N65" s="70">
        <f t="shared" si="1"/>
        <v>2248</v>
      </c>
      <c r="O65" s="60">
        <f t="shared" si="2"/>
        <v>16</v>
      </c>
      <c r="P65" s="70">
        <v>12.16</v>
      </c>
      <c r="Q65" s="70">
        <v>14.03</v>
      </c>
      <c r="R65" s="78">
        <v>1</v>
      </c>
      <c r="S65" s="70">
        <v>0</v>
      </c>
      <c r="T65" s="78">
        <v>0</v>
      </c>
      <c r="U65" s="70">
        <v>0</v>
      </c>
      <c r="V65" s="70">
        <v>1</v>
      </c>
      <c r="W65" s="70">
        <v>0</v>
      </c>
      <c r="X65" s="78">
        <v>0</v>
      </c>
      <c r="Y65" s="70">
        <v>1</v>
      </c>
      <c r="Z65" s="70">
        <v>0</v>
      </c>
      <c r="AA65" s="78">
        <v>1</v>
      </c>
      <c r="AB65" s="70">
        <v>0</v>
      </c>
      <c r="AC65" s="69">
        <v>2002</v>
      </c>
      <c r="AD65">
        <f t="shared" ref="AD65:AE80" si="9">(1-SUM($AF65:$AG65))/2</f>
        <v>0.14000000000000001</v>
      </c>
      <c r="AE65">
        <f t="shared" si="9"/>
        <v>0.14000000000000001</v>
      </c>
      <c r="AF65">
        <v>0.6</v>
      </c>
      <c r="AG65">
        <v>0.12</v>
      </c>
      <c r="AH65" s="28" t="s">
        <v>57</v>
      </c>
      <c r="AI65" t="s">
        <v>57</v>
      </c>
      <c r="AJ65" s="28">
        <v>0.59</v>
      </c>
      <c r="AK65">
        <f t="shared" ref="AK65:AK95" si="10">1-AJ65</f>
        <v>0.41000000000000003</v>
      </c>
      <c r="AL65" s="28">
        <v>0</v>
      </c>
      <c r="AM65" s="66">
        <f t="shared" si="6"/>
        <v>1</v>
      </c>
      <c r="AN65">
        <v>0</v>
      </c>
      <c r="AO65">
        <v>1</v>
      </c>
      <c r="AP65" s="28">
        <v>0.64</v>
      </c>
      <c r="AQ65" s="12">
        <f t="shared" si="7"/>
        <v>0.36</v>
      </c>
      <c r="AR65" s="12">
        <f>1-AT65</f>
        <v>0.43330000000000002</v>
      </c>
      <c r="AS65" s="12">
        <v>0</v>
      </c>
      <c r="AT65" s="12">
        <v>0.56669999999999998</v>
      </c>
      <c r="AU65" s="62" t="s">
        <v>343</v>
      </c>
      <c r="AV65">
        <v>0</v>
      </c>
      <c r="AW65">
        <v>1</v>
      </c>
      <c r="AX65">
        <v>0</v>
      </c>
      <c r="AY65">
        <v>0</v>
      </c>
      <c r="AZ65">
        <v>0</v>
      </c>
      <c r="BA65">
        <v>0</v>
      </c>
      <c r="BB65">
        <v>0</v>
      </c>
      <c r="BC65">
        <v>0</v>
      </c>
      <c r="BD65">
        <v>1</v>
      </c>
      <c r="BE65">
        <v>0</v>
      </c>
      <c r="BF65">
        <v>942</v>
      </c>
      <c r="BG65">
        <v>131</v>
      </c>
      <c r="BH65">
        <v>0.29299999999999998</v>
      </c>
      <c r="BI65" s="64">
        <v>33.770000000000003</v>
      </c>
      <c r="BJ65">
        <v>1</v>
      </c>
      <c r="BK65">
        <v>0</v>
      </c>
      <c r="BL65">
        <v>0</v>
      </c>
      <c r="BM65">
        <v>0</v>
      </c>
      <c r="BN65">
        <v>0</v>
      </c>
      <c r="BO65">
        <v>0</v>
      </c>
      <c r="BP65">
        <v>0</v>
      </c>
      <c r="BQ65" s="28">
        <v>0</v>
      </c>
      <c r="BR65">
        <v>0</v>
      </c>
      <c r="BS65">
        <v>0</v>
      </c>
      <c r="BT65" s="28">
        <v>1</v>
      </c>
      <c r="BU65">
        <v>1</v>
      </c>
      <c r="BV65">
        <v>0</v>
      </c>
      <c r="BW65">
        <v>0</v>
      </c>
      <c r="BX65">
        <v>0</v>
      </c>
      <c r="BY65">
        <v>0</v>
      </c>
      <c r="BZ65">
        <v>1</v>
      </c>
      <c r="CA65">
        <v>0</v>
      </c>
      <c r="CB65">
        <v>0</v>
      </c>
      <c r="CC65">
        <v>0</v>
      </c>
      <c r="CD65">
        <v>0</v>
      </c>
      <c r="CE65" s="16">
        <v>0</v>
      </c>
      <c r="CF65">
        <v>0.76700000000000002</v>
      </c>
      <c r="CG65">
        <v>176</v>
      </c>
      <c r="CH65">
        <v>1</v>
      </c>
      <c r="CI65">
        <v>0</v>
      </c>
      <c r="CJ65">
        <v>18</v>
      </c>
      <c r="CK65" t="s">
        <v>46</v>
      </c>
    </row>
    <row r="66" spans="1:89" x14ac:dyDescent="0.25">
      <c r="A66">
        <v>65</v>
      </c>
      <c r="B66">
        <v>5</v>
      </c>
      <c r="C66" t="s">
        <v>266</v>
      </c>
      <c r="D66" s="10">
        <v>6.6</v>
      </c>
      <c r="E66" s="6">
        <v>0.4</v>
      </c>
      <c r="F66" s="6">
        <f t="shared" ref="F66:F80" si="11">D66/E66</f>
        <v>16.499999999999996</v>
      </c>
      <c r="G66" s="78">
        <v>0</v>
      </c>
      <c r="H66" s="70">
        <v>0</v>
      </c>
      <c r="I66" s="70">
        <v>1</v>
      </c>
      <c r="J66" s="70">
        <v>0</v>
      </c>
      <c r="K66" s="70">
        <v>0</v>
      </c>
      <c r="L66" s="78">
        <v>2253</v>
      </c>
      <c r="M66" s="70">
        <v>6</v>
      </c>
      <c r="N66" s="70">
        <f t="shared" ref="N66:N129" si="12">L66-M66-1</f>
        <v>2246</v>
      </c>
      <c r="O66" s="60">
        <f t="shared" ref="O66:O129" si="13">COUNTIF(B:B,B66)</f>
        <v>16</v>
      </c>
      <c r="P66" s="70">
        <v>12.16</v>
      </c>
      <c r="Q66" s="70">
        <v>14.03</v>
      </c>
      <c r="R66" s="78">
        <v>1</v>
      </c>
      <c r="S66" s="70">
        <v>0</v>
      </c>
      <c r="T66" s="78">
        <v>0</v>
      </c>
      <c r="U66" s="70">
        <v>0</v>
      </c>
      <c r="V66" s="70">
        <v>1</v>
      </c>
      <c r="W66" s="70">
        <v>0</v>
      </c>
      <c r="X66" s="78">
        <v>0</v>
      </c>
      <c r="Y66" s="70">
        <v>1</v>
      </c>
      <c r="Z66" s="70">
        <v>0</v>
      </c>
      <c r="AA66" s="78">
        <v>1</v>
      </c>
      <c r="AB66" s="70">
        <v>0</v>
      </c>
      <c r="AC66" s="69">
        <v>2002</v>
      </c>
      <c r="AD66">
        <f t="shared" si="9"/>
        <v>0.14000000000000001</v>
      </c>
      <c r="AE66">
        <f t="shared" si="9"/>
        <v>0.14000000000000001</v>
      </c>
      <c r="AF66">
        <v>0.6</v>
      </c>
      <c r="AG66">
        <v>0.12</v>
      </c>
      <c r="AH66" s="28" t="s">
        <v>57</v>
      </c>
      <c r="AI66" t="s">
        <v>57</v>
      </c>
      <c r="AJ66" s="28">
        <v>0.59</v>
      </c>
      <c r="AK66">
        <f t="shared" si="10"/>
        <v>0.41000000000000003</v>
      </c>
      <c r="AL66" s="28">
        <v>0</v>
      </c>
      <c r="AM66" s="66">
        <f t="shared" si="6"/>
        <v>1</v>
      </c>
      <c r="AN66">
        <v>0</v>
      </c>
      <c r="AO66">
        <v>1</v>
      </c>
      <c r="AP66" s="28">
        <v>0.64</v>
      </c>
      <c r="AQ66" s="12">
        <f t="shared" si="7"/>
        <v>0.36</v>
      </c>
      <c r="AR66" s="12">
        <f>1-AT66</f>
        <v>0.43330000000000002</v>
      </c>
      <c r="AS66" s="12">
        <v>0</v>
      </c>
      <c r="AT66" s="12">
        <v>0.56669999999999998</v>
      </c>
      <c r="AU66" s="62" t="s">
        <v>343</v>
      </c>
      <c r="AV66">
        <v>0</v>
      </c>
      <c r="AW66">
        <v>1</v>
      </c>
      <c r="AX66">
        <v>0</v>
      </c>
      <c r="AY66">
        <v>0</v>
      </c>
      <c r="AZ66">
        <v>0</v>
      </c>
      <c r="BA66">
        <v>0</v>
      </c>
      <c r="BB66">
        <v>0</v>
      </c>
      <c r="BC66">
        <v>0</v>
      </c>
      <c r="BD66">
        <v>1</v>
      </c>
      <c r="BE66">
        <v>0</v>
      </c>
      <c r="BF66">
        <v>942</v>
      </c>
      <c r="BG66">
        <v>131</v>
      </c>
      <c r="BH66">
        <v>0.29299999999999998</v>
      </c>
      <c r="BI66" s="64">
        <v>33.770000000000003</v>
      </c>
      <c r="BJ66">
        <v>1</v>
      </c>
      <c r="BK66">
        <v>0</v>
      </c>
      <c r="BL66">
        <v>0</v>
      </c>
      <c r="BM66">
        <v>0</v>
      </c>
      <c r="BN66">
        <v>0</v>
      </c>
      <c r="BO66">
        <v>0</v>
      </c>
      <c r="BP66">
        <v>0</v>
      </c>
      <c r="BQ66" s="28">
        <v>0</v>
      </c>
      <c r="BR66">
        <v>0</v>
      </c>
      <c r="BS66">
        <v>0</v>
      </c>
      <c r="BT66" s="28">
        <v>1</v>
      </c>
      <c r="BU66">
        <v>1</v>
      </c>
      <c r="BV66">
        <v>1</v>
      </c>
      <c r="BW66">
        <v>0</v>
      </c>
      <c r="BX66">
        <v>0</v>
      </c>
      <c r="BY66">
        <v>0</v>
      </c>
      <c r="BZ66">
        <v>1</v>
      </c>
      <c r="CA66">
        <v>1</v>
      </c>
      <c r="CB66">
        <v>0</v>
      </c>
      <c r="CC66">
        <v>0</v>
      </c>
      <c r="CD66">
        <v>0</v>
      </c>
      <c r="CE66" s="16">
        <v>0</v>
      </c>
      <c r="CF66">
        <v>0.76700000000000002</v>
      </c>
      <c r="CG66">
        <v>176</v>
      </c>
      <c r="CH66">
        <v>1</v>
      </c>
      <c r="CI66">
        <v>0</v>
      </c>
      <c r="CJ66">
        <v>18</v>
      </c>
      <c r="CK66" t="s">
        <v>46</v>
      </c>
    </row>
    <row r="67" spans="1:89" x14ac:dyDescent="0.25">
      <c r="A67">
        <v>66</v>
      </c>
      <c r="B67">
        <v>5</v>
      </c>
      <c r="C67" t="s">
        <v>266</v>
      </c>
      <c r="D67" s="10">
        <v>8.3000000000000007</v>
      </c>
      <c r="E67" s="6">
        <v>0.6</v>
      </c>
      <c r="F67" s="6">
        <f t="shared" si="11"/>
        <v>13.833333333333336</v>
      </c>
      <c r="G67" s="78">
        <v>0</v>
      </c>
      <c r="H67" s="70">
        <v>0</v>
      </c>
      <c r="I67" s="70">
        <v>1</v>
      </c>
      <c r="J67" s="70">
        <v>0</v>
      </c>
      <c r="K67" s="70">
        <v>0</v>
      </c>
      <c r="L67" s="78">
        <v>976</v>
      </c>
      <c r="M67" s="70">
        <v>4</v>
      </c>
      <c r="N67" s="70">
        <f t="shared" si="12"/>
        <v>971</v>
      </c>
      <c r="O67" s="60">
        <f t="shared" si="13"/>
        <v>16</v>
      </c>
      <c r="P67" s="70">
        <v>12.16</v>
      </c>
      <c r="Q67" s="70">
        <v>14.03</v>
      </c>
      <c r="R67" s="78">
        <v>1</v>
      </c>
      <c r="S67" s="70">
        <v>0</v>
      </c>
      <c r="T67" s="78">
        <v>0</v>
      </c>
      <c r="U67" s="70">
        <v>0</v>
      </c>
      <c r="V67" s="70">
        <v>1</v>
      </c>
      <c r="W67" s="70">
        <v>0</v>
      </c>
      <c r="X67" s="78">
        <v>0</v>
      </c>
      <c r="Y67" s="70">
        <v>1</v>
      </c>
      <c r="Z67" s="70">
        <v>0</v>
      </c>
      <c r="AA67" s="78">
        <v>1</v>
      </c>
      <c r="AB67" s="70">
        <v>0</v>
      </c>
      <c r="AC67" s="69">
        <v>2002</v>
      </c>
      <c r="AD67">
        <f t="shared" si="9"/>
        <v>0.14000000000000001</v>
      </c>
      <c r="AE67">
        <f t="shared" si="9"/>
        <v>0.14000000000000001</v>
      </c>
      <c r="AF67">
        <v>0.6</v>
      </c>
      <c r="AG67">
        <v>0.12</v>
      </c>
      <c r="AH67" s="28" t="s">
        <v>57</v>
      </c>
      <c r="AI67" t="s">
        <v>57</v>
      </c>
      <c r="AJ67" s="28">
        <v>0.59</v>
      </c>
      <c r="AK67">
        <f t="shared" si="10"/>
        <v>0.41000000000000003</v>
      </c>
      <c r="AL67" s="28">
        <v>0</v>
      </c>
      <c r="AM67" s="66">
        <f t="shared" si="6"/>
        <v>1</v>
      </c>
      <c r="AN67">
        <v>0</v>
      </c>
      <c r="AO67">
        <v>1</v>
      </c>
      <c r="AP67" s="28">
        <v>0.64</v>
      </c>
      <c r="AQ67" s="12">
        <f t="shared" si="7"/>
        <v>0.36</v>
      </c>
      <c r="AR67" s="12">
        <v>1</v>
      </c>
      <c r="AS67" s="12">
        <v>0</v>
      </c>
      <c r="AT67" s="12">
        <v>0</v>
      </c>
      <c r="AU67" s="62" t="s">
        <v>343</v>
      </c>
      <c r="AV67">
        <v>0</v>
      </c>
      <c r="AW67">
        <v>1</v>
      </c>
      <c r="AX67">
        <v>0</v>
      </c>
      <c r="AY67">
        <v>0</v>
      </c>
      <c r="AZ67">
        <v>0</v>
      </c>
      <c r="BA67">
        <v>0</v>
      </c>
      <c r="BB67">
        <v>0</v>
      </c>
      <c r="BC67">
        <v>0</v>
      </c>
      <c r="BD67">
        <v>1</v>
      </c>
      <c r="BE67">
        <v>0</v>
      </c>
      <c r="BF67">
        <v>942</v>
      </c>
      <c r="BG67">
        <v>131</v>
      </c>
      <c r="BH67">
        <v>0.29299999999999998</v>
      </c>
      <c r="BI67" s="64">
        <v>33.770000000000003</v>
      </c>
      <c r="BJ67">
        <v>1</v>
      </c>
      <c r="BK67">
        <v>0</v>
      </c>
      <c r="BL67">
        <v>0</v>
      </c>
      <c r="BM67">
        <v>0</v>
      </c>
      <c r="BN67">
        <v>0</v>
      </c>
      <c r="BO67">
        <v>0</v>
      </c>
      <c r="BP67">
        <v>0</v>
      </c>
      <c r="BQ67" s="28">
        <v>0</v>
      </c>
      <c r="BR67">
        <v>0</v>
      </c>
      <c r="BS67">
        <v>0</v>
      </c>
      <c r="BT67" s="28">
        <v>1</v>
      </c>
      <c r="BU67">
        <v>1</v>
      </c>
      <c r="BV67">
        <v>0</v>
      </c>
      <c r="BW67">
        <v>0</v>
      </c>
      <c r="BX67">
        <v>0</v>
      </c>
      <c r="BY67">
        <v>0</v>
      </c>
      <c r="BZ67">
        <v>1</v>
      </c>
      <c r="CA67">
        <v>0</v>
      </c>
      <c r="CB67">
        <v>0</v>
      </c>
      <c r="CC67">
        <v>0</v>
      </c>
      <c r="CD67">
        <v>0</v>
      </c>
      <c r="CE67" s="16">
        <v>0</v>
      </c>
      <c r="CF67">
        <v>0.76700000000000002</v>
      </c>
      <c r="CG67">
        <v>176</v>
      </c>
      <c r="CH67">
        <v>1</v>
      </c>
      <c r="CI67">
        <v>0</v>
      </c>
      <c r="CJ67">
        <v>18</v>
      </c>
      <c r="CK67" t="s">
        <v>46</v>
      </c>
    </row>
    <row r="68" spans="1:89" x14ac:dyDescent="0.25">
      <c r="A68">
        <v>67</v>
      </c>
      <c r="B68">
        <v>5</v>
      </c>
      <c r="C68" t="s">
        <v>266</v>
      </c>
      <c r="D68" s="10">
        <v>8.4</v>
      </c>
      <c r="E68" s="6">
        <v>0.6</v>
      </c>
      <c r="F68" s="6">
        <f t="shared" si="11"/>
        <v>14.000000000000002</v>
      </c>
      <c r="G68" s="78">
        <v>0</v>
      </c>
      <c r="H68" s="70">
        <v>0</v>
      </c>
      <c r="I68" s="70">
        <v>1</v>
      </c>
      <c r="J68" s="70">
        <v>0</v>
      </c>
      <c r="K68" s="70">
        <v>0</v>
      </c>
      <c r="L68" s="78">
        <v>976</v>
      </c>
      <c r="M68" s="70">
        <v>6</v>
      </c>
      <c r="N68" s="70">
        <f t="shared" si="12"/>
        <v>969</v>
      </c>
      <c r="O68" s="60">
        <f t="shared" si="13"/>
        <v>16</v>
      </c>
      <c r="P68" s="70">
        <v>12.16</v>
      </c>
      <c r="Q68" s="70">
        <v>14.03</v>
      </c>
      <c r="R68" s="78">
        <v>1</v>
      </c>
      <c r="S68" s="70">
        <v>0</v>
      </c>
      <c r="T68" s="78">
        <v>0</v>
      </c>
      <c r="U68" s="70">
        <v>0</v>
      </c>
      <c r="V68" s="70">
        <v>1</v>
      </c>
      <c r="W68" s="70">
        <v>0</v>
      </c>
      <c r="X68" s="78">
        <v>0</v>
      </c>
      <c r="Y68" s="70">
        <v>1</v>
      </c>
      <c r="Z68" s="70">
        <v>0</v>
      </c>
      <c r="AA68" s="78">
        <v>1</v>
      </c>
      <c r="AB68" s="70">
        <v>0</v>
      </c>
      <c r="AC68" s="69">
        <v>2002</v>
      </c>
      <c r="AD68">
        <f t="shared" si="9"/>
        <v>0.14000000000000001</v>
      </c>
      <c r="AE68">
        <f t="shared" si="9"/>
        <v>0.14000000000000001</v>
      </c>
      <c r="AF68">
        <v>0.6</v>
      </c>
      <c r="AG68">
        <v>0.12</v>
      </c>
      <c r="AH68" s="28" t="s">
        <v>57</v>
      </c>
      <c r="AI68" t="s">
        <v>57</v>
      </c>
      <c r="AJ68" s="28">
        <v>0.59</v>
      </c>
      <c r="AK68">
        <f t="shared" si="10"/>
        <v>0.41000000000000003</v>
      </c>
      <c r="AL68" s="28">
        <v>0</v>
      </c>
      <c r="AM68" s="66">
        <f t="shared" si="6"/>
        <v>1</v>
      </c>
      <c r="AN68">
        <v>0</v>
      </c>
      <c r="AO68">
        <v>1</v>
      </c>
      <c r="AP68" s="28">
        <v>0.64</v>
      </c>
      <c r="AQ68" s="12">
        <f t="shared" si="7"/>
        <v>0.36</v>
      </c>
      <c r="AR68" s="12">
        <v>1</v>
      </c>
      <c r="AS68" s="12">
        <v>0</v>
      </c>
      <c r="AT68" s="12">
        <v>0</v>
      </c>
      <c r="AU68" s="62" t="s">
        <v>343</v>
      </c>
      <c r="AV68">
        <v>0</v>
      </c>
      <c r="AW68">
        <v>1</v>
      </c>
      <c r="AX68">
        <v>0</v>
      </c>
      <c r="AY68">
        <v>0</v>
      </c>
      <c r="AZ68">
        <v>0</v>
      </c>
      <c r="BA68">
        <v>0</v>
      </c>
      <c r="BB68">
        <v>0</v>
      </c>
      <c r="BC68">
        <v>0</v>
      </c>
      <c r="BD68">
        <v>1</v>
      </c>
      <c r="BE68">
        <v>0</v>
      </c>
      <c r="BF68">
        <v>942</v>
      </c>
      <c r="BG68">
        <v>131</v>
      </c>
      <c r="BH68">
        <v>0.29299999999999998</v>
      </c>
      <c r="BI68" s="64">
        <v>33.770000000000003</v>
      </c>
      <c r="BJ68">
        <v>1</v>
      </c>
      <c r="BK68">
        <v>0</v>
      </c>
      <c r="BL68">
        <v>0</v>
      </c>
      <c r="BM68">
        <v>0</v>
      </c>
      <c r="BN68">
        <v>0</v>
      </c>
      <c r="BO68">
        <v>0</v>
      </c>
      <c r="BP68">
        <v>0</v>
      </c>
      <c r="BQ68" s="28">
        <v>0</v>
      </c>
      <c r="BR68">
        <v>0</v>
      </c>
      <c r="BS68">
        <v>0</v>
      </c>
      <c r="BT68" s="28">
        <v>1</v>
      </c>
      <c r="BU68">
        <v>1</v>
      </c>
      <c r="BV68">
        <v>1</v>
      </c>
      <c r="BW68">
        <v>0</v>
      </c>
      <c r="BX68">
        <v>0</v>
      </c>
      <c r="BY68">
        <v>0</v>
      </c>
      <c r="BZ68">
        <v>1</v>
      </c>
      <c r="CA68">
        <v>1</v>
      </c>
      <c r="CB68">
        <v>0</v>
      </c>
      <c r="CC68">
        <v>0</v>
      </c>
      <c r="CD68">
        <v>0</v>
      </c>
      <c r="CE68" s="16">
        <v>0</v>
      </c>
      <c r="CF68">
        <v>0.76700000000000002</v>
      </c>
      <c r="CG68">
        <v>176</v>
      </c>
      <c r="CH68">
        <v>1</v>
      </c>
      <c r="CI68">
        <v>0</v>
      </c>
      <c r="CJ68">
        <v>18</v>
      </c>
      <c r="CK68" t="s">
        <v>46</v>
      </c>
    </row>
    <row r="69" spans="1:89" x14ac:dyDescent="0.25">
      <c r="A69">
        <v>68</v>
      </c>
      <c r="B69">
        <v>5</v>
      </c>
      <c r="C69" t="s">
        <v>266</v>
      </c>
      <c r="D69" s="10">
        <v>2.5</v>
      </c>
      <c r="E69" s="6">
        <v>1.5</v>
      </c>
      <c r="F69" s="6">
        <f t="shared" si="11"/>
        <v>1.6666666666666667</v>
      </c>
      <c r="G69" s="78">
        <v>0</v>
      </c>
      <c r="H69" s="70">
        <v>0</v>
      </c>
      <c r="I69" s="70">
        <v>1</v>
      </c>
      <c r="J69" s="70">
        <v>0</v>
      </c>
      <c r="K69" s="70">
        <v>0</v>
      </c>
      <c r="L69" s="78">
        <v>976</v>
      </c>
      <c r="M69" s="70">
        <v>1</v>
      </c>
      <c r="N69" s="70">
        <f t="shared" si="12"/>
        <v>974</v>
      </c>
      <c r="O69" s="60">
        <f t="shared" si="13"/>
        <v>16</v>
      </c>
      <c r="P69" s="70">
        <v>12.16</v>
      </c>
      <c r="Q69" s="70">
        <v>14.03</v>
      </c>
      <c r="R69" s="78">
        <v>1</v>
      </c>
      <c r="S69" s="70">
        <v>0</v>
      </c>
      <c r="T69" s="78">
        <v>0</v>
      </c>
      <c r="U69" s="70">
        <v>0</v>
      </c>
      <c r="V69" s="70">
        <v>1</v>
      </c>
      <c r="W69" s="70">
        <v>0</v>
      </c>
      <c r="X69" s="78">
        <v>0</v>
      </c>
      <c r="Y69" s="70">
        <v>1</v>
      </c>
      <c r="Z69" s="70">
        <v>0</v>
      </c>
      <c r="AA69" s="78">
        <v>1</v>
      </c>
      <c r="AB69" s="70">
        <v>0</v>
      </c>
      <c r="AC69" s="69">
        <v>2002</v>
      </c>
      <c r="AD69">
        <f t="shared" si="9"/>
        <v>0.14000000000000001</v>
      </c>
      <c r="AE69">
        <f t="shared" si="9"/>
        <v>0.14000000000000001</v>
      </c>
      <c r="AF69">
        <v>0.6</v>
      </c>
      <c r="AG69">
        <v>0.12</v>
      </c>
      <c r="AH69" s="28" t="s">
        <v>57</v>
      </c>
      <c r="AI69" t="s">
        <v>57</v>
      </c>
      <c r="AJ69" s="28">
        <v>0.59</v>
      </c>
      <c r="AK69">
        <f t="shared" si="10"/>
        <v>0.41000000000000003</v>
      </c>
      <c r="AL69" s="28">
        <v>0</v>
      </c>
      <c r="AM69" s="66">
        <f t="shared" si="6"/>
        <v>1</v>
      </c>
      <c r="AN69">
        <v>0</v>
      </c>
      <c r="AO69">
        <v>1</v>
      </c>
      <c r="AP69" s="28">
        <v>0.64</v>
      </c>
      <c r="AQ69" s="12">
        <f t="shared" si="7"/>
        <v>0.36</v>
      </c>
      <c r="AR69" s="12">
        <v>1</v>
      </c>
      <c r="AS69" s="12">
        <v>0</v>
      </c>
      <c r="AT69" s="12">
        <v>0</v>
      </c>
      <c r="AU69" s="62" t="s">
        <v>343</v>
      </c>
      <c r="AV69">
        <v>0</v>
      </c>
      <c r="AW69">
        <v>1</v>
      </c>
      <c r="AX69">
        <v>0</v>
      </c>
      <c r="AY69">
        <v>0</v>
      </c>
      <c r="AZ69">
        <v>0</v>
      </c>
      <c r="BA69">
        <v>0</v>
      </c>
      <c r="BB69">
        <v>0</v>
      </c>
      <c r="BC69">
        <v>0</v>
      </c>
      <c r="BD69">
        <v>1</v>
      </c>
      <c r="BE69">
        <v>0</v>
      </c>
      <c r="BF69">
        <v>942</v>
      </c>
      <c r="BG69">
        <v>131</v>
      </c>
      <c r="BH69">
        <v>0.29299999999999998</v>
      </c>
      <c r="BI69" s="64">
        <v>33.770000000000003</v>
      </c>
      <c r="BJ69">
        <v>0</v>
      </c>
      <c r="BK69">
        <v>0</v>
      </c>
      <c r="BL69">
        <v>1</v>
      </c>
      <c r="BM69">
        <v>0</v>
      </c>
      <c r="BN69">
        <v>0</v>
      </c>
      <c r="BO69">
        <v>0</v>
      </c>
      <c r="BP69">
        <v>0</v>
      </c>
      <c r="BQ69" s="28">
        <v>0</v>
      </c>
      <c r="BR69">
        <v>0</v>
      </c>
      <c r="BS69">
        <v>0</v>
      </c>
      <c r="BT69" s="28">
        <v>0</v>
      </c>
      <c r="BU69">
        <v>0</v>
      </c>
      <c r="BV69">
        <v>0</v>
      </c>
      <c r="BW69">
        <v>0</v>
      </c>
      <c r="BX69">
        <v>0</v>
      </c>
      <c r="BY69">
        <v>0</v>
      </c>
      <c r="BZ69">
        <v>0</v>
      </c>
      <c r="CA69">
        <v>0</v>
      </c>
      <c r="CB69">
        <v>0</v>
      </c>
      <c r="CC69">
        <v>0</v>
      </c>
      <c r="CD69">
        <v>0</v>
      </c>
      <c r="CE69" s="16">
        <v>0</v>
      </c>
      <c r="CF69">
        <v>0.76700000000000002</v>
      </c>
      <c r="CG69">
        <v>176</v>
      </c>
      <c r="CH69">
        <v>1</v>
      </c>
      <c r="CI69">
        <v>0</v>
      </c>
      <c r="CJ69">
        <v>18</v>
      </c>
      <c r="CK69" t="s">
        <v>46</v>
      </c>
    </row>
    <row r="70" spans="1:89" x14ac:dyDescent="0.25">
      <c r="A70">
        <v>69</v>
      </c>
      <c r="B70">
        <v>5</v>
      </c>
      <c r="C70" t="s">
        <v>266</v>
      </c>
      <c r="D70" s="10">
        <v>2.7</v>
      </c>
      <c r="E70" s="6">
        <v>1.5</v>
      </c>
      <c r="F70" s="6">
        <f t="shared" si="11"/>
        <v>1.8</v>
      </c>
      <c r="G70" s="78">
        <v>0</v>
      </c>
      <c r="H70" s="70">
        <v>0</v>
      </c>
      <c r="I70" s="70">
        <v>1</v>
      </c>
      <c r="J70" s="70">
        <v>0</v>
      </c>
      <c r="K70" s="70">
        <v>0</v>
      </c>
      <c r="L70" s="78">
        <v>976</v>
      </c>
      <c r="M70" s="70">
        <v>3</v>
      </c>
      <c r="N70" s="70">
        <f t="shared" si="12"/>
        <v>972</v>
      </c>
      <c r="O70" s="60">
        <f t="shared" si="13"/>
        <v>16</v>
      </c>
      <c r="P70" s="70">
        <v>12.16</v>
      </c>
      <c r="Q70" s="70">
        <v>14.03</v>
      </c>
      <c r="R70" s="78">
        <v>1</v>
      </c>
      <c r="S70" s="70">
        <v>0</v>
      </c>
      <c r="T70" s="78">
        <v>0</v>
      </c>
      <c r="U70" s="70">
        <v>0</v>
      </c>
      <c r="V70" s="70">
        <v>1</v>
      </c>
      <c r="W70" s="70">
        <v>0</v>
      </c>
      <c r="X70" s="78">
        <v>0</v>
      </c>
      <c r="Y70" s="70">
        <v>1</v>
      </c>
      <c r="Z70" s="70">
        <v>0</v>
      </c>
      <c r="AA70" s="78">
        <v>1</v>
      </c>
      <c r="AB70" s="70">
        <v>0</v>
      </c>
      <c r="AC70" s="69">
        <v>2002</v>
      </c>
      <c r="AD70">
        <f t="shared" si="9"/>
        <v>0.14000000000000001</v>
      </c>
      <c r="AE70">
        <f t="shared" si="9"/>
        <v>0.14000000000000001</v>
      </c>
      <c r="AF70">
        <v>0.6</v>
      </c>
      <c r="AG70">
        <v>0.12</v>
      </c>
      <c r="AH70" s="28" t="s">
        <v>57</v>
      </c>
      <c r="AI70" t="s">
        <v>57</v>
      </c>
      <c r="AJ70" s="28">
        <v>0.59</v>
      </c>
      <c r="AK70">
        <f t="shared" si="10"/>
        <v>0.41000000000000003</v>
      </c>
      <c r="AL70" s="28">
        <v>0</v>
      </c>
      <c r="AM70" s="66">
        <f t="shared" si="6"/>
        <v>1</v>
      </c>
      <c r="AN70">
        <v>0</v>
      </c>
      <c r="AO70">
        <v>1</v>
      </c>
      <c r="AP70" s="28">
        <v>0.64</v>
      </c>
      <c r="AQ70" s="12">
        <f t="shared" si="7"/>
        <v>0.36</v>
      </c>
      <c r="AR70" s="12">
        <v>1</v>
      </c>
      <c r="AS70" s="12">
        <v>0</v>
      </c>
      <c r="AT70" s="12">
        <v>0</v>
      </c>
      <c r="AU70" s="62" t="s">
        <v>343</v>
      </c>
      <c r="AV70">
        <v>0</v>
      </c>
      <c r="AW70">
        <v>1</v>
      </c>
      <c r="AX70">
        <v>0</v>
      </c>
      <c r="AY70">
        <v>0</v>
      </c>
      <c r="AZ70">
        <v>0</v>
      </c>
      <c r="BA70">
        <v>0</v>
      </c>
      <c r="BB70">
        <v>0</v>
      </c>
      <c r="BC70">
        <v>0</v>
      </c>
      <c r="BD70">
        <v>1</v>
      </c>
      <c r="BE70">
        <v>0</v>
      </c>
      <c r="BF70">
        <v>942</v>
      </c>
      <c r="BG70">
        <v>131</v>
      </c>
      <c r="BH70">
        <v>0.29299999999999998</v>
      </c>
      <c r="BI70" s="64">
        <v>33.770000000000003</v>
      </c>
      <c r="BJ70">
        <v>0</v>
      </c>
      <c r="BK70">
        <v>0</v>
      </c>
      <c r="BL70">
        <v>1</v>
      </c>
      <c r="BM70">
        <v>0</v>
      </c>
      <c r="BN70">
        <v>0</v>
      </c>
      <c r="BO70">
        <v>0</v>
      </c>
      <c r="BP70">
        <v>0</v>
      </c>
      <c r="BQ70" s="28">
        <v>0</v>
      </c>
      <c r="BR70">
        <v>0</v>
      </c>
      <c r="BS70">
        <v>0</v>
      </c>
      <c r="BT70" s="28">
        <v>0</v>
      </c>
      <c r="BU70">
        <v>0</v>
      </c>
      <c r="BV70">
        <v>1</v>
      </c>
      <c r="BW70">
        <v>0</v>
      </c>
      <c r="BX70">
        <v>0</v>
      </c>
      <c r="BY70">
        <v>0</v>
      </c>
      <c r="BZ70">
        <v>0</v>
      </c>
      <c r="CA70">
        <v>1</v>
      </c>
      <c r="CB70">
        <v>0</v>
      </c>
      <c r="CC70">
        <v>0</v>
      </c>
      <c r="CD70">
        <v>0</v>
      </c>
      <c r="CE70" s="16">
        <v>0</v>
      </c>
      <c r="CF70">
        <v>0.76700000000000002</v>
      </c>
      <c r="CG70">
        <v>176</v>
      </c>
      <c r="CH70">
        <v>1</v>
      </c>
      <c r="CI70">
        <v>0</v>
      </c>
      <c r="CJ70">
        <v>18</v>
      </c>
      <c r="CK70" t="s">
        <v>46</v>
      </c>
    </row>
    <row r="71" spans="1:89" x14ac:dyDescent="0.25">
      <c r="A71">
        <v>70</v>
      </c>
      <c r="B71">
        <v>5</v>
      </c>
      <c r="C71" t="s">
        <v>266</v>
      </c>
      <c r="D71" s="10">
        <v>2.5</v>
      </c>
      <c r="E71" s="6">
        <v>1.2</v>
      </c>
      <c r="F71" s="6">
        <f t="shared" si="11"/>
        <v>2.0833333333333335</v>
      </c>
      <c r="G71" s="78">
        <v>0</v>
      </c>
      <c r="H71" s="70">
        <v>0</v>
      </c>
      <c r="I71" s="70">
        <v>1</v>
      </c>
      <c r="J71" s="70">
        <v>0</v>
      </c>
      <c r="K71" s="70">
        <v>0</v>
      </c>
      <c r="L71" s="78">
        <v>976</v>
      </c>
      <c r="M71" s="70">
        <v>5</v>
      </c>
      <c r="N71" s="70">
        <f t="shared" si="12"/>
        <v>970</v>
      </c>
      <c r="O71" s="60">
        <f t="shared" si="13"/>
        <v>16</v>
      </c>
      <c r="P71" s="70">
        <v>12.16</v>
      </c>
      <c r="Q71" s="70">
        <v>14.03</v>
      </c>
      <c r="R71" s="78">
        <v>1</v>
      </c>
      <c r="S71" s="70">
        <v>0</v>
      </c>
      <c r="T71" s="78">
        <v>0</v>
      </c>
      <c r="U71" s="70">
        <v>0</v>
      </c>
      <c r="V71" s="70">
        <v>1</v>
      </c>
      <c r="W71" s="70">
        <v>0</v>
      </c>
      <c r="X71" s="78">
        <v>0</v>
      </c>
      <c r="Y71" s="70">
        <v>1</v>
      </c>
      <c r="Z71" s="70">
        <v>0</v>
      </c>
      <c r="AA71" s="78">
        <v>1</v>
      </c>
      <c r="AB71" s="70">
        <v>0</v>
      </c>
      <c r="AC71" s="69">
        <v>2002</v>
      </c>
      <c r="AD71">
        <f t="shared" si="9"/>
        <v>0.14000000000000001</v>
      </c>
      <c r="AE71">
        <f t="shared" si="9"/>
        <v>0.14000000000000001</v>
      </c>
      <c r="AF71">
        <v>0.6</v>
      </c>
      <c r="AG71">
        <v>0.12</v>
      </c>
      <c r="AH71" s="28" t="s">
        <v>57</v>
      </c>
      <c r="AI71" t="s">
        <v>57</v>
      </c>
      <c r="AJ71" s="28">
        <v>0.59</v>
      </c>
      <c r="AK71">
        <f t="shared" si="10"/>
        <v>0.41000000000000003</v>
      </c>
      <c r="AL71" s="28">
        <v>0</v>
      </c>
      <c r="AM71" s="66">
        <f t="shared" si="6"/>
        <v>1</v>
      </c>
      <c r="AN71">
        <v>0</v>
      </c>
      <c r="AO71">
        <v>1</v>
      </c>
      <c r="AP71" s="28">
        <v>0.64</v>
      </c>
      <c r="AQ71" s="12">
        <f t="shared" si="7"/>
        <v>0.36</v>
      </c>
      <c r="AR71" s="12">
        <v>1</v>
      </c>
      <c r="AS71" s="12">
        <v>0</v>
      </c>
      <c r="AT71" s="12">
        <v>0</v>
      </c>
      <c r="AU71" s="62" t="s">
        <v>343</v>
      </c>
      <c r="AV71">
        <v>0</v>
      </c>
      <c r="AW71">
        <v>1</v>
      </c>
      <c r="AX71">
        <v>0</v>
      </c>
      <c r="AY71">
        <v>0</v>
      </c>
      <c r="AZ71">
        <v>0</v>
      </c>
      <c r="BA71">
        <v>0</v>
      </c>
      <c r="BB71">
        <v>0</v>
      </c>
      <c r="BC71">
        <v>0</v>
      </c>
      <c r="BD71">
        <v>1</v>
      </c>
      <c r="BE71">
        <v>0</v>
      </c>
      <c r="BF71">
        <v>942</v>
      </c>
      <c r="BG71">
        <v>131</v>
      </c>
      <c r="BH71">
        <v>0.29299999999999998</v>
      </c>
      <c r="BI71" s="64">
        <v>33.770000000000003</v>
      </c>
      <c r="BJ71">
        <v>0</v>
      </c>
      <c r="BK71">
        <v>1</v>
      </c>
      <c r="BL71">
        <v>0</v>
      </c>
      <c r="BM71">
        <v>0</v>
      </c>
      <c r="BN71">
        <v>0</v>
      </c>
      <c r="BO71">
        <v>0</v>
      </c>
      <c r="BP71">
        <v>0</v>
      </c>
      <c r="BQ71" s="28">
        <v>0</v>
      </c>
      <c r="BR71">
        <v>0</v>
      </c>
      <c r="BS71">
        <v>0</v>
      </c>
      <c r="BT71" s="28">
        <v>1</v>
      </c>
      <c r="BU71">
        <v>1</v>
      </c>
      <c r="BV71">
        <v>0</v>
      </c>
      <c r="BW71">
        <v>0</v>
      </c>
      <c r="BX71">
        <v>0</v>
      </c>
      <c r="BY71">
        <v>0</v>
      </c>
      <c r="BZ71">
        <v>1</v>
      </c>
      <c r="CA71">
        <v>0</v>
      </c>
      <c r="CB71">
        <v>0</v>
      </c>
      <c r="CC71">
        <v>0</v>
      </c>
      <c r="CD71">
        <v>0</v>
      </c>
      <c r="CE71" s="16">
        <v>0</v>
      </c>
      <c r="CF71">
        <v>0.76700000000000002</v>
      </c>
      <c r="CG71">
        <v>176</v>
      </c>
      <c r="CH71">
        <v>1</v>
      </c>
      <c r="CI71">
        <v>0</v>
      </c>
      <c r="CJ71">
        <v>18</v>
      </c>
      <c r="CK71" t="s">
        <v>46</v>
      </c>
    </row>
    <row r="72" spans="1:89" x14ac:dyDescent="0.25">
      <c r="A72">
        <v>71</v>
      </c>
      <c r="B72">
        <v>5</v>
      </c>
      <c r="C72" t="s">
        <v>266</v>
      </c>
      <c r="D72" s="10">
        <v>2.7</v>
      </c>
      <c r="E72" s="6">
        <v>1.2</v>
      </c>
      <c r="F72" s="6">
        <f t="shared" si="11"/>
        <v>2.2500000000000004</v>
      </c>
      <c r="G72" s="78">
        <v>0</v>
      </c>
      <c r="H72" s="70">
        <v>0</v>
      </c>
      <c r="I72" s="70">
        <v>1</v>
      </c>
      <c r="J72" s="70">
        <v>0</v>
      </c>
      <c r="K72" s="70">
        <v>0</v>
      </c>
      <c r="L72" s="78">
        <v>976</v>
      </c>
      <c r="M72" s="70">
        <v>7</v>
      </c>
      <c r="N72" s="70">
        <f t="shared" si="12"/>
        <v>968</v>
      </c>
      <c r="O72" s="60">
        <f t="shared" si="13"/>
        <v>16</v>
      </c>
      <c r="P72" s="70">
        <v>12.16</v>
      </c>
      <c r="Q72" s="70">
        <v>14.03</v>
      </c>
      <c r="R72" s="78">
        <v>1</v>
      </c>
      <c r="S72" s="70">
        <v>0</v>
      </c>
      <c r="T72" s="78">
        <v>0</v>
      </c>
      <c r="U72" s="70">
        <v>0</v>
      </c>
      <c r="V72" s="70">
        <v>1</v>
      </c>
      <c r="W72" s="70">
        <v>0</v>
      </c>
      <c r="X72" s="78">
        <v>0</v>
      </c>
      <c r="Y72" s="70">
        <v>1</v>
      </c>
      <c r="Z72" s="70">
        <v>0</v>
      </c>
      <c r="AA72" s="78">
        <v>1</v>
      </c>
      <c r="AB72" s="70">
        <v>0</v>
      </c>
      <c r="AC72" s="69">
        <v>2002</v>
      </c>
      <c r="AD72">
        <f t="shared" si="9"/>
        <v>0.14000000000000001</v>
      </c>
      <c r="AE72">
        <f t="shared" si="9"/>
        <v>0.14000000000000001</v>
      </c>
      <c r="AF72">
        <v>0.6</v>
      </c>
      <c r="AG72">
        <v>0.12</v>
      </c>
      <c r="AH72" s="28" t="s">
        <v>57</v>
      </c>
      <c r="AI72" t="s">
        <v>57</v>
      </c>
      <c r="AJ72" s="28">
        <v>0.59</v>
      </c>
      <c r="AK72">
        <f t="shared" si="10"/>
        <v>0.41000000000000003</v>
      </c>
      <c r="AL72" s="28">
        <v>0</v>
      </c>
      <c r="AM72" s="66">
        <f t="shared" si="6"/>
        <v>1</v>
      </c>
      <c r="AN72">
        <v>0</v>
      </c>
      <c r="AO72">
        <v>1</v>
      </c>
      <c r="AP72" s="28">
        <v>0.64</v>
      </c>
      <c r="AQ72" s="12">
        <f t="shared" si="7"/>
        <v>0.36</v>
      </c>
      <c r="AR72" s="12">
        <v>1</v>
      </c>
      <c r="AS72" s="12">
        <v>0</v>
      </c>
      <c r="AT72" s="12">
        <v>0</v>
      </c>
      <c r="AU72" s="62" t="s">
        <v>343</v>
      </c>
      <c r="AV72">
        <v>0</v>
      </c>
      <c r="AW72">
        <v>1</v>
      </c>
      <c r="AX72">
        <v>0</v>
      </c>
      <c r="AY72">
        <v>0</v>
      </c>
      <c r="AZ72">
        <v>0</v>
      </c>
      <c r="BA72">
        <v>0</v>
      </c>
      <c r="BB72">
        <v>0</v>
      </c>
      <c r="BC72">
        <v>0</v>
      </c>
      <c r="BD72">
        <v>1</v>
      </c>
      <c r="BE72">
        <v>0</v>
      </c>
      <c r="BF72">
        <v>942</v>
      </c>
      <c r="BG72">
        <v>131</v>
      </c>
      <c r="BH72">
        <v>0.29299999999999998</v>
      </c>
      <c r="BI72" s="64">
        <v>33.770000000000003</v>
      </c>
      <c r="BJ72">
        <v>0</v>
      </c>
      <c r="BK72">
        <v>1</v>
      </c>
      <c r="BL72">
        <v>0</v>
      </c>
      <c r="BM72">
        <v>0</v>
      </c>
      <c r="BN72">
        <v>0</v>
      </c>
      <c r="BO72">
        <v>0</v>
      </c>
      <c r="BP72">
        <v>0</v>
      </c>
      <c r="BQ72" s="28">
        <v>0</v>
      </c>
      <c r="BR72">
        <v>0</v>
      </c>
      <c r="BS72">
        <v>0</v>
      </c>
      <c r="BT72" s="28">
        <v>1</v>
      </c>
      <c r="BU72">
        <v>1</v>
      </c>
      <c r="BV72">
        <v>1</v>
      </c>
      <c r="BW72">
        <v>0</v>
      </c>
      <c r="BX72">
        <v>0</v>
      </c>
      <c r="BY72">
        <v>0</v>
      </c>
      <c r="BZ72">
        <v>1</v>
      </c>
      <c r="CA72">
        <v>1</v>
      </c>
      <c r="CB72">
        <v>0</v>
      </c>
      <c r="CC72">
        <v>0</v>
      </c>
      <c r="CD72">
        <v>0</v>
      </c>
      <c r="CE72" s="16">
        <v>0</v>
      </c>
      <c r="CF72">
        <v>0.76700000000000002</v>
      </c>
      <c r="CG72">
        <v>176</v>
      </c>
      <c r="CH72">
        <v>1</v>
      </c>
      <c r="CI72">
        <v>0</v>
      </c>
      <c r="CJ72">
        <v>18</v>
      </c>
      <c r="CK72" t="s">
        <v>46</v>
      </c>
    </row>
    <row r="73" spans="1:89" x14ac:dyDescent="0.25">
      <c r="A73">
        <v>72</v>
      </c>
      <c r="B73">
        <v>5</v>
      </c>
      <c r="C73" t="s">
        <v>266</v>
      </c>
      <c r="D73" s="10">
        <v>3.2</v>
      </c>
      <c r="E73" s="6">
        <v>1.9</v>
      </c>
      <c r="F73" s="6">
        <f t="shared" si="11"/>
        <v>1.6842105263157896</v>
      </c>
      <c r="G73" s="78">
        <v>0</v>
      </c>
      <c r="H73" s="70">
        <v>0</v>
      </c>
      <c r="I73" s="70">
        <v>1</v>
      </c>
      <c r="J73" s="70">
        <v>0</v>
      </c>
      <c r="K73" s="70">
        <v>0</v>
      </c>
      <c r="L73" s="78">
        <v>976</v>
      </c>
      <c r="M73" s="70">
        <v>1</v>
      </c>
      <c r="N73" s="70">
        <f t="shared" si="12"/>
        <v>974</v>
      </c>
      <c r="O73" s="60">
        <f t="shared" si="13"/>
        <v>16</v>
      </c>
      <c r="P73" s="70">
        <v>12.16</v>
      </c>
      <c r="Q73" s="70">
        <v>14.03</v>
      </c>
      <c r="R73" s="78">
        <v>1</v>
      </c>
      <c r="S73" s="70">
        <v>0</v>
      </c>
      <c r="T73" s="78">
        <v>0</v>
      </c>
      <c r="U73" s="70">
        <v>0</v>
      </c>
      <c r="V73" s="70">
        <v>1</v>
      </c>
      <c r="W73" s="70">
        <v>0</v>
      </c>
      <c r="X73" s="78">
        <v>0</v>
      </c>
      <c r="Y73" s="70">
        <v>1</v>
      </c>
      <c r="Z73" s="70">
        <v>0</v>
      </c>
      <c r="AA73" s="78">
        <v>1</v>
      </c>
      <c r="AB73" s="70">
        <v>0</v>
      </c>
      <c r="AC73" s="69">
        <v>2002</v>
      </c>
      <c r="AD73">
        <f t="shared" si="9"/>
        <v>0.14000000000000001</v>
      </c>
      <c r="AE73">
        <f t="shared" si="9"/>
        <v>0.14000000000000001</v>
      </c>
      <c r="AF73">
        <v>0.6</v>
      </c>
      <c r="AG73">
        <v>0.12</v>
      </c>
      <c r="AH73" s="28" t="s">
        <v>57</v>
      </c>
      <c r="AI73" t="s">
        <v>57</v>
      </c>
      <c r="AJ73" s="28">
        <v>0.59</v>
      </c>
      <c r="AK73">
        <f t="shared" si="10"/>
        <v>0.41000000000000003</v>
      </c>
      <c r="AL73" s="28">
        <v>0</v>
      </c>
      <c r="AM73" s="66">
        <f t="shared" si="6"/>
        <v>1</v>
      </c>
      <c r="AN73">
        <v>0</v>
      </c>
      <c r="AO73">
        <v>1</v>
      </c>
      <c r="AP73" s="28">
        <v>0.64</v>
      </c>
      <c r="AQ73" s="12">
        <f t="shared" si="7"/>
        <v>0.36</v>
      </c>
      <c r="AR73" s="12">
        <v>1</v>
      </c>
      <c r="AS73" s="12">
        <v>0</v>
      </c>
      <c r="AT73" s="12">
        <v>0</v>
      </c>
      <c r="AU73" s="62" t="s">
        <v>343</v>
      </c>
      <c r="AV73">
        <v>0</v>
      </c>
      <c r="AW73">
        <v>1</v>
      </c>
      <c r="AX73">
        <v>0</v>
      </c>
      <c r="AY73">
        <v>0</v>
      </c>
      <c r="AZ73">
        <v>0</v>
      </c>
      <c r="BA73">
        <v>0</v>
      </c>
      <c r="BB73">
        <v>0</v>
      </c>
      <c r="BC73">
        <v>0</v>
      </c>
      <c r="BD73">
        <v>1</v>
      </c>
      <c r="BE73">
        <v>0</v>
      </c>
      <c r="BF73">
        <v>942</v>
      </c>
      <c r="BG73">
        <v>131</v>
      </c>
      <c r="BH73">
        <v>0.29299999999999998</v>
      </c>
      <c r="BI73" s="64">
        <v>33.770000000000003</v>
      </c>
      <c r="BJ73">
        <v>0</v>
      </c>
      <c r="BK73">
        <v>0</v>
      </c>
      <c r="BL73">
        <v>0</v>
      </c>
      <c r="BM73">
        <v>0</v>
      </c>
      <c r="BN73">
        <v>0</v>
      </c>
      <c r="BO73">
        <v>1</v>
      </c>
      <c r="BP73">
        <v>0</v>
      </c>
      <c r="BQ73" s="28">
        <v>1</v>
      </c>
      <c r="BR73">
        <v>0</v>
      </c>
      <c r="BS73">
        <v>0</v>
      </c>
      <c r="BT73" s="28">
        <v>0</v>
      </c>
      <c r="BU73">
        <v>0</v>
      </c>
      <c r="BV73">
        <v>0</v>
      </c>
      <c r="BW73">
        <v>0</v>
      </c>
      <c r="BX73">
        <v>0</v>
      </c>
      <c r="BY73">
        <v>0</v>
      </c>
      <c r="BZ73">
        <v>0</v>
      </c>
      <c r="CA73">
        <v>0</v>
      </c>
      <c r="CB73">
        <v>0</v>
      </c>
      <c r="CC73">
        <v>0</v>
      </c>
      <c r="CD73">
        <v>0</v>
      </c>
      <c r="CE73" s="16">
        <v>0</v>
      </c>
      <c r="CF73">
        <v>0.76700000000000002</v>
      </c>
      <c r="CG73">
        <v>176</v>
      </c>
      <c r="CH73">
        <v>1</v>
      </c>
      <c r="CI73">
        <v>0</v>
      </c>
      <c r="CJ73">
        <v>18</v>
      </c>
      <c r="CK73" t="s">
        <v>46</v>
      </c>
    </row>
    <row r="74" spans="1:89" x14ac:dyDescent="0.25">
      <c r="A74">
        <v>73</v>
      </c>
      <c r="B74">
        <v>5</v>
      </c>
      <c r="C74" t="s">
        <v>266</v>
      </c>
      <c r="D74" s="10">
        <v>3.3</v>
      </c>
      <c r="E74" s="6">
        <v>1.9</v>
      </c>
      <c r="F74" s="6">
        <f t="shared" si="11"/>
        <v>1.736842105263158</v>
      </c>
      <c r="G74" s="78">
        <v>0</v>
      </c>
      <c r="H74" s="70">
        <v>0</v>
      </c>
      <c r="I74" s="70">
        <v>1</v>
      </c>
      <c r="J74" s="70">
        <v>0</v>
      </c>
      <c r="K74" s="70">
        <v>0</v>
      </c>
      <c r="L74" s="78">
        <v>976</v>
      </c>
      <c r="M74" s="70">
        <v>3</v>
      </c>
      <c r="N74" s="70">
        <f t="shared" si="12"/>
        <v>972</v>
      </c>
      <c r="O74" s="60">
        <f t="shared" si="13"/>
        <v>16</v>
      </c>
      <c r="P74" s="70">
        <v>12.16</v>
      </c>
      <c r="Q74" s="70">
        <v>14.03</v>
      </c>
      <c r="R74" s="78">
        <v>1</v>
      </c>
      <c r="S74" s="70">
        <v>0</v>
      </c>
      <c r="T74" s="78">
        <v>0</v>
      </c>
      <c r="U74" s="70">
        <v>0</v>
      </c>
      <c r="V74" s="70">
        <v>1</v>
      </c>
      <c r="W74" s="70">
        <v>0</v>
      </c>
      <c r="X74" s="78">
        <v>0</v>
      </c>
      <c r="Y74" s="70">
        <v>1</v>
      </c>
      <c r="Z74" s="70">
        <v>0</v>
      </c>
      <c r="AA74" s="78">
        <v>1</v>
      </c>
      <c r="AB74" s="70">
        <v>0</v>
      </c>
      <c r="AC74" s="69">
        <v>2002</v>
      </c>
      <c r="AD74">
        <f t="shared" si="9"/>
        <v>0.14000000000000001</v>
      </c>
      <c r="AE74">
        <f t="shared" si="9"/>
        <v>0.14000000000000001</v>
      </c>
      <c r="AF74">
        <v>0.6</v>
      </c>
      <c r="AG74">
        <v>0.12</v>
      </c>
      <c r="AH74" s="28" t="s">
        <v>57</v>
      </c>
      <c r="AI74" t="s">
        <v>57</v>
      </c>
      <c r="AJ74" s="28">
        <v>0.59</v>
      </c>
      <c r="AK74">
        <f t="shared" si="10"/>
        <v>0.41000000000000003</v>
      </c>
      <c r="AL74" s="28">
        <v>0</v>
      </c>
      <c r="AM74" s="66">
        <f t="shared" si="6"/>
        <v>1</v>
      </c>
      <c r="AN74">
        <v>0</v>
      </c>
      <c r="AO74">
        <v>1</v>
      </c>
      <c r="AP74" s="28">
        <v>0.64</v>
      </c>
      <c r="AQ74" s="12">
        <f t="shared" si="7"/>
        <v>0.36</v>
      </c>
      <c r="AR74" s="12">
        <v>1</v>
      </c>
      <c r="AS74" s="12">
        <v>0</v>
      </c>
      <c r="AT74" s="12">
        <v>0</v>
      </c>
      <c r="AU74" s="62" t="s">
        <v>343</v>
      </c>
      <c r="AV74">
        <v>0</v>
      </c>
      <c r="AW74">
        <v>1</v>
      </c>
      <c r="AX74">
        <v>0</v>
      </c>
      <c r="AY74">
        <v>0</v>
      </c>
      <c r="AZ74">
        <v>0</v>
      </c>
      <c r="BA74">
        <v>0</v>
      </c>
      <c r="BB74">
        <v>0</v>
      </c>
      <c r="BC74">
        <v>0</v>
      </c>
      <c r="BD74">
        <v>1</v>
      </c>
      <c r="BE74">
        <v>0</v>
      </c>
      <c r="BF74">
        <v>942</v>
      </c>
      <c r="BG74">
        <v>131</v>
      </c>
      <c r="BH74">
        <v>0.29299999999999998</v>
      </c>
      <c r="BI74" s="64">
        <v>33.770000000000003</v>
      </c>
      <c r="BJ74">
        <v>0</v>
      </c>
      <c r="BK74">
        <v>0</v>
      </c>
      <c r="BL74">
        <v>0</v>
      </c>
      <c r="BM74">
        <v>0</v>
      </c>
      <c r="BN74">
        <v>0</v>
      </c>
      <c r="BO74">
        <v>1</v>
      </c>
      <c r="BP74">
        <v>0</v>
      </c>
      <c r="BQ74" s="28">
        <v>1</v>
      </c>
      <c r="BR74">
        <v>0</v>
      </c>
      <c r="BS74">
        <v>0</v>
      </c>
      <c r="BT74" s="28">
        <v>0</v>
      </c>
      <c r="BU74">
        <v>0</v>
      </c>
      <c r="BV74">
        <v>1</v>
      </c>
      <c r="BW74">
        <v>0</v>
      </c>
      <c r="BX74">
        <v>0</v>
      </c>
      <c r="BY74">
        <v>0</v>
      </c>
      <c r="BZ74">
        <v>0</v>
      </c>
      <c r="CA74">
        <v>1</v>
      </c>
      <c r="CB74">
        <v>0</v>
      </c>
      <c r="CC74">
        <v>0</v>
      </c>
      <c r="CD74">
        <v>0</v>
      </c>
      <c r="CE74" s="16">
        <v>0</v>
      </c>
      <c r="CF74">
        <v>0.76700000000000002</v>
      </c>
      <c r="CG74">
        <v>176</v>
      </c>
      <c r="CH74">
        <v>1</v>
      </c>
      <c r="CI74">
        <v>0</v>
      </c>
      <c r="CJ74">
        <v>18</v>
      </c>
      <c r="CK74" t="s">
        <v>46</v>
      </c>
    </row>
    <row r="75" spans="1:89" x14ac:dyDescent="0.25">
      <c r="A75">
        <v>74</v>
      </c>
      <c r="B75">
        <v>5</v>
      </c>
      <c r="C75" t="s">
        <v>266</v>
      </c>
      <c r="D75" s="10">
        <v>3.6</v>
      </c>
      <c r="E75" s="6">
        <v>1.8</v>
      </c>
      <c r="F75" s="6">
        <f t="shared" si="11"/>
        <v>2</v>
      </c>
      <c r="G75" s="78">
        <v>0</v>
      </c>
      <c r="H75" s="70">
        <v>0</v>
      </c>
      <c r="I75" s="70">
        <v>1</v>
      </c>
      <c r="J75" s="70">
        <v>0</v>
      </c>
      <c r="K75" s="70">
        <v>0</v>
      </c>
      <c r="L75" s="78">
        <v>976</v>
      </c>
      <c r="M75" s="70">
        <v>1</v>
      </c>
      <c r="N75" s="70">
        <f t="shared" si="12"/>
        <v>974</v>
      </c>
      <c r="O75" s="60">
        <f t="shared" si="13"/>
        <v>16</v>
      </c>
      <c r="P75" s="70">
        <v>12.16</v>
      </c>
      <c r="Q75" s="70">
        <v>14.03</v>
      </c>
      <c r="R75" s="78">
        <v>1</v>
      </c>
      <c r="S75" s="70">
        <v>0</v>
      </c>
      <c r="T75" s="78">
        <v>0</v>
      </c>
      <c r="U75" s="70">
        <v>0</v>
      </c>
      <c r="V75" s="70">
        <v>1</v>
      </c>
      <c r="W75" s="70">
        <v>0</v>
      </c>
      <c r="X75" s="78">
        <v>0</v>
      </c>
      <c r="Y75" s="70">
        <v>1</v>
      </c>
      <c r="Z75" s="70">
        <v>0</v>
      </c>
      <c r="AA75" s="78">
        <v>1</v>
      </c>
      <c r="AB75" s="70">
        <v>0</v>
      </c>
      <c r="AC75" s="69">
        <v>2002</v>
      </c>
      <c r="AD75">
        <f t="shared" si="9"/>
        <v>0.14000000000000001</v>
      </c>
      <c r="AE75">
        <f t="shared" si="9"/>
        <v>0.14000000000000001</v>
      </c>
      <c r="AF75">
        <v>0.6</v>
      </c>
      <c r="AG75">
        <v>0.12</v>
      </c>
      <c r="AH75" s="28" t="s">
        <v>57</v>
      </c>
      <c r="AI75" t="s">
        <v>57</v>
      </c>
      <c r="AJ75" s="28">
        <v>0.59</v>
      </c>
      <c r="AK75">
        <f t="shared" si="10"/>
        <v>0.41000000000000003</v>
      </c>
      <c r="AL75" s="28">
        <v>0</v>
      </c>
      <c r="AM75" s="66">
        <f t="shared" si="6"/>
        <v>1</v>
      </c>
      <c r="AN75">
        <v>0</v>
      </c>
      <c r="AO75">
        <v>1</v>
      </c>
      <c r="AP75" s="28">
        <v>0.64</v>
      </c>
      <c r="AQ75" s="12">
        <f t="shared" si="7"/>
        <v>0.36</v>
      </c>
      <c r="AR75" s="12">
        <v>1</v>
      </c>
      <c r="AS75" s="12">
        <v>0</v>
      </c>
      <c r="AT75" s="12">
        <v>0</v>
      </c>
      <c r="AU75" s="62" t="s">
        <v>343</v>
      </c>
      <c r="AV75">
        <v>0</v>
      </c>
      <c r="AW75">
        <v>1</v>
      </c>
      <c r="AX75">
        <v>0</v>
      </c>
      <c r="AY75">
        <v>0</v>
      </c>
      <c r="AZ75">
        <v>0</v>
      </c>
      <c r="BA75">
        <v>0</v>
      </c>
      <c r="BB75">
        <v>0</v>
      </c>
      <c r="BC75">
        <v>0</v>
      </c>
      <c r="BD75">
        <v>1</v>
      </c>
      <c r="BE75">
        <v>0</v>
      </c>
      <c r="BF75">
        <v>942</v>
      </c>
      <c r="BG75">
        <v>131</v>
      </c>
      <c r="BH75">
        <v>0.29299999999999998</v>
      </c>
      <c r="BI75" s="64">
        <v>33.770000000000003</v>
      </c>
      <c r="BJ75">
        <v>0</v>
      </c>
      <c r="BK75">
        <v>0</v>
      </c>
      <c r="BL75">
        <v>0</v>
      </c>
      <c r="BM75">
        <v>0</v>
      </c>
      <c r="BN75">
        <v>0</v>
      </c>
      <c r="BO75">
        <v>1</v>
      </c>
      <c r="BP75">
        <v>0</v>
      </c>
      <c r="BQ75" s="28">
        <v>1</v>
      </c>
      <c r="BR75">
        <v>0</v>
      </c>
      <c r="BS75">
        <v>0</v>
      </c>
      <c r="BT75" s="28">
        <v>0</v>
      </c>
      <c r="BU75">
        <v>0</v>
      </c>
      <c r="BV75">
        <v>0</v>
      </c>
      <c r="BW75">
        <v>0</v>
      </c>
      <c r="BX75">
        <v>0</v>
      </c>
      <c r="BY75">
        <v>0</v>
      </c>
      <c r="BZ75">
        <v>0</v>
      </c>
      <c r="CA75">
        <v>0</v>
      </c>
      <c r="CB75">
        <v>0</v>
      </c>
      <c r="CC75">
        <v>0</v>
      </c>
      <c r="CD75">
        <v>0</v>
      </c>
      <c r="CE75" s="16">
        <v>0</v>
      </c>
      <c r="CF75">
        <v>0.76700000000000002</v>
      </c>
      <c r="CG75">
        <v>176</v>
      </c>
      <c r="CH75">
        <v>1</v>
      </c>
      <c r="CI75">
        <v>0</v>
      </c>
      <c r="CJ75">
        <v>18</v>
      </c>
      <c r="CK75" t="s">
        <v>46</v>
      </c>
    </row>
    <row r="76" spans="1:89" x14ac:dyDescent="0.25">
      <c r="A76">
        <v>75</v>
      </c>
      <c r="B76">
        <v>5</v>
      </c>
      <c r="C76" t="s">
        <v>266</v>
      </c>
      <c r="D76" s="10">
        <v>3.8</v>
      </c>
      <c r="E76" s="6">
        <v>1.8</v>
      </c>
      <c r="F76" s="6">
        <f t="shared" si="11"/>
        <v>2.1111111111111112</v>
      </c>
      <c r="G76" s="78">
        <v>0</v>
      </c>
      <c r="H76" s="70">
        <v>0</v>
      </c>
      <c r="I76" s="70">
        <v>1</v>
      </c>
      <c r="J76" s="70">
        <v>0</v>
      </c>
      <c r="K76" s="70">
        <v>0</v>
      </c>
      <c r="L76" s="78">
        <v>976</v>
      </c>
      <c r="M76" s="70">
        <v>3</v>
      </c>
      <c r="N76" s="70">
        <f t="shared" si="12"/>
        <v>972</v>
      </c>
      <c r="O76" s="60">
        <f t="shared" si="13"/>
        <v>16</v>
      </c>
      <c r="P76" s="70">
        <v>12.16</v>
      </c>
      <c r="Q76" s="70">
        <v>14.03</v>
      </c>
      <c r="R76" s="78">
        <v>1</v>
      </c>
      <c r="S76" s="70">
        <v>0</v>
      </c>
      <c r="T76" s="78">
        <v>0</v>
      </c>
      <c r="U76" s="70">
        <v>0</v>
      </c>
      <c r="V76" s="70">
        <v>1</v>
      </c>
      <c r="W76" s="70">
        <v>0</v>
      </c>
      <c r="X76" s="78">
        <v>0</v>
      </c>
      <c r="Y76" s="70">
        <v>1</v>
      </c>
      <c r="Z76" s="70">
        <v>0</v>
      </c>
      <c r="AA76" s="78">
        <v>1</v>
      </c>
      <c r="AB76" s="70">
        <v>0</v>
      </c>
      <c r="AC76" s="69">
        <v>2002</v>
      </c>
      <c r="AD76">
        <f t="shared" si="9"/>
        <v>0.14000000000000001</v>
      </c>
      <c r="AE76">
        <f t="shared" si="9"/>
        <v>0.14000000000000001</v>
      </c>
      <c r="AF76">
        <v>0.6</v>
      </c>
      <c r="AG76">
        <v>0.12</v>
      </c>
      <c r="AH76" s="28" t="s">
        <v>57</v>
      </c>
      <c r="AI76" t="s">
        <v>57</v>
      </c>
      <c r="AJ76" s="28">
        <v>0.59</v>
      </c>
      <c r="AK76">
        <f t="shared" si="10"/>
        <v>0.41000000000000003</v>
      </c>
      <c r="AL76" s="28">
        <v>0</v>
      </c>
      <c r="AM76" s="66">
        <f t="shared" si="6"/>
        <v>1</v>
      </c>
      <c r="AN76">
        <v>0</v>
      </c>
      <c r="AO76">
        <v>1</v>
      </c>
      <c r="AP76" s="28">
        <v>0.64</v>
      </c>
      <c r="AQ76" s="12">
        <f t="shared" si="7"/>
        <v>0.36</v>
      </c>
      <c r="AR76" s="12">
        <v>1</v>
      </c>
      <c r="AS76" s="12">
        <v>0</v>
      </c>
      <c r="AT76" s="12">
        <v>0</v>
      </c>
      <c r="AU76" s="62" t="s">
        <v>343</v>
      </c>
      <c r="AV76">
        <v>0</v>
      </c>
      <c r="AW76">
        <v>1</v>
      </c>
      <c r="AX76">
        <v>0</v>
      </c>
      <c r="AY76">
        <v>0</v>
      </c>
      <c r="AZ76">
        <v>0</v>
      </c>
      <c r="BA76">
        <v>0</v>
      </c>
      <c r="BB76">
        <v>0</v>
      </c>
      <c r="BC76">
        <v>0</v>
      </c>
      <c r="BD76">
        <v>1</v>
      </c>
      <c r="BE76">
        <v>0</v>
      </c>
      <c r="BF76">
        <v>942</v>
      </c>
      <c r="BG76">
        <v>131</v>
      </c>
      <c r="BH76">
        <v>0.29299999999999998</v>
      </c>
      <c r="BI76" s="64">
        <v>33.770000000000003</v>
      </c>
      <c r="BJ76">
        <v>0</v>
      </c>
      <c r="BK76">
        <v>0</v>
      </c>
      <c r="BL76">
        <v>0</v>
      </c>
      <c r="BM76">
        <v>0</v>
      </c>
      <c r="BN76">
        <v>0</v>
      </c>
      <c r="BO76">
        <v>1</v>
      </c>
      <c r="BP76">
        <v>0</v>
      </c>
      <c r="BQ76" s="28">
        <v>1</v>
      </c>
      <c r="BR76">
        <v>0</v>
      </c>
      <c r="BS76">
        <v>0</v>
      </c>
      <c r="BT76" s="28">
        <v>0</v>
      </c>
      <c r="BU76">
        <v>0</v>
      </c>
      <c r="BV76">
        <v>1</v>
      </c>
      <c r="BW76">
        <v>0</v>
      </c>
      <c r="BX76">
        <v>0</v>
      </c>
      <c r="BY76">
        <v>0</v>
      </c>
      <c r="BZ76">
        <v>0</v>
      </c>
      <c r="CA76">
        <v>1</v>
      </c>
      <c r="CB76">
        <v>0</v>
      </c>
      <c r="CC76">
        <v>0</v>
      </c>
      <c r="CD76">
        <v>0</v>
      </c>
      <c r="CE76" s="16">
        <v>0</v>
      </c>
      <c r="CF76">
        <v>0.76700000000000002</v>
      </c>
      <c r="CG76">
        <v>176</v>
      </c>
      <c r="CH76">
        <v>1</v>
      </c>
      <c r="CI76">
        <v>0</v>
      </c>
      <c r="CJ76">
        <v>18</v>
      </c>
      <c r="CK76" t="s">
        <v>46</v>
      </c>
    </row>
    <row r="77" spans="1:89" x14ac:dyDescent="0.25">
      <c r="A77">
        <v>76</v>
      </c>
      <c r="B77">
        <v>5</v>
      </c>
      <c r="C77" t="s">
        <v>266</v>
      </c>
      <c r="D77" s="10">
        <v>8.5</v>
      </c>
      <c r="E77" s="6">
        <v>0.8</v>
      </c>
      <c r="F77" s="6">
        <f t="shared" si="11"/>
        <v>10.625</v>
      </c>
      <c r="G77" s="78">
        <v>0</v>
      </c>
      <c r="H77" s="70">
        <v>0</v>
      </c>
      <c r="I77" s="70">
        <v>1</v>
      </c>
      <c r="J77" s="70">
        <v>0</v>
      </c>
      <c r="K77" s="70">
        <v>0</v>
      </c>
      <c r="L77" s="78">
        <v>632</v>
      </c>
      <c r="M77" s="70">
        <v>6</v>
      </c>
      <c r="N77" s="70">
        <f t="shared" si="12"/>
        <v>625</v>
      </c>
      <c r="O77" s="60">
        <f t="shared" si="13"/>
        <v>16</v>
      </c>
      <c r="P77" s="70">
        <v>12.16</v>
      </c>
      <c r="Q77" s="70">
        <v>14.03</v>
      </c>
      <c r="R77" s="78">
        <v>1</v>
      </c>
      <c r="S77" s="70">
        <v>0</v>
      </c>
      <c r="T77" s="78">
        <v>0</v>
      </c>
      <c r="U77" s="70">
        <v>0</v>
      </c>
      <c r="V77" s="70">
        <v>1</v>
      </c>
      <c r="W77" s="70">
        <v>0</v>
      </c>
      <c r="X77" s="78">
        <v>0</v>
      </c>
      <c r="Y77" s="70">
        <v>1</v>
      </c>
      <c r="Z77" s="70">
        <v>0</v>
      </c>
      <c r="AA77" s="78">
        <v>1</v>
      </c>
      <c r="AB77" s="70">
        <v>0</v>
      </c>
      <c r="AC77" s="69">
        <v>2002</v>
      </c>
      <c r="AD77">
        <f t="shared" si="9"/>
        <v>0.14000000000000001</v>
      </c>
      <c r="AE77">
        <f t="shared" si="9"/>
        <v>0.14000000000000001</v>
      </c>
      <c r="AF77">
        <v>0.6</v>
      </c>
      <c r="AG77">
        <v>0.12</v>
      </c>
      <c r="AH77" s="28" t="s">
        <v>57</v>
      </c>
      <c r="AI77" t="s">
        <v>57</v>
      </c>
      <c r="AJ77" s="28">
        <v>0.59</v>
      </c>
      <c r="AK77">
        <f t="shared" si="10"/>
        <v>0.41000000000000003</v>
      </c>
      <c r="AL77" s="28">
        <v>0</v>
      </c>
      <c r="AM77" s="66">
        <f t="shared" si="6"/>
        <v>1</v>
      </c>
      <c r="AN77">
        <v>0</v>
      </c>
      <c r="AO77">
        <v>1</v>
      </c>
      <c r="AP77" s="28">
        <v>0.64</v>
      </c>
      <c r="AQ77" s="12">
        <f t="shared" si="7"/>
        <v>0.36</v>
      </c>
      <c r="AR77" s="12">
        <v>0</v>
      </c>
      <c r="AS77" s="12">
        <v>1</v>
      </c>
      <c r="AT77" s="12">
        <v>0</v>
      </c>
      <c r="AU77" s="62" t="s">
        <v>343</v>
      </c>
      <c r="AV77">
        <v>0</v>
      </c>
      <c r="AW77">
        <v>1</v>
      </c>
      <c r="AX77">
        <v>0</v>
      </c>
      <c r="AY77">
        <v>0</v>
      </c>
      <c r="AZ77">
        <v>0</v>
      </c>
      <c r="BA77">
        <v>0</v>
      </c>
      <c r="BB77">
        <v>0</v>
      </c>
      <c r="BC77">
        <v>0</v>
      </c>
      <c r="BD77">
        <v>1</v>
      </c>
      <c r="BE77">
        <v>0</v>
      </c>
      <c r="BF77">
        <v>942</v>
      </c>
      <c r="BG77">
        <v>131</v>
      </c>
      <c r="BH77">
        <v>0.29299999999999998</v>
      </c>
      <c r="BI77" s="64">
        <v>33.770000000000003</v>
      </c>
      <c r="BJ77">
        <v>1</v>
      </c>
      <c r="BK77">
        <v>0</v>
      </c>
      <c r="BL77">
        <v>0</v>
      </c>
      <c r="BM77">
        <v>0</v>
      </c>
      <c r="BN77">
        <v>0</v>
      </c>
      <c r="BO77">
        <v>0</v>
      </c>
      <c r="BP77">
        <v>0</v>
      </c>
      <c r="BQ77" s="28">
        <v>0</v>
      </c>
      <c r="BR77">
        <v>0</v>
      </c>
      <c r="BS77">
        <v>0</v>
      </c>
      <c r="BT77" s="28">
        <v>1</v>
      </c>
      <c r="BU77">
        <v>1</v>
      </c>
      <c r="BV77">
        <v>1</v>
      </c>
      <c r="BW77">
        <v>0</v>
      </c>
      <c r="BX77">
        <v>0</v>
      </c>
      <c r="BY77">
        <v>0</v>
      </c>
      <c r="BZ77">
        <v>1</v>
      </c>
      <c r="CA77">
        <v>1</v>
      </c>
      <c r="CB77">
        <v>0</v>
      </c>
      <c r="CC77">
        <v>0</v>
      </c>
      <c r="CD77">
        <v>0</v>
      </c>
      <c r="CE77" s="16">
        <v>0</v>
      </c>
      <c r="CF77">
        <v>0.76700000000000002</v>
      </c>
      <c r="CG77">
        <v>176</v>
      </c>
      <c r="CH77">
        <v>1</v>
      </c>
      <c r="CI77">
        <v>0</v>
      </c>
      <c r="CJ77">
        <v>18</v>
      </c>
      <c r="CK77" t="s">
        <v>46</v>
      </c>
    </row>
    <row r="78" spans="1:89" x14ac:dyDescent="0.25">
      <c r="A78">
        <v>77</v>
      </c>
      <c r="B78">
        <v>5</v>
      </c>
      <c r="C78" t="s">
        <v>266</v>
      </c>
      <c r="D78" s="10">
        <v>4.4000000000000004</v>
      </c>
      <c r="E78" s="6">
        <v>1.2</v>
      </c>
      <c r="F78" s="6">
        <f t="shared" si="11"/>
        <v>3.666666666666667</v>
      </c>
      <c r="G78" s="78">
        <v>0</v>
      </c>
      <c r="H78" s="70">
        <v>0</v>
      </c>
      <c r="I78" s="70">
        <v>1</v>
      </c>
      <c r="J78" s="70">
        <v>0</v>
      </c>
      <c r="K78" s="70">
        <v>0</v>
      </c>
      <c r="L78" s="78">
        <v>632</v>
      </c>
      <c r="M78" s="70">
        <v>3</v>
      </c>
      <c r="N78" s="70">
        <f t="shared" si="12"/>
        <v>628</v>
      </c>
      <c r="O78" s="60">
        <f t="shared" si="13"/>
        <v>16</v>
      </c>
      <c r="P78" s="70">
        <v>12.16</v>
      </c>
      <c r="Q78" s="70">
        <v>14.03</v>
      </c>
      <c r="R78" s="78">
        <v>1</v>
      </c>
      <c r="S78" s="70">
        <v>0</v>
      </c>
      <c r="T78" s="78">
        <v>0</v>
      </c>
      <c r="U78" s="70">
        <v>0</v>
      </c>
      <c r="V78" s="70">
        <v>1</v>
      </c>
      <c r="W78" s="70">
        <v>0</v>
      </c>
      <c r="X78" s="78">
        <v>0</v>
      </c>
      <c r="Y78" s="70">
        <v>1</v>
      </c>
      <c r="Z78" s="70">
        <v>0</v>
      </c>
      <c r="AA78" s="78">
        <v>1</v>
      </c>
      <c r="AB78" s="70">
        <v>0</v>
      </c>
      <c r="AC78" s="69">
        <v>2002</v>
      </c>
      <c r="AD78">
        <f t="shared" si="9"/>
        <v>0.14000000000000001</v>
      </c>
      <c r="AE78">
        <f t="shared" si="9"/>
        <v>0.14000000000000001</v>
      </c>
      <c r="AF78">
        <v>0.6</v>
      </c>
      <c r="AG78">
        <v>0.12</v>
      </c>
      <c r="AH78" s="28" t="s">
        <v>57</v>
      </c>
      <c r="AI78" t="s">
        <v>57</v>
      </c>
      <c r="AJ78" s="28">
        <v>0.59</v>
      </c>
      <c r="AK78">
        <f t="shared" si="10"/>
        <v>0.41000000000000003</v>
      </c>
      <c r="AL78" s="28">
        <v>0</v>
      </c>
      <c r="AM78" s="66">
        <f t="shared" si="6"/>
        <v>1</v>
      </c>
      <c r="AN78">
        <v>0</v>
      </c>
      <c r="AO78">
        <v>1</v>
      </c>
      <c r="AP78" s="28">
        <v>0.64</v>
      </c>
      <c r="AQ78" s="12">
        <f t="shared" si="7"/>
        <v>0.36</v>
      </c>
      <c r="AR78" s="12">
        <v>0</v>
      </c>
      <c r="AS78" s="12">
        <v>1</v>
      </c>
      <c r="AT78" s="12">
        <v>0</v>
      </c>
      <c r="AU78" s="62" t="s">
        <v>343</v>
      </c>
      <c r="AV78">
        <v>0</v>
      </c>
      <c r="AW78">
        <v>1</v>
      </c>
      <c r="AX78">
        <v>0</v>
      </c>
      <c r="AY78">
        <v>0</v>
      </c>
      <c r="AZ78">
        <v>0</v>
      </c>
      <c r="BA78">
        <v>0</v>
      </c>
      <c r="BB78">
        <v>0</v>
      </c>
      <c r="BC78">
        <v>0</v>
      </c>
      <c r="BD78">
        <v>1</v>
      </c>
      <c r="BE78">
        <v>0</v>
      </c>
      <c r="BF78">
        <v>942</v>
      </c>
      <c r="BG78">
        <v>131</v>
      </c>
      <c r="BH78">
        <v>0.29299999999999998</v>
      </c>
      <c r="BI78" s="64">
        <v>33.770000000000003</v>
      </c>
      <c r="BJ78">
        <v>0</v>
      </c>
      <c r="BK78">
        <v>0</v>
      </c>
      <c r="BL78">
        <v>1</v>
      </c>
      <c r="BM78">
        <v>0</v>
      </c>
      <c r="BN78">
        <v>0</v>
      </c>
      <c r="BO78">
        <v>0</v>
      </c>
      <c r="BP78">
        <v>0</v>
      </c>
      <c r="BQ78" s="28">
        <v>0</v>
      </c>
      <c r="BR78">
        <v>0</v>
      </c>
      <c r="BS78">
        <v>0</v>
      </c>
      <c r="BT78" s="28">
        <v>0</v>
      </c>
      <c r="BU78">
        <v>0</v>
      </c>
      <c r="BV78">
        <v>1</v>
      </c>
      <c r="BW78">
        <v>0</v>
      </c>
      <c r="BX78">
        <v>0</v>
      </c>
      <c r="BY78">
        <v>0</v>
      </c>
      <c r="BZ78">
        <v>0</v>
      </c>
      <c r="CA78">
        <v>1</v>
      </c>
      <c r="CB78">
        <v>0</v>
      </c>
      <c r="CC78">
        <v>0</v>
      </c>
      <c r="CD78">
        <v>0</v>
      </c>
      <c r="CE78" s="16">
        <v>0</v>
      </c>
      <c r="CF78">
        <v>0.76700000000000002</v>
      </c>
      <c r="CG78">
        <v>176</v>
      </c>
      <c r="CH78">
        <v>1</v>
      </c>
      <c r="CI78">
        <v>0</v>
      </c>
      <c r="CJ78">
        <v>18</v>
      </c>
      <c r="CK78" t="s">
        <v>46</v>
      </c>
    </row>
    <row r="79" spans="1:89" x14ac:dyDescent="0.25">
      <c r="A79">
        <v>78</v>
      </c>
      <c r="B79">
        <v>5</v>
      </c>
      <c r="C79" t="s">
        <v>266</v>
      </c>
      <c r="D79" s="10">
        <v>5.4</v>
      </c>
      <c r="E79" s="6">
        <v>1.7</v>
      </c>
      <c r="F79" s="6">
        <f t="shared" si="11"/>
        <v>3.1764705882352944</v>
      </c>
      <c r="G79" s="78">
        <v>0</v>
      </c>
      <c r="H79" s="70">
        <v>0</v>
      </c>
      <c r="I79" s="70">
        <v>1</v>
      </c>
      <c r="J79" s="70">
        <v>0</v>
      </c>
      <c r="K79" s="70">
        <v>0</v>
      </c>
      <c r="L79" s="78">
        <v>632</v>
      </c>
      <c r="M79" s="70">
        <v>3</v>
      </c>
      <c r="N79" s="70">
        <f t="shared" si="12"/>
        <v>628</v>
      </c>
      <c r="O79" s="60">
        <f t="shared" si="13"/>
        <v>16</v>
      </c>
      <c r="P79" s="70">
        <v>12.16</v>
      </c>
      <c r="Q79" s="70">
        <v>14.03</v>
      </c>
      <c r="R79" s="78">
        <v>1</v>
      </c>
      <c r="S79" s="70">
        <v>0</v>
      </c>
      <c r="T79" s="78">
        <v>0</v>
      </c>
      <c r="U79" s="70">
        <v>0</v>
      </c>
      <c r="V79" s="70">
        <v>1</v>
      </c>
      <c r="W79" s="70">
        <v>0</v>
      </c>
      <c r="X79" s="78">
        <v>0</v>
      </c>
      <c r="Y79" s="70">
        <v>1</v>
      </c>
      <c r="Z79" s="70">
        <v>0</v>
      </c>
      <c r="AA79" s="78">
        <v>1</v>
      </c>
      <c r="AB79" s="70">
        <v>0</v>
      </c>
      <c r="AC79" s="69">
        <v>2002</v>
      </c>
      <c r="AD79">
        <f t="shared" si="9"/>
        <v>0.14000000000000001</v>
      </c>
      <c r="AE79">
        <f t="shared" si="9"/>
        <v>0.14000000000000001</v>
      </c>
      <c r="AF79">
        <v>0.6</v>
      </c>
      <c r="AG79">
        <v>0.12</v>
      </c>
      <c r="AH79" s="28" t="s">
        <v>57</v>
      </c>
      <c r="AI79" t="s">
        <v>57</v>
      </c>
      <c r="AJ79" s="28">
        <v>0.59</v>
      </c>
      <c r="AK79">
        <f t="shared" si="10"/>
        <v>0.41000000000000003</v>
      </c>
      <c r="AL79" s="28">
        <v>0</v>
      </c>
      <c r="AM79" s="66">
        <f t="shared" si="6"/>
        <v>1</v>
      </c>
      <c r="AN79">
        <v>0</v>
      </c>
      <c r="AO79">
        <v>1</v>
      </c>
      <c r="AP79" s="28">
        <v>0.64</v>
      </c>
      <c r="AQ79" s="12">
        <f t="shared" si="7"/>
        <v>0.36</v>
      </c>
      <c r="AR79" s="12">
        <v>0</v>
      </c>
      <c r="AS79" s="12">
        <v>1</v>
      </c>
      <c r="AT79" s="12">
        <v>0</v>
      </c>
      <c r="AU79" s="62" t="s">
        <v>343</v>
      </c>
      <c r="AV79">
        <v>0</v>
      </c>
      <c r="AW79">
        <v>1</v>
      </c>
      <c r="AX79">
        <v>0</v>
      </c>
      <c r="AY79">
        <v>0</v>
      </c>
      <c r="AZ79">
        <v>0</v>
      </c>
      <c r="BA79">
        <v>0</v>
      </c>
      <c r="BB79">
        <v>0</v>
      </c>
      <c r="BC79">
        <v>0</v>
      </c>
      <c r="BD79">
        <v>1</v>
      </c>
      <c r="BE79">
        <v>0</v>
      </c>
      <c r="BF79">
        <v>942</v>
      </c>
      <c r="BG79">
        <v>131</v>
      </c>
      <c r="BH79">
        <v>0.29299999999999998</v>
      </c>
      <c r="BI79" s="64">
        <v>33.770000000000003</v>
      </c>
      <c r="BJ79">
        <v>0</v>
      </c>
      <c r="BK79">
        <v>0</v>
      </c>
      <c r="BL79">
        <v>0</v>
      </c>
      <c r="BM79">
        <v>0</v>
      </c>
      <c r="BN79">
        <v>0</v>
      </c>
      <c r="BO79">
        <v>1</v>
      </c>
      <c r="BP79">
        <v>0</v>
      </c>
      <c r="BQ79" s="28">
        <v>1</v>
      </c>
      <c r="BR79">
        <v>0</v>
      </c>
      <c r="BS79">
        <v>0</v>
      </c>
      <c r="BT79" s="28">
        <v>0</v>
      </c>
      <c r="BU79">
        <v>0</v>
      </c>
      <c r="BV79">
        <v>1</v>
      </c>
      <c r="BW79">
        <v>0</v>
      </c>
      <c r="BX79">
        <v>0</v>
      </c>
      <c r="BY79">
        <v>0</v>
      </c>
      <c r="BZ79">
        <v>0</v>
      </c>
      <c r="CA79">
        <v>1</v>
      </c>
      <c r="CB79">
        <v>0</v>
      </c>
      <c r="CC79">
        <v>0</v>
      </c>
      <c r="CD79">
        <v>0</v>
      </c>
      <c r="CE79" s="16">
        <v>0</v>
      </c>
      <c r="CF79">
        <v>0.76700000000000002</v>
      </c>
      <c r="CG79">
        <v>176</v>
      </c>
      <c r="CH79">
        <v>1</v>
      </c>
      <c r="CI79">
        <v>0</v>
      </c>
      <c r="CJ79">
        <v>18</v>
      </c>
      <c r="CK79" t="s">
        <v>46</v>
      </c>
    </row>
    <row r="80" spans="1:89" x14ac:dyDescent="0.25">
      <c r="A80">
        <v>79</v>
      </c>
      <c r="B80">
        <v>5</v>
      </c>
      <c r="C80" t="s">
        <v>266</v>
      </c>
      <c r="D80" s="10">
        <v>5.6</v>
      </c>
      <c r="E80" s="6">
        <v>1.8</v>
      </c>
      <c r="F80" s="6">
        <f t="shared" si="11"/>
        <v>3.1111111111111107</v>
      </c>
      <c r="G80" s="78">
        <v>0</v>
      </c>
      <c r="H80" s="70">
        <v>0</v>
      </c>
      <c r="I80" s="70">
        <v>1</v>
      </c>
      <c r="J80" s="70">
        <v>0</v>
      </c>
      <c r="K80" s="70">
        <v>0</v>
      </c>
      <c r="L80" s="78">
        <v>632</v>
      </c>
      <c r="M80" s="70">
        <v>3</v>
      </c>
      <c r="N80" s="70">
        <f t="shared" si="12"/>
        <v>628</v>
      </c>
      <c r="O80" s="60">
        <f t="shared" si="13"/>
        <v>16</v>
      </c>
      <c r="P80" s="70">
        <v>12.16</v>
      </c>
      <c r="Q80" s="70">
        <v>14.03</v>
      </c>
      <c r="R80" s="78">
        <v>1</v>
      </c>
      <c r="S80" s="70">
        <v>0</v>
      </c>
      <c r="T80" s="78">
        <v>0</v>
      </c>
      <c r="U80" s="70">
        <v>0</v>
      </c>
      <c r="V80" s="70">
        <v>1</v>
      </c>
      <c r="W80" s="70">
        <v>0</v>
      </c>
      <c r="X80" s="78">
        <v>0</v>
      </c>
      <c r="Y80" s="70">
        <v>1</v>
      </c>
      <c r="Z80" s="70">
        <v>0</v>
      </c>
      <c r="AA80" s="78">
        <v>1</v>
      </c>
      <c r="AB80" s="70">
        <v>0</v>
      </c>
      <c r="AC80" s="69">
        <v>2002</v>
      </c>
      <c r="AD80">
        <f t="shared" si="9"/>
        <v>0.14000000000000001</v>
      </c>
      <c r="AE80">
        <f t="shared" si="9"/>
        <v>0.14000000000000001</v>
      </c>
      <c r="AF80">
        <v>0.6</v>
      </c>
      <c r="AG80">
        <v>0.12</v>
      </c>
      <c r="AH80" s="28" t="s">
        <v>57</v>
      </c>
      <c r="AI80" t="s">
        <v>57</v>
      </c>
      <c r="AJ80" s="28">
        <v>0.59</v>
      </c>
      <c r="AK80">
        <f t="shared" si="10"/>
        <v>0.41000000000000003</v>
      </c>
      <c r="AL80" s="28">
        <v>0</v>
      </c>
      <c r="AM80" s="66">
        <f t="shared" si="6"/>
        <v>1</v>
      </c>
      <c r="AN80">
        <v>0</v>
      </c>
      <c r="AO80">
        <v>1</v>
      </c>
      <c r="AP80" s="28">
        <v>0.64</v>
      </c>
      <c r="AQ80" s="12">
        <f t="shared" si="7"/>
        <v>0.36</v>
      </c>
      <c r="AR80" s="12">
        <v>0</v>
      </c>
      <c r="AS80" s="12">
        <v>1</v>
      </c>
      <c r="AT80" s="12">
        <v>0</v>
      </c>
      <c r="AU80" s="62" t="s">
        <v>343</v>
      </c>
      <c r="AV80">
        <v>0</v>
      </c>
      <c r="AW80">
        <v>1</v>
      </c>
      <c r="AX80">
        <v>0</v>
      </c>
      <c r="AY80">
        <v>0</v>
      </c>
      <c r="AZ80">
        <v>0</v>
      </c>
      <c r="BA80">
        <v>0</v>
      </c>
      <c r="BB80">
        <v>0</v>
      </c>
      <c r="BC80">
        <v>0</v>
      </c>
      <c r="BD80">
        <v>1</v>
      </c>
      <c r="BE80">
        <v>0</v>
      </c>
      <c r="BF80">
        <v>942</v>
      </c>
      <c r="BG80">
        <v>131</v>
      </c>
      <c r="BH80">
        <v>0.29299999999999998</v>
      </c>
      <c r="BI80" s="64">
        <v>33.770000000000003</v>
      </c>
      <c r="BJ80">
        <v>0</v>
      </c>
      <c r="BK80">
        <v>0</v>
      </c>
      <c r="BL80">
        <v>0</v>
      </c>
      <c r="BM80">
        <v>0</v>
      </c>
      <c r="BN80">
        <v>0</v>
      </c>
      <c r="BO80">
        <v>1</v>
      </c>
      <c r="BP80">
        <v>0</v>
      </c>
      <c r="BQ80" s="28">
        <v>1</v>
      </c>
      <c r="BR80">
        <v>0</v>
      </c>
      <c r="BS80">
        <v>0</v>
      </c>
      <c r="BT80" s="28">
        <v>0</v>
      </c>
      <c r="BU80">
        <v>0</v>
      </c>
      <c r="BV80">
        <v>1</v>
      </c>
      <c r="BW80">
        <v>0</v>
      </c>
      <c r="BX80">
        <v>0</v>
      </c>
      <c r="BY80">
        <v>0</v>
      </c>
      <c r="BZ80">
        <v>0</v>
      </c>
      <c r="CA80">
        <v>1</v>
      </c>
      <c r="CB80">
        <v>0</v>
      </c>
      <c r="CC80">
        <v>0</v>
      </c>
      <c r="CD80">
        <v>0</v>
      </c>
      <c r="CE80" s="16">
        <v>0</v>
      </c>
      <c r="CF80">
        <v>0.76700000000000002</v>
      </c>
      <c r="CG80">
        <v>176</v>
      </c>
      <c r="CH80">
        <v>1</v>
      </c>
      <c r="CI80">
        <v>0</v>
      </c>
      <c r="CJ80">
        <v>18</v>
      </c>
      <c r="CK80" t="s">
        <v>46</v>
      </c>
    </row>
    <row r="81" spans="1:89" x14ac:dyDescent="0.25">
      <c r="A81">
        <v>80</v>
      </c>
      <c r="B81">
        <v>6</v>
      </c>
      <c r="C81" t="s">
        <v>272</v>
      </c>
      <c r="D81" s="10">
        <v>4.8</v>
      </c>
      <c r="E81" s="6">
        <f t="shared" ref="E81:E114" si="14">D81/F81</f>
        <v>0.28828828828828829</v>
      </c>
      <c r="F81" s="6">
        <v>16.649999999999999</v>
      </c>
      <c r="G81" s="78">
        <v>0</v>
      </c>
      <c r="H81" s="70">
        <v>0</v>
      </c>
      <c r="I81" s="70">
        <v>0</v>
      </c>
      <c r="J81" s="70">
        <v>1</v>
      </c>
      <c r="K81" s="70">
        <v>0</v>
      </c>
      <c r="L81" s="78">
        <v>1204</v>
      </c>
      <c r="M81" s="70">
        <v>5</v>
      </c>
      <c r="N81" s="70">
        <f t="shared" si="12"/>
        <v>1198</v>
      </c>
      <c r="O81" s="60">
        <f t="shared" si="13"/>
        <v>15</v>
      </c>
      <c r="P81" s="70">
        <v>12.513999999999999</v>
      </c>
      <c r="Q81" s="70">
        <f t="shared" ref="Q81:Q109" si="15">BI81-P81-6</f>
        <v>18.317000000000004</v>
      </c>
      <c r="R81" s="78">
        <v>1</v>
      </c>
      <c r="S81" s="70">
        <v>0</v>
      </c>
      <c r="T81" s="78">
        <v>0</v>
      </c>
      <c r="U81" s="70">
        <v>0</v>
      </c>
      <c r="V81" s="70">
        <v>0</v>
      </c>
      <c r="W81" s="70">
        <v>1</v>
      </c>
      <c r="X81" s="78">
        <v>0</v>
      </c>
      <c r="Y81" s="70">
        <v>1</v>
      </c>
      <c r="Z81" s="70">
        <v>0</v>
      </c>
      <c r="AA81" s="78">
        <v>0</v>
      </c>
      <c r="AB81" s="70">
        <v>1</v>
      </c>
      <c r="AC81" s="69">
        <v>1981</v>
      </c>
      <c r="AD81" t="s">
        <v>57</v>
      </c>
      <c r="AE81" t="s">
        <v>57</v>
      </c>
      <c r="AF81" t="s">
        <v>57</v>
      </c>
      <c r="AG81" t="s">
        <v>57</v>
      </c>
      <c r="AH81" s="28" t="s">
        <v>57</v>
      </c>
      <c r="AI81" t="s">
        <v>57</v>
      </c>
      <c r="AJ81" s="28">
        <v>0.46800000000000003</v>
      </c>
      <c r="AK81">
        <f t="shared" si="10"/>
        <v>0.53200000000000003</v>
      </c>
      <c r="AL81" s="28" t="s">
        <v>57</v>
      </c>
      <c r="AM81" t="s">
        <v>57</v>
      </c>
      <c r="AN81">
        <v>0</v>
      </c>
      <c r="AO81">
        <v>1</v>
      </c>
      <c r="AP81" s="28">
        <v>0.75900000000000001</v>
      </c>
      <c r="AQ81" s="12">
        <f t="shared" si="7"/>
        <v>0.24099999999999999</v>
      </c>
      <c r="AR81">
        <v>1</v>
      </c>
      <c r="AS81">
        <v>0</v>
      </c>
      <c r="AT81">
        <v>0</v>
      </c>
      <c r="AU81" s="62" t="s">
        <v>350</v>
      </c>
      <c r="AV81">
        <v>1</v>
      </c>
      <c r="AW81">
        <v>0</v>
      </c>
      <c r="AX81">
        <v>0</v>
      </c>
      <c r="AY81">
        <v>0</v>
      </c>
      <c r="AZ81">
        <v>0</v>
      </c>
      <c r="BA81">
        <v>0</v>
      </c>
      <c r="BB81">
        <v>0</v>
      </c>
      <c r="BC81">
        <v>1</v>
      </c>
      <c r="BD81">
        <v>0</v>
      </c>
      <c r="BE81">
        <v>0</v>
      </c>
      <c r="BF81">
        <v>16842</v>
      </c>
      <c r="BG81">
        <v>1807</v>
      </c>
      <c r="BH81">
        <v>0.92300000000000004</v>
      </c>
      <c r="BI81" s="64">
        <v>36.831000000000003</v>
      </c>
      <c r="BJ81">
        <v>0</v>
      </c>
      <c r="BK81">
        <v>0</v>
      </c>
      <c r="BL81">
        <v>1</v>
      </c>
      <c r="BM81">
        <v>0</v>
      </c>
      <c r="BN81">
        <v>0</v>
      </c>
      <c r="BO81">
        <v>0</v>
      </c>
      <c r="BP81">
        <v>0</v>
      </c>
      <c r="BQ81" s="28">
        <v>0</v>
      </c>
      <c r="BR81">
        <v>0</v>
      </c>
      <c r="BS81">
        <v>0</v>
      </c>
      <c r="BT81" s="28">
        <v>1</v>
      </c>
      <c r="BU81">
        <v>0</v>
      </c>
      <c r="BV81">
        <v>0</v>
      </c>
      <c r="BW81">
        <v>0</v>
      </c>
      <c r="BX81">
        <v>0</v>
      </c>
      <c r="BY81">
        <v>0</v>
      </c>
      <c r="BZ81">
        <v>1</v>
      </c>
      <c r="CA81">
        <v>1</v>
      </c>
      <c r="CB81">
        <v>0</v>
      </c>
      <c r="CC81">
        <v>0</v>
      </c>
      <c r="CD81">
        <v>0</v>
      </c>
      <c r="CE81" s="16">
        <v>0</v>
      </c>
      <c r="CF81">
        <v>3.0070000000000001</v>
      </c>
      <c r="CG81">
        <v>372</v>
      </c>
      <c r="CH81">
        <v>1</v>
      </c>
      <c r="CI81">
        <v>0</v>
      </c>
      <c r="CJ81">
        <v>1</v>
      </c>
      <c r="CK81" t="s">
        <v>46</v>
      </c>
    </row>
    <row r="82" spans="1:89" x14ac:dyDescent="0.25">
      <c r="A82">
        <v>81</v>
      </c>
      <c r="B82">
        <v>6</v>
      </c>
      <c r="C82" t="s">
        <v>272</v>
      </c>
      <c r="D82" s="10">
        <v>2.5</v>
      </c>
      <c r="E82" s="6">
        <f t="shared" si="14"/>
        <v>0.50813008130081305</v>
      </c>
      <c r="F82" s="6">
        <v>4.92</v>
      </c>
      <c r="G82" s="78">
        <v>0</v>
      </c>
      <c r="H82" s="70">
        <v>0</v>
      </c>
      <c r="I82" s="70">
        <v>0</v>
      </c>
      <c r="J82" s="70">
        <v>1</v>
      </c>
      <c r="K82" s="70">
        <v>0</v>
      </c>
      <c r="L82" s="78">
        <v>602</v>
      </c>
      <c r="M82" s="70">
        <v>2</v>
      </c>
      <c r="N82" s="70">
        <f t="shared" si="12"/>
        <v>599</v>
      </c>
      <c r="O82" s="60">
        <f t="shared" si="13"/>
        <v>15</v>
      </c>
      <c r="P82" s="70">
        <v>12.513999999999999</v>
      </c>
      <c r="Q82" s="70">
        <f t="shared" si="15"/>
        <v>18.317000000000004</v>
      </c>
      <c r="R82" s="78">
        <v>1</v>
      </c>
      <c r="S82" s="70">
        <v>0</v>
      </c>
      <c r="T82" s="78">
        <v>0</v>
      </c>
      <c r="U82" s="70">
        <v>0</v>
      </c>
      <c r="V82" s="70">
        <v>0</v>
      </c>
      <c r="W82" s="70">
        <v>1</v>
      </c>
      <c r="X82" s="78">
        <v>0</v>
      </c>
      <c r="Y82" s="70">
        <v>1</v>
      </c>
      <c r="Z82" s="70">
        <v>0</v>
      </c>
      <c r="AA82" s="78">
        <v>0</v>
      </c>
      <c r="AB82" s="70">
        <v>1</v>
      </c>
      <c r="AC82" s="69">
        <v>1981</v>
      </c>
      <c r="AD82" t="s">
        <v>57</v>
      </c>
      <c r="AE82" t="s">
        <v>57</v>
      </c>
      <c r="AF82" t="s">
        <v>57</v>
      </c>
      <c r="AG82" t="s">
        <v>57</v>
      </c>
      <c r="AH82" s="28" t="s">
        <v>57</v>
      </c>
      <c r="AI82" t="s">
        <v>57</v>
      </c>
      <c r="AJ82" s="28">
        <v>0.46800000000000003</v>
      </c>
      <c r="AK82">
        <f t="shared" si="10"/>
        <v>0.53200000000000003</v>
      </c>
      <c r="AL82" s="28" t="s">
        <v>57</v>
      </c>
      <c r="AM82" t="s">
        <v>57</v>
      </c>
      <c r="AN82">
        <v>0</v>
      </c>
      <c r="AO82">
        <v>1</v>
      </c>
      <c r="AP82" s="28">
        <v>0.75900000000000001</v>
      </c>
      <c r="AQ82" s="12">
        <f t="shared" si="7"/>
        <v>0.24099999999999999</v>
      </c>
      <c r="AR82">
        <v>1</v>
      </c>
      <c r="AS82">
        <v>0</v>
      </c>
      <c r="AT82">
        <v>0</v>
      </c>
      <c r="AU82" s="62" t="s">
        <v>350</v>
      </c>
      <c r="AV82">
        <v>1</v>
      </c>
      <c r="AW82">
        <v>0</v>
      </c>
      <c r="AX82">
        <v>0</v>
      </c>
      <c r="AY82">
        <v>0</v>
      </c>
      <c r="AZ82">
        <v>0</v>
      </c>
      <c r="BA82">
        <v>0</v>
      </c>
      <c r="BB82">
        <v>0</v>
      </c>
      <c r="BC82">
        <v>1</v>
      </c>
      <c r="BD82">
        <v>0</v>
      </c>
      <c r="BE82">
        <v>0</v>
      </c>
      <c r="BF82">
        <v>16842</v>
      </c>
      <c r="BG82">
        <v>1807</v>
      </c>
      <c r="BH82">
        <v>0.92300000000000004</v>
      </c>
      <c r="BI82" s="64">
        <v>36.831000000000003</v>
      </c>
      <c r="BJ82">
        <v>0</v>
      </c>
      <c r="BK82">
        <v>0</v>
      </c>
      <c r="BL82">
        <v>1</v>
      </c>
      <c r="BM82">
        <v>0</v>
      </c>
      <c r="BN82">
        <v>0</v>
      </c>
      <c r="BO82">
        <v>0</v>
      </c>
      <c r="BP82">
        <v>0</v>
      </c>
      <c r="BQ82" s="28">
        <v>0</v>
      </c>
      <c r="BR82">
        <v>0</v>
      </c>
      <c r="BS82">
        <v>0</v>
      </c>
      <c r="BT82" s="28">
        <v>0</v>
      </c>
      <c r="BU82">
        <v>0</v>
      </c>
      <c r="BV82">
        <v>0</v>
      </c>
      <c r="BW82">
        <v>0</v>
      </c>
      <c r="BX82">
        <v>0</v>
      </c>
      <c r="BY82">
        <v>0</v>
      </c>
      <c r="BZ82">
        <v>0</v>
      </c>
      <c r="CA82">
        <v>1</v>
      </c>
      <c r="CB82">
        <v>0</v>
      </c>
      <c r="CC82">
        <v>0</v>
      </c>
      <c r="CD82">
        <v>0</v>
      </c>
      <c r="CE82" s="16">
        <v>0</v>
      </c>
      <c r="CF82">
        <v>3.0070000000000001</v>
      </c>
      <c r="CG82">
        <v>372</v>
      </c>
      <c r="CH82">
        <v>1</v>
      </c>
      <c r="CI82">
        <v>0</v>
      </c>
      <c r="CJ82">
        <v>1</v>
      </c>
      <c r="CK82" t="s">
        <v>46</v>
      </c>
    </row>
    <row r="83" spans="1:89" x14ac:dyDescent="0.25">
      <c r="A83">
        <v>82</v>
      </c>
      <c r="B83">
        <v>6</v>
      </c>
      <c r="C83" t="s">
        <v>272</v>
      </c>
      <c r="D83" s="10">
        <v>6</v>
      </c>
      <c r="E83" s="6">
        <f t="shared" si="14"/>
        <v>0.27985074626865669</v>
      </c>
      <c r="F83" s="6">
        <v>21.44</v>
      </c>
      <c r="G83" s="78">
        <v>0</v>
      </c>
      <c r="H83" s="70">
        <v>0</v>
      </c>
      <c r="I83" s="70">
        <v>0</v>
      </c>
      <c r="J83" s="70">
        <v>1</v>
      </c>
      <c r="K83" s="70">
        <v>0</v>
      </c>
      <c r="L83" s="78">
        <v>1176</v>
      </c>
      <c r="M83" s="70">
        <v>5</v>
      </c>
      <c r="N83" s="70">
        <f t="shared" si="12"/>
        <v>1170</v>
      </c>
      <c r="O83" s="60">
        <f t="shared" si="13"/>
        <v>15</v>
      </c>
      <c r="P83" s="70">
        <v>12.695</v>
      </c>
      <c r="Q83" s="70">
        <f t="shared" si="15"/>
        <v>16.643000000000001</v>
      </c>
      <c r="R83" s="78">
        <v>1</v>
      </c>
      <c r="S83" s="70">
        <v>0</v>
      </c>
      <c r="T83" s="78">
        <v>0</v>
      </c>
      <c r="U83" s="70">
        <v>0</v>
      </c>
      <c r="V83" s="70">
        <v>0</v>
      </c>
      <c r="W83" s="70">
        <v>1</v>
      </c>
      <c r="X83" s="78">
        <v>0</v>
      </c>
      <c r="Y83" s="70">
        <v>1</v>
      </c>
      <c r="Z83" s="70">
        <v>0</v>
      </c>
      <c r="AA83" s="78">
        <v>0</v>
      </c>
      <c r="AB83" s="70">
        <v>1</v>
      </c>
      <c r="AC83" s="69">
        <v>1981</v>
      </c>
      <c r="AD83" t="s">
        <v>57</v>
      </c>
      <c r="AE83" t="s">
        <v>57</v>
      </c>
      <c r="AF83" t="s">
        <v>57</v>
      </c>
      <c r="AG83" t="s">
        <v>57</v>
      </c>
      <c r="AH83" s="28" t="s">
        <v>57</v>
      </c>
      <c r="AI83" t="s">
        <v>57</v>
      </c>
      <c r="AJ83" s="28">
        <v>0.505</v>
      </c>
      <c r="AK83">
        <f t="shared" si="10"/>
        <v>0.495</v>
      </c>
      <c r="AL83" s="28" t="s">
        <v>57</v>
      </c>
      <c r="AM83" t="s">
        <v>57</v>
      </c>
      <c r="AN83">
        <v>0</v>
      </c>
      <c r="AO83">
        <v>1</v>
      </c>
      <c r="AP83" s="28">
        <v>0.72199999999999998</v>
      </c>
      <c r="AQ83" s="12">
        <f t="shared" si="7"/>
        <v>0.27800000000000002</v>
      </c>
      <c r="AR83">
        <v>0</v>
      </c>
      <c r="AS83">
        <v>1</v>
      </c>
      <c r="AT83">
        <v>0</v>
      </c>
      <c r="AU83" s="62" t="s">
        <v>350</v>
      </c>
      <c r="AV83">
        <v>1</v>
      </c>
      <c r="AW83">
        <v>0</v>
      </c>
      <c r="AX83">
        <v>0</v>
      </c>
      <c r="AY83">
        <v>0</v>
      </c>
      <c r="AZ83">
        <v>0</v>
      </c>
      <c r="BA83">
        <v>0</v>
      </c>
      <c r="BB83">
        <v>0</v>
      </c>
      <c r="BC83">
        <v>1</v>
      </c>
      <c r="BD83">
        <v>0</v>
      </c>
      <c r="BE83">
        <v>0</v>
      </c>
      <c r="BF83">
        <v>16842</v>
      </c>
      <c r="BG83">
        <v>1807</v>
      </c>
      <c r="BH83">
        <v>0.92300000000000004</v>
      </c>
      <c r="BI83" s="64">
        <v>35.338000000000001</v>
      </c>
      <c r="BJ83">
        <v>0</v>
      </c>
      <c r="BK83">
        <v>0</v>
      </c>
      <c r="BL83">
        <v>1</v>
      </c>
      <c r="BM83">
        <v>0</v>
      </c>
      <c r="BN83">
        <v>0</v>
      </c>
      <c r="BO83">
        <v>0</v>
      </c>
      <c r="BP83">
        <v>0</v>
      </c>
      <c r="BQ83" s="28">
        <v>0</v>
      </c>
      <c r="BR83">
        <v>0</v>
      </c>
      <c r="BS83">
        <v>0</v>
      </c>
      <c r="BT83" s="28">
        <v>1</v>
      </c>
      <c r="BU83">
        <v>0</v>
      </c>
      <c r="BV83">
        <v>0</v>
      </c>
      <c r="BW83">
        <v>0</v>
      </c>
      <c r="BX83">
        <v>0</v>
      </c>
      <c r="BY83">
        <v>0</v>
      </c>
      <c r="BZ83">
        <v>1</v>
      </c>
      <c r="CA83">
        <v>1</v>
      </c>
      <c r="CB83">
        <v>0</v>
      </c>
      <c r="CC83">
        <v>0</v>
      </c>
      <c r="CD83">
        <v>0</v>
      </c>
      <c r="CE83" s="16">
        <v>0</v>
      </c>
      <c r="CF83">
        <v>3.0070000000000001</v>
      </c>
      <c r="CG83">
        <v>372</v>
      </c>
      <c r="CH83">
        <v>1</v>
      </c>
      <c r="CI83">
        <v>0</v>
      </c>
      <c r="CJ83">
        <v>1</v>
      </c>
      <c r="CK83" t="s">
        <v>46</v>
      </c>
    </row>
    <row r="84" spans="1:89" x14ac:dyDescent="0.25">
      <c r="A84">
        <v>83</v>
      </c>
      <c r="B84">
        <v>6</v>
      </c>
      <c r="C84" t="s">
        <v>272</v>
      </c>
      <c r="D84" s="10">
        <v>4.5</v>
      </c>
      <c r="E84" s="6">
        <f t="shared" si="14"/>
        <v>0.48335123523093443</v>
      </c>
      <c r="F84" s="6">
        <v>9.31</v>
      </c>
      <c r="G84" s="78">
        <v>0</v>
      </c>
      <c r="H84" s="70">
        <v>0</v>
      </c>
      <c r="I84" s="70">
        <v>0</v>
      </c>
      <c r="J84" s="70">
        <v>1</v>
      </c>
      <c r="K84" s="70">
        <v>0</v>
      </c>
      <c r="L84" s="78">
        <v>568</v>
      </c>
      <c r="M84" s="70">
        <v>3</v>
      </c>
      <c r="N84" s="70">
        <f t="shared" si="12"/>
        <v>564</v>
      </c>
      <c r="O84" s="60">
        <f t="shared" si="13"/>
        <v>15</v>
      </c>
      <c r="P84" s="70">
        <v>12.695</v>
      </c>
      <c r="Q84" s="70">
        <f t="shared" si="15"/>
        <v>16.643000000000001</v>
      </c>
      <c r="R84" s="78">
        <v>1</v>
      </c>
      <c r="S84" s="70">
        <v>0</v>
      </c>
      <c r="T84" s="78">
        <v>0</v>
      </c>
      <c r="U84" s="70">
        <v>0</v>
      </c>
      <c r="V84" s="70">
        <v>0</v>
      </c>
      <c r="W84" s="70">
        <v>1</v>
      </c>
      <c r="X84" s="78">
        <v>0</v>
      </c>
      <c r="Y84" s="70">
        <v>1</v>
      </c>
      <c r="Z84" s="70">
        <v>0</v>
      </c>
      <c r="AA84" s="78">
        <v>0</v>
      </c>
      <c r="AB84" s="70">
        <v>1</v>
      </c>
      <c r="AC84" s="69">
        <v>1981</v>
      </c>
      <c r="AD84" t="s">
        <v>57</v>
      </c>
      <c r="AE84" t="s">
        <v>57</v>
      </c>
      <c r="AF84" t="s">
        <v>57</v>
      </c>
      <c r="AG84" t="s">
        <v>57</v>
      </c>
      <c r="AH84" s="28" t="s">
        <v>57</v>
      </c>
      <c r="AI84" t="s">
        <v>57</v>
      </c>
      <c r="AJ84" s="28">
        <v>0.505</v>
      </c>
      <c r="AK84">
        <f t="shared" si="10"/>
        <v>0.495</v>
      </c>
      <c r="AL84" s="28" t="s">
        <v>57</v>
      </c>
      <c r="AM84" t="s">
        <v>57</v>
      </c>
      <c r="AN84">
        <v>0</v>
      </c>
      <c r="AO84">
        <v>1</v>
      </c>
      <c r="AP84" s="28">
        <v>0.72199999999999998</v>
      </c>
      <c r="AQ84" s="12">
        <f t="shared" si="7"/>
        <v>0.27800000000000002</v>
      </c>
      <c r="AR84">
        <v>0</v>
      </c>
      <c r="AS84">
        <v>1</v>
      </c>
      <c r="AT84">
        <v>0</v>
      </c>
      <c r="AU84" s="62" t="s">
        <v>350</v>
      </c>
      <c r="AV84">
        <v>1</v>
      </c>
      <c r="AW84">
        <v>0</v>
      </c>
      <c r="AX84">
        <v>0</v>
      </c>
      <c r="AY84">
        <v>0</v>
      </c>
      <c r="AZ84">
        <v>0</v>
      </c>
      <c r="BA84">
        <v>0</v>
      </c>
      <c r="BB84">
        <v>0</v>
      </c>
      <c r="BC84">
        <v>1</v>
      </c>
      <c r="BD84">
        <v>0</v>
      </c>
      <c r="BE84">
        <v>0</v>
      </c>
      <c r="BF84">
        <v>16842</v>
      </c>
      <c r="BG84">
        <v>1807</v>
      </c>
      <c r="BH84">
        <v>0.92300000000000004</v>
      </c>
      <c r="BI84" s="64">
        <v>35.338000000000001</v>
      </c>
      <c r="BJ84">
        <v>0</v>
      </c>
      <c r="BK84">
        <v>0</v>
      </c>
      <c r="BL84">
        <v>1</v>
      </c>
      <c r="BM84">
        <v>0</v>
      </c>
      <c r="BN84">
        <v>0</v>
      </c>
      <c r="BO84">
        <v>0</v>
      </c>
      <c r="BP84">
        <v>0</v>
      </c>
      <c r="BQ84" s="28">
        <v>0</v>
      </c>
      <c r="BR84">
        <v>0</v>
      </c>
      <c r="BS84">
        <v>0</v>
      </c>
      <c r="BT84" s="28">
        <v>0</v>
      </c>
      <c r="BU84">
        <v>0</v>
      </c>
      <c r="BV84">
        <v>0</v>
      </c>
      <c r="BW84">
        <v>0</v>
      </c>
      <c r="BX84">
        <v>0</v>
      </c>
      <c r="BY84">
        <v>0</v>
      </c>
      <c r="BZ84">
        <v>0</v>
      </c>
      <c r="CA84">
        <v>1</v>
      </c>
      <c r="CB84">
        <v>0</v>
      </c>
      <c r="CC84">
        <v>0</v>
      </c>
      <c r="CD84">
        <v>0</v>
      </c>
      <c r="CE84" s="16">
        <v>0</v>
      </c>
      <c r="CF84">
        <v>3.0070000000000001</v>
      </c>
      <c r="CG84">
        <v>372</v>
      </c>
      <c r="CH84">
        <v>1</v>
      </c>
      <c r="CI84">
        <v>0</v>
      </c>
      <c r="CJ84">
        <v>1</v>
      </c>
      <c r="CK84" t="s">
        <v>46</v>
      </c>
    </row>
    <row r="85" spans="1:89" x14ac:dyDescent="0.25">
      <c r="A85">
        <v>84</v>
      </c>
      <c r="B85">
        <v>6</v>
      </c>
      <c r="C85" t="s">
        <v>272</v>
      </c>
      <c r="D85" s="79">
        <v>6.4</v>
      </c>
      <c r="E85" s="6">
        <f t="shared" si="14"/>
        <v>0.24024024024024024</v>
      </c>
      <c r="F85" s="6">
        <v>26.64</v>
      </c>
      <c r="G85" s="78">
        <v>0</v>
      </c>
      <c r="H85" s="70">
        <v>0</v>
      </c>
      <c r="I85" s="70">
        <v>0</v>
      </c>
      <c r="J85" s="70">
        <v>1</v>
      </c>
      <c r="K85" s="70">
        <v>0</v>
      </c>
      <c r="L85" s="78">
        <v>1204</v>
      </c>
      <c r="M85" s="70">
        <v>4</v>
      </c>
      <c r="N85" s="70">
        <f t="shared" si="12"/>
        <v>1199</v>
      </c>
      <c r="O85" s="60">
        <f t="shared" si="13"/>
        <v>15</v>
      </c>
      <c r="P85" s="70">
        <v>12.513999999999999</v>
      </c>
      <c r="Q85" s="70">
        <f t="shared" si="15"/>
        <v>18.317000000000004</v>
      </c>
      <c r="R85" s="78">
        <v>1</v>
      </c>
      <c r="S85" s="70">
        <v>0</v>
      </c>
      <c r="T85" s="78">
        <v>0</v>
      </c>
      <c r="U85" s="70">
        <v>0</v>
      </c>
      <c r="V85" s="70">
        <v>0</v>
      </c>
      <c r="W85" s="70">
        <v>1</v>
      </c>
      <c r="X85" s="78">
        <v>0</v>
      </c>
      <c r="Y85" s="70">
        <v>1</v>
      </c>
      <c r="Z85" s="70">
        <v>0</v>
      </c>
      <c r="AA85" s="78">
        <v>0</v>
      </c>
      <c r="AB85" s="70">
        <v>1</v>
      </c>
      <c r="AC85" s="69">
        <v>1981</v>
      </c>
      <c r="AD85" t="s">
        <v>57</v>
      </c>
      <c r="AE85" t="s">
        <v>57</v>
      </c>
      <c r="AF85" t="s">
        <v>57</v>
      </c>
      <c r="AG85" t="s">
        <v>57</v>
      </c>
      <c r="AH85" s="28" t="s">
        <v>57</v>
      </c>
      <c r="AI85" t="s">
        <v>57</v>
      </c>
      <c r="AJ85" s="28">
        <v>0.46800000000000003</v>
      </c>
      <c r="AK85">
        <f t="shared" si="10"/>
        <v>0.53200000000000003</v>
      </c>
      <c r="AL85" s="28" t="s">
        <v>57</v>
      </c>
      <c r="AM85" t="s">
        <v>57</v>
      </c>
      <c r="AN85">
        <v>0</v>
      </c>
      <c r="AO85">
        <v>1</v>
      </c>
      <c r="AP85" s="28">
        <v>0.75900000000000001</v>
      </c>
      <c r="AQ85" s="12">
        <f t="shared" si="7"/>
        <v>0.24099999999999999</v>
      </c>
      <c r="AR85">
        <v>1</v>
      </c>
      <c r="AS85">
        <v>0</v>
      </c>
      <c r="AT85">
        <v>0</v>
      </c>
      <c r="AU85" s="62" t="s">
        <v>350</v>
      </c>
      <c r="AV85">
        <v>1</v>
      </c>
      <c r="AW85">
        <v>0</v>
      </c>
      <c r="AX85">
        <v>0</v>
      </c>
      <c r="AY85">
        <v>0</v>
      </c>
      <c r="AZ85">
        <v>0</v>
      </c>
      <c r="BA85">
        <v>0</v>
      </c>
      <c r="BB85">
        <v>0</v>
      </c>
      <c r="BC85">
        <v>1</v>
      </c>
      <c r="BD85">
        <v>0</v>
      </c>
      <c r="BE85">
        <v>0</v>
      </c>
      <c r="BF85">
        <v>16842</v>
      </c>
      <c r="BG85">
        <v>1807</v>
      </c>
      <c r="BH85">
        <v>0.92300000000000004</v>
      </c>
      <c r="BI85" s="64">
        <v>36.831000000000003</v>
      </c>
      <c r="BJ85">
        <v>1</v>
      </c>
      <c r="BK85">
        <v>0</v>
      </c>
      <c r="BL85">
        <v>0</v>
      </c>
      <c r="BM85">
        <v>0</v>
      </c>
      <c r="BN85">
        <v>0</v>
      </c>
      <c r="BO85">
        <v>0</v>
      </c>
      <c r="BP85">
        <v>0</v>
      </c>
      <c r="BQ85" s="28">
        <v>0</v>
      </c>
      <c r="BR85">
        <v>0</v>
      </c>
      <c r="BS85">
        <v>0</v>
      </c>
      <c r="BT85" s="28">
        <v>1</v>
      </c>
      <c r="BU85">
        <v>0</v>
      </c>
      <c r="BV85">
        <v>0</v>
      </c>
      <c r="BW85">
        <v>0</v>
      </c>
      <c r="BX85">
        <v>0</v>
      </c>
      <c r="BY85">
        <v>0</v>
      </c>
      <c r="BZ85">
        <v>1</v>
      </c>
      <c r="CA85">
        <v>1</v>
      </c>
      <c r="CB85">
        <v>0</v>
      </c>
      <c r="CC85">
        <v>0</v>
      </c>
      <c r="CD85">
        <v>0</v>
      </c>
      <c r="CE85" s="16">
        <v>0</v>
      </c>
      <c r="CF85">
        <v>3.0070000000000001</v>
      </c>
      <c r="CG85">
        <v>372</v>
      </c>
      <c r="CH85">
        <v>1</v>
      </c>
      <c r="CI85">
        <v>0</v>
      </c>
      <c r="CJ85">
        <v>1</v>
      </c>
      <c r="CK85" t="s">
        <v>46</v>
      </c>
    </row>
    <row r="86" spans="1:89" x14ac:dyDescent="0.25">
      <c r="A86">
        <v>85</v>
      </c>
      <c r="B86">
        <v>6</v>
      </c>
      <c r="C86" t="s">
        <v>272</v>
      </c>
      <c r="D86" s="79">
        <v>2.5</v>
      </c>
      <c r="E86" s="6">
        <f t="shared" si="14"/>
        <v>0.50813008130081305</v>
      </c>
      <c r="F86" s="6">
        <v>4.92</v>
      </c>
      <c r="G86" s="78">
        <v>0</v>
      </c>
      <c r="H86" s="70">
        <v>0</v>
      </c>
      <c r="I86" s="70">
        <v>0</v>
      </c>
      <c r="J86" s="70">
        <v>1</v>
      </c>
      <c r="K86" s="70">
        <v>0</v>
      </c>
      <c r="L86" s="78">
        <v>602</v>
      </c>
      <c r="M86" s="70">
        <v>2</v>
      </c>
      <c r="N86" s="70">
        <f t="shared" si="12"/>
        <v>599</v>
      </c>
      <c r="O86" s="60">
        <f t="shared" si="13"/>
        <v>15</v>
      </c>
      <c r="P86" s="70">
        <v>12.513999999999999</v>
      </c>
      <c r="Q86" s="70">
        <f t="shared" si="15"/>
        <v>18.317000000000004</v>
      </c>
      <c r="R86" s="78">
        <v>1</v>
      </c>
      <c r="S86" s="70">
        <v>0</v>
      </c>
      <c r="T86" s="78">
        <v>0</v>
      </c>
      <c r="U86" s="70">
        <v>0</v>
      </c>
      <c r="V86" s="70">
        <v>0</v>
      </c>
      <c r="W86" s="70">
        <v>1</v>
      </c>
      <c r="X86" s="78">
        <v>0</v>
      </c>
      <c r="Y86" s="70">
        <v>1</v>
      </c>
      <c r="Z86" s="70">
        <v>0</v>
      </c>
      <c r="AA86" s="78">
        <v>0</v>
      </c>
      <c r="AB86" s="70">
        <v>1</v>
      </c>
      <c r="AC86" s="69">
        <v>1981</v>
      </c>
      <c r="AD86" t="s">
        <v>57</v>
      </c>
      <c r="AE86" t="s">
        <v>57</v>
      </c>
      <c r="AF86" t="s">
        <v>57</v>
      </c>
      <c r="AG86" t="s">
        <v>57</v>
      </c>
      <c r="AH86" s="28" t="s">
        <v>57</v>
      </c>
      <c r="AI86" t="s">
        <v>57</v>
      </c>
      <c r="AJ86" s="28">
        <v>0.46800000000000003</v>
      </c>
      <c r="AK86">
        <f t="shared" si="10"/>
        <v>0.53200000000000003</v>
      </c>
      <c r="AL86" s="28" t="s">
        <v>57</v>
      </c>
      <c r="AM86" t="s">
        <v>57</v>
      </c>
      <c r="AN86">
        <v>0</v>
      </c>
      <c r="AO86">
        <v>1</v>
      </c>
      <c r="AP86" s="28">
        <v>0.75900000000000001</v>
      </c>
      <c r="AQ86" s="12">
        <f t="shared" si="7"/>
        <v>0.24099999999999999</v>
      </c>
      <c r="AR86">
        <v>1</v>
      </c>
      <c r="AS86">
        <v>0</v>
      </c>
      <c r="AT86">
        <v>0</v>
      </c>
      <c r="AU86" s="62" t="s">
        <v>350</v>
      </c>
      <c r="AV86">
        <v>1</v>
      </c>
      <c r="AW86">
        <v>0</v>
      </c>
      <c r="AX86">
        <v>0</v>
      </c>
      <c r="AY86">
        <v>0</v>
      </c>
      <c r="AZ86">
        <v>0</v>
      </c>
      <c r="BA86">
        <v>0</v>
      </c>
      <c r="BB86">
        <v>0</v>
      </c>
      <c r="BC86">
        <v>1</v>
      </c>
      <c r="BD86">
        <v>0</v>
      </c>
      <c r="BE86">
        <v>0</v>
      </c>
      <c r="BF86">
        <v>16842</v>
      </c>
      <c r="BG86">
        <v>1807</v>
      </c>
      <c r="BH86">
        <v>0.92300000000000004</v>
      </c>
      <c r="BI86" s="64">
        <v>36.831000000000003</v>
      </c>
      <c r="BJ86">
        <v>0</v>
      </c>
      <c r="BK86">
        <v>0</v>
      </c>
      <c r="BL86">
        <v>1</v>
      </c>
      <c r="BM86">
        <v>0</v>
      </c>
      <c r="BN86">
        <v>0</v>
      </c>
      <c r="BO86">
        <v>0</v>
      </c>
      <c r="BP86">
        <v>0</v>
      </c>
      <c r="BQ86" s="28">
        <v>0</v>
      </c>
      <c r="BR86">
        <v>0</v>
      </c>
      <c r="BS86">
        <v>0</v>
      </c>
      <c r="BT86" s="28">
        <v>0</v>
      </c>
      <c r="BU86">
        <v>0</v>
      </c>
      <c r="BV86">
        <v>0</v>
      </c>
      <c r="BW86">
        <v>0</v>
      </c>
      <c r="BX86">
        <v>0</v>
      </c>
      <c r="BY86">
        <v>0</v>
      </c>
      <c r="BZ86">
        <v>0</v>
      </c>
      <c r="CA86">
        <v>1</v>
      </c>
      <c r="CB86">
        <v>0</v>
      </c>
      <c r="CC86">
        <v>0</v>
      </c>
      <c r="CD86">
        <v>0</v>
      </c>
      <c r="CE86" s="16">
        <v>0</v>
      </c>
      <c r="CF86">
        <v>3.0070000000000001</v>
      </c>
      <c r="CG86">
        <v>372</v>
      </c>
      <c r="CH86">
        <v>1</v>
      </c>
      <c r="CI86">
        <v>0</v>
      </c>
      <c r="CJ86">
        <v>1</v>
      </c>
      <c r="CK86" t="s">
        <v>46</v>
      </c>
    </row>
    <row r="87" spans="1:89" x14ac:dyDescent="0.25">
      <c r="A87">
        <v>86</v>
      </c>
      <c r="B87">
        <v>6</v>
      </c>
      <c r="C87" t="s">
        <v>272</v>
      </c>
      <c r="D87" s="79">
        <v>4.8</v>
      </c>
      <c r="E87" s="6">
        <f t="shared" si="14"/>
        <v>0.28828828828828829</v>
      </c>
      <c r="F87" s="6">
        <v>16.649999999999999</v>
      </c>
      <c r="G87" s="78">
        <v>0</v>
      </c>
      <c r="H87" s="70">
        <v>0</v>
      </c>
      <c r="I87" s="70">
        <v>0</v>
      </c>
      <c r="J87" s="70">
        <v>1</v>
      </c>
      <c r="K87" s="70">
        <v>0</v>
      </c>
      <c r="L87" s="78">
        <v>1204</v>
      </c>
      <c r="M87" s="70">
        <v>5</v>
      </c>
      <c r="N87" s="70">
        <f t="shared" si="12"/>
        <v>1198</v>
      </c>
      <c r="O87" s="60">
        <f t="shared" si="13"/>
        <v>15</v>
      </c>
      <c r="P87" s="70">
        <v>12.513999999999999</v>
      </c>
      <c r="Q87" s="70">
        <f t="shared" si="15"/>
        <v>18.317000000000004</v>
      </c>
      <c r="R87" s="78">
        <v>1</v>
      </c>
      <c r="S87" s="70">
        <v>0</v>
      </c>
      <c r="T87" s="78">
        <v>0</v>
      </c>
      <c r="U87" s="70">
        <v>0</v>
      </c>
      <c r="V87" s="70">
        <v>0</v>
      </c>
      <c r="W87" s="70">
        <v>1</v>
      </c>
      <c r="X87" s="78">
        <v>0</v>
      </c>
      <c r="Y87" s="70">
        <v>1</v>
      </c>
      <c r="Z87" s="70">
        <v>0</v>
      </c>
      <c r="AA87" s="78">
        <v>0</v>
      </c>
      <c r="AB87" s="70">
        <v>1</v>
      </c>
      <c r="AC87" s="69">
        <v>1981</v>
      </c>
      <c r="AD87" t="s">
        <v>57</v>
      </c>
      <c r="AE87" t="s">
        <v>57</v>
      </c>
      <c r="AF87" t="s">
        <v>57</v>
      </c>
      <c r="AG87" t="s">
        <v>57</v>
      </c>
      <c r="AH87" s="28" t="s">
        <v>57</v>
      </c>
      <c r="AI87" t="s">
        <v>57</v>
      </c>
      <c r="AJ87" s="28">
        <v>0.46800000000000003</v>
      </c>
      <c r="AK87">
        <f t="shared" si="10"/>
        <v>0.53200000000000003</v>
      </c>
      <c r="AL87" s="28" t="s">
        <v>57</v>
      </c>
      <c r="AM87" t="s">
        <v>57</v>
      </c>
      <c r="AN87">
        <v>0</v>
      </c>
      <c r="AO87">
        <v>1</v>
      </c>
      <c r="AP87" s="28">
        <v>0.75900000000000001</v>
      </c>
      <c r="AQ87" s="12">
        <f t="shared" si="7"/>
        <v>0.24099999999999999</v>
      </c>
      <c r="AR87">
        <v>1</v>
      </c>
      <c r="AS87">
        <v>0</v>
      </c>
      <c r="AT87">
        <v>0</v>
      </c>
      <c r="AU87" s="62" t="s">
        <v>350</v>
      </c>
      <c r="AV87">
        <v>1</v>
      </c>
      <c r="AW87">
        <v>0</v>
      </c>
      <c r="AX87">
        <v>0</v>
      </c>
      <c r="AY87">
        <v>0</v>
      </c>
      <c r="AZ87">
        <v>0</v>
      </c>
      <c r="BA87">
        <v>0</v>
      </c>
      <c r="BB87">
        <v>0</v>
      </c>
      <c r="BC87">
        <v>1</v>
      </c>
      <c r="BD87">
        <v>0</v>
      </c>
      <c r="BE87">
        <v>0</v>
      </c>
      <c r="BF87">
        <v>16842</v>
      </c>
      <c r="BG87">
        <v>1807</v>
      </c>
      <c r="BH87">
        <v>0.92300000000000004</v>
      </c>
      <c r="BI87" s="64">
        <v>36.831000000000003</v>
      </c>
      <c r="BJ87">
        <v>0</v>
      </c>
      <c r="BK87">
        <v>0</v>
      </c>
      <c r="BL87">
        <v>1</v>
      </c>
      <c r="BM87">
        <v>0</v>
      </c>
      <c r="BN87">
        <v>0</v>
      </c>
      <c r="BO87">
        <v>0</v>
      </c>
      <c r="BP87">
        <v>0</v>
      </c>
      <c r="BQ87" s="28">
        <v>0</v>
      </c>
      <c r="BR87">
        <v>0</v>
      </c>
      <c r="BS87">
        <v>0</v>
      </c>
      <c r="BT87" s="28">
        <v>1</v>
      </c>
      <c r="BU87">
        <v>0</v>
      </c>
      <c r="BV87">
        <v>0</v>
      </c>
      <c r="BW87">
        <v>0</v>
      </c>
      <c r="BX87">
        <v>0</v>
      </c>
      <c r="BY87">
        <v>0</v>
      </c>
      <c r="BZ87">
        <v>1</v>
      </c>
      <c r="CA87">
        <v>1</v>
      </c>
      <c r="CB87">
        <v>0</v>
      </c>
      <c r="CC87">
        <v>0</v>
      </c>
      <c r="CD87">
        <v>0</v>
      </c>
      <c r="CE87" s="16">
        <v>0</v>
      </c>
      <c r="CF87">
        <v>3.0070000000000001</v>
      </c>
      <c r="CG87">
        <v>372</v>
      </c>
      <c r="CH87">
        <v>1</v>
      </c>
      <c r="CI87">
        <v>0</v>
      </c>
      <c r="CJ87">
        <v>1</v>
      </c>
      <c r="CK87" t="s">
        <v>46</v>
      </c>
    </row>
    <row r="88" spans="1:89" x14ac:dyDescent="0.25">
      <c r="A88">
        <v>87</v>
      </c>
      <c r="B88">
        <v>6</v>
      </c>
      <c r="C88" t="s">
        <v>272</v>
      </c>
      <c r="D88" s="79">
        <v>7.3</v>
      </c>
      <c r="E88" s="6">
        <f t="shared" si="14"/>
        <v>0.28250773993808048</v>
      </c>
      <c r="F88" s="6">
        <v>25.84</v>
      </c>
      <c r="G88" s="78">
        <v>0</v>
      </c>
      <c r="H88" s="70">
        <v>0</v>
      </c>
      <c r="I88" s="70">
        <v>0</v>
      </c>
      <c r="J88" s="70">
        <v>1</v>
      </c>
      <c r="K88" s="70">
        <v>0</v>
      </c>
      <c r="L88" s="78">
        <v>1204</v>
      </c>
      <c r="M88" s="70">
        <v>5</v>
      </c>
      <c r="N88" s="70">
        <f t="shared" si="12"/>
        <v>1198</v>
      </c>
      <c r="O88" s="60">
        <f t="shared" si="13"/>
        <v>15</v>
      </c>
      <c r="P88" s="70">
        <v>12.513999999999999</v>
      </c>
      <c r="Q88" s="70">
        <f t="shared" si="15"/>
        <v>18.317000000000004</v>
      </c>
      <c r="R88" s="78">
        <v>1</v>
      </c>
      <c r="S88" s="70">
        <v>0</v>
      </c>
      <c r="T88" s="78">
        <v>0</v>
      </c>
      <c r="U88" s="70">
        <v>0</v>
      </c>
      <c r="V88" s="70">
        <v>0</v>
      </c>
      <c r="W88" s="70">
        <v>1</v>
      </c>
      <c r="X88" s="78">
        <v>0</v>
      </c>
      <c r="Y88" s="70">
        <v>1</v>
      </c>
      <c r="Z88" s="70">
        <v>0</v>
      </c>
      <c r="AA88" s="78">
        <v>0</v>
      </c>
      <c r="AB88" s="70">
        <v>1</v>
      </c>
      <c r="AC88" s="69">
        <v>1981</v>
      </c>
      <c r="AD88" t="s">
        <v>57</v>
      </c>
      <c r="AE88" t="s">
        <v>57</v>
      </c>
      <c r="AF88" t="s">
        <v>57</v>
      </c>
      <c r="AG88" t="s">
        <v>57</v>
      </c>
      <c r="AH88" s="28" t="s">
        <v>57</v>
      </c>
      <c r="AI88" t="s">
        <v>57</v>
      </c>
      <c r="AJ88" s="28">
        <v>0.46800000000000003</v>
      </c>
      <c r="AK88">
        <f t="shared" si="10"/>
        <v>0.53200000000000003</v>
      </c>
      <c r="AL88" s="28" t="s">
        <v>57</v>
      </c>
      <c r="AM88" t="s">
        <v>57</v>
      </c>
      <c r="AN88">
        <v>0</v>
      </c>
      <c r="AO88">
        <v>1</v>
      </c>
      <c r="AP88" s="28">
        <v>0.75900000000000001</v>
      </c>
      <c r="AQ88" s="12">
        <f t="shared" si="7"/>
        <v>0.24099999999999999</v>
      </c>
      <c r="AR88">
        <v>1</v>
      </c>
      <c r="AS88">
        <v>0</v>
      </c>
      <c r="AT88">
        <v>0</v>
      </c>
      <c r="AU88" s="62" t="s">
        <v>350</v>
      </c>
      <c r="AV88">
        <v>1</v>
      </c>
      <c r="AW88">
        <v>0</v>
      </c>
      <c r="AX88">
        <v>0</v>
      </c>
      <c r="AY88">
        <v>0</v>
      </c>
      <c r="AZ88">
        <v>0</v>
      </c>
      <c r="BA88">
        <v>0</v>
      </c>
      <c r="BB88">
        <v>0</v>
      </c>
      <c r="BC88">
        <v>1</v>
      </c>
      <c r="BD88">
        <v>0</v>
      </c>
      <c r="BE88">
        <v>0</v>
      </c>
      <c r="BF88">
        <v>16842</v>
      </c>
      <c r="BG88">
        <v>1807</v>
      </c>
      <c r="BH88">
        <v>0.92300000000000004</v>
      </c>
      <c r="BI88" s="64">
        <v>36.831000000000003</v>
      </c>
      <c r="BJ88">
        <v>0</v>
      </c>
      <c r="BK88">
        <v>0</v>
      </c>
      <c r="BL88">
        <v>1</v>
      </c>
      <c r="BM88">
        <v>0</v>
      </c>
      <c r="BN88">
        <v>0</v>
      </c>
      <c r="BO88">
        <v>0</v>
      </c>
      <c r="BP88">
        <v>0</v>
      </c>
      <c r="BQ88" s="28">
        <v>0</v>
      </c>
      <c r="BR88">
        <v>0</v>
      </c>
      <c r="BS88">
        <v>0</v>
      </c>
      <c r="BT88" s="28">
        <v>1</v>
      </c>
      <c r="BU88">
        <v>0</v>
      </c>
      <c r="BV88">
        <v>0</v>
      </c>
      <c r="BW88">
        <v>0</v>
      </c>
      <c r="BX88">
        <v>0</v>
      </c>
      <c r="BY88">
        <v>0</v>
      </c>
      <c r="BZ88">
        <v>1</v>
      </c>
      <c r="CA88">
        <v>1</v>
      </c>
      <c r="CB88">
        <v>0</v>
      </c>
      <c r="CC88">
        <v>0</v>
      </c>
      <c r="CD88">
        <v>0</v>
      </c>
      <c r="CE88" s="16">
        <v>0</v>
      </c>
      <c r="CF88">
        <v>3.0070000000000001</v>
      </c>
      <c r="CG88">
        <v>372</v>
      </c>
      <c r="CH88">
        <v>1</v>
      </c>
      <c r="CI88">
        <v>0</v>
      </c>
      <c r="CJ88">
        <v>1</v>
      </c>
      <c r="CK88" t="s">
        <v>46</v>
      </c>
    </row>
    <row r="89" spans="1:89" x14ac:dyDescent="0.25">
      <c r="A89">
        <v>88</v>
      </c>
      <c r="B89">
        <v>6</v>
      </c>
      <c r="C89" t="s">
        <v>272</v>
      </c>
      <c r="D89" s="79">
        <v>7.8</v>
      </c>
      <c r="E89" s="6">
        <f t="shared" si="14"/>
        <v>0.92746730083234241</v>
      </c>
      <c r="F89" s="6">
        <v>8.41</v>
      </c>
      <c r="G89" s="78">
        <v>0</v>
      </c>
      <c r="H89" s="70">
        <v>0</v>
      </c>
      <c r="I89" s="70">
        <v>0</v>
      </c>
      <c r="J89" s="70">
        <v>1</v>
      </c>
      <c r="K89" s="70">
        <v>0</v>
      </c>
      <c r="L89" s="78">
        <v>1204</v>
      </c>
      <c r="M89" s="70">
        <v>6</v>
      </c>
      <c r="N89" s="70">
        <f t="shared" si="12"/>
        <v>1197</v>
      </c>
      <c r="O89" s="60">
        <f t="shared" si="13"/>
        <v>15</v>
      </c>
      <c r="P89" s="70">
        <v>12.513999999999999</v>
      </c>
      <c r="Q89" s="70">
        <f t="shared" si="15"/>
        <v>18.317000000000004</v>
      </c>
      <c r="R89" s="78">
        <v>1</v>
      </c>
      <c r="S89" s="70">
        <v>0</v>
      </c>
      <c r="T89" s="78">
        <v>0</v>
      </c>
      <c r="U89" s="70">
        <v>0</v>
      </c>
      <c r="V89" s="70">
        <v>0</v>
      </c>
      <c r="W89" s="70">
        <v>1</v>
      </c>
      <c r="X89" s="78">
        <v>0</v>
      </c>
      <c r="Y89" s="70">
        <v>1</v>
      </c>
      <c r="Z89" s="70">
        <v>0</v>
      </c>
      <c r="AA89" s="78">
        <v>0</v>
      </c>
      <c r="AB89" s="70">
        <v>1</v>
      </c>
      <c r="AC89" s="69">
        <v>1981</v>
      </c>
      <c r="AD89" t="s">
        <v>57</v>
      </c>
      <c r="AE89" t="s">
        <v>57</v>
      </c>
      <c r="AF89" t="s">
        <v>57</v>
      </c>
      <c r="AG89" t="s">
        <v>57</v>
      </c>
      <c r="AH89" s="28" t="s">
        <v>57</v>
      </c>
      <c r="AI89" t="s">
        <v>57</v>
      </c>
      <c r="AJ89" s="28">
        <v>0.46800000000000003</v>
      </c>
      <c r="AK89">
        <f t="shared" si="10"/>
        <v>0.53200000000000003</v>
      </c>
      <c r="AL89" s="28" t="s">
        <v>57</v>
      </c>
      <c r="AM89" t="s">
        <v>57</v>
      </c>
      <c r="AN89">
        <v>0</v>
      </c>
      <c r="AO89">
        <v>1</v>
      </c>
      <c r="AP89" s="28">
        <v>0.75900000000000001</v>
      </c>
      <c r="AQ89" s="12">
        <f t="shared" si="7"/>
        <v>0.24099999999999999</v>
      </c>
      <c r="AR89">
        <v>1</v>
      </c>
      <c r="AS89">
        <v>0</v>
      </c>
      <c r="AT89">
        <v>0</v>
      </c>
      <c r="AU89" s="62" t="s">
        <v>350</v>
      </c>
      <c r="AV89">
        <v>1</v>
      </c>
      <c r="AW89">
        <v>0</v>
      </c>
      <c r="AX89">
        <v>0</v>
      </c>
      <c r="AY89">
        <v>0</v>
      </c>
      <c r="AZ89">
        <v>0</v>
      </c>
      <c r="BA89">
        <v>0</v>
      </c>
      <c r="BB89">
        <v>0</v>
      </c>
      <c r="BC89">
        <v>1</v>
      </c>
      <c r="BD89">
        <v>0</v>
      </c>
      <c r="BE89">
        <v>0</v>
      </c>
      <c r="BF89">
        <v>16842</v>
      </c>
      <c r="BG89">
        <v>1807</v>
      </c>
      <c r="BH89">
        <v>0.92300000000000004</v>
      </c>
      <c r="BI89" s="64">
        <v>36.831000000000003</v>
      </c>
      <c r="BJ89">
        <v>0</v>
      </c>
      <c r="BK89">
        <v>0</v>
      </c>
      <c r="BL89">
        <v>1</v>
      </c>
      <c r="BM89">
        <v>0</v>
      </c>
      <c r="BN89">
        <v>0</v>
      </c>
      <c r="BO89">
        <v>0</v>
      </c>
      <c r="BP89">
        <v>0</v>
      </c>
      <c r="BQ89" s="28">
        <v>0</v>
      </c>
      <c r="BR89">
        <v>0</v>
      </c>
      <c r="BS89">
        <v>0</v>
      </c>
      <c r="BT89" s="28">
        <v>1</v>
      </c>
      <c r="BU89">
        <v>0</v>
      </c>
      <c r="BV89">
        <v>0</v>
      </c>
      <c r="BW89">
        <v>0</v>
      </c>
      <c r="BX89">
        <v>0</v>
      </c>
      <c r="BY89">
        <v>0</v>
      </c>
      <c r="BZ89">
        <v>1</v>
      </c>
      <c r="CA89">
        <v>1</v>
      </c>
      <c r="CB89">
        <v>0</v>
      </c>
      <c r="CC89">
        <v>0</v>
      </c>
      <c r="CD89">
        <v>0</v>
      </c>
      <c r="CE89" s="16">
        <v>0</v>
      </c>
      <c r="CF89">
        <v>3.0070000000000001</v>
      </c>
      <c r="CG89">
        <v>372</v>
      </c>
      <c r="CH89">
        <v>1</v>
      </c>
      <c r="CI89">
        <v>0</v>
      </c>
      <c r="CJ89">
        <v>1</v>
      </c>
      <c r="CK89" t="s">
        <v>46</v>
      </c>
    </row>
    <row r="90" spans="1:89" x14ac:dyDescent="0.25">
      <c r="A90">
        <v>89</v>
      </c>
      <c r="B90">
        <v>6</v>
      </c>
      <c r="C90" t="s">
        <v>272</v>
      </c>
      <c r="D90" s="79">
        <v>8.3000000000000007</v>
      </c>
      <c r="E90" s="6">
        <f t="shared" si="14"/>
        <v>1.9856459330143543</v>
      </c>
      <c r="F90" s="6">
        <v>4.18</v>
      </c>
      <c r="G90" s="78">
        <v>0</v>
      </c>
      <c r="H90" s="70">
        <v>0</v>
      </c>
      <c r="I90" s="70">
        <v>0</v>
      </c>
      <c r="J90" s="70">
        <v>1</v>
      </c>
      <c r="K90" s="70">
        <v>0</v>
      </c>
      <c r="L90" s="78">
        <v>602</v>
      </c>
      <c r="M90" s="70">
        <v>3</v>
      </c>
      <c r="N90" s="70">
        <f t="shared" si="12"/>
        <v>598</v>
      </c>
      <c r="O90" s="60">
        <f t="shared" si="13"/>
        <v>15</v>
      </c>
      <c r="P90" s="70">
        <v>12.513999999999999</v>
      </c>
      <c r="Q90" s="70">
        <f t="shared" si="15"/>
        <v>18.317000000000004</v>
      </c>
      <c r="R90" s="78">
        <v>1</v>
      </c>
      <c r="S90" s="70">
        <v>0</v>
      </c>
      <c r="T90" s="78">
        <v>0</v>
      </c>
      <c r="U90" s="70">
        <v>0</v>
      </c>
      <c r="V90" s="70">
        <v>0</v>
      </c>
      <c r="W90" s="70">
        <v>1</v>
      </c>
      <c r="X90" s="78">
        <v>0</v>
      </c>
      <c r="Y90" s="70">
        <v>1</v>
      </c>
      <c r="Z90" s="70">
        <v>0</v>
      </c>
      <c r="AA90" s="78">
        <v>0</v>
      </c>
      <c r="AB90" s="70">
        <v>1</v>
      </c>
      <c r="AC90" s="69">
        <v>1981</v>
      </c>
      <c r="AD90" t="s">
        <v>57</v>
      </c>
      <c r="AE90" t="s">
        <v>57</v>
      </c>
      <c r="AF90" t="s">
        <v>57</v>
      </c>
      <c r="AG90" t="s">
        <v>57</v>
      </c>
      <c r="AH90" s="28" t="s">
        <v>57</v>
      </c>
      <c r="AI90" t="s">
        <v>57</v>
      </c>
      <c r="AJ90" s="28">
        <v>0.46800000000000003</v>
      </c>
      <c r="AK90">
        <f t="shared" si="10"/>
        <v>0.53200000000000003</v>
      </c>
      <c r="AL90" s="28" t="s">
        <v>57</v>
      </c>
      <c r="AM90" t="s">
        <v>57</v>
      </c>
      <c r="AN90">
        <v>0</v>
      </c>
      <c r="AO90">
        <v>1</v>
      </c>
      <c r="AP90" s="28">
        <v>0.75900000000000001</v>
      </c>
      <c r="AQ90" s="12">
        <f t="shared" si="7"/>
        <v>0.24099999999999999</v>
      </c>
      <c r="AR90">
        <v>1</v>
      </c>
      <c r="AS90">
        <v>0</v>
      </c>
      <c r="AT90">
        <v>0</v>
      </c>
      <c r="AU90" s="62" t="s">
        <v>350</v>
      </c>
      <c r="AV90">
        <v>1</v>
      </c>
      <c r="AW90">
        <v>0</v>
      </c>
      <c r="AX90">
        <v>0</v>
      </c>
      <c r="AY90">
        <v>0</v>
      </c>
      <c r="AZ90">
        <v>0</v>
      </c>
      <c r="BA90">
        <v>0</v>
      </c>
      <c r="BB90">
        <v>0</v>
      </c>
      <c r="BC90">
        <v>1</v>
      </c>
      <c r="BD90">
        <v>0</v>
      </c>
      <c r="BE90">
        <v>0</v>
      </c>
      <c r="BF90">
        <v>16842</v>
      </c>
      <c r="BG90">
        <v>1807</v>
      </c>
      <c r="BH90">
        <v>0.92300000000000004</v>
      </c>
      <c r="BI90" s="64">
        <v>36.831000000000003</v>
      </c>
      <c r="BJ90">
        <v>0</v>
      </c>
      <c r="BK90">
        <v>0</v>
      </c>
      <c r="BL90">
        <v>1</v>
      </c>
      <c r="BM90">
        <v>0</v>
      </c>
      <c r="BN90">
        <v>0</v>
      </c>
      <c r="BO90">
        <v>0</v>
      </c>
      <c r="BP90">
        <v>0</v>
      </c>
      <c r="BQ90" s="28">
        <v>0</v>
      </c>
      <c r="BR90">
        <v>0</v>
      </c>
      <c r="BS90">
        <v>0</v>
      </c>
      <c r="BT90" s="28">
        <v>0</v>
      </c>
      <c r="BU90">
        <v>0</v>
      </c>
      <c r="BV90">
        <v>0</v>
      </c>
      <c r="BW90">
        <v>0</v>
      </c>
      <c r="BX90">
        <v>0</v>
      </c>
      <c r="BY90">
        <v>0</v>
      </c>
      <c r="BZ90">
        <v>0</v>
      </c>
      <c r="CA90">
        <v>1</v>
      </c>
      <c r="CB90">
        <v>0</v>
      </c>
      <c r="CC90">
        <v>0</v>
      </c>
      <c r="CD90">
        <v>0</v>
      </c>
      <c r="CE90" s="16">
        <v>0</v>
      </c>
      <c r="CF90">
        <v>3.0070000000000001</v>
      </c>
      <c r="CG90">
        <v>372</v>
      </c>
      <c r="CH90">
        <v>1</v>
      </c>
      <c r="CI90">
        <v>0</v>
      </c>
      <c r="CJ90">
        <v>1</v>
      </c>
      <c r="CK90" t="s">
        <v>46</v>
      </c>
    </row>
    <row r="91" spans="1:89" x14ac:dyDescent="0.25">
      <c r="A91">
        <v>90</v>
      </c>
      <c r="B91">
        <v>6</v>
      </c>
      <c r="C91" t="s">
        <v>272</v>
      </c>
      <c r="D91" s="79">
        <v>4.5</v>
      </c>
      <c r="E91" s="6">
        <f t="shared" si="14"/>
        <v>0.92402464065708412</v>
      </c>
      <c r="F91" s="6">
        <v>4.87</v>
      </c>
      <c r="G91" s="78">
        <v>0</v>
      </c>
      <c r="H91" s="70">
        <v>0</v>
      </c>
      <c r="I91" s="70">
        <v>0</v>
      </c>
      <c r="J91" s="70">
        <v>1</v>
      </c>
      <c r="K91" s="70">
        <v>0</v>
      </c>
      <c r="L91" s="78">
        <v>602</v>
      </c>
      <c r="M91" s="70">
        <v>3</v>
      </c>
      <c r="N91" s="70">
        <f t="shared" si="12"/>
        <v>598</v>
      </c>
      <c r="O91" s="60">
        <f t="shared" si="13"/>
        <v>15</v>
      </c>
      <c r="P91" s="70">
        <v>12.513999999999999</v>
      </c>
      <c r="Q91" s="70">
        <f t="shared" si="15"/>
        <v>18.317000000000004</v>
      </c>
      <c r="R91" s="78">
        <v>1</v>
      </c>
      <c r="S91" s="70">
        <v>0</v>
      </c>
      <c r="T91" s="78">
        <v>0</v>
      </c>
      <c r="U91" s="70">
        <v>0</v>
      </c>
      <c r="V91" s="70">
        <v>0</v>
      </c>
      <c r="W91" s="70">
        <v>1</v>
      </c>
      <c r="X91" s="78">
        <v>0</v>
      </c>
      <c r="Y91" s="70">
        <v>1</v>
      </c>
      <c r="Z91" s="70">
        <v>0</v>
      </c>
      <c r="AA91" s="78">
        <v>0</v>
      </c>
      <c r="AB91" s="70">
        <v>1</v>
      </c>
      <c r="AC91" s="69">
        <v>1981</v>
      </c>
      <c r="AD91" t="s">
        <v>57</v>
      </c>
      <c r="AE91" t="s">
        <v>57</v>
      </c>
      <c r="AF91" t="s">
        <v>57</v>
      </c>
      <c r="AG91" t="s">
        <v>57</v>
      </c>
      <c r="AH91" s="28" t="s">
        <v>57</v>
      </c>
      <c r="AI91" t="s">
        <v>57</v>
      </c>
      <c r="AJ91" s="28">
        <v>0.46800000000000003</v>
      </c>
      <c r="AK91">
        <f t="shared" si="10"/>
        <v>0.53200000000000003</v>
      </c>
      <c r="AL91" s="28" t="s">
        <v>57</v>
      </c>
      <c r="AM91" t="s">
        <v>57</v>
      </c>
      <c r="AN91">
        <v>0</v>
      </c>
      <c r="AO91">
        <v>1</v>
      </c>
      <c r="AP91" s="28">
        <v>0.75900000000000001</v>
      </c>
      <c r="AQ91" s="12">
        <f t="shared" si="7"/>
        <v>0.24099999999999999</v>
      </c>
      <c r="AR91">
        <v>1</v>
      </c>
      <c r="AS91">
        <v>0</v>
      </c>
      <c r="AT91">
        <v>0</v>
      </c>
      <c r="AU91" s="62" t="s">
        <v>350</v>
      </c>
      <c r="AV91">
        <v>1</v>
      </c>
      <c r="AW91">
        <v>0</v>
      </c>
      <c r="AX91">
        <v>0</v>
      </c>
      <c r="AY91">
        <v>0</v>
      </c>
      <c r="AZ91">
        <v>0</v>
      </c>
      <c r="BA91">
        <v>0</v>
      </c>
      <c r="BB91">
        <v>0</v>
      </c>
      <c r="BC91">
        <v>1</v>
      </c>
      <c r="BD91">
        <v>0</v>
      </c>
      <c r="BE91">
        <v>0</v>
      </c>
      <c r="BF91">
        <v>16842</v>
      </c>
      <c r="BG91">
        <v>1807</v>
      </c>
      <c r="BH91">
        <v>0.92300000000000004</v>
      </c>
      <c r="BI91" s="64">
        <v>36.831000000000003</v>
      </c>
      <c r="BJ91">
        <v>0</v>
      </c>
      <c r="BK91">
        <v>0</v>
      </c>
      <c r="BL91">
        <v>1</v>
      </c>
      <c r="BM91">
        <v>0</v>
      </c>
      <c r="BN91">
        <v>0</v>
      </c>
      <c r="BO91">
        <v>0</v>
      </c>
      <c r="BP91">
        <v>0</v>
      </c>
      <c r="BQ91" s="28">
        <v>0</v>
      </c>
      <c r="BR91">
        <v>0</v>
      </c>
      <c r="BS91">
        <v>0</v>
      </c>
      <c r="BT91" s="28">
        <v>0</v>
      </c>
      <c r="BU91">
        <v>0</v>
      </c>
      <c r="BV91">
        <v>0</v>
      </c>
      <c r="BW91">
        <v>0</v>
      </c>
      <c r="BX91">
        <v>0</v>
      </c>
      <c r="BY91">
        <v>0</v>
      </c>
      <c r="BZ91">
        <v>0</v>
      </c>
      <c r="CA91">
        <v>1</v>
      </c>
      <c r="CB91">
        <v>0</v>
      </c>
      <c r="CC91">
        <v>0</v>
      </c>
      <c r="CD91">
        <v>0</v>
      </c>
      <c r="CE91" s="16">
        <v>0</v>
      </c>
      <c r="CF91">
        <v>3.0070000000000001</v>
      </c>
      <c r="CG91">
        <v>372</v>
      </c>
      <c r="CH91">
        <v>1</v>
      </c>
      <c r="CI91">
        <v>0</v>
      </c>
      <c r="CJ91">
        <v>1</v>
      </c>
      <c r="CK91" t="s">
        <v>46</v>
      </c>
    </row>
    <row r="92" spans="1:89" x14ac:dyDescent="0.25">
      <c r="A92">
        <v>91</v>
      </c>
      <c r="B92">
        <v>6</v>
      </c>
      <c r="C92" t="s">
        <v>272</v>
      </c>
      <c r="D92" s="79">
        <v>7.9</v>
      </c>
      <c r="E92" s="6">
        <f t="shared" si="14"/>
        <v>0.32510288065843623</v>
      </c>
      <c r="F92" s="6">
        <v>24.3</v>
      </c>
      <c r="G92" s="78">
        <v>0</v>
      </c>
      <c r="H92" s="70">
        <v>0</v>
      </c>
      <c r="I92" s="70">
        <v>0</v>
      </c>
      <c r="J92" s="70">
        <v>1</v>
      </c>
      <c r="K92" s="70">
        <v>0</v>
      </c>
      <c r="L92" s="78">
        <v>1136</v>
      </c>
      <c r="M92" s="70">
        <v>5</v>
      </c>
      <c r="N92" s="70">
        <f t="shared" si="12"/>
        <v>1130</v>
      </c>
      <c r="O92" s="60">
        <f t="shared" si="13"/>
        <v>15</v>
      </c>
      <c r="P92" s="70">
        <v>12.695</v>
      </c>
      <c r="Q92" s="70">
        <f t="shared" si="15"/>
        <v>16.643000000000001</v>
      </c>
      <c r="R92" s="78">
        <v>1</v>
      </c>
      <c r="S92" s="70">
        <v>0</v>
      </c>
      <c r="T92" s="78">
        <v>0</v>
      </c>
      <c r="U92" s="70">
        <v>0</v>
      </c>
      <c r="V92" s="70">
        <v>0</v>
      </c>
      <c r="W92" s="70">
        <v>1</v>
      </c>
      <c r="X92" s="78">
        <v>0</v>
      </c>
      <c r="Y92" s="70">
        <v>1</v>
      </c>
      <c r="Z92" s="70">
        <v>0</v>
      </c>
      <c r="AA92" s="78">
        <v>0</v>
      </c>
      <c r="AB92" s="70">
        <v>1</v>
      </c>
      <c r="AC92" s="69">
        <v>1981</v>
      </c>
      <c r="AD92" t="s">
        <v>57</v>
      </c>
      <c r="AE92" t="s">
        <v>57</v>
      </c>
      <c r="AF92" t="s">
        <v>57</v>
      </c>
      <c r="AG92" t="s">
        <v>57</v>
      </c>
      <c r="AH92" s="28" t="s">
        <v>57</v>
      </c>
      <c r="AI92" t="s">
        <v>57</v>
      </c>
      <c r="AJ92" s="28">
        <v>0.505</v>
      </c>
      <c r="AK92">
        <f t="shared" si="10"/>
        <v>0.495</v>
      </c>
      <c r="AL92" s="28" t="s">
        <v>57</v>
      </c>
      <c r="AM92" t="s">
        <v>57</v>
      </c>
      <c r="AN92">
        <v>0</v>
      </c>
      <c r="AO92">
        <v>1</v>
      </c>
      <c r="AP92" s="28">
        <v>0.72199999999999998</v>
      </c>
      <c r="AQ92" s="12">
        <f t="shared" si="7"/>
        <v>0.27800000000000002</v>
      </c>
      <c r="AR92">
        <v>0</v>
      </c>
      <c r="AS92">
        <v>1</v>
      </c>
      <c r="AT92">
        <v>0</v>
      </c>
      <c r="AU92" s="62" t="s">
        <v>350</v>
      </c>
      <c r="AV92">
        <v>1</v>
      </c>
      <c r="AW92">
        <v>0</v>
      </c>
      <c r="AX92">
        <v>0</v>
      </c>
      <c r="AY92">
        <v>0</v>
      </c>
      <c r="AZ92">
        <v>0</v>
      </c>
      <c r="BA92">
        <v>0</v>
      </c>
      <c r="BB92">
        <v>0</v>
      </c>
      <c r="BC92">
        <v>1</v>
      </c>
      <c r="BD92">
        <v>0</v>
      </c>
      <c r="BE92">
        <v>0</v>
      </c>
      <c r="BF92">
        <v>16842</v>
      </c>
      <c r="BG92">
        <v>1807</v>
      </c>
      <c r="BH92">
        <v>0.92300000000000004</v>
      </c>
      <c r="BI92" s="64">
        <v>35.338000000000001</v>
      </c>
      <c r="BJ92">
        <v>0</v>
      </c>
      <c r="BK92">
        <v>0</v>
      </c>
      <c r="BL92">
        <v>1</v>
      </c>
      <c r="BM92">
        <v>0</v>
      </c>
      <c r="BN92">
        <v>0</v>
      </c>
      <c r="BO92">
        <v>0</v>
      </c>
      <c r="BP92">
        <v>0</v>
      </c>
      <c r="BQ92" s="28">
        <v>0</v>
      </c>
      <c r="BR92">
        <v>0</v>
      </c>
      <c r="BS92">
        <v>0</v>
      </c>
      <c r="BT92" s="28">
        <v>1</v>
      </c>
      <c r="BU92">
        <v>0</v>
      </c>
      <c r="BV92">
        <v>0</v>
      </c>
      <c r="BW92">
        <v>0</v>
      </c>
      <c r="BX92">
        <v>0</v>
      </c>
      <c r="BY92">
        <v>0</v>
      </c>
      <c r="BZ92">
        <v>1</v>
      </c>
      <c r="CA92">
        <v>1</v>
      </c>
      <c r="CB92">
        <v>0</v>
      </c>
      <c r="CC92">
        <v>0</v>
      </c>
      <c r="CD92">
        <v>0</v>
      </c>
      <c r="CE92" s="16">
        <v>0</v>
      </c>
      <c r="CF92">
        <v>3.0070000000000001</v>
      </c>
      <c r="CG92">
        <v>372</v>
      </c>
      <c r="CH92">
        <v>1</v>
      </c>
      <c r="CI92">
        <v>0</v>
      </c>
      <c r="CJ92">
        <v>1</v>
      </c>
      <c r="CK92" t="s">
        <v>46</v>
      </c>
    </row>
    <row r="93" spans="1:89" x14ac:dyDescent="0.25">
      <c r="A93">
        <v>92</v>
      </c>
      <c r="B93">
        <v>6</v>
      </c>
      <c r="C93" t="s">
        <v>272</v>
      </c>
      <c r="D93" s="79">
        <v>7.9</v>
      </c>
      <c r="E93" s="6">
        <f t="shared" si="14"/>
        <v>0.4376731301939058</v>
      </c>
      <c r="F93" s="6">
        <v>18.05</v>
      </c>
      <c r="G93" s="78">
        <v>0</v>
      </c>
      <c r="H93" s="70">
        <v>0</v>
      </c>
      <c r="I93" s="70">
        <v>0</v>
      </c>
      <c r="J93" s="70">
        <v>1</v>
      </c>
      <c r="K93" s="70">
        <v>0</v>
      </c>
      <c r="L93" s="78">
        <v>1136</v>
      </c>
      <c r="M93" s="70">
        <v>6</v>
      </c>
      <c r="N93" s="70">
        <f t="shared" si="12"/>
        <v>1129</v>
      </c>
      <c r="O93" s="60">
        <f t="shared" si="13"/>
        <v>15</v>
      </c>
      <c r="P93" s="70">
        <v>12.695</v>
      </c>
      <c r="Q93" s="70">
        <f t="shared" si="15"/>
        <v>16.643000000000001</v>
      </c>
      <c r="R93" s="78">
        <v>1</v>
      </c>
      <c r="S93" s="70">
        <v>0</v>
      </c>
      <c r="T93" s="78">
        <v>0</v>
      </c>
      <c r="U93" s="70">
        <v>0</v>
      </c>
      <c r="V93" s="70">
        <v>0</v>
      </c>
      <c r="W93" s="70">
        <v>1</v>
      </c>
      <c r="X93" s="78">
        <v>0</v>
      </c>
      <c r="Y93" s="70">
        <v>1</v>
      </c>
      <c r="Z93" s="70">
        <v>0</v>
      </c>
      <c r="AA93" s="78">
        <v>0</v>
      </c>
      <c r="AB93" s="70">
        <v>1</v>
      </c>
      <c r="AC93" s="69">
        <v>1981</v>
      </c>
      <c r="AD93" t="s">
        <v>57</v>
      </c>
      <c r="AE93" t="s">
        <v>57</v>
      </c>
      <c r="AF93" t="s">
        <v>57</v>
      </c>
      <c r="AG93" t="s">
        <v>57</v>
      </c>
      <c r="AH93" s="28" t="s">
        <v>57</v>
      </c>
      <c r="AI93" t="s">
        <v>57</v>
      </c>
      <c r="AJ93" s="28">
        <v>0.505</v>
      </c>
      <c r="AK93">
        <f t="shared" si="10"/>
        <v>0.495</v>
      </c>
      <c r="AL93" s="28" t="s">
        <v>57</v>
      </c>
      <c r="AM93" t="s">
        <v>57</v>
      </c>
      <c r="AN93">
        <v>0</v>
      </c>
      <c r="AO93">
        <v>1</v>
      </c>
      <c r="AP93" s="28">
        <v>0.72199999999999998</v>
      </c>
      <c r="AQ93" s="12">
        <f t="shared" si="7"/>
        <v>0.27800000000000002</v>
      </c>
      <c r="AR93">
        <v>0</v>
      </c>
      <c r="AS93">
        <v>1</v>
      </c>
      <c r="AT93">
        <v>0</v>
      </c>
      <c r="AU93" s="62" t="s">
        <v>350</v>
      </c>
      <c r="AV93">
        <v>1</v>
      </c>
      <c r="AW93">
        <v>0</v>
      </c>
      <c r="AX93">
        <v>0</v>
      </c>
      <c r="AY93">
        <v>0</v>
      </c>
      <c r="AZ93">
        <v>0</v>
      </c>
      <c r="BA93">
        <v>0</v>
      </c>
      <c r="BB93">
        <v>0</v>
      </c>
      <c r="BC93">
        <v>1</v>
      </c>
      <c r="BD93">
        <v>0</v>
      </c>
      <c r="BE93">
        <v>0</v>
      </c>
      <c r="BF93">
        <v>16842</v>
      </c>
      <c r="BG93">
        <v>1807</v>
      </c>
      <c r="BH93">
        <v>0.92300000000000004</v>
      </c>
      <c r="BI93" s="64">
        <v>35.338000000000001</v>
      </c>
      <c r="BJ93">
        <v>0</v>
      </c>
      <c r="BK93">
        <v>0</v>
      </c>
      <c r="BL93">
        <v>1</v>
      </c>
      <c r="BM93">
        <v>0</v>
      </c>
      <c r="BN93">
        <v>0</v>
      </c>
      <c r="BO93">
        <v>0</v>
      </c>
      <c r="BP93">
        <v>0</v>
      </c>
      <c r="BQ93" s="28">
        <v>0</v>
      </c>
      <c r="BR93">
        <v>0</v>
      </c>
      <c r="BS93">
        <v>0</v>
      </c>
      <c r="BT93" s="28">
        <v>1</v>
      </c>
      <c r="BU93">
        <v>0</v>
      </c>
      <c r="BV93">
        <v>0</v>
      </c>
      <c r="BW93">
        <v>0</v>
      </c>
      <c r="BX93">
        <v>0</v>
      </c>
      <c r="BY93">
        <v>0</v>
      </c>
      <c r="BZ93">
        <v>1</v>
      </c>
      <c r="CA93">
        <v>1</v>
      </c>
      <c r="CB93">
        <v>0</v>
      </c>
      <c r="CC93">
        <v>0</v>
      </c>
      <c r="CD93">
        <v>0</v>
      </c>
      <c r="CE93" s="16">
        <v>0</v>
      </c>
      <c r="CF93">
        <v>3.0070000000000001</v>
      </c>
      <c r="CG93">
        <v>372</v>
      </c>
      <c r="CH93">
        <v>1</v>
      </c>
      <c r="CI93">
        <v>0</v>
      </c>
      <c r="CJ93">
        <v>1</v>
      </c>
      <c r="CK93" t="s">
        <v>46</v>
      </c>
    </row>
    <row r="94" spans="1:89" x14ac:dyDescent="0.25">
      <c r="A94">
        <v>93</v>
      </c>
      <c r="B94">
        <v>6</v>
      </c>
      <c r="C94" t="s">
        <v>272</v>
      </c>
      <c r="D94" s="79">
        <v>7.8</v>
      </c>
      <c r="E94" s="6">
        <f t="shared" si="14"/>
        <v>0.87346024636058228</v>
      </c>
      <c r="F94" s="6">
        <v>8.93</v>
      </c>
      <c r="G94" s="78">
        <v>0</v>
      </c>
      <c r="H94" s="70">
        <v>0</v>
      </c>
      <c r="I94" s="70">
        <v>0</v>
      </c>
      <c r="J94" s="70">
        <v>1</v>
      </c>
      <c r="K94" s="70">
        <v>0</v>
      </c>
      <c r="L94" s="78">
        <v>568</v>
      </c>
      <c r="M94" s="70">
        <v>3</v>
      </c>
      <c r="N94" s="70">
        <f t="shared" si="12"/>
        <v>564</v>
      </c>
      <c r="O94" s="60">
        <f t="shared" si="13"/>
        <v>15</v>
      </c>
      <c r="P94" s="70">
        <v>12.695</v>
      </c>
      <c r="Q94" s="70">
        <f t="shared" si="15"/>
        <v>16.643000000000001</v>
      </c>
      <c r="R94" s="78">
        <v>1</v>
      </c>
      <c r="S94" s="70">
        <v>0</v>
      </c>
      <c r="T94" s="78">
        <v>0</v>
      </c>
      <c r="U94" s="70">
        <v>0</v>
      </c>
      <c r="V94" s="70">
        <v>0</v>
      </c>
      <c r="W94" s="70">
        <v>1</v>
      </c>
      <c r="X94" s="78">
        <v>0</v>
      </c>
      <c r="Y94" s="70">
        <v>1</v>
      </c>
      <c r="Z94" s="70">
        <v>0</v>
      </c>
      <c r="AA94" s="78">
        <v>0</v>
      </c>
      <c r="AB94" s="70">
        <v>1</v>
      </c>
      <c r="AC94" s="69">
        <v>1981</v>
      </c>
      <c r="AD94" t="s">
        <v>57</v>
      </c>
      <c r="AE94" t="s">
        <v>57</v>
      </c>
      <c r="AF94" t="s">
        <v>57</v>
      </c>
      <c r="AG94" t="s">
        <v>57</v>
      </c>
      <c r="AH94" s="28" t="s">
        <v>57</v>
      </c>
      <c r="AI94" t="s">
        <v>57</v>
      </c>
      <c r="AJ94" s="28">
        <v>0.505</v>
      </c>
      <c r="AK94">
        <f t="shared" si="10"/>
        <v>0.495</v>
      </c>
      <c r="AL94" s="28" t="s">
        <v>57</v>
      </c>
      <c r="AM94" t="s">
        <v>57</v>
      </c>
      <c r="AN94">
        <v>0</v>
      </c>
      <c r="AO94">
        <v>1</v>
      </c>
      <c r="AP94" s="28">
        <v>0.72199999999999998</v>
      </c>
      <c r="AQ94" s="12">
        <f t="shared" si="7"/>
        <v>0.27800000000000002</v>
      </c>
      <c r="AR94">
        <v>0</v>
      </c>
      <c r="AS94">
        <v>1</v>
      </c>
      <c r="AT94">
        <v>0</v>
      </c>
      <c r="AU94" s="62" t="s">
        <v>350</v>
      </c>
      <c r="AV94">
        <v>1</v>
      </c>
      <c r="AW94">
        <v>0</v>
      </c>
      <c r="AX94">
        <v>0</v>
      </c>
      <c r="AY94">
        <v>0</v>
      </c>
      <c r="AZ94">
        <v>0</v>
      </c>
      <c r="BA94">
        <v>0</v>
      </c>
      <c r="BB94">
        <v>0</v>
      </c>
      <c r="BC94">
        <v>1</v>
      </c>
      <c r="BD94">
        <v>0</v>
      </c>
      <c r="BE94">
        <v>0</v>
      </c>
      <c r="BF94">
        <v>16842</v>
      </c>
      <c r="BG94">
        <v>1807</v>
      </c>
      <c r="BH94">
        <v>0.92300000000000004</v>
      </c>
      <c r="BI94" s="64">
        <v>35.338000000000001</v>
      </c>
      <c r="BJ94">
        <v>0</v>
      </c>
      <c r="BK94">
        <v>0</v>
      </c>
      <c r="BL94">
        <v>1</v>
      </c>
      <c r="BM94">
        <v>0</v>
      </c>
      <c r="BN94">
        <v>0</v>
      </c>
      <c r="BO94">
        <v>0</v>
      </c>
      <c r="BP94">
        <v>0</v>
      </c>
      <c r="BQ94" s="28">
        <v>0</v>
      </c>
      <c r="BR94">
        <v>0</v>
      </c>
      <c r="BS94">
        <v>0</v>
      </c>
      <c r="BT94" s="28">
        <v>0</v>
      </c>
      <c r="BU94">
        <v>0</v>
      </c>
      <c r="BV94">
        <v>0</v>
      </c>
      <c r="BW94">
        <v>0</v>
      </c>
      <c r="BX94">
        <v>0</v>
      </c>
      <c r="BY94">
        <v>0</v>
      </c>
      <c r="BZ94">
        <v>0</v>
      </c>
      <c r="CA94">
        <v>1</v>
      </c>
      <c r="CB94">
        <v>0</v>
      </c>
      <c r="CC94">
        <v>0</v>
      </c>
      <c r="CD94">
        <v>0</v>
      </c>
      <c r="CE94" s="16">
        <v>0</v>
      </c>
      <c r="CF94">
        <v>3.0070000000000001</v>
      </c>
      <c r="CG94">
        <v>372</v>
      </c>
      <c r="CH94">
        <v>1</v>
      </c>
      <c r="CI94">
        <v>0</v>
      </c>
      <c r="CJ94">
        <v>1</v>
      </c>
      <c r="CK94" t="s">
        <v>46</v>
      </c>
    </row>
    <row r="95" spans="1:89" x14ac:dyDescent="0.25">
      <c r="A95">
        <v>94</v>
      </c>
      <c r="B95">
        <v>6</v>
      </c>
      <c r="C95" t="s">
        <v>272</v>
      </c>
      <c r="D95" s="79">
        <v>7.4</v>
      </c>
      <c r="E95" s="6">
        <f t="shared" si="14"/>
        <v>0.79059829059829068</v>
      </c>
      <c r="F95" s="6">
        <v>9.36</v>
      </c>
      <c r="G95" s="78">
        <v>0</v>
      </c>
      <c r="H95" s="70">
        <v>0</v>
      </c>
      <c r="I95" s="70">
        <v>0</v>
      </c>
      <c r="J95" s="70">
        <v>1</v>
      </c>
      <c r="K95" s="70">
        <v>0</v>
      </c>
      <c r="L95" s="78">
        <v>568</v>
      </c>
      <c r="M95" s="70">
        <v>3</v>
      </c>
      <c r="N95" s="70">
        <f t="shared" si="12"/>
        <v>564</v>
      </c>
      <c r="O95" s="60">
        <f t="shared" si="13"/>
        <v>15</v>
      </c>
      <c r="P95" s="70">
        <v>12.695</v>
      </c>
      <c r="Q95" s="70">
        <f t="shared" si="15"/>
        <v>16.643000000000001</v>
      </c>
      <c r="R95" s="78">
        <v>1</v>
      </c>
      <c r="S95" s="70">
        <v>0</v>
      </c>
      <c r="T95" s="78">
        <v>0</v>
      </c>
      <c r="U95" s="70">
        <v>0</v>
      </c>
      <c r="V95" s="70">
        <v>0</v>
      </c>
      <c r="W95" s="70">
        <v>1</v>
      </c>
      <c r="X95" s="78">
        <v>0</v>
      </c>
      <c r="Y95" s="70">
        <v>1</v>
      </c>
      <c r="Z95" s="70">
        <v>0</v>
      </c>
      <c r="AA95" s="78">
        <v>0</v>
      </c>
      <c r="AB95" s="70">
        <v>1</v>
      </c>
      <c r="AC95" s="69">
        <v>1981</v>
      </c>
      <c r="AD95" t="s">
        <v>57</v>
      </c>
      <c r="AE95" t="s">
        <v>57</v>
      </c>
      <c r="AF95" t="s">
        <v>57</v>
      </c>
      <c r="AG95" t="s">
        <v>57</v>
      </c>
      <c r="AH95" s="28" t="s">
        <v>57</v>
      </c>
      <c r="AI95" t="s">
        <v>57</v>
      </c>
      <c r="AJ95" s="28">
        <v>0.505</v>
      </c>
      <c r="AK95">
        <f t="shared" si="10"/>
        <v>0.495</v>
      </c>
      <c r="AL95" s="28" t="s">
        <v>57</v>
      </c>
      <c r="AM95" t="s">
        <v>57</v>
      </c>
      <c r="AN95">
        <v>0</v>
      </c>
      <c r="AO95">
        <v>1</v>
      </c>
      <c r="AP95" s="28">
        <v>0.72199999999999998</v>
      </c>
      <c r="AQ95" s="12">
        <f t="shared" si="7"/>
        <v>0.27800000000000002</v>
      </c>
      <c r="AR95">
        <v>0</v>
      </c>
      <c r="AS95">
        <v>1</v>
      </c>
      <c r="AT95">
        <v>0</v>
      </c>
      <c r="AU95" s="62" t="s">
        <v>350</v>
      </c>
      <c r="AV95">
        <v>1</v>
      </c>
      <c r="AW95">
        <v>0</v>
      </c>
      <c r="AX95">
        <v>0</v>
      </c>
      <c r="AY95">
        <v>0</v>
      </c>
      <c r="AZ95">
        <v>0</v>
      </c>
      <c r="BA95">
        <v>0</v>
      </c>
      <c r="BB95">
        <v>0</v>
      </c>
      <c r="BC95">
        <v>1</v>
      </c>
      <c r="BD95">
        <v>0</v>
      </c>
      <c r="BE95">
        <v>0</v>
      </c>
      <c r="BF95">
        <v>16842</v>
      </c>
      <c r="BG95">
        <v>1807</v>
      </c>
      <c r="BH95">
        <v>0.92300000000000004</v>
      </c>
      <c r="BI95" s="64">
        <v>35.338000000000001</v>
      </c>
      <c r="BJ95">
        <v>0</v>
      </c>
      <c r="BK95">
        <v>0</v>
      </c>
      <c r="BL95">
        <v>1</v>
      </c>
      <c r="BM95">
        <v>0</v>
      </c>
      <c r="BN95">
        <v>0</v>
      </c>
      <c r="BO95">
        <v>0</v>
      </c>
      <c r="BP95">
        <v>0</v>
      </c>
      <c r="BQ95" s="28">
        <v>0</v>
      </c>
      <c r="BR95">
        <v>0</v>
      </c>
      <c r="BS95">
        <v>0</v>
      </c>
      <c r="BT95" s="28">
        <v>0</v>
      </c>
      <c r="BU95">
        <v>0</v>
      </c>
      <c r="BV95">
        <v>0</v>
      </c>
      <c r="BW95">
        <v>0</v>
      </c>
      <c r="BX95">
        <v>0</v>
      </c>
      <c r="BY95">
        <v>0</v>
      </c>
      <c r="BZ95">
        <v>0</v>
      </c>
      <c r="CA95">
        <v>1</v>
      </c>
      <c r="CB95">
        <v>0</v>
      </c>
      <c r="CC95">
        <v>0</v>
      </c>
      <c r="CD95">
        <v>0</v>
      </c>
      <c r="CE95" s="16">
        <v>0</v>
      </c>
      <c r="CF95">
        <v>3.0070000000000001</v>
      </c>
      <c r="CG95">
        <v>372</v>
      </c>
      <c r="CH95">
        <v>1</v>
      </c>
      <c r="CI95">
        <v>0</v>
      </c>
      <c r="CJ95">
        <v>1</v>
      </c>
      <c r="CK95" t="s">
        <v>46</v>
      </c>
    </row>
    <row r="96" spans="1:89" x14ac:dyDescent="0.25">
      <c r="A96">
        <v>95</v>
      </c>
      <c r="B96">
        <v>7</v>
      </c>
      <c r="C96" t="s">
        <v>278</v>
      </c>
      <c r="D96" s="79">
        <v>5.5</v>
      </c>
      <c r="E96" s="6">
        <f t="shared" si="14"/>
        <v>0.20446096654275095</v>
      </c>
      <c r="F96" s="6">
        <v>26.9</v>
      </c>
      <c r="G96" s="78">
        <v>0</v>
      </c>
      <c r="H96" s="70">
        <v>0</v>
      </c>
      <c r="I96" s="70">
        <v>0</v>
      </c>
      <c r="J96" s="70">
        <v>1</v>
      </c>
      <c r="K96" s="70">
        <v>0</v>
      </c>
      <c r="L96" s="78">
        <v>3048</v>
      </c>
      <c r="M96" s="70">
        <v>1</v>
      </c>
      <c r="N96" s="70">
        <f t="shared" si="12"/>
        <v>3046</v>
      </c>
      <c r="O96" s="60">
        <f t="shared" si="13"/>
        <v>14</v>
      </c>
      <c r="P96" s="70">
        <v>14.5</v>
      </c>
      <c r="Q96" s="70">
        <f t="shared" si="15"/>
        <v>30.5</v>
      </c>
      <c r="R96" s="78">
        <v>1</v>
      </c>
      <c r="S96" s="70">
        <v>0</v>
      </c>
      <c r="T96" s="70">
        <v>0</v>
      </c>
      <c r="U96" s="70">
        <v>0</v>
      </c>
      <c r="V96" s="70">
        <v>0</v>
      </c>
      <c r="W96" s="70">
        <v>1</v>
      </c>
      <c r="X96" s="78">
        <v>0</v>
      </c>
      <c r="Y96" s="70">
        <v>1</v>
      </c>
      <c r="Z96" s="70">
        <v>0</v>
      </c>
      <c r="AA96" s="78">
        <v>0</v>
      </c>
      <c r="AB96" s="70">
        <v>1</v>
      </c>
      <c r="AC96" s="69">
        <v>1986</v>
      </c>
      <c r="AD96" t="s">
        <v>57</v>
      </c>
      <c r="AE96" t="s">
        <v>57</v>
      </c>
      <c r="AF96" t="s">
        <v>57</v>
      </c>
      <c r="AG96" t="s">
        <v>57</v>
      </c>
      <c r="AH96" s="28" t="s">
        <v>57</v>
      </c>
      <c r="AI96" t="s">
        <v>57</v>
      </c>
      <c r="AJ96" s="28">
        <v>1</v>
      </c>
      <c r="AK96">
        <v>0</v>
      </c>
      <c r="AL96" s="28">
        <v>1</v>
      </c>
      <c r="AM96">
        <v>0</v>
      </c>
      <c r="AN96">
        <v>0</v>
      </c>
      <c r="AO96">
        <v>1</v>
      </c>
      <c r="AP96" s="28">
        <f t="shared" ref="AP96:AP109" si="16">1-AQ96</f>
        <v>0.84599999999999997</v>
      </c>
      <c r="AQ96" s="12">
        <v>0.154</v>
      </c>
      <c r="AR96">
        <v>0.55969999999999998</v>
      </c>
      <c r="AS96">
        <f t="shared" ref="AS96:AS109" si="17">1-AR96</f>
        <v>0.44030000000000002</v>
      </c>
      <c r="AT96">
        <v>0</v>
      </c>
      <c r="AU96" s="62" t="s">
        <v>87</v>
      </c>
      <c r="AV96">
        <v>1</v>
      </c>
      <c r="AW96">
        <v>0</v>
      </c>
      <c r="AX96">
        <v>0</v>
      </c>
      <c r="AY96">
        <v>0</v>
      </c>
      <c r="AZ96">
        <v>0</v>
      </c>
      <c r="BA96">
        <v>0</v>
      </c>
      <c r="BB96">
        <v>0</v>
      </c>
      <c r="BC96">
        <v>1</v>
      </c>
      <c r="BD96">
        <v>0</v>
      </c>
      <c r="BE96">
        <v>0</v>
      </c>
      <c r="BF96">
        <v>22873</v>
      </c>
      <c r="BG96">
        <v>1435</v>
      </c>
      <c r="BH96">
        <v>0.91900000000000004</v>
      </c>
      <c r="BI96" s="64">
        <v>51</v>
      </c>
      <c r="BJ96">
        <v>0</v>
      </c>
      <c r="BK96">
        <v>1</v>
      </c>
      <c r="BL96">
        <v>0</v>
      </c>
      <c r="BM96">
        <v>0</v>
      </c>
      <c r="BN96">
        <v>0</v>
      </c>
      <c r="BO96">
        <v>0</v>
      </c>
      <c r="BP96">
        <v>0</v>
      </c>
      <c r="BQ96" s="28">
        <v>0</v>
      </c>
      <c r="BR96">
        <v>0</v>
      </c>
      <c r="BS96">
        <v>0</v>
      </c>
      <c r="BT96" s="28">
        <v>0</v>
      </c>
      <c r="BU96">
        <v>0</v>
      </c>
      <c r="BV96">
        <v>0</v>
      </c>
      <c r="BW96">
        <v>0</v>
      </c>
      <c r="BX96">
        <v>0</v>
      </c>
      <c r="BY96">
        <v>0</v>
      </c>
      <c r="BZ96">
        <v>0</v>
      </c>
      <c r="CA96">
        <v>0</v>
      </c>
      <c r="CB96">
        <v>0</v>
      </c>
      <c r="CC96">
        <v>0</v>
      </c>
      <c r="CD96">
        <v>0</v>
      </c>
      <c r="CE96" s="16">
        <v>0</v>
      </c>
      <c r="CF96">
        <v>1.8520000000000001</v>
      </c>
      <c r="CG96">
        <v>616</v>
      </c>
      <c r="CH96">
        <v>1</v>
      </c>
      <c r="CI96">
        <v>0</v>
      </c>
      <c r="CJ96">
        <v>0</v>
      </c>
      <c r="CK96" t="s">
        <v>46</v>
      </c>
    </row>
    <row r="97" spans="1:89" x14ac:dyDescent="0.25">
      <c r="A97">
        <v>96</v>
      </c>
      <c r="B97">
        <v>7</v>
      </c>
      <c r="C97" t="s">
        <v>278</v>
      </c>
      <c r="D97" s="79">
        <v>5.0999999999999996</v>
      </c>
      <c r="E97" s="6">
        <f t="shared" si="14"/>
        <v>0.23611111111111108</v>
      </c>
      <c r="F97" s="6">
        <v>21.6</v>
      </c>
      <c r="G97" s="78">
        <v>0</v>
      </c>
      <c r="H97" s="70">
        <v>0</v>
      </c>
      <c r="I97" s="70">
        <v>0</v>
      </c>
      <c r="J97" s="70">
        <v>1</v>
      </c>
      <c r="K97" s="70">
        <v>0</v>
      </c>
      <c r="L97" s="78">
        <v>2588</v>
      </c>
      <c r="M97" s="70">
        <v>1</v>
      </c>
      <c r="N97" s="70">
        <f t="shared" si="12"/>
        <v>2586</v>
      </c>
      <c r="O97" s="60">
        <f t="shared" si="13"/>
        <v>14</v>
      </c>
      <c r="P97" s="70">
        <v>13.6</v>
      </c>
      <c r="Q97" s="70">
        <f t="shared" si="15"/>
        <v>31.4</v>
      </c>
      <c r="R97" s="78">
        <v>1</v>
      </c>
      <c r="S97" s="70">
        <v>0</v>
      </c>
      <c r="T97" s="70">
        <v>0</v>
      </c>
      <c r="U97" s="70">
        <v>0</v>
      </c>
      <c r="V97" s="70">
        <v>0</v>
      </c>
      <c r="W97" s="70">
        <v>1</v>
      </c>
      <c r="X97" s="78">
        <v>0</v>
      </c>
      <c r="Y97" s="70">
        <v>1</v>
      </c>
      <c r="Z97" s="70">
        <v>0</v>
      </c>
      <c r="AA97" s="78">
        <v>0</v>
      </c>
      <c r="AB97" s="70">
        <v>1</v>
      </c>
      <c r="AC97" s="69">
        <v>1986</v>
      </c>
      <c r="AD97" t="s">
        <v>57</v>
      </c>
      <c r="AE97" t="s">
        <v>57</v>
      </c>
      <c r="AF97" t="s">
        <v>57</v>
      </c>
      <c r="AG97" t="s">
        <v>57</v>
      </c>
      <c r="AH97" s="28" t="s">
        <v>57</v>
      </c>
      <c r="AI97" t="s">
        <v>57</v>
      </c>
      <c r="AJ97" s="28">
        <v>1</v>
      </c>
      <c r="AK97">
        <v>0</v>
      </c>
      <c r="AL97" s="28">
        <v>1</v>
      </c>
      <c r="AM97">
        <v>0</v>
      </c>
      <c r="AN97">
        <v>0</v>
      </c>
      <c r="AO97">
        <v>1</v>
      </c>
      <c r="AP97" s="28">
        <f t="shared" si="16"/>
        <v>0.84599999999999997</v>
      </c>
      <c r="AQ97" s="12">
        <v>0.154</v>
      </c>
      <c r="AR97">
        <v>0.53700000000000003</v>
      </c>
      <c r="AS97">
        <f t="shared" si="17"/>
        <v>0.46299999999999997</v>
      </c>
      <c r="AT97">
        <v>0</v>
      </c>
      <c r="AU97" s="62" t="s">
        <v>87</v>
      </c>
      <c r="AV97">
        <v>1</v>
      </c>
      <c r="AW97">
        <v>0</v>
      </c>
      <c r="AX97">
        <v>0</v>
      </c>
      <c r="AY97">
        <v>0</v>
      </c>
      <c r="AZ97">
        <v>0</v>
      </c>
      <c r="BA97">
        <v>0</v>
      </c>
      <c r="BB97">
        <v>0</v>
      </c>
      <c r="BC97">
        <v>1</v>
      </c>
      <c r="BD97">
        <v>0</v>
      </c>
      <c r="BE97">
        <v>0</v>
      </c>
      <c r="BF97">
        <v>22873</v>
      </c>
      <c r="BG97">
        <v>1435</v>
      </c>
      <c r="BH97">
        <v>0.91900000000000004</v>
      </c>
      <c r="BI97" s="64">
        <v>51</v>
      </c>
      <c r="BJ97">
        <v>0</v>
      </c>
      <c r="BK97">
        <v>1</v>
      </c>
      <c r="BL97">
        <v>0</v>
      </c>
      <c r="BM97">
        <v>0</v>
      </c>
      <c r="BN97">
        <v>0</v>
      </c>
      <c r="BO97">
        <v>0</v>
      </c>
      <c r="BP97">
        <v>0</v>
      </c>
      <c r="BQ97" s="28">
        <v>0</v>
      </c>
      <c r="BR97">
        <v>0</v>
      </c>
      <c r="BS97">
        <v>0</v>
      </c>
      <c r="BT97" s="28">
        <v>0</v>
      </c>
      <c r="BU97">
        <v>0</v>
      </c>
      <c r="BV97">
        <v>0</v>
      </c>
      <c r="BW97">
        <v>0</v>
      </c>
      <c r="BX97">
        <v>0</v>
      </c>
      <c r="BY97">
        <v>0</v>
      </c>
      <c r="BZ97">
        <v>0</v>
      </c>
      <c r="CA97">
        <v>0</v>
      </c>
      <c r="CB97">
        <v>0</v>
      </c>
      <c r="CC97">
        <v>0</v>
      </c>
      <c r="CD97">
        <v>0</v>
      </c>
      <c r="CE97" s="16">
        <v>0</v>
      </c>
      <c r="CF97">
        <v>1.8520000000000001</v>
      </c>
      <c r="CG97">
        <v>616</v>
      </c>
      <c r="CH97">
        <v>1</v>
      </c>
      <c r="CI97">
        <v>0</v>
      </c>
      <c r="CJ97">
        <v>0</v>
      </c>
      <c r="CK97" t="s">
        <v>46</v>
      </c>
    </row>
    <row r="98" spans="1:89" x14ac:dyDescent="0.25">
      <c r="A98">
        <v>97</v>
      </c>
      <c r="B98">
        <v>7</v>
      </c>
      <c r="C98" t="s">
        <v>278</v>
      </c>
      <c r="D98" s="79">
        <v>4.0999999999999996</v>
      </c>
      <c r="E98" s="6">
        <f t="shared" si="14"/>
        <v>0.41836734693877542</v>
      </c>
      <c r="F98" s="6">
        <v>9.8000000000000007</v>
      </c>
      <c r="G98" s="78">
        <v>0</v>
      </c>
      <c r="H98" s="70">
        <v>0</v>
      </c>
      <c r="I98" s="70">
        <v>0</v>
      </c>
      <c r="J98" s="70">
        <v>1</v>
      </c>
      <c r="K98" s="70">
        <v>0</v>
      </c>
      <c r="L98" s="78">
        <v>3048</v>
      </c>
      <c r="M98" s="70">
        <v>1</v>
      </c>
      <c r="N98" s="70">
        <f t="shared" si="12"/>
        <v>3046</v>
      </c>
      <c r="O98" s="60">
        <f t="shared" si="13"/>
        <v>14</v>
      </c>
      <c r="P98" s="70">
        <v>14.5</v>
      </c>
      <c r="Q98" s="70">
        <f t="shared" si="15"/>
        <v>30.5</v>
      </c>
      <c r="R98" s="78">
        <v>1</v>
      </c>
      <c r="S98" s="70">
        <v>0</v>
      </c>
      <c r="T98" s="70">
        <v>0</v>
      </c>
      <c r="U98" s="70">
        <v>0</v>
      </c>
      <c r="V98" s="70">
        <v>0</v>
      </c>
      <c r="W98" s="70">
        <v>1</v>
      </c>
      <c r="X98" s="78">
        <v>0</v>
      </c>
      <c r="Y98" s="70">
        <v>1</v>
      </c>
      <c r="Z98" s="70">
        <v>0</v>
      </c>
      <c r="AA98" s="78">
        <v>0</v>
      </c>
      <c r="AB98" s="70">
        <v>1</v>
      </c>
      <c r="AC98" s="69">
        <v>1986</v>
      </c>
      <c r="AD98" t="s">
        <v>57</v>
      </c>
      <c r="AE98" t="s">
        <v>57</v>
      </c>
      <c r="AF98" t="s">
        <v>57</v>
      </c>
      <c r="AG98" t="s">
        <v>57</v>
      </c>
      <c r="AH98" s="28" t="s">
        <v>57</v>
      </c>
      <c r="AI98" t="s">
        <v>57</v>
      </c>
      <c r="AJ98" s="28">
        <v>1</v>
      </c>
      <c r="AK98">
        <v>0</v>
      </c>
      <c r="AL98" s="28">
        <v>1</v>
      </c>
      <c r="AM98">
        <v>0</v>
      </c>
      <c r="AN98">
        <v>0</v>
      </c>
      <c r="AO98">
        <v>1</v>
      </c>
      <c r="AP98" s="28">
        <f t="shared" si="16"/>
        <v>0.84599999999999997</v>
      </c>
      <c r="AQ98" s="12">
        <v>0.154</v>
      </c>
      <c r="AR98">
        <v>0.55969999999999998</v>
      </c>
      <c r="AS98">
        <f t="shared" si="17"/>
        <v>0.44030000000000002</v>
      </c>
      <c r="AT98">
        <v>0</v>
      </c>
      <c r="AU98" s="62" t="s">
        <v>87</v>
      </c>
      <c r="AV98">
        <v>1</v>
      </c>
      <c r="AW98">
        <v>0</v>
      </c>
      <c r="AX98">
        <v>0</v>
      </c>
      <c r="AY98">
        <v>0</v>
      </c>
      <c r="AZ98">
        <v>0</v>
      </c>
      <c r="BA98">
        <v>0</v>
      </c>
      <c r="BB98">
        <v>0</v>
      </c>
      <c r="BC98">
        <v>1</v>
      </c>
      <c r="BD98">
        <v>0</v>
      </c>
      <c r="BE98">
        <v>0</v>
      </c>
      <c r="BF98">
        <v>22873</v>
      </c>
      <c r="BG98">
        <v>1435</v>
      </c>
      <c r="BH98">
        <v>0.91900000000000004</v>
      </c>
      <c r="BI98" s="64">
        <v>51</v>
      </c>
      <c r="BJ98">
        <v>0</v>
      </c>
      <c r="BK98">
        <v>0</v>
      </c>
      <c r="BL98">
        <v>1</v>
      </c>
      <c r="BM98">
        <v>0</v>
      </c>
      <c r="BN98">
        <v>0</v>
      </c>
      <c r="BO98">
        <v>0</v>
      </c>
      <c r="BP98">
        <v>0</v>
      </c>
      <c r="BQ98" s="28">
        <v>0</v>
      </c>
      <c r="BR98">
        <v>0</v>
      </c>
      <c r="BS98">
        <v>0</v>
      </c>
      <c r="BT98" s="28">
        <v>0</v>
      </c>
      <c r="BU98">
        <v>0</v>
      </c>
      <c r="BV98">
        <v>0</v>
      </c>
      <c r="BW98">
        <v>0</v>
      </c>
      <c r="BX98">
        <v>0</v>
      </c>
      <c r="BY98">
        <v>0</v>
      </c>
      <c r="BZ98">
        <v>0</v>
      </c>
      <c r="CA98">
        <v>0</v>
      </c>
      <c r="CB98">
        <v>0</v>
      </c>
      <c r="CC98">
        <v>0</v>
      </c>
      <c r="CD98">
        <v>0</v>
      </c>
      <c r="CE98" s="16">
        <v>0</v>
      </c>
      <c r="CF98">
        <v>1.8520000000000001</v>
      </c>
      <c r="CG98">
        <v>616</v>
      </c>
      <c r="CH98">
        <v>1</v>
      </c>
      <c r="CI98">
        <v>0</v>
      </c>
      <c r="CJ98">
        <v>0</v>
      </c>
      <c r="CK98" t="s">
        <v>46</v>
      </c>
    </row>
    <row r="99" spans="1:89" x14ac:dyDescent="0.25">
      <c r="A99">
        <v>98</v>
      </c>
      <c r="B99">
        <v>7</v>
      </c>
      <c r="C99" t="s">
        <v>278</v>
      </c>
      <c r="D99" s="79">
        <v>4.3</v>
      </c>
      <c r="E99" s="6">
        <f t="shared" si="14"/>
        <v>0.40186915887850466</v>
      </c>
      <c r="F99" s="6">
        <v>10.7</v>
      </c>
      <c r="G99" s="78">
        <v>0</v>
      </c>
      <c r="H99" s="70">
        <v>0</v>
      </c>
      <c r="I99" s="70">
        <v>0</v>
      </c>
      <c r="J99" s="70">
        <v>1</v>
      </c>
      <c r="K99" s="70">
        <v>0</v>
      </c>
      <c r="L99" s="78">
        <v>2588</v>
      </c>
      <c r="M99" s="70">
        <v>1</v>
      </c>
      <c r="N99" s="70">
        <f t="shared" si="12"/>
        <v>2586</v>
      </c>
      <c r="O99" s="60">
        <f t="shared" si="13"/>
        <v>14</v>
      </c>
      <c r="P99" s="70">
        <v>13.6</v>
      </c>
      <c r="Q99" s="70">
        <f t="shared" si="15"/>
        <v>31.4</v>
      </c>
      <c r="R99" s="78">
        <v>1</v>
      </c>
      <c r="S99" s="70">
        <v>0</v>
      </c>
      <c r="T99" s="70">
        <v>0</v>
      </c>
      <c r="U99" s="70">
        <v>0</v>
      </c>
      <c r="V99" s="70">
        <v>0</v>
      </c>
      <c r="W99" s="70">
        <v>1</v>
      </c>
      <c r="X99" s="78">
        <v>0</v>
      </c>
      <c r="Y99" s="70">
        <v>1</v>
      </c>
      <c r="Z99" s="70">
        <v>0</v>
      </c>
      <c r="AA99" s="78">
        <v>0</v>
      </c>
      <c r="AB99" s="70">
        <v>1</v>
      </c>
      <c r="AC99" s="69">
        <v>1986</v>
      </c>
      <c r="AD99" t="s">
        <v>57</v>
      </c>
      <c r="AE99" t="s">
        <v>57</v>
      </c>
      <c r="AF99" t="s">
        <v>57</v>
      </c>
      <c r="AG99" t="s">
        <v>57</v>
      </c>
      <c r="AH99" s="28" t="s">
        <v>57</v>
      </c>
      <c r="AI99" t="s">
        <v>57</v>
      </c>
      <c r="AJ99" s="28">
        <v>1</v>
      </c>
      <c r="AK99">
        <v>0</v>
      </c>
      <c r="AL99" s="28">
        <v>1</v>
      </c>
      <c r="AM99">
        <v>0</v>
      </c>
      <c r="AN99">
        <v>0</v>
      </c>
      <c r="AO99">
        <v>1</v>
      </c>
      <c r="AP99" s="28">
        <f t="shared" si="16"/>
        <v>0.84599999999999997</v>
      </c>
      <c r="AQ99" s="12">
        <v>0.154</v>
      </c>
      <c r="AR99">
        <v>0.53700000000000003</v>
      </c>
      <c r="AS99">
        <f t="shared" si="17"/>
        <v>0.46299999999999997</v>
      </c>
      <c r="AT99">
        <v>0</v>
      </c>
      <c r="AU99" s="62" t="s">
        <v>87</v>
      </c>
      <c r="AV99">
        <v>1</v>
      </c>
      <c r="AW99">
        <v>0</v>
      </c>
      <c r="AX99">
        <v>0</v>
      </c>
      <c r="AY99">
        <v>0</v>
      </c>
      <c r="AZ99">
        <v>0</v>
      </c>
      <c r="BA99">
        <v>0</v>
      </c>
      <c r="BB99">
        <v>0</v>
      </c>
      <c r="BC99">
        <v>1</v>
      </c>
      <c r="BD99">
        <v>0</v>
      </c>
      <c r="BE99">
        <v>0</v>
      </c>
      <c r="BF99">
        <v>22873</v>
      </c>
      <c r="BG99">
        <v>1435</v>
      </c>
      <c r="BH99">
        <v>0.91900000000000004</v>
      </c>
      <c r="BI99" s="64">
        <v>51</v>
      </c>
      <c r="BJ99">
        <v>0</v>
      </c>
      <c r="BK99">
        <v>0</v>
      </c>
      <c r="BL99">
        <v>1</v>
      </c>
      <c r="BM99">
        <v>0</v>
      </c>
      <c r="BN99">
        <v>0</v>
      </c>
      <c r="BO99">
        <v>0</v>
      </c>
      <c r="BP99">
        <v>0</v>
      </c>
      <c r="BQ99" s="28">
        <v>0</v>
      </c>
      <c r="BR99">
        <v>0</v>
      </c>
      <c r="BS99">
        <v>0</v>
      </c>
      <c r="BT99" s="28">
        <v>0</v>
      </c>
      <c r="BU99">
        <v>0</v>
      </c>
      <c r="BV99">
        <v>0</v>
      </c>
      <c r="BW99">
        <v>0</v>
      </c>
      <c r="BX99">
        <v>0</v>
      </c>
      <c r="BY99">
        <v>0</v>
      </c>
      <c r="BZ99">
        <v>0</v>
      </c>
      <c r="CA99">
        <v>0</v>
      </c>
      <c r="CB99">
        <v>0</v>
      </c>
      <c r="CC99">
        <v>0</v>
      </c>
      <c r="CD99">
        <v>0</v>
      </c>
      <c r="CE99" s="16">
        <v>0</v>
      </c>
      <c r="CF99">
        <v>1.8520000000000001</v>
      </c>
      <c r="CG99">
        <v>616</v>
      </c>
      <c r="CH99">
        <v>1</v>
      </c>
      <c r="CI99">
        <v>0</v>
      </c>
      <c r="CJ99">
        <v>0</v>
      </c>
      <c r="CK99" t="s">
        <v>46</v>
      </c>
    </row>
    <row r="100" spans="1:89" x14ac:dyDescent="0.25">
      <c r="A100">
        <v>99</v>
      </c>
      <c r="B100">
        <v>7</v>
      </c>
      <c r="C100" t="s">
        <v>278</v>
      </c>
      <c r="D100" s="79">
        <v>7.6</v>
      </c>
      <c r="E100" s="6">
        <f t="shared" si="14"/>
        <v>0.44970414201183434</v>
      </c>
      <c r="F100" s="6">
        <v>16.899999999999999</v>
      </c>
      <c r="G100" s="78">
        <v>0</v>
      </c>
      <c r="H100" s="70">
        <v>0</v>
      </c>
      <c r="I100" s="70">
        <v>0</v>
      </c>
      <c r="J100" s="70">
        <v>1</v>
      </c>
      <c r="K100" s="70">
        <v>0</v>
      </c>
      <c r="L100" s="78">
        <v>3048</v>
      </c>
      <c r="M100" s="70">
        <v>1</v>
      </c>
      <c r="N100" s="70">
        <f t="shared" si="12"/>
        <v>3046</v>
      </c>
      <c r="O100" s="60">
        <f t="shared" si="13"/>
        <v>14</v>
      </c>
      <c r="P100" s="70">
        <v>14.5</v>
      </c>
      <c r="Q100" s="70">
        <f t="shared" si="15"/>
        <v>30.5</v>
      </c>
      <c r="R100" s="78">
        <v>1</v>
      </c>
      <c r="S100" s="70">
        <v>0</v>
      </c>
      <c r="T100" s="70">
        <v>0</v>
      </c>
      <c r="U100" s="70">
        <v>0</v>
      </c>
      <c r="V100" s="70">
        <v>0</v>
      </c>
      <c r="W100" s="70">
        <v>1</v>
      </c>
      <c r="X100" s="78">
        <v>0</v>
      </c>
      <c r="Y100" s="70">
        <v>1</v>
      </c>
      <c r="Z100" s="70">
        <v>0</v>
      </c>
      <c r="AA100" s="78">
        <v>0</v>
      </c>
      <c r="AB100" s="70">
        <v>1</v>
      </c>
      <c r="AC100" s="69">
        <v>1986</v>
      </c>
      <c r="AD100" t="s">
        <v>57</v>
      </c>
      <c r="AE100" t="s">
        <v>57</v>
      </c>
      <c r="AF100" t="s">
        <v>57</v>
      </c>
      <c r="AG100" t="s">
        <v>57</v>
      </c>
      <c r="AH100" s="28" t="s">
        <v>57</v>
      </c>
      <c r="AI100" t="s">
        <v>57</v>
      </c>
      <c r="AJ100" s="28">
        <v>1</v>
      </c>
      <c r="AK100">
        <v>0</v>
      </c>
      <c r="AL100" s="28">
        <v>1</v>
      </c>
      <c r="AM100">
        <v>0</v>
      </c>
      <c r="AN100">
        <v>0</v>
      </c>
      <c r="AO100">
        <v>1</v>
      </c>
      <c r="AP100" s="28">
        <f t="shared" si="16"/>
        <v>0.84599999999999997</v>
      </c>
      <c r="AQ100" s="12">
        <v>0.154</v>
      </c>
      <c r="AR100">
        <v>0.55969999999999998</v>
      </c>
      <c r="AS100">
        <f t="shared" si="17"/>
        <v>0.44030000000000002</v>
      </c>
      <c r="AT100">
        <v>0</v>
      </c>
      <c r="AU100" s="62" t="s">
        <v>87</v>
      </c>
      <c r="AV100">
        <v>1</v>
      </c>
      <c r="AW100">
        <v>0</v>
      </c>
      <c r="AX100">
        <v>0</v>
      </c>
      <c r="AY100">
        <v>0</v>
      </c>
      <c r="AZ100">
        <v>0</v>
      </c>
      <c r="BA100">
        <v>0</v>
      </c>
      <c r="BB100">
        <v>0</v>
      </c>
      <c r="BC100">
        <v>1</v>
      </c>
      <c r="BD100">
        <v>0</v>
      </c>
      <c r="BE100">
        <v>0</v>
      </c>
      <c r="BF100">
        <v>22873</v>
      </c>
      <c r="BG100">
        <v>1435</v>
      </c>
      <c r="BH100">
        <v>0.91900000000000004</v>
      </c>
      <c r="BI100" s="64">
        <v>51</v>
      </c>
      <c r="BJ100">
        <v>0</v>
      </c>
      <c r="BK100">
        <v>1</v>
      </c>
      <c r="BL100">
        <v>0</v>
      </c>
      <c r="BM100">
        <v>0</v>
      </c>
      <c r="BN100">
        <v>0</v>
      </c>
      <c r="BO100">
        <v>0</v>
      </c>
      <c r="BP100">
        <v>0</v>
      </c>
      <c r="BQ100" s="28">
        <v>0</v>
      </c>
      <c r="BR100">
        <v>0</v>
      </c>
      <c r="BS100">
        <v>0</v>
      </c>
      <c r="BT100" s="28">
        <v>0</v>
      </c>
      <c r="BU100">
        <v>0</v>
      </c>
      <c r="BV100">
        <v>0</v>
      </c>
      <c r="BW100">
        <v>0</v>
      </c>
      <c r="BX100">
        <v>0</v>
      </c>
      <c r="BY100">
        <v>0</v>
      </c>
      <c r="BZ100">
        <v>0</v>
      </c>
      <c r="CA100">
        <v>0</v>
      </c>
      <c r="CB100">
        <v>0</v>
      </c>
      <c r="CC100">
        <v>0</v>
      </c>
      <c r="CD100">
        <v>0</v>
      </c>
      <c r="CE100" s="16">
        <v>0</v>
      </c>
      <c r="CF100">
        <v>1.8520000000000001</v>
      </c>
      <c r="CG100">
        <v>616</v>
      </c>
      <c r="CH100">
        <v>1</v>
      </c>
      <c r="CI100">
        <v>0</v>
      </c>
      <c r="CJ100">
        <v>0</v>
      </c>
      <c r="CK100" t="s">
        <v>46</v>
      </c>
    </row>
    <row r="101" spans="1:89" x14ac:dyDescent="0.25">
      <c r="A101">
        <v>100</v>
      </c>
      <c r="B101">
        <v>7</v>
      </c>
      <c r="C101" t="s">
        <v>278</v>
      </c>
      <c r="D101" s="79">
        <v>8</v>
      </c>
      <c r="E101" s="6">
        <f t="shared" si="14"/>
        <v>0.48192771084337344</v>
      </c>
      <c r="F101" s="6">
        <v>16.600000000000001</v>
      </c>
      <c r="G101" s="78">
        <v>0</v>
      </c>
      <c r="H101" s="70">
        <v>0</v>
      </c>
      <c r="I101" s="70">
        <v>0</v>
      </c>
      <c r="J101" s="70">
        <v>1</v>
      </c>
      <c r="K101" s="70">
        <v>0</v>
      </c>
      <c r="L101" s="78">
        <v>2588</v>
      </c>
      <c r="M101" s="70">
        <v>1</v>
      </c>
      <c r="N101" s="70">
        <f t="shared" si="12"/>
        <v>2586</v>
      </c>
      <c r="O101" s="60">
        <f t="shared" si="13"/>
        <v>14</v>
      </c>
      <c r="P101" s="70">
        <v>13.6</v>
      </c>
      <c r="Q101" s="70">
        <f t="shared" si="15"/>
        <v>31.4</v>
      </c>
      <c r="R101" s="78">
        <v>1</v>
      </c>
      <c r="S101" s="70">
        <v>0</v>
      </c>
      <c r="T101" s="70">
        <v>0</v>
      </c>
      <c r="U101" s="70">
        <v>0</v>
      </c>
      <c r="V101" s="70">
        <v>0</v>
      </c>
      <c r="W101" s="70">
        <v>1</v>
      </c>
      <c r="X101" s="78">
        <v>0</v>
      </c>
      <c r="Y101" s="70">
        <v>1</v>
      </c>
      <c r="Z101" s="70">
        <v>0</v>
      </c>
      <c r="AA101" s="78">
        <v>0</v>
      </c>
      <c r="AB101" s="70">
        <v>1</v>
      </c>
      <c r="AC101" s="69">
        <v>1986</v>
      </c>
      <c r="AD101" t="s">
        <v>57</v>
      </c>
      <c r="AE101" t="s">
        <v>57</v>
      </c>
      <c r="AF101" t="s">
        <v>57</v>
      </c>
      <c r="AG101" t="s">
        <v>57</v>
      </c>
      <c r="AH101" s="28" t="s">
        <v>57</v>
      </c>
      <c r="AI101" t="s">
        <v>57</v>
      </c>
      <c r="AJ101" s="28">
        <v>1</v>
      </c>
      <c r="AK101">
        <v>0</v>
      </c>
      <c r="AL101" s="28">
        <v>1</v>
      </c>
      <c r="AM101">
        <v>0</v>
      </c>
      <c r="AN101">
        <v>0</v>
      </c>
      <c r="AO101">
        <v>1</v>
      </c>
      <c r="AP101" s="28">
        <f t="shared" si="16"/>
        <v>0.84599999999999997</v>
      </c>
      <c r="AQ101" s="12">
        <v>0.154</v>
      </c>
      <c r="AR101">
        <v>0.53700000000000003</v>
      </c>
      <c r="AS101">
        <f t="shared" si="17"/>
        <v>0.46299999999999997</v>
      </c>
      <c r="AT101">
        <v>0</v>
      </c>
      <c r="AU101" s="62" t="s">
        <v>87</v>
      </c>
      <c r="AV101">
        <v>1</v>
      </c>
      <c r="AW101">
        <v>0</v>
      </c>
      <c r="AX101">
        <v>0</v>
      </c>
      <c r="AY101">
        <v>0</v>
      </c>
      <c r="AZ101">
        <v>0</v>
      </c>
      <c r="BA101">
        <v>0</v>
      </c>
      <c r="BB101">
        <v>0</v>
      </c>
      <c r="BC101">
        <v>1</v>
      </c>
      <c r="BD101">
        <v>0</v>
      </c>
      <c r="BE101">
        <v>0</v>
      </c>
      <c r="BF101">
        <v>22873</v>
      </c>
      <c r="BG101">
        <v>1435</v>
      </c>
      <c r="BH101">
        <v>0.91900000000000004</v>
      </c>
      <c r="BI101" s="64">
        <v>51</v>
      </c>
      <c r="BJ101">
        <v>0</v>
      </c>
      <c r="BK101">
        <v>1</v>
      </c>
      <c r="BL101">
        <v>0</v>
      </c>
      <c r="BM101">
        <v>0</v>
      </c>
      <c r="BN101">
        <v>0</v>
      </c>
      <c r="BO101">
        <v>0</v>
      </c>
      <c r="BP101">
        <v>0</v>
      </c>
      <c r="BQ101" s="28">
        <v>0</v>
      </c>
      <c r="BR101">
        <v>0</v>
      </c>
      <c r="BS101">
        <v>0</v>
      </c>
      <c r="BT101" s="28">
        <v>0</v>
      </c>
      <c r="BU101">
        <v>0</v>
      </c>
      <c r="BV101">
        <v>0</v>
      </c>
      <c r="BW101">
        <v>0</v>
      </c>
      <c r="BX101">
        <v>0</v>
      </c>
      <c r="BY101">
        <v>0</v>
      </c>
      <c r="BZ101">
        <v>0</v>
      </c>
      <c r="CA101">
        <v>0</v>
      </c>
      <c r="CB101">
        <v>0</v>
      </c>
      <c r="CC101">
        <v>0</v>
      </c>
      <c r="CD101">
        <v>0</v>
      </c>
      <c r="CE101" s="16">
        <v>0</v>
      </c>
      <c r="CF101">
        <v>1.8520000000000001</v>
      </c>
      <c r="CG101">
        <v>616</v>
      </c>
      <c r="CH101">
        <v>1</v>
      </c>
      <c r="CI101">
        <v>0</v>
      </c>
      <c r="CJ101">
        <v>0</v>
      </c>
      <c r="CK101" t="s">
        <v>46</v>
      </c>
    </row>
    <row r="102" spans="1:89" x14ac:dyDescent="0.25">
      <c r="A102">
        <v>101</v>
      </c>
      <c r="B102">
        <v>7</v>
      </c>
      <c r="C102" t="s">
        <v>278</v>
      </c>
      <c r="D102" s="79">
        <v>3.1</v>
      </c>
      <c r="E102" s="6">
        <f t="shared" si="14"/>
        <v>0.70454545454545447</v>
      </c>
      <c r="F102" s="6">
        <v>4.4000000000000004</v>
      </c>
      <c r="G102" s="78">
        <v>0</v>
      </c>
      <c r="H102" s="70">
        <v>0</v>
      </c>
      <c r="I102" s="70">
        <v>0</v>
      </c>
      <c r="J102" s="70">
        <v>1</v>
      </c>
      <c r="K102" s="70">
        <v>0</v>
      </c>
      <c r="L102" s="78">
        <v>3048</v>
      </c>
      <c r="M102" s="70">
        <v>1</v>
      </c>
      <c r="N102" s="70">
        <f t="shared" si="12"/>
        <v>3046</v>
      </c>
      <c r="O102" s="60">
        <f t="shared" si="13"/>
        <v>14</v>
      </c>
      <c r="P102" s="70">
        <v>14.5</v>
      </c>
      <c r="Q102" s="70">
        <f t="shared" si="15"/>
        <v>30.5</v>
      </c>
      <c r="R102" s="78">
        <v>1</v>
      </c>
      <c r="S102" s="70">
        <v>0</v>
      </c>
      <c r="T102" s="70">
        <v>0</v>
      </c>
      <c r="U102" s="70">
        <v>0</v>
      </c>
      <c r="V102" s="70">
        <v>0</v>
      </c>
      <c r="W102" s="70">
        <v>1</v>
      </c>
      <c r="X102" s="78">
        <v>0</v>
      </c>
      <c r="Y102" s="70">
        <v>1</v>
      </c>
      <c r="Z102" s="70">
        <v>0</v>
      </c>
      <c r="AA102" s="78">
        <v>0</v>
      </c>
      <c r="AB102" s="70">
        <v>1</v>
      </c>
      <c r="AC102" s="69">
        <v>1986</v>
      </c>
      <c r="AD102" t="s">
        <v>57</v>
      </c>
      <c r="AE102" t="s">
        <v>57</v>
      </c>
      <c r="AF102" t="s">
        <v>57</v>
      </c>
      <c r="AG102" t="s">
        <v>57</v>
      </c>
      <c r="AH102" s="28" t="s">
        <v>57</v>
      </c>
      <c r="AI102" t="s">
        <v>57</v>
      </c>
      <c r="AJ102" s="28">
        <v>1</v>
      </c>
      <c r="AK102">
        <v>0</v>
      </c>
      <c r="AL102" s="28">
        <v>1</v>
      </c>
      <c r="AM102">
        <v>0</v>
      </c>
      <c r="AN102">
        <v>0</v>
      </c>
      <c r="AO102">
        <v>1</v>
      </c>
      <c r="AP102" s="28">
        <f t="shared" si="16"/>
        <v>0.84599999999999997</v>
      </c>
      <c r="AQ102" s="12">
        <v>0.154</v>
      </c>
      <c r="AR102">
        <v>0.55969999999999998</v>
      </c>
      <c r="AS102">
        <f t="shared" si="17"/>
        <v>0.44030000000000002</v>
      </c>
      <c r="AT102">
        <v>0</v>
      </c>
      <c r="AU102" s="62" t="s">
        <v>87</v>
      </c>
      <c r="AV102">
        <v>1</v>
      </c>
      <c r="AW102">
        <v>0</v>
      </c>
      <c r="AX102">
        <v>0</v>
      </c>
      <c r="AY102">
        <v>0</v>
      </c>
      <c r="AZ102">
        <v>0</v>
      </c>
      <c r="BA102">
        <v>0</v>
      </c>
      <c r="BB102">
        <v>0</v>
      </c>
      <c r="BC102">
        <v>1</v>
      </c>
      <c r="BD102">
        <v>0</v>
      </c>
      <c r="BE102">
        <v>0</v>
      </c>
      <c r="BF102">
        <v>22873</v>
      </c>
      <c r="BG102">
        <v>1435</v>
      </c>
      <c r="BH102">
        <v>0.91900000000000004</v>
      </c>
      <c r="BI102" s="64">
        <v>51</v>
      </c>
      <c r="BJ102">
        <v>0</v>
      </c>
      <c r="BK102">
        <v>0</v>
      </c>
      <c r="BL102">
        <v>1</v>
      </c>
      <c r="BM102">
        <v>0</v>
      </c>
      <c r="BN102">
        <v>0</v>
      </c>
      <c r="BO102">
        <v>0</v>
      </c>
      <c r="BP102">
        <v>0</v>
      </c>
      <c r="BQ102" s="28">
        <v>0</v>
      </c>
      <c r="BR102">
        <v>0</v>
      </c>
      <c r="BS102">
        <v>0</v>
      </c>
      <c r="BT102" s="28">
        <v>0</v>
      </c>
      <c r="BU102">
        <v>0</v>
      </c>
      <c r="BV102">
        <v>0</v>
      </c>
      <c r="BW102">
        <v>0</v>
      </c>
      <c r="BX102">
        <v>0</v>
      </c>
      <c r="BY102">
        <v>0</v>
      </c>
      <c r="BZ102">
        <v>0</v>
      </c>
      <c r="CA102">
        <v>0</v>
      </c>
      <c r="CB102">
        <v>0</v>
      </c>
      <c r="CC102">
        <v>0</v>
      </c>
      <c r="CD102">
        <v>0</v>
      </c>
      <c r="CE102" s="16">
        <v>0</v>
      </c>
      <c r="CF102">
        <v>1.8520000000000001</v>
      </c>
      <c r="CG102">
        <v>616</v>
      </c>
      <c r="CH102">
        <v>1</v>
      </c>
      <c r="CI102">
        <v>0</v>
      </c>
      <c r="CJ102">
        <v>0</v>
      </c>
      <c r="CK102" t="s">
        <v>46</v>
      </c>
    </row>
    <row r="103" spans="1:89" x14ac:dyDescent="0.25">
      <c r="A103">
        <v>102</v>
      </c>
      <c r="B103">
        <v>7</v>
      </c>
      <c r="C103" t="s">
        <v>278</v>
      </c>
      <c r="D103" s="79">
        <v>6.3</v>
      </c>
      <c r="E103" s="6">
        <f t="shared" si="14"/>
        <v>0.7078651685393258</v>
      </c>
      <c r="F103" s="6">
        <v>8.9</v>
      </c>
      <c r="G103" s="78">
        <v>0</v>
      </c>
      <c r="H103" s="70">
        <v>0</v>
      </c>
      <c r="I103" s="70">
        <v>0</v>
      </c>
      <c r="J103" s="70">
        <v>1</v>
      </c>
      <c r="K103" s="70">
        <v>0</v>
      </c>
      <c r="L103" s="78">
        <v>2588</v>
      </c>
      <c r="M103" s="70">
        <v>1</v>
      </c>
      <c r="N103" s="70">
        <f t="shared" si="12"/>
        <v>2586</v>
      </c>
      <c r="O103" s="60">
        <f t="shared" si="13"/>
        <v>14</v>
      </c>
      <c r="P103" s="70">
        <v>13.6</v>
      </c>
      <c r="Q103" s="70">
        <f t="shared" si="15"/>
        <v>31.4</v>
      </c>
      <c r="R103" s="78">
        <v>1</v>
      </c>
      <c r="S103" s="70">
        <v>0</v>
      </c>
      <c r="T103" s="70">
        <v>0</v>
      </c>
      <c r="U103" s="70">
        <v>0</v>
      </c>
      <c r="V103" s="70">
        <v>0</v>
      </c>
      <c r="W103" s="70">
        <v>1</v>
      </c>
      <c r="X103" s="78">
        <v>0</v>
      </c>
      <c r="Y103" s="70">
        <v>1</v>
      </c>
      <c r="Z103" s="70">
        <v>0</v>
      </c>
      <c r="AA103" s="78">
        <v>0</v>
      </c>
      <c r="AB103" s="70">
        <v>1</v>
      </c>
      <c r="AC103" s="69">
        <v>1986</v>
      </c>
      <c r="AD103" t="s">
        <v>57</v>
      </c>
      <c r="AE103" t="s">
        <v>57</v>
      </c>
      <c r="AF103" t="s">
        <v>57</v>
      </c>
      <c r="AG103" t="s">
        <v>57</v>
      </c>
      <c r="AH103" s="28" t="s">
        <v>57</v>
      </c>
      <c r="AI103" t="s">
        <v>57</v>
      </c>
      <c r="AJ103" s="28">
        <v>1</v>
      </c>
      <c r="AK103">
        <v>0</v>
      </c>
      <c r="AL103" s="28">
        <v>1</v>
      </c>
      <c r="AM103">
        <v>0</v>
      </c>
      <c r="AN103">
        <v>0</v>
      </c>
      <c r="AO103">
        <v>1</v>
      </c>
      <c r="AP103" s="28">
        <f t="shared" si="16"/>
        <v>0.84599999999999997</v>
      </c>
      <c r="AQ103" s="12">
        <v>0.154</v>
      </c>
      <c r="AR103">
        <v>0.53700000000000003</v>
      </c>
      <c r="AS103">
        <f t="shared" si="17"/>
        <v>0.46299999999999997</v>
      </c>
      <c r="AT103">
        <v>0</v>
      </c>
      <c r="AU103" s="62" t="s">
        <v>87</v>
      </c>
      <c r="AV103">
        <v>1</v>
      </c>
      <c r="AW103">
        <v>0</v>
      </c>
      <c r="AX103">
        <v>0</v>
      </c>
      <c r="AY103">
        <v>0</v>
      </c>
      <c r="AZ103">
        <v>0</v>
      </c>
      <c r="BA103">
        <v>0</v>
      </c>
      <c r="BB103">
        <v>0</v>
      </c>
      <c r="BC103">
        <v>1</v>
      </c>
      <c r="BD103">
        <v>0</v>
      </c>
      <c r="BE103">
        <v>0</v>
      </c>
      <c r="BF103">
        <v>22873</v>
      </c>
      <c r="BG103">
        <v>1435</v>
      </c>
      <c r="BH103">
        <v>0.91900000000000004</v>
      </c>
      <c r="BI103" s="64">
        <v>51</v>
      </c>
      <c r="BJ103">
        <v>0</v>
      </c>
      <c r="BK103">
        <v>0</v>
      </c>
      <c r="BL103">
        <v>1</v>
      </c>
      <c r="BM103">
        <v>0</v>
      </c>
      <c r="BN103">
        <v>0</v>
      </c>
      <c r="BO103">
        <v>0</v>
      </c>
      <c r="BP103">
        <v>0</v>
      </c>
      <c r="BQ103" s="28">
        <v>0</v>
      </c>
      <c r="BR103">
        <v>0</v>
      </c>
      <c r="BS103">
        <v>0</v>
      </c>
      <c r="BT103" s="28">
        <v>0</v>
      </c>
      <c r="BU103">
        <v>0</v>
      </c>
      <c r="BV103">
        <v>0</v>
      </c>
      <c r="BW103">
        <v>0</v>
      </c>
      <c r="BX103">
        <v>0</v>
      </c>
      <c r="BY103">
        <v>0</v>
      </c>
      <c r="BZ103">
        <v>0</v>
      </c>
      <c r="CA103">
        <v>0</v>
      </c>
      <c r="CB103">
        <v>0</v>
      </c>
      <c r="CC103">
        <v>0</v>
      </c>
      <c r="CD103">
        <v>0</v>
      </c>
      <c r="CE103" s="16">
        <v>0</v>
      </c>
      <c r="CF103">
        <v>1.8520000000000001</v>
      </c>
      <c r="CG103">
        <v>616</v>
      </c>
      <c r="CH103">
        <v>1</v>
      </c>
      <c r="CI103">
        <v>0</v>
      </c>
      <c r="CJ103">
        <v>0</v>
      </c>
      <c r="CK103" t="s">
        <v>46</v>
      </c>
    </row>
    <row r="104" spans="1:89" x14ac:dyDescent="0.25">
      <c r="A104">
        <v>103</v>
      </c>
      <c r="B104">
        <v>7</v>
      </c>
      <c r="C104" t="s">
        <v>278</v>
      </c>
      <c r="D104" s="79">
        <v>7.1</v>
      </c>
      <c r="E104" s="6">
        <f t="shared" si="14"/>
        <v>0.23666666666666666</v>
      </c>
      <c r="F104" s="6">
        <v>30</v>
      </c>
      <c r="G104" s="78">
        <v>0</v>
      </c>
      <c r="H104" s="70">
        <v>0</v>
      </c>
      <c r="I104" s="70">
        <v>0</v>
      </c>
      <c r="J104" s="70">
        <v>1</v>
      </c>
      <c r="K104" s="70">
        <v>0</v>
      </c>
      <c r="L104" s="78">
        <v>3048</v>
      </c>
      <c r="M104" s="70">
        <v>1</v>
      </c>
      <c r="N104" s="70">
        <f t="shared" si="12"/>
        <v>3046</v>
      </c>
      <c r="O104" s="60">
        <f t="shared" si="13"/>
        <v>14</v>
      </c>
      <c r="P104" s="70">
        <v>14.5</v>
      </c>
      <c r="Q104" s="70">
        <f t="shared" si="15"/>
        <v>30.5</v>
      </c>
      <c r="R104" s="78">
        <v>1</v>
      </c>
      <c r="S104" s="70">
        <v>0</v>
      </c>
      <c r="T104" s="70">
        <v>0</v>
      </c>
      <c r="U104" s="70">
        <v>0</v>
      </c>
      <c r="V104" s="70">
        <v>0</v>
      </c>
      <c r="W104" s="70">
        <v>1</v>
      </c>
      <c r="X104" s="78">
        <v>0</v>
      </c>
      <c r="Y104" s="70">
        <v>1</v>
      </c>
      <c r="Z104" s="70">
        <v>0</v>
      </c>
      <c r="AA104" s="78">
        <v>0</v>
      </c>
      <c r="AB104" s="70">
        <v>1</v>
      </c>
      <c r="AC104" s="69">
        <v>1986</v>
      </c>
      <c r="AD104" t="s">
        <v>57</v>
      </c>
      <c r="AE104" t="s">
        <v>57</v>
      </c>
      <c r="AF104" t="s">
        <v>57</v>
      </c>
      <c r="AG104" t="s">
        <v>57</v>
      </c>
      <c r="AH104" s="28" t="s">
        <v>57</v>
      </c>
      <c r="AI104" t="s">
        <v>57</v>
      </c>
      <c r="AJ104" s="28">
        <v>1</v>
      </c>
      <c r="AK104">
        <v>0</v>
      </c>
      <c r="AL104" s="28">
        <v>1</v>
      </c>
      <c r="AM104">
        <v>0</v>
      </c>
      <c r="AN104">
        <v>0</v>
      </c>
      <c r="AO104">
        <v>1</v>
      </c>
      <c r="AP104" s="28">
        <f t="shared" si="16"/>
        <v>0.84599999999999997</v>
      </c>
      <c r="AQ104" s="12">
        <v>0.154</v>
      </c>
      <c r="AR104">
        <v>0.55969999999999998</v>
      </c>
      <c r="AS104">
        <f t="shared" si="17"/>
        <v>0.44030000000000002</v>
      </c>
      <c r="AT104">
        <v>0</v>
      </c>
      <c r="AU104" s="62" t="s">
        <v>87</v>
      </c>
      <c r="AV104">
        <v>1</v>
      </c>
      <c r="AW104">
        <v>0</v>
      </c>
      <c r="AX104">
        <v>0</v>
      </c>
      <c r="AY104">
        <v>0</v>
      </c>
      <c r="AZ104">
        <v>0</v>
      </c>
      <c r="BA104">
        <v>0</v>
      </c>
      <c r="BB104">
        <v>0</v>
      </c>
      <c r="BC104">
        <v>1</v>
      </c>
      <c r="BD104">
        <v>0</v>
      </c>
      <c r="BE104">
        <v>0</v>
      </c>
      <c r="BF104">
        <v>22873</v>
      </c>
      <c r="BG104">
        <v>1435</v>
      </c>
      <c r="BH104">
        <v>0.91900000000000004</v>
      </c>
      <c r="BI104" s="64">
        <v>51</v>
      </c>
      <c r="BJ104">
        <v>0</v>
      </c>
      <c r="BK104">
        <v>1</v>
      </c>
      <c r="BL104">
        <v>0</v>
      </c>
      <c r="BM104">
        <v>0</v>
      </c>
      <c r="BN104">
        <v>0</v>
      </c>
      <c r="BO104">
        <v>0</v>
      </c>
      <c r="BP104">
        <v>0</v>
      </c>
      <c r="BQ104" s="28">
        <v>0</v>
      </c>
      <c r="BR104">
        <v>0</v>
      </c>
      <c r="BS104">
        <v>0</v>
      </c>
      <c r="BT104" s="28">
        <v>0</v>
      </c>
      <c r="BU104">
        <v>0</v>
      </c>
      <c r="BV104">
        <v>0</v>
      </c>
      <c r="BW104">
        <v>0</v>
      </c>
      <c r="BX104">
        <v>0</v>
      </c>
      <c r="BY104">
        <v>0</v>
      </c>
      <c r="BZ104">
        <v>0</v>
      </c>
      <c r="CA104">
        <v>0</v>
      </c>
      <c r="CB104">
        <v>0</v>
      </c>
      <c r="CC104">
        <v>0</v>
      </c>
      <c r="CD104">
        <v>0</v>
      </c>
      <c r="CE104" s="16">
        <v>0</v>
      </c>
      <c r="CF104">
        <v>1.8520000000000001</v>
      </c>
      <c r="CG104">
        <v>616</v>
      </c>
      <c r="CH104">
        <v>1</v>
      </c>
      <c r="CI104">
        <v>0</v>
      </c>
      <c r="CJ104">
        <v>0</v>
      </c>
      <c r="CK104" t="s">
        <v>46</v>
      </c>
    </row>
    <row r="105" spans="1:89" x14ac:dyDescent="0.25">
      <c r="A105">
        <v>104</v>
      </c>
      <c r="B105">
        <v>7</v>
      </c>
      <c r="C105" t="s">
        <v>278</v>
      </c>
      <c r="D105" s="79">
        <v>7.3</v>
      </c>
      <c r="E105" s="6">
        <f t="shared" si="14"/>
        <v>0.2786259541984733</v>
      </c>
      <c r="F105" s="6">
        <v>26.2</v>
      </c>
      <c r="G105" s="78">
        <v>0</v>
      </c>
      <c r="H105" s="70">
        <v>0</v>
      </c>
      <c r="I105" s="70">
        <v>0</v>
      </c>
      <c r="J105" s="70">
        <v>1</v>
      </c>
      <c r="K105" s="70">
        <v>0</v>
      </c>
      <c r="L105" s="78">
        <v>2588</v>
      </c>
      <c r="M105" s="70">
        <v>1</v>
      </c>
      <c r="N105" s="70">
        <f t="shared" si="12"/>
        <v>2586</v>
      </c>
      <c r="O105" s="60">
        <f t="shared" si="13"/>
        <v>14</v>
      </c>
      <c r="P105" s="70">
        <v>13.6</v>
      </c>
      <c r="Q105" s="70">
        <f t="shared" si="15"/>
        <v>31.4</v>
      </c>
      <c r="R105" s="78">
        <v>1</v>
      </c>
      <c r="S105" s="70">
        <v>0</v>
      </c>
      <c r="T105" s="70">
        <v>0</v>
      </c>
      <c r="U105" s="70">
        <v>0</v>
      </c>
      <c r="V105" s="70">
        <v>0</v>
      </c>
      <c r="W105" s="70">
        <v>1</v>
      </c>
      <c r="X105" s="78">
        <v>0</v>
      </c>
      <c r="Y105" s="70">
        <v>1</v>
      </c>
      <c r="Z105" s="70">
        <v>0</v>
      </c>
      <c r="AA105" s="78">
        <v>0</v>
      </c>
      <c r="AB105" s="70">
        <v>1</v>
      </c>
      <c r="AC105" s="69">
        <v>1986</v>
      </c>
      <c r="AD105" t="s">
        <v>57</v>
      </c>
      <c r="AE105" t="s">
        <v>57</v>
      </c>
      <c r="AF105" t="s">
        <v>57</v>
      </c>
      <c r="AG105" t="s">
        <v>57</v>
      </c>
      <c r="AH105" s="28" t="s">
        <v>57</v>
      </c>
      <c r="AI105" t="s">
        <v>57</v>
      </c>
      <c r="AJ105" s="28">
        <v>1</v>
      </c>
      <c r="AK105">
        <v>0</v>
      </c>
      <c r="AL105" s="28">
        <v>1</v>
      </c>
      <c r="AM105">
        <v>0</v>
      </c>
      <c r="AN105">
        <v>0</v>
      </c>
      <c r="AO105">
        <v>1</v>
      </c>
      <c r="AP105" s="28">
        <f t="shared" si="16"/>
        <v>0.84599999999999997</v>
      </c>
      <c r="AQ105" s="12">
        <v>0.154</v>
      </c>
      <c r="AR105">
        <v>0.53700000000000003</v>
      </c>
      <c r="AS105">
        <f t="shared" si="17"/>
        <v>0.46299999999999997</v>
      </c>
      <c r="AT105">
        <v>0</v>
      </c>
      <c r="AU105" s="62" t="s">
        <v>87</v>
      </c>
      <c r="AV105">
        <v>1</v>
      </c>
      <c r="AW105">
        <v>0</v>
      </c>
      <c r="AX105">
        <v>0</v>
      </c>
      <c r="AY105">
        <v>0</v>
      </c>
      <c r="AZ105">
        <v>0</v>
      </c>
      <c r="BA105">
        <v>0</v>
      </c>
      <c r="BB105">
        <v>0</v>
      </c>
      <c r="BC105">
        <v>1</v>
      </c>
      <c r="BD105">
        <v>0</v>
      </c>
      <c r="BE105">
        <v>0</v>
      </c>
      <c r="BF105">
        <v>22873</v>
      </c>
      <c r="BG105">
        <v>1435</v>
      </c>
      <c r="BH105">
        <v>0.91900000000000004</v>
      </c>
      <c r="BI105" s="64">
        <v>51</v>
      </c>
      <c r="BJ105">
        <v>0</v>
      </c>
      <c r="BK105">
        <v>0</v>
      </c>
      <c r="BL105">
        <v>1</v>
      </c>
      <c r="BM105">
        <v>0</v>
      </c>
      <c r="BN105">
        <v>0</v>
      </c>
      <c r="BO105">
        <v>0</v>
      </c>
      <c r="BP105">
        <v>0</v>
      </c>
      <c r="BQ105" s="28">
        <v>0</v>
      </c>
      <c r="BR105">
        <v>0</v>
      </c>
      <c r="BS105">
        <v>0</v>
      </c>
      <c r="BT105" s="28">
        <v>0</v>
      </c>
      <c r="BU105">
        <v>0</v>
      </c>
      <c r="BV105">
        <v>0</v>
      </c>
      <c r="BW105">
        <v>0</v>
      </c>
      <c r="BX105">
        <v>0</v>
      </c>
      <c r="BY105">
        <v>0</v>
      </c>
      <c r="BZ105">
        <v>0</v>
      </c>
      <c r="CA105">
        <v>0</v>
      </c>
      <c r="CB105">
        <v>0</v>
      </c>
      <c r="CC105">
        <v>0</v>
      </c>
      <c r="CD105">
        <v>0</v>
      </c>
      <c r="CE105" s="16">
        <v>0</v>
      </c>
      <c r="CF105">
        <v>1.8520000000000001</v>
      </c>
      <c r="CG105">
        <v>616</v>
      </c>
      <c r="CH105">
        <v>1</v>
      </c>
      <c r="CI105">
        <v>0</v>
      </c>
      <c r="CJ105">
        <v>0</v>
      </c>
      <c r="CK105" t="s">
        <v>46</v>
      </c>
    </row>
    <row r="106" spans="1:89" x14ac:dyDescent="0.25">
      <c r="A106">
        <v>105</v>
      </c>
      <c r="B106">
        <v>7</v>
      </c>
      <c r="C106" t="s">
        <v>278</v>
      </c>
      <c r="D106" s="79">
        <v>9.4</v>
      </c>
      <c r="E106" s="6">
        <f t="shared" si="14"/>
        <v>1.0930232558139537</v>
      </c>
      <c r="F106" s="6">
        <v>8.6</v>
      </c>
      <c r="G106" s="78">
        <v>0</v>
      </c>
      <c r="H106" s="70">
        <v>0</v>
      </c>
      <c r="I106" s="70">
        <v>0</v>
      </c>
      <c r="J106" s="70">
        <v>1</v>
      </c>
      <c r="K106" s="70">
        <v>0</v>
      </c>
      <c r="L106" s="78">
        <v>282</v>
      </c>
      <c r="M106" s="70">
        <v>1</v>
      </c>
      <c r="N106" s="70">
        <f t="shared" si="12"/>
        <v>280</v>
      </c>
      <c r="O106" s="60">
        <f t="shared" si="13"/>
        <v>14</v>
      </c>
      <c r="P106" s="70">
        <v>13.6</v>
      </c>
      <c r="Q106" s="70">
        <f t="shared" si="15"/>
        <v>31.4</v>
      </c>
      <c r="R106" s="78">
        <v>1</v>
      </c>
      <c r="S106" s="70">
        <v>0</v>
      </c>
      <c r="T106" s="70">
        <v>0</v>
      </c>
      <c r="U106" s="70">
        <v>0</v>
      </c>
      <c r="V106" s="70">
        <v>0</v>
      </c>
      <c r="W106" s="70">
        <v>1</v>
      </c>
      <c r="X106" s="78">
        <v>0</v>
      </c>
      <c r="Y106" s="70">
        <v>1</v>
      </c>
      <c r="Z106" s="70">
        <v>0</v>
      </c>
      <c r="AA106" s="78">
        <v>0</v>
      </c>
      <c r="AB106" s="70">
        <v>1</v>
      </c>
      <c r="AC106" s="69">
        <v>1986</v>
      </c>
      <c r="AD106" t="s">
        <v>57</v>
      </c>
      <c r="AE106" t="s">
        <v>57</v>
      </c>
      <c r="AF106" t="s">
        <v>57</v>
      </c>
      <c r="AG106" t="s">
        <v>57</v>
      </c>
      <c r="AH106" s="28" t="s">
        <v>57</v>
      </c>
      <c r="AI106" t="s">
        <v>57</v>
      </c>
      <c r="AJ106" s="28">
        <v>1</v>
      </c>
      <c r="AK106">
        <v>0</v>
      </c>
      <c r="AL106" s="28">
        <v>1</v>
      </c>
      <c r="AM106">
        <v>0</v>
      </c>
      <c r="AN106">
        <v>0</v>
      </c>
      <c r="AO106">
        <v>1</v>
      </c>
      <c r="AP106" s="28">
        <f t="shared" si="16"/>
        <v>0.84599999999999997</v>
      </c>
      <c r="AQ106" s="12">
        <v>0.154</v>
      </c>
      <c r="AR106">
        <v>0.53700000000000003</v>
      </c>
      <c r="AS106">
        <f t="shared" si="17"/>
        <v>0.46299999999999997</v>
      </c>
      <c r="AT106">
        <v>0</v>
      </c>
      <c r="AU106" s="62" t="s">
        <v>87</v>
      </c>
      <c r="AV106">
        <v>1</v>
      </c>
      <c r="AW106">
        <v>0</v>
      </c>
      <c r="AX106">
        <v>0</v>
      </c>
      <c r="AY106">
        <v>0</v>
      </c>
      <c r="AZ106">
        <v>0</v>
      </c>
      <c r="BA106">
        <v>0</v>
      </c>
      <c r="BB106">
        <v>0</v>
      </c>
      <c r="BC106">
        <v>1</v>
      </c>
      <c r="BD106">
        <v>0</v>
      </c>
      <c r="BE106">
        <v>0</v>
      </c>
      <c r="BF106">
        <v>22873</v>
      </c>
      <c r="BG106">
        <v>1435</v>
      </c>
      <c r="BH106">
        <v>0.91900000000000004</v>
      </c>
      <c r="BI106" s="64">
        <v>51</v>
      </c>
      <c r="BJ106">
        <v>0</v>
      </c>
      <c r="BK106">
        <v>1</v>
      </c>
      <c r="BL106">
        <v>0</v>
      </c>
      <c r="BM106">
        <v>0</v>
      </c>
      <c r="BN106">
        <v>0</v>
      </c>
      <c r="BO106">
        <v>0</v>
      </c>
      <c r="BP106">
        <v>0</v>
      </c>
      <c r="BQ106" s="28">
        <v>0</v>
      </c>
      <c r="BR106">
        <v>0</v>
      </c>
      <c r="BS106">
        <v>0</v>
      </c>
      <c r="BT106" s="28">
        <v>0</v>
      </c>
      <c r="BU106">
        <v>0</v>
      </c>
      <c r="BV106">
        <v>0</v>
      </c>
      <c r="BW106">
        <v>0</v>
      </c>
      <c r="BX106">
        <v>0</v>
      </c>
      <c r="BY106">
        <v>0</v>
      </c>
      <c r="BZ106">
        <v>0</v>
      </c>
      <c r="CA106">
        <v>0</v>
      </c>
      <c r="CB106">
        <v>0</v>
      </c>
      <c r="CC106">
        <v>0</v>
      </c>
      <c r="CD106">
        <v>0</v>
      </c>
      <c r="CE106" s="16">
        <v>0</v>
      </c>
      <c r="CF106">
        <v>1.8520000000000001</v>
      </c>
      <c r="CG106">
        <v>616</v>
      </c>
      <c r="CH106">
        <v>1</v>
      </c>
      <c r="CI106">
        <v>0</v>
      </c>
      <c r="CJ106">
        <v>0</v>
      </c>
      <c r="CK106" t="s">
        <v>46</v>
      </c>
    </row>
    <row r="107" spans="1:89" x14ac:dyDescent="0.25">
      <c r="A107">
        <v>106</v>
      </c>
      <c r="B107">
        <v>7</v>
      </c>
      <c r="C107" t="s">
        <v>278</v>
      </c>
      <c r="D107" s="79">
        <v>10.1</v>
      </c>
      <c r="E107" s="6">
        <f t="shared" si="14"/>
        <v>1.2023809523809523</v>
      </c>
      <c r="F107" s="6">
        <v>8.4</v>
      </c>
      <c r="G107" s="78">
        <v>0</v>
      </c>
      <c r="H107" s="70">
        <v>0</v>
      </c>
      <c r="I107" s="70">
        <v>0</v>
      </c>
      <c r="J107" s="70">
        <v>1</v>
      </c>
      <c r="K107" s="70">
        <v>0</v>
      </c>
      <c r="L107" s="78">
        <v>282</v>
      </c>
      <c r="M107" s="70">
        <v>1</v>
      </c>
      <c r="N107" s="70">
        <f t="shared" si="12"/>
        <v>280</v>
      </c>
      <c r="O107" s="60">
        <f t="shared" si="13"/>
        <v>14</v>
      </c>
      <c r="P107" s="70">
        <v>13.6</v>
      </c>
      <c r="Q107" s="70">
        <f t="shared" si="15"/>
        <v>31.4</v>
      </c>
      <c r="R107" s="78">
        <v>1</v>
      </c>
      <c r="S107" s="70">
        <v>0</v>
      </c>
      <c r="T107" s="70">
        <v>0</v>
      </c>
      <c r="U107" s="70">
        <v>0</v>
      </c>
      <c r="V107" s="70">
        <v>0</v>
      </c>
      <c r="W107" s="70">
        <v>1</v>
      </c>
      <c r="X107" s="78">
        <v>0</v>
      </c>
      <c r="Y107" s="70">
        <v>1</v>
      </c>
      <c r="Z107" s="70">
        <v>0</v>
      </c>
      <c r="AA107" s="78">
        <v>0</v>
      </c>
      <c r="AB107" s="70">
        <v>1</v>
      </c>
      <c r="AC107" s="69">
        <v>1986</v>
      </c>
      <c r="AD107" t="s">
        <v>57</v>
      </c>
      <c r="AE107" t="s">
        <v>57</v>
      </c>
      <c r="AF107" t="s">
        <v>57</v>
      </c>
      <c r="AG107" t="s">
        <v>57</v>
      </c>
      <c r="AH107" s="28" t="s">
        <v>57</v>
      </c>
      <c r="AI107" t="s">
        <v>57</v>
      </c>
      <c r="AJ107" s="28">
        <v>1</v>
      </c>
      <c r="AK107">
        <v>0</v>
      </c>
      <c r="AL107" s="28">
        <v>1</v>
      </c>
      <c r="AM107">
        <v>0</v>
      </c>
      <c r="AN107">
        <v>0</v>
      </c>
      <c r="AO107">
        <v>1</v>
      </c>
      <c r="AP107" s="28">
        <f t="shared" si="16"/>
        <v>0.84599999999999997</v>
      </c>
      <c r="AQ107" s="12">
        <v>0.154</v>
      </c>
      <c r="AR107">
        <v>0.53700000000000003</v>
      </c>
      <c r="AS107">
        <f t="shared" si="17"/>
        <v>0.46299999999999997</v>
      </c>
      <c r="AT107">
        <v>0</v>
      </c>
      <c r="AU107" s="62" t="s">
        <v>87</v>
      </c>
      <c r="AV107">
        <v>1</v>
      </c>
      <c r="AW107">
        <v>0</v>
      </c>
      <c r="AX107">
        <v>0</v>
      </c>
      <c r="AY107">
        <v>0</v>
      </c>
      <c r="AZ107">
        <v>0</v>
      </c>
      <c r="BA107">
        <v>0</v>
      </c>
      <c r="BB107">
        <v>0</v>
      </c>
      <c r="BC107">
        <v>1</v>
      </c>
      <c r="BD107">
        <v>0</v>
      </c>
      <c r="BE107">
        <v>0</v>
      </c>
      <c r="BF107">
        <v>22873</v>
      </c>
      <c r="BG107">
        <v>1435</v>
      </c>
      <c r="BH107">
        <v>0.91900000000000004</v>
      </c>
      <c r="BI107" s="64">
        <v>51</v>
      </c>
      <c r="BJ107">
        <v>0</v>
      </c>
      <c r="BK107">
        <v>0</v>
      </c>
      <c r="BL107">
        <v>0</v>
      </c>
      <c r="BM107">
        <v>1</v>
      </c>
      <c r="BN107">
        <v>0</v>
      </c>
      <c r="BO107">
        <v>0</v>
      </c>
      <c r="BP107">
        <v>0</v>
      </c>
      <c r="BQ107" s="28">
        <v>0</v>
      </c>
      <c r="BR107">
        <v>0</v>
      </c>
      <c r="BS107">
        <v>0</v>
      </c>
      <c r="BT107" s="28">
        <v>0</v>
      </c>
      <c r="BU107">
        <v>0</v>
      </c>
      <c r="BV107">
        <v>0</v>
      </c>
      <c r="BW107">
        <v>0</v>
      </c>
      <c r="BX107">
        <v>0</v>
      </c>
      <c r="BY107">
        <v>0</v>
      </c>
      <c r="BZ107">
        <v>0</v>
      </c>
      <c r="CA107">
        <v>0</v>
      </c>
      <c r="CB107">
        <v>0</v>
      </c>
      <c r="CC107">
        <v>0</v>
      </c>
      <c r="CD107">
        <v>0</v>
      </c>
      <c r="CE107" s="16">
        <v>0</v>
      </c>
      <c r="CF107">
        <v>1.8520000000000001</v>
      </c>
      <c r="CG107">
        <v>616</v>
      </c>
      <c r="CH107">
        <v>1</v>
      </c>
      <c r="CI107">
        <v>0</v>
      </c>
      <c r="CJ107">
        <v>0</v>
      </c>
      <c r="CK107" t="s">
        <v>46</v>
      </c>
    </row>
    <row r="108" spans="1:89" x14ac:dyDescent="0.25">
      <c r="A108">
        <v>107</v>
      </c>
      <c r="B108">
        <v>7</v>
      </c>
      <c r="C108" t="s">
        <v>278</v>
      </c>
      <c r="D108" s="79">
        <v>3.5</v>
      </c>
      <c r="E108" s="6">
        <f t="shared" si="14"/>
        <v>0.44871794871794873</v>
      </c>
      <c r="F108" s="6">
        <v>7.8</v>
      </c>
      <c r="G108" s="78">
        <v>0</v>
      </c>
      <c r="H108" s="70">
        <v>0</v>
      </c>
      <c r="I108" s="70">
        <v>0</v>
      </c>
      <c r="J108" s="70">
        <v>1</v>
      </c>
      <c r="K108" s="70">
        <v>0</v>
      </c>
      <c r="L108" s="78">
        <v>282</v>
      </c>
      <c r="M108" s="70">
        <v>1</v>
      </c>
      <c r="N108" s="70">
        <f t="shared" si="12"/>
        <v>280</v>
      </c>
      <c r="O108" s="60">
        <f t="shared" si="13"/>
        <v>14</v>
      </c>
      <c r="P108" s="70">
        <v>13.6</v>
      </c>
      <c r="Q108" s="70">
        <f t="shared" si="15"/>
        <v>31.4</v>
      </c>
      <c r="R108" s="78">
        <v>1</v>
      </c>
      <c r="S108" s="70">
        <v>0</v>
      </c>
      <c r="T108" s="70">
        <v>0</v>
      </c>
      <c r="U108" s="70">
        <v>0</v>
      </c>
      <c r="V108" s="70">
        <v>0</v>
      </c>
      <c r="W108" s="70">
        <v>1</v>
      </c>
      <c r="X108" s="78">
        <v>0</v>
      </c>
      <c r="Y108" s="70">
        <v>1</v>
      </c>
      <c r="Z108" s="70">
        <v>0</v>
      </c>
      <c r="AA108" s="78">
        <v>0</v>
      </c>
      <c r="AB108" s="70">
        <v>1</v>
      </c>
      <c r="AC108" s="69">
        <v>1986</v>
      </c>
      <c r="AD108" t="s">
        <v>57</v>
      </c>
      <c r="AE108" t="s">
        <v>57</v>
      </c>
      <c r="AF108" t="s">
        <v>57</v>
      </c>
      <c r="AG108" t="s">
        <v>57</v>
      </c>
      <c r="AH108" s="28" t="s">
        <v>57</v>
      </c>
      <c r="AI108" t="s">
        <v>57</v>
      </c>
      <c r="AJ108" s="28">
        <v>1</v>
      </c>
      <c r="AK108">
        <v>0</v>
      </c>
      <c r="AL108" s="28">
        <v>1</v>
      </c>
      <c r="AM108">
        <v>0</v>
      </c>
      <c r="AN108">
        <v>0</v>
      </c>
      <c r="AO108">
        <v>1</v>
      </c>
      <c r="AP108" s="28">
        <f t="shared" si="16"/>
        <v>0.84599999999999997</v>
      </c>
      <c r="AQ108" s="12">
        <v>0.154</v>
      </c>
      <c r="AR108">
        <v>0.53700000000000003</v>
      </c>
      <c r="AS108">
        <f t="shared" si="17"/>
        <v>0.46299999999999997</v>
      </c>
      <c r="AT108">
        <v>0</v>
      </c>
      <c r="AU108" s="62" t="s">
        <v>87</v>
      </c>
      <c r="AV108">
        <v>1</v>
      </c>
      <c r="AW108">
        <v>0</v>
      </c>
      <c r="AX108">
        <v>0</v>
      </c>
      <c r="AY108">
        <v>0</v>
      </c>
      <c r="AZ108">
        <v>0</v>
      </c>
      <c r="BA108">
        <v>0</v>
      </c>
      <c r="BB108">
        <v>0</v>
      </c>
      <c r="BC108">
        <v>1</v>
      </c>
      <c r="BD108">
        <v>0</v>
      </c>
      <c r="BE108">
        <v>0</v>
      </c>
      <c r="BF108">
        <v>22873</v>
      </c>
      <c r="BG108">
        <v>1435</v>
      </c>
      <c r="BH108">
        <v>0.91900000000000004</v>
      </c>
      <c r="BI108" s="64">
        <v>51</v>
      </c>
      <c r="BJ108">
        <v>0</v>
      </c>
      <c r="BK108">
        <v>0</v>
      </c>
      <c r="BL108">
        <v>1</v>
      </c>
      <c r="BM108">
        <v>0</v>
      </c>
      <c r="BN108">
        <v>0</v>
      </c>
      <c r="BO108">
        <v>0</v>
      </c>
      <c r="BP108">
        <v>0</v>
      </c>
      <c r="BQ108" s="28">
        <v>0</v>
      </c>
      <c r="BR108">
        <v>0</v>
      </c>
      <c r="BS108">
        <v>0</v>
      </c>
      <c r="BT108" s="28">
        <v>0</v>
      </c>
      <c r="BU108">
        <v>0</v>
      </c>
      <c r="BV108">
        <v>0</v>
      </c>
      <c r="BW108">
        <v>0</v>
      </c>
      <c r="BX108">
        <v>0</v>
      </c>
      <c r="BY108">
        <v>0</v>
      </c>
      <c r="BZ108">
        <v>0</v>
      </c>
      <c r="CA108">
        <v>0</v>
      </c>
      <c r="CB108">
        <v>0</v>
      </c>
      <c r="CC108">
        <v>0</v>
      </c>
      <c r="CD108">
        <v>0</v>
      </c>
      <c r="CE108" s="16">
        <v>0</v>
      </c>
      <c r="CF108">
        <v>1.8520000000000001</v>
      </c>
      <c r="CG108">
        <v>616</v>
      </c>
      <c r="CH108">
        <v>1</v>
      </c>
      <c r="CI108">
        <v>0</v>
      </c>
      <c r="CJ108">
        <v>0</v>
      </c>
      <c r="CK108" t="s">
        <v>46</v>
      </c>
    </row>
    <row r="109" spans="1:89" x14ac:dyDescent="0.25">
      <c r="A109">
        <v>108</v>
      </c>
      <c r="B109">
        <v>7</v>
      </c>
      <c r="C109" t="s">
        <v>278</v>
      </c>
      <c r="D109" s="79">
        <v>5</v>
      </c>
      <c r="E109" s="6">
        <f t="shared" si="14"/>
        <v>2.9411764705882355</v>
      </c>
      <c r="F109" s="6">
        <v>1.7</v>
      </c>
      <c r="G109" s="78">
        <v>0</v>
      </c>
      <c r="H109" s="70">
        <v>0</v>
      </c>
      <c r="I109" s="70">
        <v>0</v>
      </c>
      <c r="J109" s="70">
        <v>1</v>
      </c>
      <c r="K109" s="70">
        <v>0</v>
      </c>
      <c r="L109" s="78">
        <v>282</v>
      </c>
      <c r="M109" s="70">
        <v>1</v>
      </c>
      <c r="N109" s="70">
        <f t="shared" si="12"/>
        <v>280</v>
      </c>
      <c r="O109" s="60">
        <f t="shared" si="13"/>
        <v>14</v>
      </c>
      <c r="P109" s="70">
        <v>13.6</v>
      </c>
      <c r="Q109" s="70">
        <f t="shared" si="15"/>
        <v>31.4</v>
      </c>
      <c r="R109" s="78">
        <v>1</v>
      </c>
      <c r="S109" s="70">
        <v>0</v>
      </c>
      <c r="T109" s="70">
        <v>0</v>
      </c>
      <c r="U109" s="70">
        <v>0</v>
      </c>
      <c r="V109" s="70">
        <v>0</v>
      </c>
      <c r="W109" s="70">
        <v>1</v>
      </c>
      <c r="X109" s="78">
        <v>0</v>
      </c>
      <c r="Y109" s="70">
        <v>1</v>
      </c>
      <c r="Z109" s="70">
        <v>0</v>
      </c>
      <c r="AA109" s="78">
        <v>0</v>
      </c>
      <c r="AB109" s="70">
        <v>1</v>
      </c>
      <c r="AC109" s="69">
        <v>1986</v>
      </c>
      <c r="AD109" t="s">
        <v>57</v>
      </c>
      <c r="AE109" t="s">
        <v>57</v>
      </c>
      <c r="AF109" t="s">
        <v>57</v>
      </c>
      <c r="AG109" t="s">
        <v>57</v>
      </c>
      <c r="AH109" s="28" t="s">
        <v>57</v>
      </c>
      <c r="AI109" t="s">
        <v>57</v>
      </c>
      <c r="AJ109" s="28">
        <v>1</v>
      </c>
      <c r="AK109">
        <v>0</v>
      </c>
      <c r="AL109" s="28">
        <v>1</v>
      </c>
      <c r="AM109">
        <v>0</v>
      </c>
      <c r="AN109">
        <v>0</v>
      </c>
      <c r="AO109">
        <v>1</v>
      </c>
      <c r="AP109" s="28">
        <f t="shared" si="16"/>
        <v>0.84599999999999997</v>
      </c>
      <c r="AQ109" s="12">
        <v>0.154</v>
      </c>
      <c r="AR109">
        <v>0.53700000000000003</v>
      </c>
      <c r="AS109">
        <f t="shared" si="17"/>
        <v>0.46299999999999997</v>
      </c>
      <c r="AT109">
        <v>0</v>
      </c>
      <c r="AU109" s="62" t="s">
        <v>87</v>
      </c>
      <c r="AV109">
        <v>1</v>
      </c>
      <c r="AW109">
        <v>0</v>
      </c>
      <c r="AX109">
        <v>0</v>
      </c>
      <c r="AY109">
        <v>0</v>
      </c>
      <c r="AZ109">
        <v>0</v>
      </c>
      <c r="BA109">
        <v>0</v>
      </c>
      <c r="BB109">
        <v>0</v>
      </c>
      <c r="BC109">
        <v>1</v>
      </c>
      <c r="BD109">
        <v>0</v>
      </c>
      <c r="BE109">
        <v>0</v>
      </c>
      <c r="BF109">
        <v>22873</v>
      </c>
      <c r="BG109">
        <v>1435</v>
      </c>
      <c r="BH109">
        <v>0.91900000000000004</v>
      </c>
      <c r="BI109" s="64">
        <v>51</v>
      </c>
      <c r="BJ109">
        <v>0</v>
      </c>
      <c r="BK109">
        <v>0</v>
      </c>
      <c r="BL109">
        <v>1</v>
      </c>
      <c r="BM109">
        <v>0</v>
      </c>
      <c r="BN109">
        <v>0</v>
      </c>
      <c r="BO109">
        <v>0</v>
      </c>
      <c r="BP109">
        <v>0</v>
      </c>
      <c r="BQ109" s="28">
        <v>0</v>
      </c>
      <c r="BR109">
        <v>0</v>
      </c>
      <c r="BS109">
        <v>0</v>
      </c>
      <c r="BT109" s="28">
        <v>0</v>
      </c>
      <c r="BU109">
        <v>0</v>
      </c>
      <c r="BV109">
        <v>0</v>
      </c>
      <c r="BW109">
        <v>0</v>
      </c>
      <c r="BX109">
        <v>0</v>
      </c>
      <c r="BY109">
        <v>0</v>
      </c>
      <c r="BZ109">
        <v>0</v>
      </c>
      <c r="CA109">
        <v>0</v>
      </c>
      <c r="CB109">
        <v>0</v>
      </c>
      <c r="CC109">
        <v>0</v>
      </c>
      <c r="CD109">
        <v>0</v>
      </c>
      <c r="CE109" s="16">
        <v>0</v>
      </c>
      <c r="CF109">
        <v>1.8520000000000001</v>
      </c>
      <c r="CG109">
        <v>616</v>
      </c>
      <c r="CH109">
        <v>1</v>
      </c>
      <c r="CI109">
        <v>0</v>
      </c>
      <c r="CJ109">
        <v>0</v>
      </c>
      <c r="CK109" t="s">
        <v>46</v>
      </c>
    </row>
    <row r="110" spans="1:89" x14ac:dyDescent="0.25">
      <c r="A110">
        <v>109</v>
      </c>
      <c r="B110">
        <v>8</v>
      </c>
      <c r="C110" t="s">
        <v>284</v>
      </c>
      <c r="D110" s="79">
        <v>11.3</v>
      </c>
      <c r="E110" s="6">
        <f t="shared" si="14"/>
        <v>0.51598173515981738</v>
      </c>
      <c r="F110" s="6">
        <v>21.9</v>
      </c>
      <c r="G110" s="78">
        <v>0</v>
      </c>
      <c r="H110" s="70">
        <v>0</v>
      </c>
      <c r="I110" s="70">
        <v>0</v>
      </c>
      <c r="J110" s="70">
        <v>1</v>
      </c>
      <c r="K110" s="70">
        <v>0</v>
      </c>
      <c r="L110" s="78">
        <v>1440</v>
      </c>
      <c r="M110" s="70">
        <v>3</v>
      </c>
      <c r="N110" s="70">
        <f t="shared" si="12"/>
        <v>1436</v>
      </c>
      <c r="O110" s="60">
        <f t="shared" si="13"/>
        <v>5</v>
      </c>
      <c r="P110" s="70">
        <v>14.1</v>
      </c>
      <c r="Q110" s="70">
        <v>20.2</v>
      </c>
      <c r="R110" s="78">
        <v>1</v>
      </c>
      <c r="S110" s="70">
        <v>0</v>
      </c>
      <c r="T110" s="70">
        <v>0</v>
      </c>
      <c r="U110" s="70">
        <v>0</v>
      </c>
      <c r="V110" s="70">
        <v>0</v>
      </c>
      <c r="W110" s="70">
        <v>1</v>
      </c>
      <c r="X110" s="78">
        <v>0</v>
      </c>
      <c r="Y110" s="70">
        <v>1</v>
      </c>
      <c r="Z110" s="70">
        <v>0</v>
      </c>
      <c r="AA110" s="78">
        <v>1</v>
      </c>
      <c r="AB110" s="70">
        <v>0</v>
      </c>
      <c r="AC110" s="69">
        <v>1994</v>
      </c>
      <c r="AD110" t="s">
        <v>57</v>
      </c>
      <c r="AE110" t="s">
        <v>57</v>
      </c>
      <c r="AF110" t="s">
        <v>57</v>
      </c>
      <c r="AG110" t="s">
        <v>57</v>
      </c>
      <c r="AH110" s="28" t="s">
        <v>57</v>
      </c>
      <c r="AI110" t="s">
        <v>57</v>
      </c>
      <c r="AJ110" s="28">
        <v>0.34399999999999997</v>
      </c>
      <c r="AK110">
        <v>0.65600000000000003</v>
      </c>
      <c r="AL110" s="28">
        <v>1</v>
      </c>
      <c r="AM110">
        <v>0</v>
      </c>
      <c r="AN110">
        <v>0</v>
      </c>
      <c r="AO110">
        <v>1</v>
      </c>
      <c r="AP110" s="28" t="s">
        <v>57</v>
      </c>
      <c r="AQ110" s="12" t="s">
        <v>57</v>
      </c>
      <c r="AR110">
        <v>1</v>
      </c>
      <c r="AS110">
        <v>0</v>
      </c>
      <c r="AT110">
        <v>0</v>
      </c>
      <c r="AU110" s="62" t="s">
        <v>87</v>
      </c>
      <c r="AV110">
        <v>1</v>
      </c>
      <c r="AW110">
        <v>0</v>
      </c>
      <c r="AX110">
        <v>0</v>
      </c>
      <c r="AY110">
        <v>0</v>
      </c>
      <c r="AZ110">
        <v>0</v>
      </c>
      <c r="BA110">
        <v>0</v>
      </c>
      <c r="BB110">
        <v>0</v>
      </c>
      <c r="BC110">
        <v>1</v>
      </c>
      <c r="BD110">
        <v>0</v>
      </c>
      <c r="BE110">
        <v>0</v>
      </c>
      <c r="BF110">
        <v>26357</v>
      </c>
      <c r="BG110">
        <v>1346</v>
      </c>
      <c r="BH110">
        <v>0.92800000000000005</v>
      </c>
      <c r="BI110" s="64">
        <v>46.8</v>
      </c>
      <c r="BJ110">
        <v>0</v>
      </c>
      <c r="BK110">
        <v>1</v>
      </c>
      <c r="BL110">
        <v>0</v>
      </c>
      <c r="BM110">
        <v>0</v>
      </c>
      <c r="BN110">
        <v>0</v>
      </c>
      <c r="BO110">
        <v>0</v>
      </c>
      <c r="BP110">
        <v>0</v>
      </c>
      <c r="BQ110" s="28">
        <v>0</v>
      </c>
      <c r="BR110">
        <v>0</v>
      </c>
      <c r="BS110">
        <v>0</v>
      </c>
      <c r="BT110" s="28">
        <v>1</v>
      </c>
      <c r="BU110">
        <v>0</v>
      </c>
      <c r="BV110">
        <v>0</v>
      </c>
      <c r="BW110">
        <v>0</v>
      </c>
      <c r="BX110">
        <v>0</v>
      </c>
      <c r="BY110">
        <v>0</v>
      </c>
      <c r="BZ110">
        <v>1</v>
      </c>
      <c r="CA110">
        <v>0</v>
      </c>
      <c r="CB110">
        <v>0</v>
      </c>
      <c r="CC110">
        <v>0</v>
      </c>
      <c r="CD110">
        <v>0</v>
      </c>
      <c r="CE110" s="16">
        <v>0</v>
      </c>
      <c r="CF110">
        <v>0.29799999999999999</v>
      </c>
      <c r="CG110">
        <v>196</v>
      </c>
      <c r="CH110">
        <v>1</v>
      </c>
      <c r="CI110">
        <v>0</v>
      </c>
      <c r="CJ110">
        <v>5</v>
      </c>
      <c r="CK110" t="s">
        <v>46</v>
      </c>
    </row>
    <row r="111" spans="1:89" x14ac:dyDescent="0.25">
      <c r="A111">
        <v>110</v>
      </c>
      <c r="B111">
        <v>8</v>
      </c>
      <c r="C111" t="s">
        <v>284</v>
      </c>
      <c r="D111" s="79">
        <v>11.8</v>
      </c>
      <c r="E111" s="6">
        <f t="shared" si="14"/>
        <v>0.50212765957446814</v>
      </c>
      <c r="F111" s="6">
        <v>23.5</v>
      </c>
      <c r="G111" s="78">
        <v>0</v>
      </c>
      <c r="H111" s="70">
        <v>0</v>
      </c>
      <c r="I111" s="70">
        <v>0</v>
      </c>
      <c r="J111" s="70">
        <v>1</v>
      </c>
      <c r="K111" s="70">
        <v>0</v>
      </c>
      <c r="L111" s="78">
        <v>1440</v>
      </c>
      <c r="M111" s="70">
        <v>4</v>
      </c>
      <c r="N111" s="70">
        <f t="shared" si="12"/>
        <v>1435</v>
      </c>
      <c r="O111" s="60">
        <f t="shared" si="13"/>
        <v>5</v>
      </c>
      <c r="P111" s="70">
        <v>14.1</v>
      </c>
      <c r="Q111" s="70">
        <v>20.2</v>
      </c>
      <c r="R111" s="78">
        <v>1</v>
      </c>
      <c r="S111" s="70">
        <v>0</v>
      </c>
      <c r="T111" s="70">
        <v>0</v>
      </c>
      <c r="U111" s="70">
        <v>0</v>
      </c>
      <c r="V111" s="70">
        <v>0</v>
      </c>
      <c r="W111" s="70">
        <v>1</v>
      </c>
      <c r="X111" s="78">
        <v>0</v>
      </c>
      <c r="Y111" s="70">
        <v>1</v>
      </c>
      <c r="Z111" s="70">
        <v>0</v>
      </c>
      <c r="AA111" s="78">
        <v>0</v>
      </c>
      <c r="AB111" s="70">
        <v>1</v>
      </c>
      <c r="AC111" s="69">
        <v>1994</v>
      </c>
      <c r="AD111" t="s">
        <v>57</v>
      </c>
      <c r="AE111" t="s">
        <v>57</v>
      </c>
      <c r="AF111" t="s">
        <v>57</v>
      </c>
      <c r="AG111" t="s">
        <v>57</v>
      </c>
      <c r="AH111" s="28" t="s">
        <v>57</v>
      </c>
      <c r="AI111" t="s">
        <v>57</v>
      </c>
      <c r="AJ111" s="28">
        <v>0.34399999999999997</v>
      </c>
      <c r="AK111">
        <v>0.65600000000000003</v>
      </c>
      <c r="AL111" s="28">
        <v>1</v>
      </c>
      <c r="AM111">
        <v>0</v>
      </c>
      <c r="AN111">
        <v>0</v>
      </c>
      <c r="AO111">
        <v>1</v>
      </c>
      <c r="AP111" s="28" t="s">
        <v>57</v>
      </c>
      <c r="AQ111" s="12" t="s">
        <v>57</v>
      </c>
      <c r="AR111">
        <v>1</v>
      </c>
      <c r="AS111">
        <v>0</v>
      </c>
      <c r="AT111">
        <v>0</v>
      </c>
      <c r="AU111" s="62" t="s">
        <v>87</v>
      </c>
      <c r="AV111">
        <v>1</v>
      </c>
      <c r="AW111">
        <v>0</v>
      </c>
      <c r="AX111">
        <v>0</v>
      </c>
      <c r="AY111">
        <v>0</v>
      </c>
      <c r="AZ111">
        <v>0</v>
      </c>
      <c r="BA111">
        <v>0</v>
      </c>
      <c r="BB111">
        <v>0</v>
      </c>
      <c r="BC111">
        <v>1</v>
      </c>
      <c r="BD111">
        <v>0</v>
      </c>
      <c r="BE111">
        <v>0</v>
      </c>
      <c r="BF111">
        <v>26357</v>
      </c>
      <c r="BG111">
        <v>1346</v>
      </c>
      <c r="BH111">
        <v>0.92800000000000005</v>
      </c>
      <c r="BI111" s="64">
        <v>46.8</v>
      </c>
      <c r="BJ111">
        <v>0</v>
      </c>
      <c r="BK111">
        <v>1</v>
      </c>
      <c r="BL111">
        <v>0</v>
      </c>
      <c r="BM111">
        <v>0</v>
      </c>
      <c r="BN111">
        <v>0</v>
      </c>
      <c r="BO111">
        <v>0</v>
      </c>
      <c r="BP111">
        <v>0</v>
      </c>
      <c r="BQ111" s="28">
        <v>0</v>
      </c>
      <c r="BR111">
        <v>0</v>
      </c>
      <c r="BS111">
        <v>0</v>
      </c>
      <c r="BT111" s="28">
        <v>0</v>
      </c>
      <c r="BU111">
        <v>0</v>
      </c>
      <c r="BV111">
        <v>1</v>
      </c>
      <c r="BW111">
        <v>0</v>
      </c>
      <c r="BX111">
        <v>0</v>
      </c>
      <c r="BY111">
        <v>0</v>
      </c>
      <c r="BZ111">
        <v>1</v>
      </c>
      <c r="CA111">
        <v>0</v>
      </c>
      <c r="CB111">
        <v>0</v>
      </c>
      <c r="CC111">
        <v>0</v>
      </c>
      <c r="CD111">
        <v>0</v>
      </c>
      <c r="CE111" s="16">
        <v>0</v>
      </c>
      <c r="CF111">
        <v>0.29799999999999999</v>
      </c>
      <c r="CG111">
        <v>196</v>
      </c>
      <c r="CH111">
        <v>1</v>
      </c>
      <c r="CI111">
        <v>0</v>
      </c>
      <c r="CJ111">
        <v>5</v>
      </c>
      <c r="CK111" t="s">
        <v>46</v>
      </c>
    </row>
    <row r="112" spans="1:89" x14ac:dyDescent="0.25">
      <c r="A112">
        <v>111</v>
      </c>
      <c r="B112">
        <v>8</v>
      </c>
      <c r="C112" t="s">
        <v>284</v>
      </c>
      <c r="D112" s="79">
        <v>10.5</v>
      </c>
      <c r="E112" s="6">
        <f t="shared" si="14"/>
        <v>1.8584070796460175</v>
      </c>
      <c r="F112" s="6">
        <v>5.65</v>
      </c>
      <c r="G112" s="78">
        <v>0</v>
      </c>
      <c r="H112" s="70">
        <v>0</v>
      </c>
      <c r="I112" s="70">
        <v>0</v>
      </c>
      <c r="J112" s="70">
        <v>1</v>
      </c>
      <c r="K112" s="70">
        <v>0</v>
      </c>
      <c r="L112" s="78">
        <v>720</v>
      </c>
      <c r="M112" s="70">
        <v>1</v>
      </c>
      <c r="N112" s="70">
        <f t="shared" si="12"/>
        <v>718</v>
      </c>
      <c r="O112" s="60">
        <f t="shared" si="13"/>
        <v>5</v>
      </c>
      <c r="P112" s="70">
        <v>14.1</v>
      </c>
      <c r="Q112" s="70">
        <v>20.2</v>
      </c>
      <c r="R112" s="78">
        <v>1</v>
      </c>
      <c r="S112" s="70">
        <v>0</v>
      </c>
      <c r="T112" s="70">
        <v>0</v>
      </c>
      <c r="U112" s="70">
        <v>0</v>
      </c>
      <c r="V112" s="70">
        <v>0</v>
      </c>
      <c r="W112" s="70">
        <v>1</v>
      </c>
      <c r="X112" s="78">
        <v>0</v>
      </c>
      <c r="Y112" s="70">
        <v>1</v>
      </c>
      <c r="Z112" s="70">
        <v>0</v>
      </c>
      <c r="AA112" s="78">
        <v>0</v>
      </c>
      <c r="AB112" s="70">
        <v>1</v>
      </c>
      <c r="AC112" s="69">
        <v>1994</v>
      </c>
      <c r="AD112" t="s">
        <v>57</v>
      </c>
      <c r="AE112" t="s">
        <v>57</v>
      </c>
      <c r="AF112" t="s">
        <v>57</v>
      </c>
      <c r="AG112" t="s">
        <v>57</v>
      </c>
      <c r="AH112" s="28" t="s">
        <v>57</v>
      </c>
      <c r="AI112" t="s">
        <v>57</v>
      </c>
      <c r="AJ112" s="28">
        <v>0.34399999999999997</v>
      </c>
      <c r="AK112">
        <v>0.65600000000000003</v>
      </c>
      <c r="AL112" s="28">
        <v>1</v>
      </c>
      <c r="AM112">
        <v>0</v>
      </c>
      <c r="AN112">
        <v>0</v>
      </c>
      <c r="AO112">
        <v>1</v>
      </c>
      <c r="AP112" s="28" t="s">
        <v>57</v>
      </c>
      <c r="AQ112" s="12" t="s">
        <v>57</v>
      </c>
      <c r="AR112">
        <v>1</v>
      </c>
      <c r="AS112">
        <v>0</v>
      </c>
      <c r="AT112">
        <v>0</v>
      </c>
      <c r="AU112" s="62" t="s">
        <v>87</v>
      </c>
      <c r="AV112">
        <v>1</v>
      </c>
      <c r="AW112">
        <v>0</v>
      </c>
      <c r="AX112">
        <v>0</v>
      </c>
      <c r="AY112">
        <v>0</v>
      </c>
      <c r="AZ112">
        <v>0</v>
      </c>
      <c r="BA112">
        <v>0</v>
      </c>
      <c r="BB112">
        <v>0</v>
      </c>
      <c r="BC112">
        <v>1</v>
      </c>
      <c r="BD112">
        <v>0</v>
      </c>
      <c r="BE112">
        <v>0</v>
      </c>
      <c r="BF112">
        <v>26357</v>
      </c>
      <c r="BG112">
        <v>1346</v>
      </c>
      <c r="BH112">
        <v>0.92800000000000005</v>
      </c>
      <c r="BI112" s="64">
        <v>46.8</v>
      </c>
      <c r="BJ112">
        <v>0</v>
      </c>
      <c r="BK112">
        <v>0</v>
      </c>
      <c r="BL112">
        <v>1</v>
      </c>
      <c r="BM112">
        <v>0</v>
      </c>
      <c r="BN112">
        <v>0</v>
      </c>
      <c r="BO112">
        <v>0</v>
      </c>
      <c r="BP112">
        <v>0</v>
      </c>
      <c r="BQ112" s="28">
        <v>0</v>
      </c>
      <c r="BR112">
        <v>0</v>
      </c>
      <c r="BS112">
        <v>0</v>
      </c>
      <c r="BT112" s="28">
        <v>0</v>
      </c>
      <c r="BU112">
        <v>0</v>
      </c>
      <c r="BV112">
        <v>0</v>
      </c>
      <c r="BW112">
        <v>0</v>
      </c>
      <c r="BX112">
        <v>0</v>
      </c>
      <c r="BY112">
        <v>0</v>
      </c>
      <c r="BZ112">
        <v>0</v>
      </c>
      <c r="CA112">
        <v>0</v>
      </c>
      <c r="CB112">
        <v>0</v>
      </c>
      <c r="CC112">
        <v>0</v>
      </c>
      <c r="CD112">
        <v>0</v>
      </c>
      <c r="CE112" s="16">
        <v>0</v>
      </c>
      <c r="CF112">
        <v>0.29799999999999999</v>
      </c>
      <c r="CG112">
        <v>196</v>
      </c>
      <c r="CH112">
        <v>1</v>
      </c>
      <c r="CI112">
        <v>0</v>
      </c>
      <c r="CJ112">
        <v>5</v>
      </c>
      <c r="CK112" t="s">
        <v>46</v>
      </c>
    </row>
    <row r="113" spans="1:89" x14ac:dyDescent="0.25">
      <c r="A113">
        <v>112</v>
      </c>
      <c r="B113">
        <v>8</v>
      </c>
      <c r="C113" t="s">
        <v>284</v>
      </c>
      <c r="D113" s="79">
        <v>10.4</v>
      </c>
      <c r="E113" s="6">
        <f t="shared" si="14"/>
        <v>1.6965742251223492</v>
      </c>
      <c r="F113" s="6">
        <v>6.13</v>
      </c>
      <c r="G113" s="78">
        <v>0</v>
      </c>
      <c r="H113" s="70">
        <v>0</v>
      </c>
      <c r="I113" s="70">
        <v>0</v>
      </c>
      <c r="J113" s="70">
        <v>1</v>
      </c>
      <c r="K113" s="70">
        <v>0</v>
      </c>
      <c r="L113" s="78">
        <v>720</v>
      </c>
      <c r="M113" s="70">
        <v>3</v>
      </c>
      <c r="N113" s="70">
        <f t="shared" si="12"/>
        <v>716</v>
      </c>
      <c r="O113" s="60">
        <f t="shared" si="13"/>
        <v>5</v>
      </c>
      <c r="P113" s="70">
        <v>14.1</v>
      </c>
      <c r="Q113" s="70">
        <v>20.2</v>
      </c>
      <c r="R113" s="78">
        <v>1</v>
      </c>
      <c r="S113" s="70">
        <v>0</v>
      </c>
      <c r="T113" s="70">
        <v>0</v>
      </c>
      <c r="U113" s="70">
        <v>0</v>
      </c>
      <c r="V113" s="70">
        <v>0</v>
      </c>
      <c r="W113" s="70">
        <v>1</v>
      </c>
      <c r="X113" s="78">
        <v>0</v>
      </c>
      <c r="Y113" s="70">
        <v>1</v>
      </c>
      <c r="Z113" s="70">
        <v>0</v>
      </c>
      <c r="AA113" s="78">
        <v>0</v>
      </c>
      <c r="AB113" s="70">
        <v>1</v>
      </c>
      <c r="AC113" s="69">
        <v>1994</v>
      </c>
      <c r="AD113" t="s">
        <v>57</v>
      </c>
      <c r="AE113" t="s">
        <v>57</v>
      </c>
      <c r="AF113" t="s">
        <v>57</v>
      </c>
      <c r="AG113" t="s">
        <v>57</v>
      </c>
      <c r="AH113" s="28" t="s">
        <v>57</v>
      </c>
      <c r="AI113" t="s">
        <v>57</v>
      </c>
      <c r="AJ113" s="28">
        <v>0.34399999999999997</v>
      </c>
      <c r="AK113">
        <v>0.65600000000000003</v>
      </c>
      <c r="AL113" s="28">
        <v>1</v>
      </c>
      <c r="AM113">
        <v>0</v>
      </c>
      <c r="AN113">
        <v>0</v>
      </c>
      <c r="AO113">
        <v>1</v>
      </c>
      <c r="AP113" s="28" t="s">
        <v>57</v>
      </c>
      <c r="AQ113" s="12" t="s">
        <v>57</v>
      </c>
      <c r="AR113">
        <v>1</v>
      </c>
      <c r="AS113">
        <v>0</v>
      </c>
      <c r="AT113">
        <v>0</v>
      </c>
      <c r="AU113" s="62" t="s">
        <v>87</v>
      </c>
      <c r="AV113">
        <v>1</v>
      </c>
      <c r="AW113">
        <v>0</v>
      </c>
      <c r="AX113">
        <v>0</v>
      </c>
      <c r="AY113">
        <v>0</v>
      </c>
      <c r="AZ113">
        <v>0</v>
      </c>
      <c r="BA113">
        <v>0</v>
      </c>
      <c r="BB113">
        <v>0</v>
      </c>
      <c r="BC113">
        <v>1</v>
      </c>
      <c r="BD113">
        <v>0</v>
      </c>
      <c r="BE113">
        <v>0</v>
      </c>
      <c r="BF113">
        <v>26357</v>
      </c>
      <c r="BG113">
        <v>1346</v>
      </c>
      <c r="BH113">
        <v>0.92800000000000005</v>
      </c>
      <c r="BI113" s="64">
        <v>46.8</v>
      </c>
      <c r="BJ113">
        <v>0</v>
      </c>
      <c r="BK113">
        <v>0</v>
      </c>
      <c r="BL113">
        <v>1</v>
      </c>
      <c r="BM113">
        <v>0</v>
      </c>
      <c r="BN113">
        <v>0</v>
      </c>
      <c r="BO113">
        <v>0</v>
      </c>
      <c r="BP113">
        <v>0</v>
      </c>
      <c r="BQ113" s="28">
        <v>0</v>
      </c>
      <c r="BR113">
        <v>0</v>
      </c>
      <c r="BS113">
        <v>0</v>
      </c>
      <c r="BT113" s="28">
        <v>0</v>
      </c>
      <c r="BU113">
        <v>0</v>
      </c>
      <c r="BV113">
        <v>1</v>
      </c>
      <c r="BW113">
        <v>0</v>
      </c>
      <c r="BX113">
        <v>0</v>
      </c>
      <c r="BY113">
        <v>0</v>
      </c>
      <c r="BZ113">
        <v>0</v>
      </c>
      <c r="CA113">
        <v>0</v>
      </c>
      <c r="CB113">
        <v>0</v>
      </c>
      <c r="CC113">
        <v>0</v>
      </c>
      <c r="CD113">
        <v>0</v>
      </c>
      <c r="CE113" s="16">
        <v>0</v>
      </c>
      <c r="CF113">
        <v>0.29799999999999999</v>
      </c>
      <c r="CG113">
        <v>196</v>
      </c>
      <c r="CH113">
        <v>1</v>
      </c>
      <c r="CI113">
        <v>0</v>
      </c>
      <c r="CJ113">
        <v>5</v>
      </c>
      <c r="CK113" t="s">
        <v>46</v>
      </c>
    </row>
    <row r="114" spans="1:89" x14ac:dyDescent="0.25">
      <c r="A114">
        <v>113</v>
      </c>
      <c r="B114">
        <v>8</v>
      </c>
      <c r="C114" t="s">
        <v>284</v>
      </c>
      <c r="D114" s="79">
        <v>10.4</v>
      </c>
      <c r="E114" s="6">
        <f t="shared" si="14"/>
        <v>1.7449664429530203</v>
      </c>
      <c r="F114" s="6">
        <v>5.96</v>
      </c>
      <c r="G114" s="78">
        <v>0</v>
      </c>
      <c r="H114" s="70">
        <v>0</v>
      </c>
      <c r="I114" s="70">
        <v>0</v>
      </c>
      <c r="J114" s="70">
        <v>1</v>
      </c>
      <c r="K114" s="70">
        <v>0</v>
      </c>
      <c r="L114" s="78">
        <v>720</v>
      </c>
      <c r="M114" s="70">
        <v>3</v>
      </c>
      <c r="N114" s="70">
        <f t="shared" si="12"/>
        <v>716</v>
      </c>
      <c r="O114" s="60">
        <f t="shared" si="13"/>
        <v>5</v>
      </c>
      <c r="P114" s="70">
        <v>14.1</v>
      </c>
      <c r="Q114" s="70">
        <v>20.2</v>
      </c>
      <c r="R114" s="78">
        <v>1</v>
      </c>
      <c r="S114" s="70">
        <v>0</v>
      </c>
      <c r="T114" s="70">
        <v>0</v>
      </c>
      <c r="U114" s="70">
        <v>0</v>
      </c>
      <c r="V114" s="70">
        <v>0</v>
      </c>
      <c r="W114" s="70">
        <v>1</v>
      </c>
      <c r="X114" s="78">
        <v>0</v>
      </c>
      <c r="Y114" s="70">
        <v>1</v>
      </c>
      <c r="Z114" s="70">
        <v>0</v>
      </c>
      <c r="AA114" s="78">
        <v>0</v>
      </c>
      <c r="AB114" s="70">
        <v>1</v>
      </c>
      <c r="AC114" s="69">
        <v>1994</v>
      </c>
      <c r="AD114" t="s">
        <v>57</v>
      </c>
      <c r="AE114" t="s">
        <v>57</v>
      </c>
      <c r="AF114" t="s">
        <v>57</v>
      </c>
      <c r="AG114" t="s">
        <v>57</v>
      </c>
      <c r="AH114" s="28" t="s">
        <v>57</v>
      </c>
      <c r="AI114" t="s">
        <v>57</v>
      </c>
      <c r="AJ114" s="28">
        <v>0.34399999999999997</v>
      </c>
      <c r="AK114">
        <v>0.65600000000000003</v>
      </c>
      <c r="AL114" s="28">
        <v>1</v>
      </c>
      <c r="AM114">
        <v>0</v>
      </c>
      <c r="AN114">
        <v>0</v>
      </c>
      <c r="AO114">
        <v>1</v>
      </c>
      <c r="AP114" s="28" t="s">
        <v>57</v>
      </c>
      <c r="AQ114" s="12" t="s">
        <v>57</v>
      </c>
      <c r="AR114">
        <v>1</v>
      </c>
      <c r="AS114">
        <v>0</v>
      </c>
      <c r="AT114">
        <v>0</v>
      </c>
      <c r="AU114" s="62" t="s">
        <v>87</v>
      </c>
      <c r="AV114">
        <v>1</v>
      </c>
      <c r="AW114">
        <v>0</v>
      </c>
      <c r="AX114">
        <v>0</v>
      </c>
      <c r="AY114">
        <v>0</v>
      </c>
      <c r="AZ114">
        <v>0</v>
      </c>
      <c r="BA114">
        <v>0</v>
      </c>
      <c r="BB114">
        <v>0</v>
      </c>
      <c r="BC114">
        <v>1</v>
      </c>
      <c r="BD114">
        <v>0</v>
      </c>
      <c r="BE114">
        <v>0</v>
      </c>
      <c r="BF114">
        <v>26357</v>
      </c>
      <c r="BG114">
        <v>1346</v>
      </c>
      <c r="BH114">
        <v>0.92800000000000005</v>
      </c>
      <c r="BI114" s="64">
        <v>46.8</v>
      </c>
      <c r="BJ114">
        <v>0</v>
      </c>
      <c r="BK114">
        <v>0</v>
      </c>
      <c r="BL114">
        <v>1</v>
      </c>
      <c r="BM114">
        <v>0</v>
      </c>
      <c r="BN114">
        <v>0</v>
      </c>
      <c r="BO114">
        <v>0</v>
      </c>
      <c r="BP114">
        <v>0</v>
      </c>
      <c r="BQ114" s="28">
        <v>0</v>
      </c>
      <c r="BR114">
        <v>0</v>
      </c>
      <c r="BS114">
        <v>0</v>
      </c>
      <c r="BT114" s="28">
        <v>0</v>
      </c>
      <c r="BU114">
        <v>0</v>
      </c>
      <c r="BV114">
        <v>1</v>
      </c>
      <c r="BW114">
        <v>0</v>
      </c>
      <c r="BX114">
        <v>0</v>
      </c>
      <c r="BY114">
        <v>0</v>
      </c>
      <c r="BZ114">
        <v>0</v>
      </c>
      <c r="CA114">
        <v>0</v>
      </c>
      <c r="CB114">
        <v>0</v>
      </c>
      <c r="CC114">
        <v>0</v>
      </c>
      <c r="CD114">
        <v>0</v>
      </c>
      <c r="CE114" s="16">
        <v>0</v>
      </c>
      <c r="CF114">
        <v>0.29799999999999999</v>
      </c>
      <c r="CG114">
        <v>196</v>
      </c>
      <c r="CH114">
        <v>1</v>
      </c>
      <c r="CI114">
        <v>0</v>
      </c>
      <c r="CJ114">
        <v>5</v>
      </c>
      <c r="CK114" t="s">
        <v>46</v>
      </c>
    </row>
    <row r="115" spans="1:89" x14ac:dyDescent="0.25">
      <c r="A115">
        <v>114</v>
      </c>
      <c r="B115">
        <v>9</v>
      </c>
      <c r="C115" t="s">
        <v>290</v>
      </c>
      <c r="D115" s="79">
        <v>10</v>
      </c>
      <c r="E115" s="6">
        <v>0.7</v>
      </c>
      <c r="F115" s="6">
        <f t="shared" ref="F115:F166" si="18">D115/E115</f>
        <v>14.285714285714286</v>
      </c>
      <c r="G115" s="78">
        <v>0</v>
      </c>
      <c r="H115" s="70">
        <v>0</v>
      </c>
      <c r="I115" s="70">
        <v>0</v>
      </c>
      <c r="J115" s="70">
        <v>1</v>
      </c>
      <c r="K115" s="70">
        <v>0</v>
      </c>
      <c r="L115" s="78">
        <v>2257</v>
      </c>
      <c r="M115" s="70">
        <v>7</v>
      </c>
      <c r="N115" s="70">
        <f t="shared" si="12"/>
        <v>2249</v>
      </c>
      <c r="O115" s="60">
        <f t="shared" si="13"/>
        <v>14</v>
      </c>
      <c r="P115" s="70">
        <v>14.64</v>
      </c>
      <c r="Q115" s="70">
        <v>10.18</v>
      </c>
      <c r="R115" s="78">
        <v>1</v>
      </c>
      <c r="S115" s="70">
        <v>0</v>
      </c>
      <c r="T115" s="70">
        <v>0</v>
      </c>
      <c r="U115" s="70">
        <v>0</v>
      </c>
      <c r="V115" s="70">
        <v>0</v>
      </c>
      <c r="W115" s="70">
        <v>1</v>
      </c>
      <c r="X115" s="78">
        <v>0</v>
      </c>
      <c r="Y115" s="70">
        <v>1</v>
      </c>
      <c r="Z115" s="70">
        <v>0</v>
      </c>
      <c r="AA115" s="78">
        <v>1</v>
      </c>
      <c r="AB115" s="70">
        <v>0</v>
      </c>
      <c r="AC115" s="69">
        <v>2012</v>
      </c>
      <c r="AD115" t="s">
        <v>57</v>
      </c>
      <c r="AE115" t="s">
        <v>57</v>
      </c>
      <c r="AF115" t="s">
        <v>57</v>
      </c>
      <c r="AG115" t="s">
        <v>57</v>
      </c>
      <c r="AH115" s="28" t="s">
        <v>57</v>
      </c>
      <c r="AI115" t="s">
        <v>57</v>
      </c>
      <c r="AJ115" s="28">
        <v>0.55000000000000004</v>
      </c>
      <c r="AK115">
        <f t="shared" ref="AK115:AK128" si="19">1-AJ115</f>
        <v>0.44999999999999996</v>
      </c>
      <c r="AL115" s="28">
        <v>0</v>
      </c>
      <c r="AM115">
        <v>1</v>
      </c>
      <c r="AN115">
        <v>0</v>
      </c>
      <c r="AO115">
        <v>1</v>
      </c>
      <c r="AP115" s="28">
        <v>0.67</v>
      </c>
      <c r="AQ115" s="12">
        <f t="shared" ref="AQ115:AQ178" si="20">1-AP115</f>
        <v>0.32999999999999996</v>
      </c>
      <c r="AR115">
        <v>1</v>
      </c>
      <c r="AS115">
        <f t="shared" ref="AS115:AS128" si="21">1-AR115</f>
        <v>0</v>
      </c>
      <c r="AT115">
        <v>0</v>
      </c>
      <c r="AU115" s="62" t="s">
        <v>365</v>
      </c>
      <c r="AV115">
        <v>1</v>
      </c>
      <c r="AW115">
        <v>0</v>
      </c>
      <c r="AX115">
        <v>0</v>
      </c>
      <c r="AY115">
        <v>0</v>
      </c>
      <c r="AZ115">
        <v>0</v>
      </c>
      <c r="BA115">
        <v>0</v>
      </c>
      <c r="BB115">
        <v>0</v>
      </c>
      <c r="BC115">
        <v>1</v>
      </c>
      <c r="BD115">
        <v>0</v>
      </c>
      <c r="BE115">
        <v>0</v>
      </c>
      <c r="BF115">
        <v>19144</v>
      </c>
      <c r="BG115">
        <v>1210</v>
      </c>
      <c r="BH115">
        <v>0.63900000000000001</v>
      </c>
      <c r="BI115" s="64">
        <v>39.43</v>
      </c>
      <c r="BJ115">
        <v>1</v>
      </c>
      <c r="BK115">
        <v>0</v>
      </c>
      <c r="BL115">
        <v>0</v>
      </c>
      <c r="BM115">
        <v>0</v>
      </c>
      <c r="BN115">
        <v>0</v>
      </c>
      <c r="BO115">
        <v>0</v>
      </c>
      <c r="BP115">
        <v>0</v>
      </c>
      <c r="BQ115" s="28">
        <v>0</v>
      </c>
      <c r="BR115">
        <v>0</v>
      </c>
      <c r="BS115">
        <v>0</v>
      </c>
      <c r="BT115" s="28">
        <v>1</v>
      </c>
      <c r="BU115">
        <v>1</v>
      </c>
      <c r="BV115">
        <v>1</v>
      </c>
      <c r="BW115">
        <v>0</v>
      </c>
      <c r="BX115">
        <v>0</v>
      </c>
      <c r="BY115">
        <v>0</v>
      </c>
      <c r="BZ115">
        <v>1</v>
      </c>
      <c r="CA115">
        <v>1</v>
      </c>
      <c r="CB115">
        <v>0</v>
      </c>
      <c r="CC115">
        <v>0</v>
      </c>
      <c r="CD115">
        <v>0</v>
      </c>
      <c r="CE115" s="16">
        <v>0</v>
      </c>
      <c r="CF115">
        <v>0</v>
      </c>
      <c r="CG115">
        <v>18</v>
      </c>
      <c r="CH115">
        <v>0</v>
      </c>
      <c r="CI115">
        <v>1</v>
      </c>
      <c r="CJ115">
        <v>18</v>
      </c>
      <c r="CK115" t="s">
        <v>46</v>
      </c>
    </row>
    <row r="116" spans="1:89" x14ac:dyDescent="0.25">
      <c r="A116">
        <v>115</v>
      </c>
      <c r="B116">
        <v>9</v>
      </c>
      <c r="C116" t="s">
        <v>290</v>
      </c>
      <c r="D116" s="79">
        <v>4.5</v>
      </c>
      <c r="E116" s="6">
        <v>1.2</v>
      </c>
      <c r="F116" s="6">
        <f t="shared" si="18"/>
        <v>3.75</v>
      </c>
      <c r="G116" s="78">
        <v>0</v>
      </c>
      <c r="H116" s="70">
        <v>0</v>
      </c>
      <c r="I116" s="70">
        <v>0</v>
      </c>
      <c r="J116" s="70">
        <v>1</v>
      </c>
      <c r="K116" s="70">
        <v>0</v>
      </c>
      <c r="L116" s="78">
        <v>2257</v>
      </c>
      <c r="M116" s="70">
        <v>4</v>
      </c>
      <c r="N116" s="70">
        <f t="shared" si="12"/>
        <v>2252</v>
      </c>
      <c r="O116" s="60">
        <f t="shared" si="13"/>
        <v>14</v>
      </c>
      <c r="P116" s="70">
        <v>14.64</v>
      </c>
      <c r="Q116" s="70">
        <v>10.18</v>
      </c>
      <c r="R116" s="78">
        <v>1</v>
      </c>
      <c r="S116" s="70">
        <v>0</v>
      </c>
      <c r="T116" s="70">
        <v>0</v>
      </c>
      <c r="U116" s="70">
        <v>0</v>
      </c>
      <c r="V116" s="70">
        <v>0</v>
      </c>
      <c r="W116" s="70">
        <v>1</v>
      </c>
      <c r="X116" s="78">
        <v>0</v>
      </c>
      <c r="Y116" s="70">
        <v>1</v>
      </c>
      <c r="Z116" s="70">
        <v>0</v>
      </c>
      <c r="AA116" s="78">
        <v>1</v>
      </c>
      <c r="AB116" s="70">
        <v>0</v>
      </c>
      <c r="AC116" s="69">
        <v>2012</v>
      </c>
      <c r="AD116" t="s">
        <v>57</v>
      </c>
      <c r="AE116" t="s">
        <v>57</v>
      </c>
      <c r="AF116" t="s">
        <v>57</v>
      </c>
      <c r="AG116" t="s">
        <v>57</v>
      </c>
      <c r="AH116" s="28" t="s">
        <v>57</v>
      </c>
      <c r="AI116" t="s">
        <v>57</v>
      </c>
      <c r="AJ116" s="28">
        <v>0.55000000000000004</v>
      </c>
      <c r="AK116">
        <f t="shared" si="19"/>
        <v>0.44999999999999996</v>
      </c>
      <c r="AL116" s="28">
        <v>0</v>
      </c>
      <c r="AM116">
        <v>1</v>
      </c>
      <c r="AN116">
        <v>0</v>
      </c>
      <c r="AO116">
        <v>1</v>
      </c>
      <c r="AP116" s="28">
        <v>0.67</v>
      </c>
      <c r="AQ116" s="12">
        <f t="shared" si="20"/>
        <v>0.32999999999999996</v>
      </c>
      <c r="AR116">
        <v>1</v>
      </c>
      <c r="AS116">
        <f t="shared" si="21"/>
        <v>0</v>
      </c>
      <c r="AT116">
        <v>0</v>
      </c>
      <c r="AU116" s="62" t="s">
        <v>365</v>
      </c>
      <c r="AV116">
        <v>1</v>
      </c>
      <c r="AW116">
        <v>0</v>
      </c>
      <c r="AX116">
        <v>0</v>
      </c>
      <c r="AY116">
        <v>0</v>
      </c>
      <c r="AZ116">
        <v>0</v>
      </c>
      <c r="BA116">
        <v>0</v>
      </c>
      <c r="BB116">
        <v>0</v>
      </c>
      <c r="BC116">
        <v>1</v>
      </c>
      <c r="BD116">
        <v>0</v>
      </c>
      <c r="BE116">
        <v>0</v>
      </c>
      <c r="BF116">
        <v>19144</v>
      </c>
      <c r="BG116">
        <v>1210</v>
      </c>
      <c r="BH116">
        <v>0.63900000000000001</v>
      </c>
      <c r="BI116" s="64">
        <v>39.43</v>
      </c>
      <c r="BJ116">
        <v>0</v>
      </c>
      <c r="BK116">
        <v>0</v>
      </c>
      <c r="BL116">
        <v>1</v>
      </c>
      <c r="BM116">
        <v>0</v>
      </c>
      <c r="BN116">
        <v>0</v>
      </c>
      <c r="BO116">
        <v>0</v>
      </c>
      <c r="BP116">
        <v>0</v>
      </c>
      <c r="BQ116" s="28">
        <v>0</v>
      </c>
      <c r="BR116">
        <v>0</v>
      </c>
      <c r="BS116">
        <v>0</v>
      </c>
      <c r="BT116" s="28">
        <v>0</v>
      </c>
      <c r="BU116">
        <v>0</v>
      </c>
      <c r="BV116">
        <v>1</v>
      </c>
      <c r="BW116">
        <v>0</v>
      </c>
      <c r="BX116">
        <v>0</v>
      </c>
      <c r="BY116">
        <v>0</v>
      </c>
      <c r="BZ116">
        <v>0</v>
      </c>
      <c r="CA116">
        <v>1</v>
      </c>
      <c r="CB116">
        <v>0</v>
      </c>
      <c r="CC116">
        <v>0</v>
      </c>
      <c r="CD116">
        <v>0</v>
      </c>
      <c r="CE116" s="16">
        <v>0</v>
      </c>
      <c r="CF116">
        <v>0</v>
      </c>
      <c r="CG116">
        <v>18</v>
      </c>
      <c r="CH116">
        <v>0</v>
      </c>
      <c r="CI116">
        <v>1</v>
      </c>
      <c r="CJ116">
        <v>18</v>
      </c>
      <c r="CK116" t="s">
        <v>46</v>
      </c>
    </row>
    <row r="117" spans="1:89" x14ac:dyDescent="0.25">
      <c r="A117">
        <v>116</v>
      </c>
      <c r="B117">
        <v>9</v>
      </c>
      <c r="C117" t="s">
        <v>290</v>
      </c>
      <c r="D117" s="79">
        <v>4.5999999999999996</v>
      </c>
      <c r="E117" s="6">
        <v>1.2</v>
      </c>
      <c r="F117" s="6">
        <f t="shared" si="18"/>
        <v>3.833333333333333</v>
      </c>
      <c r="G117" s="78">
        <v>0</v>
      </c>
      <c r="H117" s="70">
        <v>0</v>
      </c>
      <c r="I117" s="70">
        <v>0</v>
      </c>
      <c r="J117" s="70">
        <v>1</v>
      </c>
      <c r="K117" s="70">
        <v>0</v>
      </c>
      <c r="L117" s="78">
        <v>2257</v>
      </c>
      <c r="M117" s="70">
        <v>8</v>
      </c>
      <c r="N117" s="70">
        <f t="shared" si="12"/>
        <v>2248</v>
      </c>
      <c r="O117" s="60">
        <f t="shared" si="13"/>
        <v>14</v>
      </c>
      <c r="P117" s="70">
        <v>14.64</v>
      </c>
      <c r="Q117" s="70">
        <v>10.18</v>
      </c>
      <c r="R117" s="78">
        <v>1</v>
      </c>
      <c r="S117" s="70">
        <v>0</v>
      </c>
      <c r="T117" s="70">
        <v>0</v>
      </c>
      <c r="U117" s="70">
        <v>0</v>
      </c>
      <c r="V117" s="70">
        <v>0</v>
      </c>
      <c r="W117" s="70">
        <v>1</v>
      </c>
      <c r="X117" s="78">
        <v>0</v>
      </c>
      <c r="Y117" s="70">
        <v>1</v>
      </c>
      <c r="Z117" s="70">
        <v>0</v>
      </c>
      <c r="AA117" s="78">
        <v>1</v>
      </c>
      <c r="AB117" s="70">
        <v>0</v>
      </c>
      <c r="AC117" s="69">
        <v>2012</v>
      </c>
      <c r="AD117" t="s">
        <v>57</v>
      </c>
      <c r="AE117" t="s">
        <v>57</v>
      </c>
      <c r="AF117" t="s">
        <v>57</v>
      </c>
      <c r="AG117" t="s">
        <v>57</v>
      </c>
      <c r="AH117" s="28" t="s">
        <v>57</v>
      </c>
      <c r="AI117" t="s">
        <v>57</v>
      </c>
      <c r="AJ117" s="28">
        <v>0.55000000000000004</v>
      </c>
      <c r="AK117">
        <f t="shared" si="19"/>
        <v>0.44999999999999996</v>
      </c>
      <c r="AL117" s="28">
        <v>0</v>
      </c>
      <c r="AM117">
        <v>1</v>
      </c>
      <c r="AN117">
        <v>0</v>
      </c>
      <c r="AO117">
        <v>1</v>
      </c>
      <c r="AP117" s="28">
        <v>0.67</v>
      </c>
      <c r="AQ117" s="12">
        <f t="shared" si="20"/>
        <v>0.32999999999999996</v>
      </c>
      <c r="AR117">
        <v>1</v>
      </c>
      <c r="AS117">
        <f t="shared" si="21"/>
        <v>0</v>
      </c>
      <c r="AT117">
        <v>0</v>
      </c>
      <c r="AU117" s="62" t="s">
        <v>365</v>
      </c>
      <c r="AV117">
        <v>1</v>
      </c>
      <c r="AW117">
        <v>0</v>
      </c>
      <c r="AX117">
        <v>0</v>
      </c>
      <c r="AY117">
        <v>0</v>
      </c>
      <c r="AZ117">
        <v>0</v>
      </c>
      <c r="BA117">
        <v>0</v>
      </c>
      <c r="BB117">
        <v>0</v>
      </c>
      <c r="BC117">
        <v>1</v>
      </c>
      <c r="BD117">
        <v>0</v>
      </c>
      <c r="BE117">
        <v>0</v>
      </c>
      <c r="BF117">
        <v>19144</v>
      </c>
      <c r="BG117">
        <v>1210</v>
      </c>
      <c r="BH117">
        <v>0.63900000000000001</v>
      </c>
      <c r="BI117" s="64">
        <v>39.43</v>
      </c>
      <c r="BJ117">
        <v>0</v>
      </c>
      <c r="BK117">
        <v>1</v>
      </c>
      <c r="BL117">
        <v>0</v>
      </c>
      <c r="BM117">
        <v>0</v>
      </c>
      <c r="BN117">
        <v>0</v>
      </c>
      <c r="BO117">
        <v>0</v>
      </c>
      <c r="BP117">
        <v>0</v>
      </c>
      <c r="BQ117" s="28">
        <v>0</v>
      </c>
      <c r="BR117">
        <v>0</v>
      </c>
      <c r="BS117">
        <v>0</v>
      </c>
      <c r="BT117" s="28">
        <v>1</v>
      </c>
      <c r="BU117">
        <v>1</v>
      </c>
      <c r="BV117">
        <v>1</v>
      </c>
      <c r="BW117">
        <v>0</v>
      </c>
      <c r="BX117">
        <v>0</v>
      </c>
      <c r="BY117">
        <v>0</v>
      </c>
      <c r="BZ117">
        <v>1</v>
      </c>
      <c r="CA117">
        <v>1</v>
      </c>
      <c r="CB117">
        <v>0</v>
      </c>
      <c r="CC117">
        <v>0</v>
      </c>
      <c r="CD117">
        <v>0</v>
      </c>
      <c r="CE117" s="16">
        <v>0</v>
      </c>
      <c r="CF117">
        <v>0</v>
      </c>
      <c r="CG117">
        <v>18</v>
      </c>
      <c r="CH117">
        <v>0</v>
      </c>
      <c r="CI117">
        <v>1</v>
      </c>
      <c r="CJ117">
        <v>18</v>
      </c>
      <c r="CK117" t="s">
        <v>46</v>
      </c>
    </row>
    <row r="118" spans="1:89" x14ac:dyDescent="0.25">
      <c r="A118">
        <v>117</v>
      </c>
      <c r="B118">
        <v>9</v>
      </c>
      <c r="C118" t="s">
        <v>290</v>
      </c>
      <c r="D118" s="79">
        <v>9.3000000000000007</v>
      </c>
      <c r="E118" s="6">
        <v>4.5</v>
      </c>
      <c r="F118" s="6">
        <f t="shared" si="18"/>
        <v>2.0666666666666669</v>
      </c>
      <c r="G118" s="78">
        <v>0</v>
      </c>
      <c r="H118" s="70">
        <v>0</v>
      </c>
      <c r="I118" s="70">
        <v>0</v>
      </c>
      <c r="J118" s="70">
        <v>1</v>
      </c>
      <c r="K118" s="70">
        <v>0</v>
      </c>
      <c r="L118" s="78">
        <v>1320</v>
      </c>
      <c r="M118" s="70">
        <v>4</v>
      </c>
      <c r="N118" s="70">
        <f t="shared" si="12"/>
        <v>1315</v>
      </c>
      <c r="O118" s="60">
        <f t="shared" si="13"/>
        <v>14</v>
      </c>
      <c r="P118" s="70">
        <v>14.64</v>
      </c>
      <c r="Q118" s="70">
        <v>10.18</v>
      </c>
      <c r="R118" s="78">
        <v>1</v>
      </c>
      <c r="S118" s="70">
        <v>0</v>
      </c>
      <c r="T118" s="70">
        <v>0</v>
      </c>
      <c r="U118" s="70">
        <v>0</v>
      </c>
      <c r="V118" s="70">
        <v>0</v>
      </c>
      <c r="W118" s="70">
        <v>1</v>
      </c>
      <c r="X118" s="78">
        <v>0</v>
      </c>
      <c r="Y118" s="70">
        <v>1</v>
      </c>
      <c r="Z118" s="70">
        <v>0</v>
      </c>
      <c r="AA118" s="78">
        <v>1</v>
      </c>
      <c r="AB118" s="70">
        <v>0</v>
      </c>
      <c r="AC118" s="69">
        <v>2012</v>
      </c>
      <c r="AD118" t="s">
        <v>57</v>
      </c>
      <c r="AE118" t="s">
        <v>57</v>
      </c>
      <c r="AF118" t="s">
        <v>57</v>
      </c>
      <c r="AG118" t="s">
        <v>57</v>
      </c>
      <c r="AH118" s="28" t="s">
        <v>57</v>
      </c>
      <c r="AI118" t="s">
        <v>57</v>
      </c>
      <c r="AJ118" s="28">
        <v>0.55000000000000004</v>
      </c>
      <c r="AK118">
        <f t="shared" si="19"/>
        <v>0.44999999999999996</v>
      </c>
      <c r="AL118" s="28">
        <v>0</v>
      </c>
      <c r="AM118">
        <v>1</v>
      </c>
      <c r="AN118">
        <v>0</v>
      </c>
      <c r="AO118">
        <v>1</v>
      </c>
      <c r="AP118" s="28">
        <v>0.67</v>
      </c>
      <c r="AQ118" s="12">
        <f t="shared" si="20"/>
        <v>0.32999999999999996</v>
      </c>
      <c r="AR118">
        <v>1</v>
      </c>
      <c r="AS118">
        <f t="shared" si="21"/>
        <v>0</v>
      </c>
      <c r="AT118">
        <v>0</v>
      </c>
      <c r="AU118" s="62" t="s">
        <v>365</v>
      </c>
      <c r="AV118">
        <v>1</v>
      </c>
      <c r="AW118">
        <v>0</v>
      </c>
      <c r="AX118">
        <v>0</v>
      </c>
      <c r="AY118">
        <v>0</v>
      </c>
      <c r="AZ118">
        <v>0</v>
      </c>
      <c r="BA118">
        <v>0</v>
      </c>
      <c r="BB118">
        <v>0</v>
      </c>
      <c r="BC118">
        <v>1</v>
      </c>
      <c r="BD118">
        <v>0</v>
      </c>
      <c r="BE118">
        <v>0</v>
      </c>
      <c r="BF118">
        <v>19144</v>
      </c>
      <c r="BG118">
        <v>1210</v>
      </c>
      <c r="BH118">
        <v>0.63900000000000001</v>
      </c>
      <c r="BI118" s="64">
        <v>39.43</v>
      </c>
      <c r="BJ118">
        <v>0</v>
      </c>
      <c r="BK118">
        <v>0</v>
      </c>
      <c r="BL118">
        <v>0</v>
      </c>
      <c r="BM118">
        <v>0</v>
      </c>
      <c r="BN118">
        <v>0</v>
      </c>
      <c r="BO118">
        <v>1</v>
      </c>
      <c r="BP118">
        <v>0</v>
      </c>
      <c r="BQ118" s="28">
        <v>0</v>
      </c>
      <c r="BR118">
        <v>1</v>
      </c>
      <c r="BS118">
        <v>0</v>
      </c>
      <c r="BT118" s="28">
        <v>0</v>
      </c>
      <c r="BU118">
        <v>0</v>
      </c>
      <c r="BV118">
        <v>1</v>
      </c>
      <c r="BW118">
        <v>0</v>
      </c>
      <c r="BX118">
        <v>0</v>
      </c>
      <c r="BY118">
        <v>0</v>
      </c>
      <c r="BZ118">
        <v>0</v>
      </c>
      <c r="CA118">
        <v>1</v>
      </c>
      <c r="CB118">
        <v>0</v>
      </c>
      <c r="CC118">
        <v>0</v>
      </c>
      <c r="CD118">
        <v>0</v>
      </c>
      <c r="CE118" s="16">
        <v>0</v>
      </c>
      <c r="CF118">
        <v>0</v>
      </c>
      <c r="CG118">
        <v>18</v>
      </c>
      <c r="CH118">
        <v>0</v>
      </c>
      <c r="CI118">
        <v>1</v>
      </c>
      <c r="CJ118">
        <v>18</v>
      </c>
      <c r="CK118" t="s">
        <v>46</v>
      </c>
    </row>
    <row r="119" spans="1:89" x14ac:dyDescent="0.25">
      <c r="A119">
        <v>118</v>
      </c>
      <c r="B119">
        <v>9</v>
      </c>
      <c r="C119" t="s">
        <v>290</v>
      </c>
      <c r="D119" s="79">
        <v>5.4</v>
      </c>
      <c r="E119" s="6">
        <v>1.9</v>
      </c>
      <c r="F119" s="6">
        <f t="shared" si="18"/>
        <v>2.8421052631578951</v>
      </c>
      <c r="G119" s="78">
        <v>0</v>
      </c>
      <c r="H119" s="70">
        <v>0</v>
      </c>
      <c r="I119" s="70">
        <v>0</v>
      </c>
      <c r="J119" s="70">
        <v>1</v>
      </c>
      <c r="K119" s="70">
        <v>0</v>
      </c>
      <c r="L119" s="78">
        <v>1390</v>
      </c>
      <c r="M119" s="70">
        <v>5</v>
      </c>
      <c r="N119" s="70">
        <f t="shared" si="12"/>
        <v>1384</v>
      </c>
      <c r="O119" s="60">
        <f t="shared" si="13"/>
        <v>14</v>
      </c>
      <c r="P119" s="70">
        <v>14.61</v>
      </c>
      <c r="Q119" s="70">
        <v>9.7799999999999994</v>
      </c>
      <c r="R119" s="78">
        <v>1</v>
      </c>
      <c r="S119" s="70">
        <v>0</v>
      </c>
      <c r="T119" s="70">
        <v>0</v>
      </c>
      <c r="U119" s="70">
        <v>0</v>
      </c>
      <c r="V119" s="70">
        <v>0</v>
      </c>
      <c r="W119" s="70">
        <v>1</v>
      </c>
      <c r="X119" s="78">
        <v>0</v>
      </c>
      <c r="Y119" s="70">
        <v>1</v>
      </c>
      <c r="Z119" s="70">
        <v>0</v>
      </c>
      <c r="AA119" s="78">
        <v>1</v>
      </c>
      <c r="AB119" s="70">
        <v>0</v>
      </c>
      <c r="AC119" s="69">
        <v>2012</v>
      </c>
      <c r="AD119" t="s">
        <v>57</v>
      </c>
      <c r="AE119" t="s">
        <v>57</v>
      </c>
      <c r="AF119" t="s">
        <v>57</v>
      </c>
      <c r="AG119" t="s">
        <v>57</v>
      </c>
      <c r="AH119" s="28" t="s">
        <v>57</v>
      </c>
      <c r="AI119" t="s">
        <v>57</v>
      </c>
      <c r="AJ119" s="28">
        <v>0.5</v>
      </c>
      <c r="AK119">
        <f t="shared" si="19"/>
        <v>0.5</v>
      </c>
      <c r="AL119" s="28">
        <v>0</v>
      </c>
      <c r="AM119">
        <v>1</v>
      </c>
      <c r="AN119">
        <v>0</v>
      </c>
      <c r="AO119">
        <v>1</v>
      </c>
      <c r="AP119" s="28">
        <v>0.64</v>
      </c>
      <c r="AQ119" s="12">
        <f t="shared" si="20"/>
        <v>0.36</v>
      </c>
      <c r="AR119">
        <v>0</v>
      </c>
      <c r="AS119">
        <f t="shared" si="21"/>
        <v>1</v>
      </c>
      <c r="AT119">
        <v>0</v>
      </c>
      <c r="AU119" s="62" t="s">
        <v>365</v>
      </c>
      <c r="AV119">
        <v>1</v>
      </c>
      <c r="AW119">
        <v>0</v>
      </c>
      <c r="AX119">
        <v>0</v>
      </c>
      <c r="AY119">
        <v>0</v>
      </c>
      <c r="AZ119">
        <v>0</v>
      </c>
      <c r="BA119">
        <v>0</v>
      </c>
      <c r="BB119">
        <v>0</v>
      </c>
      <c r="BC119">
        <v>1</v>
      </c>
      <c r="BD119">
        <v>0</v>
      </c>
      <c r="BE119">
        <v>0</v>
      </c>
      <c r="BF119">
        <v>19144</v>
      </c>
      <c r="BG119">
        <v>1210</v>
      </c>
      <c r="BH119">
        <v>0.63900000000000001</v>
      </c>
      <c r="BI119" s="64">
        <v>39.36</v>
      </c>
      <c r="BJ119">
        <v>0</v>
      </c>
      <c r="BK119">
        <v>0</v>
      </c>
      <c r="BL119">
        <v>1</v>
      </c>
      <c r="BM119">
        <v>0</v>
      </c>
      <c r="BN119">
        <v>0</v>
      </c>
      <c r="BO119">
        <v>0</v>
      </c>
      <c r="BP119">
        <v>0</v>
      </c>
      <c r="BQ119" s="28">
        <v>0</v>
      </c>
      <c r="BR119">
        <v>0</v>
      </c>
      <c r="BS119">
        <v>0</v>
      </c>
      <c r="BT119" s="28">
        <v>0</v>
      </c>
      <c r="BU119">
        <v>0</v>
      </c>
      <c r="BV119">
        <v>1</v>
      </c>
      <c r="BW119">
        <v>0</v>
      </c>
      <c r="BX119">
        <v>0</v>
      </c>
      <c r="BY119">
        <v>0</v>
      </c>
      <c r="BZ119">
        <v>1</v>
      </c>
      <c r="CA119">
        <v>1</v>
      </c>
      <c r="CB119">
        <v>0</v>
      </c>
      <c r="CC119">
        <v>0</v>
      </c>
      <c r="CD119">
        <v>0</v>
      </c>
      <c r="CE119" s="16">
        <v>0</v>
      </c>
      <c r="CF119">
        <v>0</v>
      </c>
      <c r="CG119">
        <v>18</v>
      </c>
      <c r="CH119">
        <v>0</v>
      </c>
      <c r="CI119">
        <v>1</v>
      </c>
      <c r="CJ119">
        <v>18</v>
      </c>
      <c r="CK119" t="s">
        <v>46</v>
      </c>
    </row>
    <row r="120" spans="1:89" x14ac:dyDescent="0.25">
      <c r="A120">
        <v>119</v>
      </c>
      <c r="B120">
        <v>9</v>
      </c>
      <c r="C120" t="s">
        <v>290</v>
      </c>
      <c r="D120" s="79">
        <v>5.0999999999999996</v>
      </c>
      <c r="E120" s="6">
        <v>1.8</v>
      </c>
      <c r="F120" s="6">
        <f t="shared" si="18"/>
        <v>2.833333333333333</v>
      </c>
      <c r="G120" s="78">
        <v>0</v>
      </c>
      <c r="H120" s="70">
        <v>0</v>
      </c>
      <c r="I120" s="70">
        <v>0</v>
      </c>
      <c r="J120" s="70">
        <v>1</v>
      </c>
      <c r="K120" s="70">
        <v>0</v>
      </c>
      <c r="L120" s="78">
        <v>1390</v>
      </c>
      <c r="M120" s="70">
        <v>8</v>
      </c>
      <c r="N120" s="70">
        <f t="shared" si="12"/>
        <v>1381</v>
      </c>
      <c r="O120" s="60">
        <f t="shared" si="13"/>
        <v>14</v>
      </c>
      <c r="P120" s="70">
        <v>14.61</v>
      </c>
      <c r="Q120" s="70">
        <v>9.7799999999999994</v>
      </c>
      <c r="R120" s="78">
        <v>1</v>
      </c>
      <c r="S120" s="70">
        <v>0</v>
      </c>
      <c r="T120" s="70">
        <v>0</v>
      </c>
      <c r="U120" s="70">
        <v>0</v>
      </c>
      <c r="V120" s="70">
        <v>0</v>
      </c>
      <c r="W120" s="70">
        <v>1</v>
      </c>
      <c r="X120" s="78">
        <v>0</v>
      </c>
      <c r="Y120" s="70">
        <v>1</v>
      </c>
      <c r="Z120" s="70">
        <v>0</v>
      </c>
      <c r="AA120" s="78">
        <v>1</v>
      </c>
      <c r="AB120" s="70">
        <v>0</v>
      </c>
      <c r="AC120" s="69">
        <v>2012</v>
      </c>
      <c r="AD120" t="s">
        <v>57</v>
      </c>
      <c r="AE120" t="s">
        <v>57</v>
      </c>
      <c r="AF120" t="s">
        <v>57</v>
      </c>
      <c r="AG120" t="s">
        <v>57</v>
      </c>
      <c r="AH120" s="28" t="s">
        <v>57</v>
      </c>
      <c r="AI120" t="s">
        <v>57</v>
      </c>
      <c r="AJ120" s="28">
        <v>0.5</v>
      </c>
      <c r="AK120">
        <f t="shared" si="19"/>
        <v>0.5</v>
      </c>
      <c r="AL120" s="28">
        <v>0</v>
      </c>
      <c r="AM120">
        <v>1</v>
      </c>
      <c r="AN120">
        <v>0</v>
      </c>
      <c r="AO120">
        <v>1</v>
      </c>
      <c r="AP120" s="28">
        <v>0.64</v>
      </c>
      <c r="AQ120" s="12">
        <f t="shared" si="20"/>
        <v>0.36</v>
      </c>
      <c r="AR120">
        <v>0</v>
      </c>
      <c r="AS120">
        <f t="shared" si="21"/>
        <v>1</v>
      </c>
      <c r="AT120">
        <v>0</v>
      </c>
      <c r="AU120" s="62" t="s">
        <v>365</v>
      </c>
      <c r="AV120">
        <v>1</v>
      </c>
      <c r="AW120">
        <v>0</v>
      </c>
      <c r="AX120">
        <v>0</v>
      </c>
      <c r="AY120">
        <v>0</v>
      </c>
      <c r="AZ120">
        <v>0</v>
      </c>
      <c r="BA120">
        <v>0</v>
      </c>
      <c r="BB120">
        <v>0</v>
      </c>
      <c r="BC120">
        <v>1</v>
      </c>
      <c r="BD120">
        <v>0</v>
      </c>
      <c r="BE120">
        <v>0</v>
      </c>
      <c r="BF120">
        <v>19144</v>
      </c>
      <c r="BG120">
        <v>1210</v>
      </c>
      <c r="BH120">
        <v>0.63900000000000001</v>
      </c>
      <c r="BI120" s="64">
        <v>39.36</v>
      </c>
      <c r="BJ120">
        <v>0</v>
      </c>
      <c r="BK120">
        <v>1</v>
      </c>
      <c r="BL120">
        <v>0</v>
      </c>
      <c r="BM120">
        <v>0</v>
      </c>
      <c r="BN120">
        <v>0</v>
      </c>
      <c r="BO120">
        <v>0</v>
      </c>
      <c r="BP120">
        <v>0</v>
      </c>
      <c r="BQ120" s="28">
        <v>0</v>
      </c>
      <c r="BR120">
        <v>0</v>
      </c>
      <c r="BS120">
        <v>0</v>
      </c>
      <c r="BT120" s="28">
        <v>1</v>
      </c>
      <c r="BU120">
        <v>1</v>
      </c>
      <c r="BV120">
        <v>1</v>
      </c>
      <c r="BW120">
        <v>0</v>
      </c>
      <c r="BX120">
        <v>0</v>
      </c>
      <c r="BY120">
        <v>0</v>
      </c>
      <c r="BZ120">
        <v>1</v>
      </c>
      <c r="CA120">
        <v>1</v>
      </c>
      <c r="CB120">
        <v>0</v>
      </c>
      <c r="CC120">
        <v>0</v>
      </c>
      <c r="CD120">
        <v>0</v>
      </c>
      <c r="CE120" s="16">
        <v>0</v>
      </c>
      <c r="CF120">
        <v>0</v>
      </c>
      <c r="CG120">
        <v>18</v>
      </c>
      <c r="CH120">
        <v>0</v>
      </c>
      <c r="CI120">
        <v>1</v>
      </c>
      <c r="CJ120">
        <v>18</v>
      </c>
      <c r="CK120" t="s">
        <v>46</v>
      </c>
    </row>
    <row r="121" spans="1:89" x14ac:dyDescent="0.25">
      <c r="A121">
        <v>120</v>
      </c>
      <c r="B121">
        <v>9</v>
      </c>
      <c r="C121" t="s">
        <v>290</v>
      </c>
      <c r="D121" s="79">
        <v>14.1</v>
      </c>
      <c r="E121" s="6">
        <v>4.7</v>
      </c>
      <c r="F121" s="6">
        <f t="shared" si="18"/>
        <v>3</v>
      </c>
      <c r="G121" s="78">
        <v>0</v>
      </c>
      <c r="H121" s="70">
        <v>0</v>
      </c>
      <c r="I121" s="70">
        <v>0</v>
      </c>
      <c r="J121" s="70">
        <v>1</v>
      </c>
      <c r="K121" s="70">
        <v>0</v>
      </c>
      <c r="L121" s="78">
        <v>712</v>
      </c>
      <c r="M121" s="70">
        <v>5</v>
      </c>
      <c r="N121" s="70">
        <f t="shared" si="12"/>
        <v>706</v>
      </c>
      <c r="O121" s="60">
        <f t="shared" si="13"/>
        <v>14</v>
      </c>
      <c r="P121" s="70">
        <v>14.61</v>
      </c>
      <c r="Q121" s="70">
        <v>9.7799999999999994</v>
      </c>
      <c r="R121" s="78">
        <v>1</v>
      </c>
      <c r="S121" s="70">
        <v>0</v>
      </c>
      <c r="T121" s="70">
        <v>0</v>
      </c>
      <c r="U121" s="70">
        <v>0</v>
      </c>
      <c r="V121" s="70">
        <v>0</v>
      </c>
      <c r="W121" s="70">
        <v>1</v>
      </c>
      <c r="X121" s="78">
        <v>0</v>
      </c>
      <c r="Y121" s="70">
        <v>1</v>
      </c>
      <c r="Z121" s="70">
        <v>0</v>
      </c>
      <c r="AA121" s="78">
        <v>1</v>
      </c>
      <c r="AB121" s="70">
        <v>0</v>
      </c>
      <c r="AC121" s="69">
        <v>2012</v>
      </c>
      <c r="AD121" t="s">
        <v>57</v>
      </c>
      <c r="AE121" t="s">
        <v>57</v>
      </c>
      <c r="AF121" t="s">
        <v>57</v>
      </c>
      <c r="AG121" t="s">
        <v>57</v>
      </c>
      <c r="AH121" s="28" t="s">
        <v>57</v>
      </c>
      <c r="AI121" t="s">
        <v>57</v>
      </c>
      <c r="AJ121" s="28">
        <v>0.5</v>
      </c>
      <c r="AK121">
        <f t="shared" si="19"/>
        <v>0.5</v>
      </c>
      <c r="AL121" s="28">
        <v>0</v>
      </c>
      <c r="AM121">
        <v>1</v>
      </c>
      <c r="AN121">
        <v>0</v>
      </c>
      <c r="AO121">
        <v>1</v>
      </c>
      <c r="AP121" s="28">
        <v>0.64</v>
      </c>
      <c r="AQ121" s="12">
        <f t="shared" si="20"/>
        <v>0.36</v>
      </c>
      <c r="AR121">
        <v>0</v>
      </c>
      <c r="AS121">
        <f t="shared" si="21"/>
        <v>1</v>
      </c>
      <c r="AT121">
        <v>0</v>
      </c>
      <c r="AU121" s="62" t="s">
        <v>365</v>
      </c>
      <c r="AV121">
        <v>1</v>
      </c>
      <c r="AW121">
        <v>0</v>
      </c>
      <c r="AX121">
        <v>0</v>
      </c>
      <c r="AY121">
        <v>0</v>
      </c>
      <c r="AZ121">
        <v>0</v>
      </c>
      <c r="BA121">
        <v>0</v>
      </c>
      <c r="BB121">
        <v>0</v>
      </c>
      <c r="BC121">
        <v>1</v>
      </c>
      <c r="BD121">
        <v>0</v>
      </c>
      <c r="BE121">
        <v>0</v>
      </c>
      <c r="BF121">
        <v>19144</v>
      </c>
      <c r="BG121">
        <v>1210</v>
      </c>
      <c r="BH121">
        <v>0.63900000000000001</v>
      </c>
      <c r="BI121" s="64">
        <v>39.36</v>
      </c>
      <c r="BJ121">
        <v>0</v>
      </c>
      <c r="BK121">
        <v>0</v>
      </c>
      <c r="BL121">
        <v>0</v>
      </c>
      <c r="BM121">
        <v>0</v>
      </c>
      <c r="BN121">
        <v>0</v>
      </c>
      <c r="BO121">
        <v>1</v>
      </c>
      <c r="BP121">
        <v>0</v>
      </c>
      <c r="BQ121" s="28">
        <v>0</v>
      </c>
      <c r="BR121">
        <v>1</v>
      </c>
      <c r="BS121">
        <v>0</v>
      </c>
      <c r="BT121" s="28">
        <v>0</v>
      </c>
      <c r="BU121">
        <v>0</v>
      </c>
      <c r="BV121">
        <v>1</v>
      </c>
      <c r="BW121">
        <v>0</v>
      </c>
      <c r="BX121">
        <v>0</v>
      </c>
      <c r="BY121">
        <v>0</v>
      </c>
      <c r="BZ121">
        <v>1</v>
      </c>
      <c r="CA121">
        <v>1</v>
      </c>
      <c r="CB121">
        <v>0</v>
      </c>
      <c r="CC121">
        <v>0</v>
      </c>
      <c r="CD121">
        <v>0</v>
      </c>
      <c r="CE121" s="16">
        <v>0</v>
      </c>
      <c r="CF121">
        <v>0</v>
      </c>
      <c r="CG121">
        <v>18</v>
      </c>
      <c r="CH121">
        <v>0</v>
      </c>
      <c r="CI121">
        <v>1</v>
      </c>
      <c r="CJ121">
        <v>18</v>
      </c>
      <c r="CK121" t="s">
        <v>46</v>
      </c>
    </row>
    <row r="122" spans="1:89" x14ac:dyDescent="0.25">
      <c r="A122">
        <v>121</v>
      </c>
      <c r="B122">
        <v>9</v>
      </c>
      <c r="C122" t="s">
        <v>290</v>
      </c>
      <c r="D122" s="79">
        <v>8.8000000000000007</v>
      </c>
      <c r="E122" s="6">
        <v>0.7</v>
      </c>
      <c r="F122" s="6">
        <f t="shared" si="18"/>
        <v>12.571428571428573</v>
      </c>
      <c r="G122" s="78">
        <v>0</v>
      </c>
      <c r="H122" s="70">
        <v>0</v>
      </c>
      <c r="I122" s="70">
        <v>0</v>
      </c>
      <c r="J122" s="70">
        <v>1</v>
      </c>
      <c r="K122" s="70">
        <v>0</v>
      </c>
      <c r="L122" s="78">
        <v>2160</v>
      </c>
      <c r="M122" s="70">
        <v>7</v>
      </c>
      <c r="N122" s="70">
        <f t="shared" si="12"/>
        <v>2152</v>
      </c>
      <c r="O122" s="60">
        <f t="shared" si="13"/>
        <v>14</v>
      </c>
      <c r="P122" s="70">
        <v>14.64</v>
      </c>
      <c r="Q122" s="70">
        <v>10.18</v>
      </c>
      <c r="R122" s="78">
        <v>1</v>
      </c>
      <c r="S122" s="70">
        <v>0</v>
      </c>
      <c r="T122" s="70">
        <v>0</v>
      </c>
      <c r="U122" s="70">
        <v>0</v>
      </c>
      <c r="V122" s="70">
        <v>0</v>
      </c>
      <c r="W122" s="70">
        <v>1</v>
      </c>
      <c r="X122" s="78">
        <v>0</v>
      </c>
      <c r="Y122" s="70">
        <v>1</v>
      </c>
      <c r="Z122" s="70">
        <v>0</v>
      </c>
      <c r="AA122" s="78">
        <v>1</v>
      </c>
      <c r="AB122" s="70">
        <v>0</v>
      </c>
      <c r="AC122" s="69">
        <v>2012</v>
      </c>
      <c r="AD122" t="s">
        <v>57</v>
      </c>
      <c r="AE122" t="s">
        <v>57</v>
      </c>
      <c r="AF122" t="s">
        <v>57</v>
      </c>
      <c r="AG122" t="s">
        <v>57</v>
      </c>
      <c r="AH122" s="28" t="s">
        <v>57</v>
      </c>
      <c r="AI122" t="s">
        <v>57</v>
      </c>
      <c r="AJ122" s="28">
        <v>0.55000000000000004</v>
      </c>
      <c r="AK122">
        <f t="shared" si="19"/>
        <v>0.44999999999999996</v>
      </c>
      <c r="AL122" s="28">
        <v>0</v>
      </c>
      <c r="AM122">
        <v>1</v>
      </c>
      <c r="AN122">
        <v>0</v>
      </c>
      <c r="AO122">
        <v>1</v>
      </c>
      <c r="AP122" s="28">
        <v>0.67</v>
      </c>
      <c r="AQ122" s="12">
        <f t="shared" si="20"/>
        <v>0.32999999999999996</v>
      </c>
      <c r="AR122">
        <v>1</v>
      </c>
      <c r="AS122">
        <f t="shared" si="21"/>
        <v>0</v>
      </c>
      <c r="AT122">
        <v>0</v>
      </c>
      <c r="AU122" s="62" t="s">
        <v>365</v>
      </c>
      <c r="AV122">
        <v>1</v>
      </c>
      <c r="AW122">
        <v>0</v>
      </c>
      <c r="AX122">
        <v>0</v>
      </c>
      <c r="AY122">
        <v>0</v>
      </c>
      <c r="AZ122">
        <v>0</v>
      </c>
      <c r="BA122">
        <v>0</v>
      </c>
      <c r="BB122">
        <v>0</v>
      </c>
      <c r="BC122">
        <v>1</v>
      </c>
      <c r="BD122">
        <v>0</v>
      </c>
      <c r="BE122">
        <v>0</v>
      </c>
      <c r="BF122">
        <v>19144</v>
      </c>
      <c r="BG122">
        <v>1210</v>
      </c>
      <c r="BH122">
        <v>0.63900000000000001</v>
      </c>
      <c r="BI122" s="64">
        <v>39.43</v>
      </c>
      <c r="BJ122">
        <v>1</v>
      </c>
      <c r="BK122">
        <v>0</v>
      </c>
      <c r="BL122">
        <v>0</v>
      </c>
      <c r="BM122">
        <v>0</v>
      </c>
      <c r="BN122">
        <v>0</v>
      </c>
      <c r="BO122">
        <v>0</v>
      </c>
      <c r="BP122">
        <v>0</v>
      </c>
      <c r="BQ122" s="28">
        <v>0</v>
      </c>
      <c r="BR122">
        <v>0</v>
      </c>
      <c r="BS122">
        <v>0</v>
      </c>
      <c r="BT122" s="28">
        <v>1</v>
      </c>
      <c r="BU122">
        <v>1</v>
      </c>
      <c r="BV122">
        <v>1</v>
      </c>
      <c r="BW122">
        <v>0</v>
      </c>
      <c r="BX122">
        <v>0</v>
      </c>
      <c r="BY122">
        <v>0</v>
      </c>
      <c r="BZ122">
        <v>1</v>
      </c>
      <c r="CA122">
        <v>1</v>
      </c>
      <c r="CB122">
        <v>0</v>
      </c>
      <c r="CC122">
        <v>0</v>
      </c>
      <c r="CD122">
        <v>0</v>
      </c>
      <c r="CE122" s="16">
        <v>0</v>
      </c>
      <c r="CF122">
        <v>0</v>
      </c>
      <c r="CG122">
        <v>18</v>
      </c>
      <c r="CH122">
        <v>0</v>
      </c>
      <c r="CI122">
        <v>1</v>
      </c>
      <c r="CJ122">
        <v>18</v>
      </c>
      <c r="CK122" t="s">
        <v>46</v>
      </c>
    </row>
    <row r="123" spans="1:89" x14ac:dyDescent="0.25">
      <c r="A123">
        <v>122</v>
      </c>
      <c r="B123">
        <v>9</v>
      </c>
      <c r="C123" t="s">
        <v>290</v>
      </c>
      <c r="D123" s="79">
        <v>4.5</v>
      </c>
      <c r="E123" s="6">
        <v>1.2</v>
      </c>
      <c r="F123" s="6">
        <f t="shared" si="18"/>
        <v>3.75</v>
      </c>
      <c r="G123" s="78">
        <v>0</v>
      </c>
      <c r="H123" s="70">
        <v>0</v>
      </c>
      <c r="I123" s="70">
        <v>0</v>
      </c>
      <c r="J123" s="70">
        <v>1</v>
      </c>
      <c r="K123" s="70">
        <v>0</v>
      </c>
      <c r="L123" s="78">
        <v>2160</v>
      </c>
      <c r="M123" s="70">
        <v>4</v>
      </c>
      <c r="N123" s="70">
        <f t="shared" si="12"/>
        <v>2155</v>
      </c>
      <c r="O123" s="60">
        <f t="shared" si="13"/>
        <v>14</v>
      </c>
      <c r="P123" s="70">
        <v>14.64</v>
      </c>
      <c r="Q123" s="70">
        <v>10.18</v>
      </c>
      <c r="R123" s="78">
        <v>1</v>
      </c>
      <c r="S123" s="70">
        <v>0</v>
      </c>
      <c r="T123" s="70">
        <v>0</v>
      </c>
      <c r="U123" s="70">
        <v>0</v>
      </c>
      <c r="V123" s="70">
        <v>0</v>
      </c>
      <c r="W123" s="70">
        <v>1</v>
      </c>
      <c r="X123" s="78">
        <v>0</v>
      </c>
      <c r="Y123" s="70">
        <v>1</v>
      </c>
      <c r="Z123" s="70">
        <v>0</v>
      </c>
      <c r="AA123" s="78">
        <v>1</v>
      </c>
      <c r="AB123" s="70">
        <v>0</v>
      </c>
      <c r="AC123" s="69">
        <v>2012</v>
      </c>
      <c r="AD123" t="s">
        <v>57</v>
      </c>
      <c r="AE123" t="s">
        <v>57</v>
      </c>
      <c r="AF123" t="s">
        <v>57</v>
      </c>
      <c r="AG123" t="s">
        <v>57</v>
      </c>
      <c r="AH123" s="28" t="s">
        <v>57</v>
      </c>
      <c r="AI123" t="s">
        <v>57</v>
      </c>
      <c r="AJ123" s="28">
        <v>0.55000000000000004</v>
      </c>
      <c r="AK123">
        <f t="shared" si="19"/>
        <v>0.44999999999999996</v>
      </c>
      <c r="AL123" s="28">
        <v>0</v>
      </c>
      <c r="AM123">
        <v>1</v>
      </c>
      <c r="AN123">
        <v>0</v>
      </c>
      <c r="AO123">
        <v>1</v>
      </c>
      <c r="AP123" s="28">
        <v>0.67</v>
      </c>
      <c r="AQ123" s="12">
        <f t="shared" si="20"/>
        <v>0.32999999999999996</v>
      </c>
      <c r="AR123">
        <v>1</v>
      </c>
      <c r="AS123">
        <f t="shared" si="21"/>
        <v>0</v>
      </c>
      <c r="AT123">
        <v>0</v>
      </c>
      <c r="AU123" s="62" t="s">
        <v>365</v>
      </c>
      <c r="AV123">
        <v>1</v>
      </c>
      <c r="AW123">
        <v>0</v>
      </c>
      <c r="AX123">
        <v>0</v>
      </c>
      <c r="AY123">
        <v>0</v>
      </c>
      <c r="AZ123">
        <v>0</v>
      </c>
      <c r="BA123">
        <v>0</v>
      </c>
      <c r="BB123">
        <v>0</v>
      </c>
      <c r="BC123">
        <v>1</v>
      </c>
      <c r="BD123">
        <v>0</v>
      </c>
      <c r="BE123">
        <v>0</v>
      </c>
      <c r="BF123">
        <v>19144</v>
      </c>
      <c r="BG123">
        <v>1210</v>
      </c>
      <c r="BH123">
        <v>0.63900000000000001</v>
      </c>
      <c r="BI123" s="64">
        <v>39.43</v>
      </c>
      <c r="BJ123">
        <v>0</v>
      </c>
      <c r="BK123">
        <v>0</v>
      </c>
      <c r="BL123">
        <v>1</v>
      </c>
      <c r="BM123">
        <v>0</v>
      </c>
      <c r="BN123">
        <v>0</v>
      </c>
      <c r="BO123">
        <v>0</v>
      </c>
      <c r="BP123">
        <v>0</v>
      </c>
      <c r="BQ123" s="28">
        <v>0</v>
      </c>
      <c r="BR123">
        <v>0</v>
      </c>
      <c r="BS123">
        <v>0</v>
      </c>
      <c r="BT123" s="28">
        <v>0</v>
      </c>
      <c r="BU123">
        <v>0</v>
      </c>
      <c r="BV123">
        <v>1</v>
      </c>
      <c r="BW123">
        <v>0</v>
      </c>
      <c r="BX123">
        <v>0</v>
      </c>
      <c r="BY123">
        <v>0</v>
      </c>
      <c r="BZ123">
        <v>0</v>
      </c>
      <c r="CA123">
        <v>1</v>
      </c>
      <c r="CB123">
        <v>0</v>
      </c>
      <c r="CC123">
        <v>0</v>
      </c>
      <c r="CD123">
        <v>0</v>
      </c>
      <c r="CE123" s="16">
        <v>0</v>
      </c>
      <c r="CF123">
        <v>0</v>
      </c>
      <c r="CG123">
        <v>18</v>
      </c>
      <c r="CH123">
        <v>0</v>
      </c>
      <c r="CI123">
        <v>1</v>
      </c>
      <c r="CJ123">
        <v>18</v>
      </c>
      <c r="CK123" t="s">
        <v>46</v>
      </c>
    </row>
    <row r="124" spans="1:89" x14ac:dyDescent="0.25">
      <c r="A124">
        <v>123</v>
      </c>
      <c r="B124">
        <v>9</v>
      </c>
      <c r="C124" t="s">
        <v>290</v>
      </c>
      <c r="D124" s="79">
        <v>4.3</v>
      </c>
      <c r="E124" s="6">
        <v>1.1000000000000001</v>
      </c>
      <c r="F124" s="6">
        <f t="shared" si="18"/>
        <v>3.9090909090909087</v>
      </c>
      <c r="G124" s="78">
        <v>0</v>
      </c>
      <c r="H124" s="70">
        <v>0</v>
      </c>
      <c r="I124" s="70">
        <v>0</v>
      </c>
      <c r="J124" s="70">
        <v>1</v>
      </c>
      <c r="K124" s="70">
        <v>0</v>
      </c>
      <c r="L124" s="78">
        <v>2160</v>
      </c>
      <c r="M124" s="70">
        <v>8</v>
      </c>
      <c r="N124" s="70">
        <f t="shared" si="12"/>
        <v>2151</v>
      </c>
      <c r="O124" s="60">
        <f t="shared" si="13"/>
        <v>14</v>
      </c>
      <c r="P124" s="70">
        <v>14.64</v>
      </c>
      <c r="Q124" s="70">
        <v>10.18</v>
      </c>
      <c r="R124" s="78">
        <v>1</v>
      </c>
      <c r="S124" s="70">
        <v>0</v>
      </c>
      <c r="T124" s="70">
        <v>0</v>
      </c>
      <c r="U124" s="70">
        <v>0</v>
      </c>
      <c r="V124" s="70">
        <v>0</v>
      </c>
      <c r="W124" s="70">
        <v>1</v>
      </c>
      <c r="X124" s="78">
        <v>0</v>
      </c>
      <c r="Y124" s="70">
        <v>1</v>
      </c>
      <c r="Z124" s="70">
        <v>0</v>
      </c>
      <c r="AA124" s="78">
        <v>1</v>
      </c>
      <c r="AB124" s="70">
        <v>0</v>
      </c>
      <c r="AC124" s="69">
        <v>2012</v>
      </c>
      <c r="AD124" t="s">
        <v>57</v>
      </c>
      <c r="AE124" t="s">
        <v>57</v>
      </c>
      <c r="AF124" t="s">
        <v>57</v>
      </c>
      <c r="AG124" t="s">
        <v>57</v>
      </c>
      <c r="AH124" s="28" t="s">
        <v>57</v>
      </c>
      <c r="AI124" t="s">
        <v>57</v>
      </c>
      <c r="AJ124" s="28">
        <v>0.55000000000000004</v>
      </c>
      <c r="AK124">
        <f t="shared" si="19"/>
        <v>0.44999999999999996</v>
      </c>
      <c r="AL124" s="28">
        <v>0</v>
      </c>
      <c r="AM124">
        <v>1</v>
      </c>
      <c r="AN124">
        <v>0</v>
      </c>
      <c r="AO124">
        <v>1</v>
      </c>
      <c r="AP124" s="28">
        <v>0.67</v>
      </c>
      <c r="AQ124" s="12">
        <f t="shared" si="20"/>
        <v>0.32999999999999996</v>
      </c>
      <c r="AR124">
        <v>1</v>
      </c>
      <c r="AS124">
        <f t="shared" si="21"/>
        <v>0</v>
      </c>
      <c r="AT124">
        <v>0</v>
      </c>
      <c r="AU124" s="62" t="s">
        <v>365</v>
      </c>
      <c r="AV124">
        <v>1</v>
      </c>
      <c r="AW124">
        <v>0</v>
      </c>
      <c r="AX124">
        <v>0</v>
      </c>
      <c r="AY124">
        <v>0</v>
      </c>
      <c r="AZ124">
        <v>0</v>
      </c>
      <c r="BA124">
        <v>0</v>
      </c>
      <c r="BB124">
        <v>0</v>
      </c>
      <c r="BC124">
        <v>1</v>
      </c>
      <c r="BD124">
        <v>0</v>
      </c>
      <c r="BE124">
        <v>0</v>
      </c>
      <c r="BF124">
        <v>19144</v>
      </c>
      <c r="BG124">
        <v>1210</v>
      </c>
      <c r="BH124">
        <v>0.63900000000000001</v>
      </c>
      <c r="BI124" s="64">
        <v>39.43</v>
      </c>
      <c r="BJ124">
        <v>0</v>
      </c>
      <c r="BK124">
        <v>1</v>
      </c>
      <c r="BL124">
        <v>0</v>
      </c>
      <c r="BM124">
        <v>0</v>
      </c>
      <c r="BN124">
        <v>0</v>
      </c>
      <c r="BO124">
        <v>0</v>
      </c>
      <c r="BP124">
        <v>0</v>
      </c>
      <c r="BQ124" s="28">
        <v>0</v>
      </c>
      <c r="BR124">
        <v>0</v>
      </c>
      <c r="BS124">
        <v>0</v>
      </c>
      <c r="BT124" s="28">
        <v>1</v>
      </c>
      <c r="BU124">
        <v>1</v>
      </c>
      <c r="BV124">
        <v>1</v>
      </c>
      <c r="BW124">
        <v>0</v>
      </c>
      <c r="BX124">
        <v>0</v>
      </c>
      <c r="BY124">
        <v>0</v>
      </c>
      <c r="BZ124">
        <v>1</v>
      </c>
      <c r="CA124">
        <v>1</v>
      </c>
      <c r="CB124">
        <v>0</v>
      </c>
      <c r="CC124">
        <v>0</v>
      </c>
      <c r="CD124">
        <v>0</v>
      </c>
      <c r="CE124" s="16">
        <v>0</v>
      </c>
      <c r="CF124">
        <v>0</v>
      </c>
      <c r="CG124">
        <v>18</v>
      </c>
      <c r="CH124">
        <v>0</v>
      </c>
      <c r="CI124">
        <v>1</v>
      </c>
      <c r="CJ124">
        <v>18</v>
      </c>
      <c r="CK124" t="s">
        <v>46</v>
      </c>
    </row>
    <row r="125" spans="1:89" x14ac:dyDescent="0.25">
      <c r="A125">
        <v>124</v>
      </c>
      <c r="B125">
        <v>9</v>
      </c>
      <c r="C125" t="s">
        <v>290</v>
      </c>
      <c r="D125" s="79">
        <v>8.3000000000000007</v>
      </c>
      <c r="E125" s="6">
        <v>4</v>
      </c>
      <c r="F125" s="6">
        <f t="shared" si="18"/>
        <v>2.0750000000000002</v>
      </c>
      <c r="G125" s="78">
        <v>0</v>
      </c>
      <c r="H125" s="70">
        <v>0</v>
      </c>
      <c r="I125" s="70">
        <v>0</v>
      </c>
      <c r="J125" s="70">
        <v>1</v>
      </c>
      <c r="K125" s="70">
        <v>0</v>
      </c>
      <c r="L125" s="78">
        <v>1320</v>
      </c>
      <c r="M125" s="70">
        <v>4</v>
      </c>
      <c r="N125" s="70">
        <f t="shared" si="12"/>
        <v>1315</v>
      </c>
      <c r="O125" s="60">
        <f t="shared" si="13"/>
        <v>14</v>
      </c>
      <c r="P125" s="70">
        <v>14.64</v>
      </c>
      <c r="Q125" s="70">
        <v>10.18</v>
      </c>
      <c r="R125" s="78">
        <v>1</v>
      </c>
      <c r="S125" s="70">
        <v>0</v>
      </c>
      <c r="T125" s="70">
        <v>0</v>
      </c>
      <c r="U125" s="70">
        <v>0</v>
      </c>
      <c r="V125" s="70">
        <v>0</v>
      </c>
      <c r="W125" s="70">
        <v>1</v>
      </c>
      <c r="X125" s="78">
        <v>0</v>
      </c>
      <c r="Y125" s="70">
        <v>1</v>
      </c>
      <c r="Z125" s="70">
        <v>0</v>
      </c>
      <c r="AA125" s="78">
        <v>1</v>
      </c>
      <c r="AB125" s="70">
        <v>0</v>
      </c>
      <c r="AC125" s="69">
        <v>2012</v>
      </c>
      <c r="AD125" t="s">
        <v>57</v>
      </c>
      <c r="AE125" t="s">
        <v>57</v>
      </c>
      <c r="AF125" t="s">
        <v>57</v>
      </c>
      <c r="AG125" t="s">
        <v>57</v>
      </c>
      <c r="AH125" s="28" t="s">
        <v>57</v>
      </c>
      <c r="AI125" t="s">
        <v>57</v>
      </c>
      <c r="AJ125" s="28">
        <v>0.55000000000000004</v>
      </c>
      <c r="AK125">
        <f t="shared" si="19"/>
        <v>0.44999999999999996</v>
      </c>
      <c r="AL125" s="28">
        <v>0</v>
      </c>
      <c r="AM125">
        <v>1</v>
      </c>
      <c r="AN125">
        <v>0</v>
      </c>
      <c r="AO125">
        <v>1</v>
      </c>
      <c r="AP125" s="28">
        <v>0.67</v>
      </c>
      <c r="AQ125" s="12">
        <f t="shared" si="20"/>
        <v>0.32999999999999996</v>
      </c>
      <c r="AR125">
        <v>1</v>
      </c>
      <c r="AS125">
        <f t="shared" si="21"/>
        <v>0</v>
      </c>
      <c r="AT125">
        <v>0</v>
      </c>
      <c r="AU125" s="62" t="s">
        <v>365</v>
      </c>
      <c r="AV125">
        <v>1</v>
      </c>
      <c r="AW125">
        <v>0</v>
      </c>
      <c r="AX125">
        <v>0</v>
      </c>
      <c r="AY125">
        <v>0</v>
      </c>
      <c r="AZ125">
        <v>0</v>
      </c>
      <c r="BA125">
        <v>0</v>
      </c>
      <c r="BB125">
        <v>0</v>
      </c>
      <c r="BC125">
        <v>1</v>
      </c>
      <c r="BD125">
        <v>0</v>
      </c>
      <c r="BE125">
        <v>0</v>
      </c>
      <c r="BF125">
        <v>19144</v>
      </c>
      <c r="BG125">
        <v>1210</v>
      </c>
      <c r="BH125">
        <v>0.63900000000000001</v>
      </c>
      <c r="BI125" s="64">
        <v>39.43</v>
      </c>
      <c r="BJ125">
        <v>0</v>
      </c>
      <c r="BK125">
        <v>0</v>
      </c>
      <c r="BL125">
        <v>0</v>
      </c>
      <c r="BM125">
        <v>0</v>
      </c>
      <c r="BN125">
        <v>0</v>
      </c>
      <c r="BO125">
        <v>1</v>
      </c>
      <c r="BP125">
        <v>0</v>
      </c>
      <c r="BQ125" s="28">
        <v>0</v>
      </c>
      <c r="BR125">
        <v>1</v>
      </c>
      <c r="BS125">
        <v>0</v>
      </c>
      <c r="BT125" s="28">
        <v>0</v>
      </c>
      <c r="BU125">
        <v>0</v>
      </c>
      <c r="BV125">
        <v>1</v>
      </c>
      <c r="BW125">
        <v>0</v>
      </c>
      <c r="BX125">
        <v>0</v>
      </c>
      <c r="BY125">
        <v>0</v>
      </c>
      <c r="BZ125">
        <v>0</v>
      </c>
      <c r="CA125">
        <v>1</v>
      </c>
      <c r="CB125">
        <v>0</v>
      </c>
      <c r="CC125">
        <v>0</v>
      </c>
      <c r="CD125">
        <v>0</v>
      </c>
      <c r="CE125" s="16">
        <v>0</v>
      </c>
      <c r="CF125">
        <v>0</v>
      </c>
      <c r="CG125">
        <v>18</v>
      </c>
      <c r="CH125">
        <v>0</v>
      </c>
      <c r="CI125">
        <v>1</v>
      </c>
      <c r="CJ125">
        <v>18</v>
      </c>
      <c r="CK125" t="s">
        <v>46</v>
      </c>
    </row>
    <row r="126" spans="1:89" x14ac:dyDescent="0.25">
      <c r="A126">
        <v>125</v>
      </c>
      <c r="B126">
        <v>9</v>
      </c>
      <c r="C126" t="s">
        <v>290</v>
      </c>
      <c r="D126" s="79">
        <v>4.5</v>
      </c>
      <c r="E126" s="6">
        <v>1.9</v>
      </c>
      <c r="F126" s="6">
        <f t="shared" si="18"/>
        <v>2.3684210526315792</v>
      </c>
      <c r="G126" s="78">
        <v>0</v>
      </c>
      <c r="H126" s="70">
        <v>0</v>
      </c>
      <c r="I126" s="70">
        <v>0</v>
      </c>
      <c r="J126" s="70">
        <v>1</v>
      </c>
      <c r="K126" s="70">
        <v>0</v>
      </c>
      <c r="L126" s="78">
        <v>1331</v>
      </c>
      <c r="M126" s="70">
        <v>5</v>
      </c>
      <c r="N126" s="70">
        <f t="shared" si="12"/>
        <v>1325</v>
      </c>
      <c r="O126" s="60">
        <f t="shared" si="13"/>
        <v>14</v>
      </c>
      <c r="P126" s="70">
        <v>14.61</v>
      </c>
      <c r="Q126" s="70">
        <v>9.7799999999999994</v>
      </c>
      <c r="R126" s="78">
        <v>1</v>
      </c>
      <c r="S126" s="70">
        <v>0</v>
      </c>
      <c r="T126" s="70">
        <v>0</v>
      </c>
      <c r="U126" s="70">
        <v>0</v>
      </c>
      <c r="V126" s="70">
        <v>0</v>
      </c>
      <c r="W126" s="70">
        <v>1</v>
      </c>
      <c r="X126" s="78">
        <v>0</v>
      </c>
      <c r="Y126" s="70">
        <v>1</v>
      </c>
      <c r="Z126" s="70">
        <v>0</v>
      </c>
      <c r="AA126" s="78">
        <v>1</v>
      </c>
      <c r="AB126" s="70">
        <v>0</v>
      </c>
      <c r="AC126" s="69">
        <v>2012</v>
      </c>
      <c r="AD126" t="s">
        <v>57</v>
      </c>
      <c r="AE126" t="s">
        <v>57</v>
      </c>
      <c r="AF126" t="s">
        <v>57</v>
      </c>
      <c r="AG126" t="s">
        <v>57</v>
      </c>
      <c r="AH126" s="28" t="s">
        <v>57</v>
      </c>
      <c r="AI126" t="s">
        <v>57</v>
      </c>
      <c r="AJ126" s="28">
        <v>0.5</v>
      </c>
      <c r="AK126">
        <f t="shared" si="19"/>
        <v>0.5</v>
      </c>
      <c r="AL126" s="28">
        <v>0</v>
      </c>
      <c r="AM126">
        <v>1</v>
      </c>
      <c r="AN126">
        <v>0</v>
      </c>
      <c r="AO126">
        <v>1</v>
      </c>
      <c r="AP126" s="28">
        <v>0.64</v>
      </c>
      <c r="AQ126" s="12">
        <f t="shared" si="20"/>
        <v>0.36</v>
      </c>
      <c r="AR126">
        <v>0</v>
      </c>
      <c r="AS126">
        <f t="shared" si="21"/>
        <v>1</v>
      </c>
      <c r="AT126">
        <v>0</v>
      </c>
      <c r="AU126" s="62" t="s">
        <v>365</v>
      </c>
      <c r="AV126">
        <v>1</v>
      </c>
      <c r="AW126">
        <v>0</v>
      </c>
      <c r="AX126">
        <v>0</v>
      </c>
      <c r="AY126">
        <v>0</v>
      </c>
      <c r="AZ126">
        <v>0</v>
      </c>
      <c r="BA126">
        <v>0</v>
      </c>
      <c r="BB126">
        <v>0</v>
      </c>
      <c r="BC126">
        <v>1</v>
      </c>
      <c r="BD126">
        <v>0</v>
      </c>
      <c r="BE126">
        <v>0</v>
      </c>
      <c r="BF126">
        <v>19144</v>
      </c>
      <c r="BG126">
        <v>1210</v>
      </c>
      <c r="BH126">
        <v>0.63900000000000001</v>
      </c>
      <c r="BI126" s="64">
        <v>39.36</v>
      </c>
      <c r="BJ126">
        <v>0</v>
      </c>
      <c r="BK126">
        <v>0</v>
      </c>
      <c r="BL126">
        <v>1</v>
      </c>
      <c r="BM126">
        <v>0</v>
      </c>
      <c r="BN126">
        <v>0</v>
      </c>
      <c r="BO126">
        <v>0</v>
      </c>
      <c r="BP126">
        <v>0</v>
      </c>
      <c r="BQ126" s="28">
        <v>0</v>
      </c>
      <c r="BR126">
        <v>0</v>
      </c>
      <c r="BS126">
        <v>0</v>
      </c>
      <c r="BT126" s="28">
        <v>0</v>
      </c>
      <c r="BU126">
        <v>0</v>
      </c>
      <c r="BV126">
        <v>1</v>
      </c>
      <c r="BW126">
        <v>0</v>
      </c>
      <c r="BX126">
        <v>0</v>
      </c>
      <c r="BY126">
        <v>0</v>
      </c>
      <c r="BZ126">
        <v>1</v>
      </c>
      <c r="CA126">
        <v>1</v>
      </c>
      <c r="CB126">
        <v>0</v>
      </c>
      <c r="CC126">
        <v>0</v>
      </c>
      <c r="CD126">
        <v>0</v>
      </c>
      <c r="CE126" s="16">
        <v>0</v>
      </c>
      <c r="CF126">
        <v>0</v>
      </c>
      <c r="CG126">
        <v>18</v>
      </c>
      <c r="CH126">
        <v>0</v>
      </c>
      <c r="CI126">
        <v>1</v>
      </c>
      <c r="CJ126">
        <v>18</v>
      </c>
      <c r="CK126" t="s">
        <v>46</v>
      </c>
    </row>
    <row r="127" spans="1:89" x14ac:dyDescent="0.25">
      <c r="A127">
        <v>126</v>
      </c>
      <c r="B127">
        <v>9</v>
      </c>
      <c r="C127" t="s">
        <v>290</v>
      </c>
      <c r="D127" s="79">
        <v>5.2</v>
      </c>
      <c r="E127" s="6">
        <v>1.7</v>
      </c>
      <c r="F127" s="6">
        <f t="shared" si="18"/>
        <v>3.0588235294117649</v>
      </c>
      <c r="G127" s="78">
        <v>0</v>
      </c>
      <c r="H127" s="70">
        <v>0</v>
      </c>
      <c r="I127" s="70">
        <v>0</v>
      </c>
      <c r="J127" s="70">
        <v>1</v>
      </c>
      <c r="K127" s="70">
        <v>0</v>
      </c>
      <c r="L127" s="78">
        <v>1331</v>
      </c>
      <c r="M127" s="70">
        <v>8</v>
      </c>
      <c r="N127" s="70">
        <f t="shared" si="12"/>
        <v>1322</v>
      </c>
      <c r="O127" s="60">
        <f t="shared" si="13"/>
        <v>14</v>
      </c>
      <c r="P127" s="70">
        <v>14.61</v>
      </c>
      <c r="Q127" s="70">
        <v>9.7799999999999994</v>
      </c>
      <c r="R127" s="78">
        <v>1</v>
      </c>
      <c r="S127" s="70">
        <v>0</v>
      </c>
      <c r="T127" s="70">
        <v>0</v>
      </c>
      <c r="U127" s="70">
        <v>0</v>
      </c>
      <c r="V127" s="70">
        <v>0</v>
      </c>
      <c r="W127" s="70">
        <v>1</v>
      </c>
      <c r="X127" s="78">
        <v>0</v>
      </c>
      <c r="Y127" s="70">
        <v>1</v>
      </c>
      <c r="Z127" s="70">
        <v>0</v>
      </c>
      <c r="AA127" s="78">
        <v>1</v>
      </c>
      <c r="AB127" s="70">
        <v>0</v>
      </c>
      <c r="AC127" s="69">
        <v>2012</v>
      </c>
      <c r="AD127" t="s">
        <v>57</v>
      </c>
      <c r="AE127" t="s">
        <v>57</v>
      </c>
      <c r="AF127" t="s">
        <v>57</v>
      </c>
      <c r="AG127" t="s">
        <v>57</v>
      </c>
      <c r="AH127" s="28" t="s">
        <v>57</v>
      </c>
      <c r="AI127" t="s">
        <v>57</v>
      </c>
      <c r="AJ127" s="28">
        <v>0.5</v>
      </c>
      <c r="AK127">
        <f t="shared" si="19"/>
        <v>0.5</v>
      </c>
      <c r="AL127" s="28">
        <v>0</v>
      </c>
      <c r="AM127">
        <v>1</v>
      </c>
      <c r="AN127">
        <v>0</v>
      </c>
      <c r="AO127">
        <v>1</v>
      </c>
      <c r="AP127" s="28">
        <v>0.64</v>
      </c>
      <c r="AQ127" s="12">
        <f t="shared" si="20"/>
        <v>0.36</v>
      </c>
      <c r="AR127">
        <v>0</v>
      </c>
      <c r="AS127">
        <f t="shared" si="21"/>
        <v>1</v>
      </c>
      <c r="AT127">
        <v>0</v>
      </c>
      <c r="AU127" s="62" t="s">
        <v>365</v>
      </c>
      <c r="AV127">
        <v>1</v>
      </c>
      <c r="AW127">
        <v>0</v>
      </c>
      <c r="AX127">
        <v>0</v>
      </c>
      <c r="AY127">
        <v>0</v>
      </c>
      <c r="AZ127">
        <v>0</v>
      </c>
      <c r="BA127">
        <v>0</v>
      </c>
      <c r="BB127">
        <v>0</v>
      </c>
      <c r="BC127">
        <v>1</v>
      </c>
      <c r="BD127">
        <v>0</v>
      </c>
      <c r="BE127">
        <v>0</v>
      </c>
      <c r="BF127">
        <v>19144</v>
      </c>
      <c r="BG127">
        <v>1210</v>
      </c>
      <c r="BH127">
        <v>0.63900000000000001</v>
      </c>
      <c r="BI127" s="64">
        <v>39.36</v>
      </c>
      <c r="BJ127">
        <v>0</v>
      </c>
      <c r="BK127">
        <v>1</v>
      </c>
      <c r="BL127">
        <v>0</v>
      </c>
      <c r="BM127">
        <v>0</v>
      </c>
      <c r="BN127">
        <v>0</v>
      </c>
      <c r="BO127">
        <v>0</v>
      </c>
      <c r="BP127">
        <v>0</v>
      </c>
      <c r="BQ127" s="28">
        <v>0</v>
      </c>
      <c r="BR127">
        <v>0</v>
      </c>
      <c r="BS127">
        <v>0</v>
      </c>
      <c r="BT127" s="28">
        <v>1</v>
      </c>
      <c r="BU127">
        <v>1</v>
      </c>
      <c r="BV127">
        <v>1</v>
      </c>
      <c r="BW127">
        <v>0</v>
      </c>
      <c r="BX127">
        <v>0</v>
      </c>
      <c r="BY127">
        <v>0</v>
      </c>
      <c r="BZ127">
        <v>1</v>
      </c>
      <c r="CA127">
        <v>1</v>
      </c>
      <c r="CB127">
        <v>0</v>
      </c>
      <c r="CC127">
        <v>0</v>
      </c>
      <c r="CD127">
        <v>0</v>
      </c>
      <c r="CE127" s="16">
        <v>0</v>
      </c>
      <c r="CF127">
        <v>0</v>
      </c>
      <c r="CG127">
        <v>18</v>
      </c>
      <c r="CH127">
        <v>0</v>
      </c>
      <c r="CI127">
        <v>1</v>
      </c>
      <c r="CJ127">
        <v>18</v>
      </c>
      <c r="CK127" t="s">
        <v>46</v>
      </c>
    </row>
    <row r="128" spans="1:89" x14ac:dyDescent="0.25">
      <c r="A128">
        <v>127</v>
      </c>
      <c r="B128">
        <v>9</v>
      </c>
      <c r="C128" t="s">
        <v>290</v>
      </c>
      <c r="D128" s="79">
        <v>12.5</v>
      </c>
      <c r="E128" s="6">
        <v>4.0999999999999996</v>
      </c>
      <c r="F128" s="6">
        <f t="shared" si="18"/>
        <v>3.0487804878048781</v>
      </c>
      <c r="G128" s="78">
        <v>0</v>
      </c>
      <c r="H128" s="70">
        <v>0</v>
      </c>
      <c r="I128" s="70">
        <v>0</v>
      </c>
      <c r="J128" s="70">
        <v>1</v>
      </c>
      <c r="K128" s="70">
        <v>0</v>
      </c>
      <c r="L128" s="78">
        <v>712</v>
      </c>
      <c r="M128" s="70">
        <v>5</v>
      </c>
      <c r="N128" s="70">
        <f t="shared" si="12"/>
        <v>706</v>
      </c>
      <c r="O128" s="60">
        <f t="shared" si="13"/>
        <v>14</v>
      </c>
      <c r="P128" s="70">
        <v>14.61</v>
      </c>
      <c r="Q128" s="70">
        <v>9.7799999999999994</v>
      </c>
      <c r="R128" s="78">
        <v>1</v>
      </c>
      <c r="S128" s="70">
        <v>0</v>
      </c>
      <c r="T128" s="70">
        <v>0</v>
      </c>
      <c r="U128" s="70">
        <v>0</v>
      </c>
      <c r="V128" s="70">
        <v>0</v>
      </c>
      <c r="W128" s="70">
        <v>1</v>
      </c>
      <c r="X128" s="78">
        <v>0</v>
      </c>
      <c r="Y128" s="70">
        <v>1</v>
      </c>
      <c r="Z128" s="70">
        <v>0</v>
      </c>
      <c r="AA128" s="78">
        <v>1</v>
      </c>
      <c r="AB128" s="70">
        <v>0</v>
      </c>
      <c r="AC128" s="69">
        <v>2012</v>
      </c>
      <c r="AD128" t="s">
        <v>57</v>
      </c>
      <c r="AE128" t="s">
        <v>57</v>
      </c>
      <c r="AF128" t="s">
        <v>57</v>
      </c>
      <c r="AG128" t="s">
        <v>57</v>
      </c>
      <c r="AH128" s="28" t="s">
        <v>57</v>
      </c>
      <c r="AI128" t="s">
        <v>57</v>
      </c>
      <c r="AJ128" s="28">
        <v>0.5</v>
      </c>
      <c r="AK128">
        <f t="shared" si="19"/>
        <v>0.5</v>
      </c>
      <c r="AL128" s="28">
        <v>0</v>
      </c>
      <c r="AM128">
        <v>1</v>
      </c>
      <c r="AN128">
        <v>0</v>
      </c>
      <c r="AO128">
        <v>1</v>
      </c>
      <c r="AP128" s="28">
        <v>0.64</v>
      </c>
      <c r="AQ128" s="12">
        <f t="shared" si="20"/>
        <v>0.36</v>
      </c>
      <c r="AR128">
        <v>0</v>
      </c>
      <c r="AS128">
        <f t="shared" si="21"/>
        <v>1</v>
      </c>
      <c r="AT128">
        <v>0</v>
      </c>
      <c r="AU128" s="62" t="s">
        <v>365</v>
      </c>
      <c r="AV128">
        <v>1</v>
      </c>
      <c r="AW128">
        <v>0</v>
      </c>
      <c r="AX128">
        <v>0</v>
      </c>
      <c r="AY128">
        <v>0</v>
      </c>
      <c r="AZ128">
        <v>0</v>
      </c>
      <c r="BA128">
        <v>0</v>
      </c>
      <c r="BB128">
        <v>0</v>
      </c>
      <c r="BC128">
        <v>1</v>
      </c>
      <c r="BD128">
        <v>0</v>
      </c>
      <c r="BE128">
        <v>0</v>
      </c>
      <c r="BF128">
        <v>19144</v>
      </c>
      <c r="BG128">
        <v>1210</v>
      </c>
      <c r="BH128">
        <v>0.63900000000000001</v>
      </c>
      <c r="BI128" s="64">
        <v>39.36</v>
      </c>
      <c r="BJ128">
        <v>0</v>
      </c>
      <c r="BK128">
        <v>0</v>
      </c>
      <c r="BL128">
        <v>0</v>
      </c>
      <c r="BM128">
        <v>0</v>
      </c>
      <c r="BN128">
        <v>0</v>
      </c>
      <c r="BO128">
        <v>1</v>
      </c>
      <c r="BP128">
        <v>0</v>
      </c>
      <c r="BQ128" s="28">
        <v>0</v>
      </c>
      <c r="BR128">
        <v>1</v>
      </c>
      <c r="BS128">
        <v>0</v>
      </c>
      <c r="BT128" s="28">
        <v>0</v>
      </c>
      <c r="BU128">
        <v>0</v>
      </c>
      <c r="BV128">
        <v>1</v>
      </c>
      <c r="BW128">
        <v>0</v>
      </c>
      <c r="BX128">
        <v>0</v>
      </c>
      <c r="BY128">
        <v>0</v>
      </c>
      <c r="BZ128">
        <v>1</v>
      </c>
      <c r="CA128">
        <v>1</v>
      </c>
      <c r="CB128">
        <v>0</v>
      </c>
      <c r="CC128">
        <v>0</v>
      </c>
      <c r="CD128">
        <v>0</v>
      </c>
      <c r="CE128" s="16">
        <v>0</v>
      </c>
      <c r="CF128">
        <v>0</v>
      </c>
      <c r="CG128">
        <v>18</v>
      </c>
      <c r="CH128">
        <v>0</v>
      </c>
      <c r="CI128">
        <v>1</v>
      </c>
      <c r="CJ128">
        <v>18</v>
      </c>
      <c r="CK128" t="s">
        <v>46</v>
      </c>
    </row>
    <row r="129" spans="1:89" x14ac:dyDescent="0.25">
      <c r="A129">
        <v>128</v>
      </c>
      <c r="B129">
        <v>10</v>
      </c>
      <c r="C129" t="s">
        <v>296</v>
      </c>
      <c r="D129" s="79">
        <v>4.5999999999999996</v>
      </c>
      <c r="E129" s="6">
        <v>0.05</v>
      </c>
      <c r="F129" s="6">
        <f t="shared" si="18"/>
        <v>91.999999999999986</v>
      </c>
      <c r="G129" s="78">
        <v>0</v>
      </c>
      <c r="H129" s="70">
        <v>0</v>
      </c>
      <c r="I129" s="70">
        <v>0</v>
      </c>
      <c r="J129" s="70">
        <v>1</v>
      </c>
      <c r="K129" s="70">
        <v>0</v>
      </c>
      <c r="L129" s="78">
        <v>191110</v>
      </c>
      <c r="M129" s="70">
        <v>1</v>
      </c>
      <c r="N129" s="70">
        <f t="shared" si="12"/>
        <v>191108</v>
      </c>
      <c r="O129" s="60">
        <f t="shared" si="13"/>
        <v>38</v>
      </c>
      <c r="P129" s="70">
        <v>9.18</v>
      </c>
      <c r="Q129" s="70">
        <v>19.5</v>
      </c>
      <c r="R129" s="78">
        <v>1</v>
      </c>
      <c r="S129" s="70">
        <v>0</v>
      </c>
      <c r="T129" s="78">
        <v>0</v>
      </c>
      <c r="U129" s="70">
        <v>1</v>
      </c>
      <c r="V129" s="70">
        <v>0</v>
      </c>
      <c r="W129" s="70">
        <v>0</v>
      </c>
      <c r="X129" s="78">
        <v>0</v>
      </c>
      <c r="Y129" s="70">
        <v>0</v>
      </c>
      <c r="Z129" s="70">
        <v>1</v>
      </c>
      <c r="AA129" s="78">
        <v>1</v>
      </c>
      <c r="AB129" s="70">
        <v>0</v>
      </c>
      <c r="AC129" s="69">
        <v>1940</v>
      </c>
      <c r="AD129">
        <f t="shared" ref="AD129:AE148" si="22">(1-$AF129-$AG129)/2</f>
        <v>0.33749999999999997</v>
      </c>
      <c r="AE129">
        <f t="shared" si="22"/>
        <v>0.33749999999999997</v>
      </c>
      <c r="AF129" s="70">
        <v>0.28199999999999997</v>
      </c>
      <c r="AG129" s="70">
        <v>4.2999999999999997E-2</v>
      </c>
      <c r="AH129" s="28">
        <v>1</v>
      </c>
      <c r="AI129">
        <v>0</v>
      </c>
      <c r="AJ129" s="28">
        <v>1</v>
      </c>
      <c r="AK129">
        <v>0</v>
      </c>
      <c r="AL129" s="28">
        <v>0.93</v>
      </c>
      <c r="AM129">
        <f t="shared" ref="AM129:AM166" si="23">1-AL129</f>
        <v>6.9999999999999951E-2</v>
      </c>
      <c r="AN129">
        <v>0</v>
      </c>
      <c r="AO129">
        <v>1</v>
      </c>
      <c r="AP129" s="28">
        <v>0.75</v>
      </c>
      <c r="AQ129" s="12">
        <f t="shared" si="20"/>
        <v>0.25</v>
      </c>
      <c r="AR129">
        <v>0.10100000000000001</v>
      </c>
      <c r="AS129">
        <v>0.10100000000000001</v>
      </c>
      <c r="AT129">
        <v>0.79800000000000004</v>
      </c>
      <c r="AU129" s="62" t="s">
        <v>87</v>
      </c>
      <c r="AV129">
        <v>1</v>
      </c>
      <c r="AW129">
        <v>0</v>
      </c>
      <c r="AX129">
        <v>0</v>
      </c>
      <c r="AY129">
        <v>0</v>
      </c>
      <c r="AZ129">
        <v>0</v>
      </c>
      <c r="BA129">
        <v>0</v>
      </c>
      <c r="BB129">
        <v>0</v>
      </c>
      <c r="BC129">
        <v>1</v>
      </c>
      <c r="BD129">
        <v>0</v>
      </c>
      <c r="BE129">
        <v>0</v>
      </c>
      <c r="BF129">
        <v>15113</v>
      </c>
      <c r="BG129">
        <v>528</v>
      </c>
      <c r="BH129">
        <v>0.79400000000000004</v>
      </c>
      <c r="BI129" s="64">
        <v>37.5</v>
      </c>
      <c r="BJ129">
        <v>1</v>
      </c>
      <c r="BK129">
        <v>0</v>
      </c>
      <c r="BL129">
        <v>0</v>
      </c>
      <c r="BM129">
        <v>0</v>
      </c>
      <c r="BN129">
        <v>0</v>
      </c>
      <c r="BO129">
        <v>0</v>
      </c>
      <c r="BP129">
        <v>0</v>
      </c>
      <c r="BQ129" s="28">
        <v>0</v>
      </c>
      <c r="BR129">
        <v>0</v>
      </c>
      <c r="BS129">
        <v>0</v>
      </c>
      <c r="BT129" s="28">
        <v>0</v>
      </c>
      <c r="BU129">
        <v>0</v>
      </c>
      <c r="BV129">
        <v>0</v>
      </c>
      <c r="BW129">
        <v>0</v>
      </c>
      <c r="BX129">
        <v>0</v>
      </c>
      <c r="BY129">
        <v>0</v>
      </c>
      <c r="BZ129">
        <v>0</v>
      </c>
      <c r="CA129">
        <v>0</v>
      </c>
      <c r="CB129">
        <v>0</v>
      </c>
      <c r="CC129">
        <v>0</v>
      </c>
      <c r="CD129">
        <v>0</v>
      </c>
      <c r="CE129" s="16">
        <v>0</v>
      </c>
      <c r="CF129">
        <v>8.1000000000000003E-2</v>
      </c>
      <c r="CG129">
        <v>11</v>
      </c>
      <c r="CH129">
        <v>1</v>
      </c>
      <c r="CI129">
        <v>0</v>
      </c>
      <c r="CJ129">
        <v>26</v>
      </c>
      <c r="CK129" t="s">
        <v>46</v>
      </c>
    </row>
    <row r="130" spans="1:89" x14ac:dyDescent="0.25">
      <c r="A130">
        <v>129</v>
      </c>
      <c r="B130">
        <v>10</v>
      </c>
      <c r="C130" t="s">
        <v>296</v>
      </c>
      <c r="D130" s="79">
        <v>5.5</v>
      </c>
      <c r="E130" s="6">
        <v>0.05</v>
      </c>
      <c r="F130" s="6">
        <f t="shared" si="18"/>
        <v>110</v>
      </c>
      <c r="G130" s="78">
        <v>0</v>
      </c>
      <c r="H130" s="70">
        <v>0</v>
      </c>
      <c r="I130" s="70">
        <v>0</v>
      </c>
      <c r="J130" s="70">
        <v>1</v>
      </c>
      <c r="K130" s="70">
        <v>0</v>
      </c>
      <c r="L130" s="78">
        <v>191110</v>
      </c>
      <c r="M130" s="70">
        <v>4</v>
      </c>
      <c r="N130" s="70">
        <f t="shared" ref="N130:N193" si="24">L130-M130-1</f>
        <v>191105</v>
      </c>
      <c r="O130" s="60">
        <f t="shared" ref="O130:O193" si="25">COUNTIF(B:B,B130)</f>
        <v>38</v>
      </c>
      <c r="P130" s="70">
        <v>9.18</v>
      </c>
      <c r="Q130" s="70">
        <v>19.5</v>
      </c>
      <c r="R130" s="78">
        <v>1</v>
      </c>
      <c r="S130" s="70">
        <v>0</v>
      </c>
      <c r="T130" s="78">
        <v>0</v>
      </c>
      <c r="U130" s="70">
        <v>1</v>
      </c>
      <c r="V130" s="70">
        <v>0</v>
      </c>
      <c r="W130" s="70">
        <v>0</v>
      </c>
      <c r="X130" s="78">
        <v>0</v>
      </c>
      <c r="Y130" s="70">
        <v>0</v>
      </c>
      <c r="Z130" s="70">
        <v>1</v>
      </c>
      <c r="AA130" s="78">
        <v>1</v>
      </c>
      <c r="AB130" s="70">
        <v>0</v>
      </c>
      <c r="AC130" s="69">
        <v>1940</v>
      </c>
      <c r="AD130">
        <f t="shared" si="22"/>
        <v>0.33749999999999997</v>
      </c>
      <c r="AE130">
        <f t="shared" si="22"/>
        <v>0.33749999999999997</v>
      </c>
      <c r="AF130" s="70">
        <v>0.28199999999999997</v>
      </c>
      <c r="AG130" s="70">
        <v>4.2999999999999997E-2</v>
      </c>
      <c r="AH130" s="28">
        <v>1</v>
      </c>
      <c r="AI130">
        <v>0</v>
      </c>
      <c r="AJ130" s="28">
        <v>1</v>
      </c>
      <c r="AK130">
        <v>0</v>
      </c>
      <c r="AL130" s="28">
        <v>0.93</v>
      </c>
      <c r="AM130">
        <f t="shared" si="23"/>
        <v>6.9999999999999951E-2</v>
      </c>
      <c r="AN130">
        <v>0</v>
      </c>
      <c r="AO130">
        <v>1</v>
      </c>
      <c r="AP130" s="28">
        <v>0.75</v>
      </c>
      <c r="AQ130" s="12">
        <f t="shared" si="20"/>
        <v>0.25</v>
      </c>
      <c r="AR130">
        <v>0.10100000000000001</v>
      </c>
      <c r="AS130">
        <v>0.10100000000000001</v>
      </c>
      <c r="AT130">
        <v>0.79800000000000004</v>
      </c>
      <c r="AU130" s="62" t="s">
        <v>87</v>
      </c>
      <c r="AV130">
        <v>1</v>
      </c>
      <c r="AW130">
        <v>0</v>
      </c>
      <c r="AX130">
        <v>0</v>
      </c>
      <c r="AY130">
        <v>0</v>
      </c>
      <c r="AZ130">
        <v>0</v>
      </c>
      <c r="BA130">
        <v>0</v>
      </c>
      <c r="BB130">
        <v>0</v>
      </c>
      <c r="BC130">
        <v>1</v>
      </c>
      <c r="BD130">
        <v>0</v>
      </c>
      <c r="BE130">
        <v>0</v>
      </c>
      <c r="BF130">
        <v>15113</v>
      </c>
      <c r="BG130">
        <v>528</v>
      </c>
      <c r="BH130">
        <v>0.79400000000000004</v>
      </c>
      <c r="BI130" s="64">
        <v>37.5</v>
      </c>
      <c r="BJ130">
        <v>1</v>
      </c>
      <c r="BK130">
        <v>0</v>
      </c>
      <c r="BL130">
        <v>0</v>
      </c>
      <c r="BM130">
        <v>0</v>
      </c>
      <c r="BN130">
        <v>0</v>
      </c>
      <c r="BO130">
        <v>0</v>
      </c>
      <c r="BP130">
        <v>0</v>
      </c>
      <c r="BQ130" s="28">
        <v>0</v>
      </c>
      <c r="BR130">
        <v>0</v>
      </c>
      <c r="BS130">
        <v>0</v>
      </c>
      <c r="BT130" s="28">
        <v>1</v>
      </c>
      <c r="BU130">
        <v>1</v>
      </c>
      <c r="BV130">
        <v>0</v>
      </c>
      <c r="BW130">
        <v>0</v>
      </c>
      <c r="BX130">
        <v>1</v>
      </c>
      <c r="BY130">
        <v>0</v>
      </c>
      <c r="BZ130">
        <v>0</v>
      </c>
      <c r="CA130">
        <v>0</v>
      </c>
      <c r="CB130">
        <v>0</v>
      </c>
      <c r="CC130">
        <v>0</v>
      </c>
      <c r="CD130">
        <v>0</v>
      </c>
      <c r="CE130" s="16">
        <v>0</v>
      </c>
      <c r="CF130">
        <v>8.1000000000000003E-2</v>
      </c>
      <c r="CG130">
        <v>11</v>
      </c>
      <c r="CH130">
        <v>1</v>
      </c>
      <c r="CI130">
        <v>0</v>
      </c>
      <c r="CJ130">
        <v>26</v>
      </c>
      <c r="CK130">
        <v>0</v>
      </c>
    </row>
    <row r="131" spans="1:89" x14ac:dyDescent="0.25">
      <c r="A131">
        <v>130</v>
      </c>
      <c r="B131">
        <v>10</v>
      </c>
      <c r="C131" t="s">
        <v>296</v>
      </c>
      <c r="D131" s="79">
        <v>3.8</v>
      </c>
      <c r="E131" s="6">
        <v>0.1</v>
      </c>
      <c r="F131" s="6">
        <f t="shared" si="18"/>
        <v>37.999999999999993</v>
      </c>
      <c r="G131" s="78">
        <v>0</v>
      </c>
      <c r="H131" s="70">
        <v>0</v>
      </c>
      <c r="I131" s="70">
        <v>0</v>
      </c>
      <c r="J131" s="70">
        <v>1</v>
      </c>
      <c r="K131" s="70">
        <v>0</v>
      </c>
      <c r="L131" s="78">
        <v>191110</v>
      </c>
      <c r="M131" s="70">
        <v>4</v>
      </c>
      <c r="N131" s="70">
        <f t="shared" si="24"/>
        <v>191105</v>
      </c>
      <c r="O131" s="60">
        <f t="shared" si="25"/>
        <v>38</v>
      </c>
      <c r="P131" s="70">
        <v>9.18</v>
      </c>
      <c r="Q131" s="70">
        <v>19.5</v>
      </c>
      <c r="R131" s="78">
        <v>1</v>
      </c>
      <c r="S131" s="70">
        <v>0</v>
      </c>
      <c r="T131" s="78">
        <v>0</v>
      </c>
      <c r="U131" s="70">
        <v>1</v>
      </c>
      <c r="V131" s="70">
        <v>0</v>
      </c>
      <c r="W131" s="70">
        <v>0</v>
      </c>
      <c r="X131" s="78">
        <v>0</v>
      </c>
      <c r="Y131" s="70">
        <v>0</v>
      </c>
      <c r="Z131" s="70">
        <v>1</v>
      </c>
      <c r="AA131" s="78">
        <v>1</v>
      </c>
      <c r="AB131" s="70">
        <v>0</v>
      </c>
      <c r="AC131" s="69">
        <v>1940</v>
      </c>
      <c r="AD131">
        <f t="shared" si="22"/>
        <v>0.33749999999999997</v>
      </c>
      <c r="AE131">
        <f t="shared" si="22"/>
        <v>0.33749999999999997</v>
      </c>
      <c r="AF131" s="70">
        <v>0.28199999999999997</v>
      </c>
      <c r="AG131" s="70">
        <v>4.2999999999999997E-2</v>
      </c>
      <c r="AH131" s="28">
        <v>1</v>
      </c>
      <c r="AI131">
        <v>0</v>
      </c>
      <c r="AJ131" s="28">
        <v>1</v>
      </c>
      <c r="AK131">
        <v>0</v>
      </c>
      <c r="AL131" s="28">
        <v>0.93</v>
      </c>
      <c r="AM131">
        <f t="shared" si="23"/>
        <v>6.9999999999999951E-2</v>
      </c>
      <c r="AN131">
        <v>0</v>
      </c>
      <c r="AO131">
        <v>1</v>
      </c>
      <c r="AP131" s="28">
        <v>0.75</v>
      </c>
      <c r="AQ131" s="12">
        <f t="shared" si="20"/>
        <v>0.25</v>
      </c>
      <c r="AR131">
        <v>0.10100000000000001</v>
      </c>
      <c r="AS131">
        <v>0.10100000000000001</v>
      </c>
      <c r="AT131">
        <v>0.79800000000000004</v>
      </c>
      <c r="AU131" s="62" t="s">
        <v>87</v>
      </c>
      <c r="AV131">
        <v>1</v>
      </c>
      <c r="AW131">
        <v>0</v>
      </c>
      <c r="AX131">
        <v>0</v>
      </c>
      <c r="AY131">
        <v>0</v>
      </c>
      <c r="AZ131">
        <v>0</v>
      </c>
      <c r="BA131">
        <v>0</v>
      </c>
      <c r="BB131">
        <v>0</v>
      </c>
      <c r="BC131">
        <v>1</v>
      </c>
      <c r="BD131">
        <v>0</v>
      </c>
      <c r="BE131">
        <v>0</v>
      </c>
      <c r="BF131">
        <v>15113</v>
      </c>
      <c r="BG131">
        <v>528</v>
      </c>
      <c r="BH131">
        <v>0.79400000000000004</v>
      </c>
      <c r="BI131" s="64">
        <v>37.5</v>
      </c>
      <c r="BJ131">
        <v>1</v>
      </c>
      <c r="BK131">
        <v>0</v>
      </c>
      <c r="BL131">
        <v>0</v>
      </c>
      <c r="BM131">
        <v>0</v>
      </c>
      <c r="BN131">
        <v>0</v>
      </c>
      <c r="BO131">
        <v>0</v>
      </c>
      <c r="BP131">
        <v>0</v>
      </c>
      <c r="BQ131" s="28">
        <v>0</v>
      </c>
      <c r="BR131">
        <v>0</v>
      </c>
      <c r="BS131">
        <v>0</v>
      </c>
      <c r="BT131" s="28">
        <v>1</v>
      </c>
      <c r="BU131">
        <v>1</v>
      </c>
      <c r="BV131">
        <v>0</v>
      </c>
      <c r="BW131">
        <v>0</v>
      </c>
      <c r="BX131">
        <v>1</v>
      </c>
      <c r="BY131">
        <v>0</v>
      </c>
      <c r="BZ131">
        <v>0</v>
      </c>
      <c r="CA131">
        <v>0</v>
      </c>
      <c r="CB131">
        <v>0</v>
      </c>
      <c r="CC131">
        <v>0</v>
      </c>
      <c r="CD131">
        <v>0</v>
      </c>
      <c r="CE131" s="16">
        <v>0</v>
      </c>
      <c r="CF131">
        <v>8.1000000000000003E-2</v>
      </c>
      <c r="CG131">
        <v>11</v>
      </c>
      <c r="CH131">
        <v>1</v>
      </c>
      <c r="CI131">
        <v>0</v>
      </c>
      <c r="CJ131">
        <v>26</v>
      </c>
      <c r="CK131" t="s">
        <v>46</v>
      </c>
    </row>
    <row r="132" spans="1:89" x14ac:dyDescent="0.25">
      <c r="A132">
        <v>131</v>
      </c>
      <c r="B132">
        <v>10</v>
      </c>
      <c r="C132" t="s">
        <v>296</v>
      </c>
      <c r="D132" s="79">
        <v>5</v>
      </c>
      <c r="E132" s="6">
        <v>0.1</v>
      </c>
      <c r="F132" s="6">
        <f t="shared" si="18"/>
        <v>50</v>
      </c>
      <c r="G132" s="78">
        <v>0</v>
      </c>
      <c r="H132" s="70">
        <v>0</v>
      </c>
      <c r="I132" s="70">
        <v>0</v>
      </c>
      <c r="J132" s="70">
        <v>1</v>
      </c>
      <c r="K132" s="70">
        <v>0</v>
      </c>
      <c r="L132" s="78">
        <v>38652</v>
      </c>
      <c r="M132" s="70">
        <v>1</v>
      </c>
      <c r="N132" s="70">
        <f t="shared" si="24"/>
        <v>38650</v>
      </c>
      <c r="O132" s="60">
        <f t="shared" si="25"/>
        <v>38</v>
      </c>
      <c r="P132" s="70">
        <v>9.6300000000000008</v>
      </c>
      <c r="Q132" s="70">
        <v>18.5</v>
      </c>
      <c r="R132" s="78">
        <v>1</v>
      </c>
      <c r="S132" s="70">
        <v>0</v>
      </c>
      <c r="T132" s="78">
        <v>0</v>
      </c>
      <c r="U132" s="70">
        <v>1</v>
      </c>
      <c r="V132" s="70">
        <v>0</v>
      </c>
      <c r="W132" s="70">
        <v>0</v>
      </c>
      <c r="X132" s="78">
        <v>0</v>
      </c>
      <c r="Y132" s="70">
        <v>0</v>
      </c>
      <c r="Z132" s="70">
        <v>1</v>
      </c>
      <c r="AA132" s="78">
        <v>1</v>
      </c>
      <c r="AB132" s="70">
        <v>0</v>
      </c>
      <c r="AC132" s="69">
        <v>1940</v>
      </c>
      <c r="AD132">
        <f t="shared" si="22"/>
        <v>0.33749999999999997</v>
      </c>
      <c r="AE132">
        <f t="shared" si="22"/>
        <v>0.33749999999999997</v>
      </c>
      <c r="AF132" s="70">
        <v>0.28199999999999997</v>
      </c>
      <c r="AG132" s="70">
        <v>4.2999999999999997E-2</v>
      </c>
      <c r="AH132" s="28">
        <v>1</v>
      </c>
      <c r="AI132">
        <v>0</v>
      </c>
      <c r="AJ132" s="28">
        <v>1</v>
      </c>
      <c r="AK132">
        <v>0</v>
      </c>
      <c r="AL132" s="28">
        <v>0.96</v>
      </c>
      <c r="AM132">
        <f t="shared" si="23"/>
        <v>4.0000000000000036E-2</v>
      </c>
      <c r="AN132">
        <v>0</v>
      </c>
      <c r="AO132">
        <v>1</v>
      </c>
      <c r="AP132" s="28">
        <v>0.75</v>
      </c>
      <c r="AQ132" s="12">
        <f t="shared" si="20"/>
        <v>0.25</v>
      </c>
      <c r="AR132">
        <v>0.5</v>
      </c>
      <c r="AS132">
        <v>0.5</v>
      </c>
      <c r="AT132">
        <v>0</v>
      </c>
      <c r="AU132" s="62" t="s">
        <v>87</v>
      </c>
      <c r="AV132">
        <v>1</v>
      </c>
      <c r="AW132">
        <v>0</v>
      </c>
      <c r="AX132">
        <v>0</v>
      </c>
      <c r="AY132">
        <v>0</v>
      </c>
      <c r="AZ132">
        <v>0</v>
      </c>
      <c r="BA132">
        <v>0</v>
      </c>
      <c r="BB132">
        <v>0</v>
      </c>
      <c r="BC132">
        <v>1</v>
      </c>
      <c r="BD132">
        <v>0</v>
      </c>
      <c r="BE132">
        <v>0</v>
      </c>
      <c r="BF132">
        <v>15113</v>
      </c>
      <c r="BG132">
        <v>528</v>
      </c>
      <c r="BH132">
        <v>0.79400000000000004</v>
      </c>
      <c r="BI132" s="64">
        <v>36.6</v>
      </c>
      <c r="BJ132">
        <v>1</v>
      </c>
      <c r="BK132">
        <v>0</v>
      </c>
      <c r="BL132">
        <v>0</v>
      </c>
      <c r="BM132">
        <v>0</v>
      </c>
      <c r="BN132">
        <v>0</v>
      </c>
      <c r="BO132">
        <v>0</v>
      </c>
      <c r="BP132">
        <v>0</v>
      </c>
      <c r="BQ132" s="28">
        <v>0</v>
      </c>
      <c r="BR132">
        <v>0</v>
      </c>
      <c r="BS132">
        <v>0</v>
      </c>
      <c r="BT132" s="28">
        <v>0</v>
      </c>
      <c r="BU132">
        <v>0</v>
      </c>
      <c r="BV132">
        <v>0</v>
      </c>
      <c r="BW132">
        <v>0</v>
      </c>
      <c r="BX132">
        <v>0</v>
      </c>
      <c r="BY132">
        <v>0</v>
      </c>
      <c r="BZ132">
        <v>0</v>
      </c>
      <c r="CA132">
        <v>0</v>
      </c>
      <c r="CB132">
        <v>0</v>
      </c>
      <c r="CC132">
        <v>0</v>
      </c>
      <c r="CD132">
        <v>0</v>
      </c>
      <c r="CE132" s="16">
        <v>0</v>
      </c>
      <c r="CF132">
        <v>8.1000000000000003E-2</v>
      </c>
      <c r="CG132">
        <v>11</v>
      </c>
      <c r="CH132">
        <v>1</v>
      </c>
      <c r="CI132">
        <v>0</v>
      </c>
      <c r="CJ132">
        <v>26</v>
      </c>
      <c r="CK132" t="s">
        <v>46</v>
      </c>
    </row>
    <row r="133" spans="1:89" x14ac:dyDescent="0.25">
      <c r="A133">
        <v>132</v>
      </c>
      <c r="B133">
        <v>10</v>
      </c>
      <c r="C133" t="s">
        <v>296</v>
      </c>
      <c r="D133" s="79">
        <v>5.6</v>
      </c>
      <c r="E133" s="6">
        <v>0.1</v>
      </c>
      <c r="F133" s="6">
        <f t="shared" si="18"/>
        <v>55.999999999999993</v>
      </c>
      <c r="G133" s="78">
        <v>0</v>
      </c>
      <c r="H133" s="70">
        <v>0</v>
      </c>
      <c r="I133" s="70">
        <v>0</v>
      </c>
      <c r="J133" s="70">
        <v>1</v>
      </c>
      <c r="K133" s="70">
        <v>0</v>
      </c>
      <c r="L133" s="78">
        <v>38652</v>
      </c>
      <c r="M133" s="70">
        <v>4</v>
      </c>
      <c r="N133" s="70">
        <f t="shared" si="24"/>
        <v>38647</v>
      </c>
      <c r="O133" s="60">
        <f t="shared" si="25"/>
        <v>38</v>
      </c>
      <c r="P133" s="70">
        <v>9.6300000000000008</v>
      </c>
      <c r="Q133" s="70">
        <v>18.5</v>
      </c>
      <c r="R133" s="78">
        <v>1</v>
      </c>
      <c r="S133" s="70">
        <v>0</v>
      </c>
      <c r="T133" s="78">
        <v>0</v>
      </c>
      <c r="U133" s="70">
        <v>1</v>
      </c>
      <c r="V133" s="70">
        <v>0</v>
      </c>
      <c r="W133" s="70">
        <v>0</v>
      </c>
      <c r="X133" s="78">
        <v>0</v>
      </c>
      <c r="Y133" s="70">
        <v>0</v>
      </c>
      <c r="Z133" s="70">
        <v>1</v>
      </c>
      <c r="AA133" s="78">
        <v>1</v>
      </c>
      <c r="AB133" s="70">
        <v>0</v>
      </c>
      <c r="AC133" s="69">
        <v>1940</v>
      </c>
      <c r="AD133">
        <f t="shared" si="22"/>
        <v>0.33749999999999997</v>
      </c>
      <c r="AE133">
        <f t="shared" si="22"/>
        <v>0.33749999999999997</v>
      </c>
      <c r="AF133" s="70">
        <v>0.28199999999999997</v>
      </c>
      <c r="AG133" s="70">
        <v>4.2999999999999997E-2</v>
      </c>
      <c r="AH133" s="28">
        <v>1</v>
      </c>
      <c r="AI133">
        <v>0</v>
      </c>
      <c r="AJ133" s="28">
        <v>1</v>
      </c>
      <c r="AK133">
        <v>0</v>
      </c>
      <c r="AL133" s="28">
        <v>0.96</v>
      </c>
      <c r="AM133">
        <f t="shared" si="23"/>
        <v>4.0000000000000036E-2</v>
      </c>
      <c r="AN133">
        <v>0</v>
      </c>
      <c r="AO133">
        <v>1</v>
      </c>
      <c r="AP133" s="28">
        <v>0.75</v>
      </c>
      <c r="AQ133" s="12">
        <f t="shared" si="20"/>
        <v>0.25</v>
      </c>
      <c r="AR133">
        <v>0.5</v>
      </c>
      <c r="AS133">
        <v>0.5</v>
      </c>
      <c r="AT133">
        <v>0</v>
      </c>
      <c r="AU133" s="62" t="s">
        <v>87</v>
      </c>
      <c r="AV133">
        <v>1</v>
      </c>
      <c r="AW133">
        <v>0</v>
      </c>
      <c r="AX133">
        <v>0</v>
      </c>
      <c r="AY133">
        <v>0</v>
      </c>
      <c r="AZ133">
        <v>0</v>
      </c>
      <c r="BA133">
        <v>0</v>
      </c>
      <c r="BB133">
        <v>0</v>
      </c>
      <c r="BC133">
        <v>1</v>
      </c>
      <c r="BD133">
        <v>0</v>
      </c>
      <c r="BE133">
        <v>0</v>
      </c>
      <c r="BF133">
        <v>15113</v>
      </c>
      <c r="BG133">
        <v>528</v>
      </c>
      <c r="BH133">
        <v>0.79400000000000004</v>
      </c>
      <c r="BI133" s="64">
        <v>36.6</v>
      </c>
      <c r="BJ133">
        <v>1</v>
      </c>
      <c r="BK133">
        <v>0</v>
      </c>
      <c r="BL133">
        <v>0</v>
      </c>
      <c r="BM133">
        <v>0</v>
      </c>
      <c r="BN133">
        <v>0</v>
      </c>
      <c r="BO133">
        <v>0</v>
      </c>
      <c r="BP133">
        <v>0</v>
      </c>
      <c r="BQ133" s="28">
        <v>0</v>
      </c>
      <c r="BR133">
        <v>0</v>
      </c>
      <c r="BS133">
        <v>0</v>
      </c>
      <c r="BT133" s="28">
        <v>1</v>
      </c>
      <c r="BU133">
        <v>1</v>
      </c>
      <c r="BV133">
        <v>0</v>
      </c>
      <c r="BW133">
        <v>0</v>
      </c>
      <c r="BX133">
        <v>1</v>
      </c>
      <c r="BY133">
        <v>0</v>
      </c>
      <c r="BZ133">
        <v>0</v>
      </c>
      <c r="CA133">
        <v>0</v>
      </c>
      <c r="CB133">
        <v>0</v>
      </c>
      <c r="CC133">
        <v>0</v>
      </c>
      <c r="CD133">
        <v>0</v>
      </c>
      <c r="CE133" s="16">
        <v>0</v>
      </c>
      <c r="CF133">
        <v>8.1000000000000003E-2</v>
      </c>
      <c r="CG133">
        <v>11</v>
      </c>
      <c r="CH133">
        <v>1</v>
      </c>
      <c r="CI133">
        <v>0</v>
      </c>
      <c r="CJ133">
        <v>26</v>
      </c>
      <c r="CK133" t="s">
        <v>46</v>
      </c>
    </row>
    <row r="134" spans="1:89" x14ac:dyDescent="0.25">
      <c r="A134">
        <v>133</v>
      </c>
      <c r="B134">
        <v>10</v>
      </c>
      <c r="C134" t="s">
        <v>296</v>
      </c>
      <c r="D134" s="79">
        <v>3.6</v>
      </c>
      <c r="E134" s="6">
        <v>0.2</v>
      </c>
      <c r="F134" s="6">
        <f t="shared" si="18"/>
        <v>18</v>
      </c>
      <c r="G134" s="78">
        <v>0</v>
      </c>
      <c r="H134" s="70">
        <v>0</v>
      </c>
      <c r="I134" s="70">
        <v>0</v>
      </c>
      <c r="J134" s="70">
        <v>1</v>
      </c>
      <c r="K134" s="70">
        <v>0</v>
      </c>
      <c r="L134" s="78">
        <v>38652</v>
      </c>
      <c r="M134" s="70">
        <v>4</v>
      </c>
      <c r="N134" s="70">
        <f t="shared" si="24"/>
        <v>38647</v>
      </c>
      <c r="O134" s="60">
        <f t="shared" si="25"/>
        <v>38</v>
      </c>
      <c r="P134" s="70">
        <v>9.6300000000000008</v>
      </c>
      <c r="Q134" s="70">
        <v>18.5</v>
      </c>
      <c r="R134" s="78">
        <v>1</v>
      </c>
      <c r="S134" s="70">
        <v>0</v>
      </c>
      <c r="T134" s="78">
        <v>0</v>
      </c>
      <c r="U134" s="70">
        <v>1</v>
      </c>
      <c r="V134" s="70">
        <v>0</v>
      </c>
      <c r="W134" s="70">
        <v>0</v>
      </c>
      <c r="X134" s="78">
        <v>0</v>
      </c>
      <c r="Y134" s="70">
        <v>0</v>
      </c>
      <c r="Z134" s="70">
        <v>1</v>
      </c>
      <c r="AA134" s="78">
        <v>1</v>
      </c>
      <c r="AB134" s="70">
        <v>0</v>
      </c>
      <c r="AC134" s="69">
        <v>1940</v>
      </c>
      <c r="AD134">
        <f t="shared" si="22"/>
        <v>0.33749999999999997</v>
      </c>
      <c r="AE134">
        <f t="shared" si="22"/>
        <v>0.33749999999999997</v>
      </c>
      <c r="AF134" s="70">
        <v>0.28199999999999997</v>
      </c>
      <c r="AG134" s="70">
        <v>4.2999999999999997E-2</v>
      </c>
      <c r="AH134" s="28">
        <v>1</v>
      </c>
      <c r="AI134">
        <v>0</v>
      </c>
      <c r="AJ134" s="28">
        <v>1</v>
      </c>
      <c r="AK134">
        <v>0</v>
      </c>
      <c r="AL134" s="28">
        <v>0.96</v>
      </c>
      <c r="AM134">
        <f t="shared" si="23"/>
        <v>4.0000000000000036E-2</v>
      </c>
      <c r="AN134">
        <v>0</v>
      </c>
      <c r="AO134">
        <v>1</v>
      </c>
      <c r="AP134" s="28">
        <v>0.75</v>
      </c>
      <c r="AQ134" s="12">
        <f t="shared" si="20"/>
        <v>0.25</v>
      </c>
      <c r="AR134">
        <v>0.5</v>
      </c>
      <c r="AS134">
        <v>0.5</v>
      </c>
      <c r="AT134">
        <v>0</v>
      </c>
      <c r="AU134" s="62" t="s">
        <v>87</v>
      </c>
      <c r="AV134">
        <v>1</v>
      </c>
      <c r="AW134">
        <v>0</v>
      </c>
      <c r="AX134">
        <v>0</v>
      </c>
      <c r="AY134">
        <v>0</v>
      </c>
      <c r="AZ134">
        <v>0</v>
      </c>
      <c r="BA134">
        <v>0</v>
      </c>
      <c r="BB134">
        <v>0</v>
      </c>
      <c r="BC134">
        <v>1</v>
      </c>
      <c r="BD134">
        <v>0</v>
      </c>
      <c r="BE134">
        <v>0</v>
      </c>
      <c r="BF134">
        <v>15113</v>
      </c>
      <c r="BG134">
        <v>528</v>
      </c>
      <c r="BH134">
        <v>0.79400000000000004</v>
      </c>
      <c r="BI134" s="64">
        <v>36.6</v>
      </c>
      <c r="BJ134">
        <v>1</v>
      </c>
      <c r="BK134">
        <v>0</v>
      </c>
      <c r="BL134">
        <v>0</v>
      </c>
      <c r="BM134">
        <v>0</v>
      </c>
      <c r="BN134">
        <v>0</v>
      </c>
      <c r="BO134">
        <v>0</v>
      </c>
      <c r="BP134">
        <v>0</v>
      </c>
      <c r="BQ134" s="28">
        <v>0</v>
      </c>
      <c r="BR134">
        <v>0</v>
      </c>
      <c r="BS134">
        <v>0</v>
      </c>
      <c r="BT134" s="28">
        <v>1</v>
      </c>
      <c r="BU134">
        <v>1</v>
      </c>
      <c r="BV134">
        <v>0</v>
      </c>
      <c r="BW134">
        <v>0</v>
      </c>
      <c r="BX134">
        <v>1</v>
      </c>
      <c r="BY134">
        <v>0</v>
      </c>
      <c r="BZ134">
        <v>0</v>
      </c>
      <c r="CA134">
        <v>0</v>
      </c>
      <c r="CB134">
        <v>0</v>
      </c>
      <c r="CC134">
        <v>0</v>
      </c>
      <c r="CD134">
        <v>0</v>
      </c>
      <c r="CE134" s="16">
        <v>0</v>
      </c>
      <c r="CF134">
        <v>8.1000000000000003E-2</v>
      </c>
      <c r="CG134">
        <v>11</v>
      </c>
      <c r="CH134">
        <v>1</v>
      </c>
      <c r="CI134">
        <v>0</v>
      </c>
      <c r="CJ134">
        <v>26</v>
      </c>
      <c r="CK134" t="s">
        <v>46</v>
      </c>
    </row>
    <row r="135" spans="1:89" x14ac:dyDescent="0.25">
      <c r="A135">
        <v>134</v>
      </c>
      <c r="B135">
        <v>10</v>
      </c>
      <c r="C135" t="s">
        <v>296</v>
      </c>
      <c r="D135" s="79">
        <v>4.4000000000000004</v>
      </c>
      <c r="E135" s="6">
        <v>0.2</v>
      </c>
      <c r="F135" s="6">
        <f t="shared" si="18"/>
        <v>22</v>
      </c>
      <c r="G135" s="78">
        <v>0</v>
      </c>
      <c r="H135" s="70">
        <v>0</v>
      </c>
      <c r="I135" s="70">
        <v>0</v>
      </c>
      <c r="J135" s="70">
        <v>1</v>
      </c>
      <c r="K135" s="70">
        <v>0</v>
      </c>
      <c r="L135" s="78">
        <v>38652</v>
      </c>
      <c r="M135" s="70">
        <v>1</v>
      </c>
      <c r="N135" s="70">
        <f t="shared" si="24"/>
        <v>38650</v>
      </c>
      <c r="O135" s="60">
        <f t="shared" si="25"/>
        <v>38</v>
      </c>
      <c r="P135" s="70">
        <v>9.6300000000000008</v>
      </c>
      <c r="Q135" s="70">
        <v>18.5</v>
      </c>
      <c r="R135" s="78">
        <v>1</v>
      </c>
      <c r="S135" s="70">
        <v>0</v>
      </c>
      <c r="T135" s="78">
        <v>0</v>
      </c>
      <c r="U135" s="70">
        <v>1</v>
      </c>
      <c r="V135" s="70">
        <v>0</v>
      </c>
      <c r="W135" s="70">
        <v>0</v>
      </c>
      <c r="X135" s="78">
        <v>0</v>
      </c>
      <c r="Y135" s="70">
        <v>0</v>
      </c>
      <c r="Z135" s="70">
        <v>1</v>
      </c>
      <c r="AA135" s="78">
        <v>1</v>
      </c>
      <c r="AB135" s="70">
        <v>0</v>
      </c>
      <c r="AC135" s="69">
        <v>1940</v>
      </c>
      <c r="AD135">
        <f t="shared" si="22"/>
        <v>0.33749999999999997</v>
      </c>
      <c r="AE135">
        <f t="shared" si="22"/>
        <v>0.33749999999999997</v>
      </c>
      <c r="AF135" s="70">
        <v>0.28199999999999997</v>
      </c>
      <c r="AG135" s="70">
        <v>4.2999999999999997E-2</v>
      </c>
      <c r="AH135" s="28">
        <v>1</v>
      </c>
      <c r="AI135">
        <v>0</v>
      </c>
      <c r="AJ135" s="28">
        <v>1</v>
      </c>
      <c r="AK135">
        <v>0</v>
      </c>
      <c r="AL135" s="28">
        <v>0.96</v>
      </c>
      <c r="AM135">
        <f t="shared" si="23"/>
        <v>4.0000000000000036E-2</v>
      </c>
      <c r="AN135">
        <v>0</v>
      </c>
      <c r="AO135">
        <v>1</v>
      </c>
      <c r="AP135" s="28">
        <v>0.75</v>
      </c>
      <c r="AQ135" s="12">
        <f t="shared" si="20"/>
        <v>0.25</v>
      </c>
      <c r="AR135">
        <v>0.5</v>
      </c>
      <c r="AS135">
        <v>0.5</v>
      </c>
      <c r="AT135">
        <v>0</v>
      </c>
      <c r="AU135" s="62" t="s">
        <v>87</v>
      </c>
      <c r="AV135">
        <v>1</v>
      </c>
      <c r="AW135">
        <v>0</v>
      </c>
      <c r="AX135">
        <v>0</v>
      </c>
      <c r="AY135">
        <v>0</v>
      </c>
      <c r="AZ135">
        <v>0</v>
      </c>
      <c r="BA135">
        <v>0</v>
      </c>
      <c r="BB135">
        <v>0</v>
      </c>
      <c r="BC135">
        <v>1</v>
      </c>
      <c r="BD135">
        <v>0</v>
      </c>
      <c r="BE135">
        <v>0</v>
      </c>
      <c r="BF135">
        <v>15113</v>
      </c>
      <c r="BG135">
        <v>528</v>
      </c>
      <c r="BH135">
        <v>0.79400000000000004</v>
      </c>
      <c r="BI135" s="64">
        <v>36.6</v>
      </c>
      <c r="BJ135">
        <v>1</v>
      </c>
      <c r="BK135">
        <v>0</v>
      </c>
      <c r="BL135">
        <v>0</v>
      </c>
      <c r="BM135">
        <v>0</v>
      </c>
      <c r="BN135">
        <v>0</v>
      </c>
      <c r="BO135">
        <v>0</v>
      </c>
      <c r="BP135">
        <v>0</v>
      </c>
      <c r="BQ135" s="28">
        <v>0</v>
      </c>
      <c r="BR135">
        <v>0</v>
      </c>
      <c r="BS135">
        <v>0</v>
      </c>
      <c r="BT135" s="28">
        <v>0</v>
      </c>
      <c r="BU135">
        <v>0</v>
      </c>
      <c r="BV135">
        <v>0</v>
      </c>
      <c r="BW135">
        <v>0</v>
      </c>
      <c r="BX135">
        <v>0</v>
      </c>
      <c r="BY135">
        <v>0</v>
      </c>
      <c r="BZ135">
        <v>0</v>
      </c>
      <c r="CA135">
        <v>0</v>
      </c>
      <c r="CB135">
        <v>0</v>
      </c>
      <c r="CC135">
        <v>0</v>
      </c>
      <c r="CD135">
        <v>0</v>
      </c>
      <c r="CE135" s="16">
        <v>0</v>
      </c>
      <c r="CF135">
        <v>8.1000000000000003E-2</v>
      </c>
      <c r="CG135">
        <v>11</v>
      </c>
      <c r="CH135">
        <v>1</v>
      </c>
      <c r="CI135">
        <v>0</v>
      </c>
      <c r="CJ135">
        <v>26</v>
      </c>
      <c r="CK135" t="s">
        <v>46</v>
      </c>
    </row>
    <row r="136" spans="1:89" x14ac:dyDescent="0.25">
      <c r="A136">
        <v>135</v>
      </c>
      <c r="B136">
        <v>10</v>
      </c>
      <c r="C136" t="s">
        <v>296</v>
      </c>
      <c r="D136" s="79">
        <v>3.5</v>
      </c>
      <c r="E136" s="6">
        <v>0.3</v>
      </c>
      <c r="F136" s="6">
        <f t="shared" si="18"/>
        <v>11.666666666666668</v>
      </c>
      <c r="G136" s="78">
        <v>0</v>
      </c>
      <c r="H136" s="70">
        <v>0</v>
      </c>
      <c r="I136" s="70">
        <v>0</v>
      </c>
      <c r="J136" s="70">
        <v>1</v>
      </c>
      <c r="K136" s="70">
        <v>0</v>
      </c>
      <c r="L136" s="78">
        <v>38652</v>
      </c>
      <c r="M136" s="70">
        <v>1</v>
      </c>
      <c r="N136" s="70">
        <f t="shared" si="24"/>
        <v>38650</v>
      </c>
      <c r="O136" s="60">
        <f t="shared" si="25"/>
        <v>38</v>
      </c>
      <c r="P136" s="70">
        <v>9.6300000000000008</v>
      </c>
      <c r="Q136" s="70">
        <v>18.5</v>
      </c>
      <c r="R136" s="78">
        <v>1</v>
      </c>
      <c r="S136" s="70">
        <v>0</v>
      </c>
      <c r="T136" s="78">
        <v>0</v>
      </c>
      <c r="U136" s="70">
        <v>1</v>
      </c>
      <c r="V136" s="70">
        <v>0</v>
      </c>
      <c r="W136" s="70">
        <v>0</v>
      </c>
      <c r="X136" s="78">
        <v>0</v>
      </c>
      <c r="Y136" s="70">
        <v>0</v>
      </c>
      <c r="Z136" s="70">
        <v>1</v>
      </c>
      <c r="AA136" s="78">
        <v>1</v>
      </c>
      <c r="AB136" s="70">
        <v>0</v>
      </c>
      <c r="AC136" s="69">
        <v>1940</v>
      </c>
      <c r="AD136">
        <f t="shared" si="22"/>
        <v>0.33749999999999997</v>
      </c>
      <c r="AE136">
        <f t="shared" si="22"/>
        <v>0.33749999999999997</v>
      </c>
      <c r="AF136" s="70">
        <v>0.28199999999999997</v>
      </c>
      <c r="AG136" s="70">
        <v>4.2999999999999997E-2</v>
      </c>
      <c r="AH136" s="28">
        <v>1</v>
      </c>
      <c r="AI136">
        <v>0</v>
      </c>
      <c r="AJ136" s="28">
        <v>1</v>
      </c>
      <c r="AK136">
        <v>0</v>
      </c>
      <c r="AL136" s="28">
        <v>0.96</v>
      </c>
      <c r="AM136">
        <f t="shared" si="23"/>
        <v>4.0000000000000036E-2</v>
      </c>
      <c r="AN136">
        <v>0</v>
      </c>
      <c r="AO136">
        <v>1</v>
      </c>
      <c r="AP136" s="28">
        <v>0.75</v>
      </c>
      <c r="AQ136" s="12">
        <f t="shared" si="20"/>
        <v>0.25</v>
      </c>
      <c r="AR136">
        <v>0.5</v>
      </c>
      <c r="AS136">
        <v>0.5</v>
      </c>
      <c r="AT136">
        <v>0</v>
      </c>
      <c r="AU136" s="62" t="s">
        <v>87</v>
      </c>
      <c r="AV136">
        <v>1</v>
      </c>
      <c r="AW136">
        <v>0</v>
      </c>
      <c r="AX136">
        <v>0</v>
      </c>
      <c r="AY136">
        <v>0</v>
      </c>
      <c r="AZ136">
        <v>0</v>
      </c>
      <c r="BA136">
        <v>0</v>
      </c>
      <c r="BB136">
        <v>0</v>
      </c>
      <c r="BC136">
        <v>1</v>
      </c>
      <c r="BD136">
        <v>0</v>
      </c>
      <c r="BE136">
        <v>0</v>
      </c>
      <c r="BF136">
        <v>15113</v>
      </c>
      <c r="BG136">
        <v>528</v>
      </c>
      <c r="BH136">
        <v>0.79400000000000004</v>
      </c>
      <c r="BI136" s="64">
        <v>36.6</v>
      </c>
      <c r="BJ136">
        <v>1</v>
      </c>
      <c r="BK136">
        <v>0</v>
      </c>
      <c r="BL136">
        <v>0</v>
      </c>
      <c r="BM136">
        <v>0</v>
      </c>
      <c r="BN136">
        <v>0</v>
      </c>
      <c r="BO136">
        <v>0</v>
      </c>
      <c r="BP136">
        <v>0</v>
      </c>
      <c r="BQ136" s="28">
        <v>0</v>
      </c>
      <c r="BR136">
        <v>0</v>
      </c>
      <c r="BS136">
        <v>0</v>
      </c>
      <c r="BT136" s="28">
        <v>0</v>
      </c>
      <c r="BU136">
        <v>0</v>
      </c>
      <c r="BV136">
        <v>0</v>
      </c>
      <c r="BW136">
        <v>0</v>
      </c>
      <c r="BX136">
        <v>0</v>
      </c>
      <c r="BY136">
        <v>0</v>
      </c>
      <c r="BZ136">
        <v>0</v>
      </c>
      <c r="CA136">
        <v>0</v>
      </c>
      <c r="CB136">
        <v>0</v>
      </c>
      <c r="CC136">
        <v>0</v>
      </c>
      <c r="CD136">
        <v>0</v>
      </c>
      <c r="CE136" s="16">
        <v>0</v>
      </c>
      <c r="CF136">
        <v>8.1000000000000003E-2</v>
      </c>
      <c r="CG136">
        <v>11</v>
      </c>
      <c r="CH136">
        <v>1</v>
      </c>
      <c r="CI136">
        <v>0</v>
      </c>
      <c r="CJ136">
        <v>26</v>
      </c>
      <c r="CK136" t="s">
        <v>46</v>
      </c>
    </row>
    <row r="137" spans="1:89" x14ac:dyDescent="0.25">
      <c r="A137">
        <v>136</v>
      </c>
      <c r="B137">
        <v>10</v>
      </c>
      <c r="C137" t="s">
        <v>296</v>
      </c>
      <c r="D137" s="79">
        <v>4.4000000000000004</v>
      </c>
      <c r="E137" s="6">
        <v>0.1</v>
      </c>
      <c r="F137" s="6">
        <f t="shared" si="18"/>
        <v>44</v>
      </c>
      <c r="G137" s="78">
        <v>0</v>
      </c>
      <c r="H137" s="70">
        <v>0</v>
      </c>
      <c r="I137" s="70">
        <v>0</v>
      </c>
      <c r="J137" s="70">
        <v>1</v>
      </c>
      <c r="K137" s="70">
        <v>0</v>
      </c>
      <c r="L137" s="78">
        <v>97100</v>
      </c>
      <c r="M137" s="70">
        <v>1</v>
      </c>
      <c r="N137" s="70">
        <f t="shared" si="24"/>
        <v>97098</v>
      </c>
      <c r="O137" s="60">
        <f t="shared" si="25"/>
        <v>38</v>
      </c>
      <c r="P137" s="70">
        <v>9.18</v>
      </c>
      <c r="Q137" s="70">
        <v>19.5</v>
      </c>
      <c r="R137" s="78">
        <v>1</v>
      </c>
      <c r="S137" s="70">
        <v>0</v>
      </c>
      <c r="T137" s="78">
        <v>0</v>
      </c>
      <c r="U137" s="70">
        <v>1</v>
      </c>
      <c r="V137" s="70">
        <v>0</v>
      </c>
      <c r="W137" s="70">
        <v>0</v>
      </c>
      <c r="X137" s="78">
        <v>0</v>
      </c>
      <c r="Y137" s="70">
        <v>0</v>
      </c>
      <c r="Z137" s="70">
        <v>1</v>
      </c>
      <c r="AA137" s="78">
        <v>1</v>
      </c>
      <c r="AB137" s="70">
        <v>0</v>
      </c>
      <c r="AC137" s="69">
        <v>1940</v>
      </c>
      <c r="AD137">
        <f t="shared" si="22"/>
        <v>0.33749999999999997</v>
      </c>
      <c r="AE137">
        <f t="shared" si="22"/>
        <v>0.33749999999999997</v>
      </c>
      <c r="AF137" s="70">
        <v>0.28199999999999997</v>
      </c>
      <c r="AG137" s="70">
        <v>4.2999999999999997E-2</v>
      </c>
      <c r="AH137" s="28">
        <v>1</v>
      </c>
      <c r="AI137">
        <v>0</v>
      </c>
      <c r="AJ137" s="28">
        <v>1</v>
      </c>
      <c r="AK137">
        <v>0</v>
      </c>
      <c r="AL137" s="28">
        <v>0.93</v>
      </c>
      <c r="AM137">
        <f t="shared" si="23"/>
        <v>6.9999999999999951E-2</v>
      </c>
      <c r="AN137">
        <v>0</v>
      </c>
      <c r="AO137">
        <v>1</v>
      </c>
      <c r="AP137" s="28">
        <v>0.75</v>
      </c>
      <c r="AQ137" s="12">
        <f t="shared" si="20"/>
        <v>0.25</v>
      </c>
      <c r="AR137">
        <v>0.10100000000000001</v>
      </c>
      <c r="AS137">
        <v>0.10100000000000001</v>
      </c>
      <c r="AT137">
        <v>0.79800000000000004</v>
      </c>
      <c r="AU137" s="62" t="s">
        <v>87</v>
      </c>
      <c r="AV137">
        <v>1</v>
      </c>
      <c r="AW137">
        <v>0</v>
      </c>
      <c r="AX137">
        <v>0</v>
      </c>
      <c r="AY137">
        <v>0</v>
      </c>
      <c r="AZ137">
        <v>0</v>
      </c>
      <c r="BA137">
        <v>0</v>
      </c>
      <c r="BB137">
        <v>0</v>
      </c>
      <c r="BC137">
        <v>1</v>
      </c>
      <c r="BD137">
        <v>0</v>
      </c>
      <c r="BE137">
        <v>0</v>
      </c>
      <c r="BF137">
        <v>15113</v>
      </c>
      <c r="BG137">
        <v>528</v>
      </c>
      <c r="BH137">
        <v>0.79400000000000004</v>
      </c>
      <c r="BI137" s="64">
        <v>36.6</v>
      </c>
      <c r="BJ137">
        <v>1</v>
      </c>
      <c r="BK137">
        <v>0</v>
      </c>
      <c r="BL137">
        <v>0</v>
      </c>
      <c r="BM137">
        <v>0</v>
      </c>
      <c r="BN137">
        <v>0</v>
      </c>
      <c r="BO137">
        <v>0</v>
      </c>
      <c r="BP137">
        <v>0</v>
      </c>
      <c r="BQ137" s="28">
        <v>0</v>
      </c>
      <c r="BR137">
        <v>0</v>
      </c>
      <c r="BS137">
        <v>0</v>
      </c>
      <c r="BT137" s="28">
        <v>0</v>
      </c>
      <c r="BU137">
        <v>0</v>
      </c>
      <c r="BV137">
        <v>0</v>
      </c>
      <c r="BW137">
        <v>0</v>
      </c>
      <c r="BX137">
        <v>0</v>
      </c>
      <c r="BY137">
        <v>0</v>
      </c>
      <c r="BZ137">
        <v>0</v>
      </c>
      <c r="CA137">
        <v>0</v>
      </c>
      <c r="CB137">
        <v>0</v>
      </c>
      <c r="CC137">
        <v>0</v>
      </c>
      <c r="CD137">
        <v>0</v>
      </c>
      <c r="CE137" s="16">
        <v>0</v>
      </c>
      <c r="CF137">
        <v>8.1000000000000003E-2</v>
      </c>
      <c r="CG137">
        <v>11</v>
      </c>
      <c r="CH137">
        <v>1</v>
      </c>
      <c r="CI137">
        <v>0</v>
      </c>
      <c r="CJ137">
        <v>26</v>
      </c>
      <c r="CK137" t="s">
        <v>46</v>
      </c>
    </row>
    <row r="138" spans="1:89" x14ac:dyDescent="0.25">
      <c r="A138">
        <v>137</v>
      </c>
      <c r="B138">
        <v>10</v>
      </c>
      <c r="C138" t="s">
        <v>296</v>
      </c>
      <c r="D138" s="79">
        <v>6.1</v>
      </c>
      <c r="E138" s="6">
        <v>0.1</v>
      </c>
      <c r="F138" s="6">
        <f t="shared" si="18"/>
        <v>60.999999999999993</v>
      </c>
      <c r="G138" s="78">
        <v>0</v>
      </c>
      <c r="H138" s="70">
        <v>0</v>
      </c>
      <c r="I138" s="70">
        <v>0</v>
      </c>
      <c r="J138" s="70">
        <v>1</v>
      </c>
      <c r="K138" s="70">
        <v>0</v>
      </c>
      <c r="L138" s="78">
        <v>97100</v>
      </c>
      <c r="M138" s="70">
        <v>4</v>
      </c>
      <c r="N138" s="70">
        <f t="shared" si="24"/>
        <v>97095</v>
      </c>
      <c r="O138" s="60">
        <f t="shared" si="25"/>
        <v>38</v>
      </c>
      <c r="P138" s="70">
        <v>9.18</v>
      </c>
      <c r="Q138" s="70">
        <v>19.5</v>
      </c>
      <c r="R138" s="78">
        <v>1</v>
      </c>
      <c r="S138" s="70">
        <v>0</v>
      </c>
      <c r="T138" s="78">
        <v>0</v>
      </c>
      <c r="U138" s="70">
        <v>1</v>
      </c>
      <c r="V138" s="70">
        <v>0</v>
      </c>
      <c r="W138" s="70">
        <v>0</v>
      </c>
      <c r="X138" s="78">
        <v>0</v>
      </c>
      <c r="Y138" s="70">
        <v>0</v>
      </c>
      <c r="Z138" s="70">
        <v>1</v>
      </c>
      <c r="AA138" s="78">
        <v>1</v>
      </c>
      <c r="AB138" s="70">
        <v>0</v>
      </c>
      <c r="AC138" s="69">
        <v>1940</v>
      </c>
      <c r="AD138">
        <f t="shared" si="22"/>
        <v>0.33749999999999997</v>
      </c>
      <c r="AE138">
        <f t="shared" si="22"/>
        <v>0.33749999999999997</v>
      </c>
      <c r="AF138" s="70">
        <v>0.28199999999999997</v>
      </c>
      <c r="AG138" s="70">
        <v>4.2999999999999997E-2</v>
      </c>
      <c r="AH138" s="28">
        <v>1</v>
      </c>
      <c r="AI138">
        <v>0</v>
      </c>
      <c r="AJ138" s="28">
        <v>1</v>
      </c>
      <c r="AK138">
        <v>0</v>
      </c>
      <c r="AL138" s="28">
        <v>0.93</v>
      </c>
      <c r="AM138">
        <f t="shared" si="23"/>
        <v>6.9999999999999951E-2</v>
      </c>
      <c r="AN138">
        <v>0</v>
      </c>
      <c r="AO138">
        <v>1</v>
      </c>
      <c r="AP138" s="28">
        <v>0.75</v>
      </c>
      <c r="AQ138" s="12">
        <f t="shared" si="20"/>
        <v>0.25</v>
      </c>
      <c r="AR138">
        <v>0.10100000000000001</v>
      </c>
      <c r="AS138">
        <v>0.10100000000000001</v>
      </c>
      <c r="AT138">
        <v>0.79800000000000004</v>
      </c>
      <c r="AU138" s="62" t="s">
        <v>87</v>
      </c>
      <c r="AV138">
        <v>1</v>
      </c>
      <c r="AW138">
        <v>0</v>
      </c>
      <c r="AX138">
        <v>0</v>
      </c>
      <c r="AY138">
        <v>0</v>
      </c>
      <c r="AZ138">
        <v>0</v>
      </c>
      <c r="BA138">
        <v>0</v>
      </c>
      <c r="BB138">
        <v>0</v>
      </c>
      <c r="BC138">
        <v>1</v>
      </c>
      <c r="BD138">
        <v>0</v>
      </c>
      <c r="BE138">
        <v>0</v>
      </c>
      <c r="BF138">
        <v>15113</v>
      </c>
      <c r="BG138">
        <v>528</v>
      </c>
      <c r="BH138">
        <v>0.79400000000000004</v>
      </c>
      <c r="BI138" s="64">
        <v>36.6</v>
      </c>
      <c r="BJ138">
        <v>1</v>
      </c>
      <c r="BK138">
        <v>0</v>
      </c>
      <c r="BL138">
        <v>0</v>
      </c>
      <c r="BM138">
        <v>0</v>
      </c>
      <c r="BN138">
        <v>0</v>
      </c>
      <c r="BO138">
        <v>0</v>
      </c>
      <c r="BP138">
        <v>0</v>
      </c>
      <c r="BQ138" s="28">
        <v>0</v>
      </c>
      <c r="BR138">
        <v>0</v>
      </c>
      <c r="BS138">
        <v>0</v>
      </c>
      <c r="BT138" s="28">
        <v>1</v>
      </c>
      <c r="BU138">
        <v>1</v>
      </c>
      <c r="BV138">
        <v>0</v>
      </c>
      <c r="BW138">
        <v>0</v>
      </c>
      <c r="BX138">
        <v>1</v>
      </c>
      <c r="BY138">
        <v>0</v>
      </c>
      <c r="BZ138">
        <v>0</v>
      </c>
      <c r="CA138">
        <v>0</v>
      </c>
      <c r="CB138">
        <v>0</v>
      </c>
      <c r="CC138">
        <v>0</v>
      </c>
      <c r="CD138">
        <v>0</v>
      </c>
      <c r="CE138" s="16">
        <v>0</v>
      </c>
      <c r="CF138">
        <v>8.1000000000000003E-2</v>
      </c>
      <c r="CG138">
        <v>11</v>
      </c>
      <c r="CH138">
        <v>1</v>
      </c>
      <c r="CI138">
        <v>0</v>
      </c>
      <c r="CJ138">
        <v>26</v>
      </c>
      <c r="CK138" t="s">
        <v>46</v>
      </c>
    </row>
    <row r="139" spans="1:89" x14ac:dyDescent="0.25">
      <c r="A139">
        <v>138</v>
      </c>
      <c r="B139">
        <v>10</v>
      </c>
      <c r="C139" t="s">
        <v>296</v>
      </c>
      <c r="D139" s="79">
        <v>4.7</v>
      </c>
      <c r="E139" s="6">
        <v>0.2</v>
      </c>
      <c r="F139" s="6">
        <f t="shared" si="18"/>
        <v>23.5</v>
      </c>
      <c r="G139" s="78">
        <v>0</v>
      </c>
      <c r="H139" s="70">
        <v>0</v>
      </c>
      <c r="I139" s="70">
        <v>0</v>
      </c>
      <c r="J139" s="70">
        <v>1</v>
      </c>
      <c r="K139" s="70">
        <v>0</v>
      </c>
      <c r="L139" s="78">
        <v>13094</v>
      </c>
      <c r="M139" s="70">
        <v>1</v>
      </c>
      <c r="N139" s="70">
        <f t="shared" si="24"/>
        <v>13092</v>
      </c>
      <c r="O139" s="60">
        <f t="shared" si="25"/>
        <v>38</v>
      </c>
      <c r="P139" s="70">
        <v>9.6300000000000008</v>
      </c>
      <c r="Q139" s="70">
        <v>18.5</v>
      </c>
      <c r="R139" s="78">
        <v>1</v>
      </c>
      <c r="S139" s="70">
        <v>0</v>
      </c>
      <c r="T139" s="78">
        <v>0</v>
      </c>
      <c r="U139" s="70">
        <v>1</v>
      </c>
      <c r="V139" s="70">
        <v>0</v>
      </c>
      <c r="W139" s="70">
        <v>0</v>
      </c>
      <c r="X139" s="78">
        <v>0</v>
      </c>
      <c r="Y139" s="70">
        <v>0</v>
      </c>
      <c r="Z139" s="70">
        <v>1</v>
      </c>
      <c r="AA139" s="78">
        <v>1</v>
      </c>
      <c r="AB139" s="70">
        <v>0</v>
      </c>
      <c r="AC139" s="69">
        <v>1940</v>
      </c>
      <c r="AD139">
        <f t="shared" si="22"/>
        <v>0.33749999999999997</v>
      </c>
      <c r="AE139">
        <f t="shared" si="22"/>
        <v>0.33749999999999997</v>
      </c>
      <c r="AF139" s="70">
        <v>0.28199999999999997</v>
      </c>
      <c r="AG139" s="70">
        <v>4.2999999999999997E-2</v>
      </c>
      <c r="AH139" s="28">
        <v>1</v>
      </c>
      <c r="AI139">
        <v>0</v>
      </c>
      <c r="AJ139" s="28">
        <v>1</v>
      </c>
      <c r="AK139">
        <v>0</v>
      </c>
      <c r="AL139" s="28">
        <v>0.96</v>
      </c>
      <c r="AM139">
        <f t="shared" si="23"/>
        <v>4.0000000000000036E-2</v>
      </c>
      <c r="AN139">
        <v>0</v>
      </c>
      <c r="AO139">
        <v>1</v>
      </c>
      <c r="AP139" s="28">
        <v>0.75</v>
      </c>
      <c r="AQ139" s="12">
        <f t="shared" si="20"/>
        <v>0.25</v>
      </c>
      <c r="AR139">
        <v>0.5</v>
      </c>
      <c r="AS139">
        <v>0.5</v>
      </c>
      <c r="AT139">
        <v>0</v>
      </c>
      <c r="AU139" s="62" t="s">
        <v>87</v>
      </c>
      <c r="AV139">
        <v>1</v>
      </c>
      <c r="AW139">
        <v>0</v>
      </c>
      <c r="AX139">
        <v>0</v>
      </c>
      <c r="AY139">
        <v>0</v>
      </c>
      <c r="AZ139">
        <v>0</v>
      </c>
      <c r="BA139">
        <v>0</v>
      </c>
      <c r="BB139">
        <v>0</v>
      </c>
      <c r="BC139">
        <v>1</v>
      </c>
      <c r="BD139">
        <v>0</v>
      </c>
      <c r="BE139">
        <v>0</v>
      </c>
      <c r="BF139">
        <v>15113</v>
      </c>
      <c r="BG139">
        <v>528</v>
      </c>
      <c r="BH139">
        <v>0.79400000000000004</v>
      </c>
      <c r="BI139" s="64">
        <v>37.5</v>
      </c>
      <c r="BJ139">
        <v>1</v>
      </c>
      <c r="BK139">
        <v>0</v>
      </c>
      <c r="BL139">
        <v>0</v>
      </c>
      <c r="BM139">
        <v>0</v>
      </c>
      <c r="BN139">
        <v>0</v>
      </c>
      <c r="BO139">
        <v>0</v>
      </c>
      <c r="BP139">
        <v>0</v>
      </c>
      <c r="BQ139" s="28">
        <v>0</v>
      </c>
      <c r="BR139">
        <v>0</v>
      </c>
      <c r="BS139">
        <v>0</v>
      </c>
      <c r="BT139" s="28">
        <v>0</v>
      </c>
      <c r="BU139">
        <v>0</v>
      </c>
      <c r="BV139">
        <v>0</v>
      </c>
      <c r="BW139">
        <v>0</v>
      </c>
      <c r="BX139">
        <v>0</v>
      </c>
      <c r="BY139">
        <v>0</v>
      </c>
      <c r="BZ139">
        <v>0</v>
      </c>
      <c r="CA139">
        <v>0</v>
      </c>
      <c r="CB139">
        <v>0</v>
      </c>
      <c r="CC139">
        <v>0</v>
      </c>
      <c r="CD139">
        <v>0</v>
      </c>
      <c r="CE139" s="16">
        <v>0</v>
      </c>
      <c r="CF139">
        <v>8.1000000000000003E-2</v>
      </c>
      <c r="CG139">
        <v>11</v>
      </c>
      <c r="CH139">
        <v>1</v>
      </c>
      <c r="CI139">
        <v>0</v>
      </c>
      <c r="CJ139">
        <v>26</v>
      </c>
      <c r="CK139" t="s">
        <v>46</v>
      </c>
    </row>
    <row r="140" spans="1:89" x14ac:dyDescent="0.25">
      <c r="A140">
        <v>139</v>
      </c>
      <c r="B140">
        <v>10</v>
      </c>
      <c r="C140" t="s">
        <v>296</v>
      </c>
      <c r="D140" s="79">
        <v>6.2</v>
      </c>
      <c r="E140" s="6">
        <v>0.2</v>
      </c>
      <c r="F140" s="6">
        <f t="shared" si="18"/>
        <v>31</v>
      </c>
      <c r="G140" s="78">
        <v>0</v>
      </c>
      <c r="H140" s="70">
        <v>0</v>
      </c>
      <c r="I140" s="70">
        <v>0</v>
      </c>
      <c r="J140" s="70">
        <v>1</v>
      </c>
      <c r="K140" s="70">
        <v>0</v>
      </c>
      <c r="L140" s="78">
        <v>13094</v>
      </c>
      <c r="M140" s="70">
        <v>4</v>
      </c>
      <c r="N140" s="70">
        <f t="shared" si="24"/>
        <v>13089</v>
      </c>
      <c r="O140" s="60">
        <f t="shared" si="25"/>
        <v>38</v>
      </c>
      <c r="P140" s="70">
        <v>9.6300000000000008</v>
      </c>
      <c r="Q140" s="70">
        <v>18.5</v>
      </c>
      <c r="R140" s="78">
        <v>1</v>
      </c>
      <c r="S140" s="70">
        <v>0</v>
      </c>
      <c r="T140" s="78">
        <v>0</v>
      </c>
      <c r="U140" s="70">
        <v>1</v>
      </c>
      <c r="V140" s="70">
        <v>0</v>
      </c>
      <c r="W140" s="70">
        <v>0</v>
      </c>
      <c r="X140" s="78">
        <v>0</v>
      </c>
      <c r="Y140" s="70">
        <v>0</v>
      </c>
      <c r="Z140" s="70">
        <v>1</v>
      </c>
      <c r="AA140" s="78">
        <v>1</v>
      </c>
      <c r="AB140" s="70">
        <v>0</v>
      </c>
      <c r="AC140" s="69">
        <v>1940</v>
      </c>
      <c r="AD140">
        <f t="shared" si="22"/>
        <v>0.33749999999999997</v>
      </c>
      <c r="AE140">
        <f t="shared" si="22"/>
        <v>0.33749999999999997</v>
      </c>
      <c r="AF140" s="70">
        <v>0.28199999999999997</v>
      </c>
      <c r="AG140" s="70">
        <v>4.2999999999999997E-2</v>
      </c>
      <c r="AH140" s="28">
        <v>1</v>
      </c>
      <c r="AI140">
        <v>0</v>
      </c>
      <c r="AJ140" s="28">
        <v>1</v>
      </c>
      <c r="AK140">
        <v>0</v>
      </c>
      <c r="AL140" s="28">
        <v>0.96</v>
      </c>
      <c r="AM140">
        <f t="shared" si="23"/>
        <v>4.0000000000000036E-2</v>
      </c>
      <c r="AN140">
        <v>0</v>
      </c>
      <c r="AO140">
        <v>1</v>
      </c>
      <c r="AP140" s="28">
        <v>0.75</v>
      </c>
      <c r="AQ140" s="12">
        <f t="shared" si="20"/>
        <v>0.25</v>
      </c>
      <c r="AR140">
        <v>0.5</v>
      </c>
      <c r="AS140">
        <v>0.5</v>
      </c>
      <c r="AT140">
        <v>0</v>
      </c>
      <c r="AU140" s="62" t="s">
        <v>87</v>
      </c>
      <c r="AV140">
        <v>1</v>
      </c>
      <c r="AW140">
        <v>0</v>
      </c>
      <c r="AX140">
        <v>0</v>
      </c>
      <c r="AY140">
        <v>0</v>
      </c>
      <c r="AZ140">
        <v>0</v>
      </c>
      <c r="BA140">
        <v>0</v>
      </c>
      <c r="BB140">
        <v>0</v>
      </c>
      <c r="BC140">
        <v>1</v>
      </c>
      <c r="BD140">
        <v>0</v>
      </c>
      <c r="BE140">
        <v>0</v>
      </c>
      <c r="BF140">
        <v>15113</v>
      </c>
      <c r="BG140">
        <v>528</v>
      </c>
      <c r="BH140">
        <v>0.79400000000000004</v>
      </c>
      <c r="BI140" s="64">
        <v>37.5</v>
      </c>
      <c r="BJ140">
        <v>1</v>
      </c>
      <c r="BK140">
        <v>0</v>
      </c>
      <c r="BL140">
        <v>0</v>
      </c>
      <c r="BM140">
        <v>0</v>
      </c>
      <c r="BN140">
        <v>0</v>
      </c>
      <c r="BO140">
        <v>0</v>
      </c>
      <c r="BP140">
        <v>0</v>
      </c>
      <c r="BQ140" s="28">
        <v>0</v>
      </c>
      <c r="BR140">
        <v>0</v>
      </c>
      <c r="BS140">
        <v>0</v>
      </c>
      <c r="BT140" s="28">
        <v>1</v>
      </c>
      <c r="BU140">
        <v>1</v>
      </c>
      <c r="BV140">
        <v>0</v>
      </c>
      <c r="BW140">
        <v>0</v>
      </c>
      <c r="BX140">
        <v>1</v>
      </c>
      <c r="BY140">
        <v>0</v>
      </c>
      <c r="BZ140">
        <v>0</v>
      </c>
      <c r="CA140">
        <v>0</v>
      </c>
      <c r="CB140">
        <v>0</v>
      </c>
      <c r="CC140">
        <v>0</v>
      </c>
      <c r="CD140">
        <v>0</v>
      </c>
      <c r="CE140" s="16">
        <v>0</v>
      </c>
      <c r="CF140">
        <v>8.1000000000000003E-2</v>
      </c>
      <c r="CG140">
        <v>11</v>
      </c>
      <c r="CH140">
        <v>1</v>
      </c>
      <c r="CI140">
        <v>0</v>
      </c>
      <c r="CJ140">
        <v>26</v>
      </c>
      <c r="CK140" t="s">
        <v>46</v>
      </c>
    </row>
    <row r="141" spans="1:89" x14ac:dyDescent="0.25">
      <c r="A141">
        <v>140</v>
      </c>
      <c r="B141">
        <v>10</v>
      </c>
      <c r="C141" t="s">
        <v>296</v>
      </c>
      <c r="D141" s="79">
        <v>5.6</v>
      </c>
      <c r="E141" s="6">
        <v>0.4</v>
      </c>
      <c r="F141" s="6">
        <f t="shared" si="18"/>
        <v>13.999999999999998</v>
      </c>
      <c r="G141" s="78">
        <v>0</v>
      </c>
      <c r="H141" s="70">
        <v>0</v>
      </c>
      <c r="I141" s="70">
        <v>0</v>
      </c>
      <c r="J141" s="70">
        <v>1</v>
      </c>
      <c r="K141" s="70">
        <v>0</v>
      </c>
      <c r="L141" s="78">
        <v>13094</v>
      </c>
      <c r="M141" s="70">
        <v>1</v>
      </c>
      <c r="N141" s="70">
        <f t="shared" si="24"/>
        <v>13092</v>
      </c>
      <c r="O141" s="60">
        <f t="shared" si="25"/>
        <v>38</v>
      </c>
      <c r="P141" s="70">
        <v>9.6300000000000008</v>
      </c>
      <c r="Q141" s="70">
        <v>18.5</v>
      </c>
      <c r="R141" s="78">
        <v>1</v>
      </c>
      <c r="S141" s="70">
        <v>0</v>
      </c>
      <c r="T141" s="78">
        <v>0</v>
      </c>
      <c r="U141" s="70">
        <v>1</v>
      </c>
      <c r="V141" s="70">
        <v>0</v>
      </c>
      <c r="W141" s="70">
        <v>0</v>
      </c>
      <c r="X141" s="78">
        <v>0</v>
      </c>
      <c r="Y141" s="70">
        <v>0</v>
      </c>
      <c r="Z141" s="70">
        <v>1</v>
      </c>
      <c r="AA141" s="78">
        <v>1</v>
      </c>
      <c r="AB141" s="70">
        <v>0</v>
      </c>
      <c r="AC141" s="69">
        <v>1940</v>
      </c>
      <c r="AD141">
        <f t="shared" si="22"/>
        <v>0.33749999999999997</v>
      </c>
      <c r="AE141">
        <f t="shared" si="22"/>
        <v>0.33749999999999997</v>
      </c>
      <c r="AF141" s="70">
        <v>0.28199999999999997</v>
      </c>
      <c r="AG141" s="70">
        <v>4.2999999999999997E-2</v>
      </c>
      <c r="AH141" s="28">
        <v>1</v>
      </c>
      <c r="AI141">
        <v>0</v>
      </c>
      <c r="AJ141" s="28">
        <v>1</v>
      </c>
      <c r="AK141">
        <v>0</v>
      </c>
      <c r="AL141" s="28">
        <v>0.96</v>
      </c>
      <c r="AM141">
        <f t="shared" si="23"/>
        <v>4.0000000000000036E-2</v>
      </c>
      <c r="AN141">
        <v>0</v>
      </c>
      <c r="AO141">
        <v>1</v>
      </c>
      <c r="AP141" s="28">
        <v>0.75</v>
      </c>
      <c r="AQ141" s="12">
        <f t="shared" si="20"/>
        <v>0.25</v>
      </c>
      <c r="AR141">
        <v>0.5</v>
      </c>
      <c r="AS141">
        <v>0.5</v>
      </c>
      <c r="AT141">
        <v>0</v>
      </c>
      <c r="AU141" s="62" t="s">
        <v>87</v>
      </c>
      <c r="AV141">
        <v>1</v>
      </c>
      <c r="AW141">
        <v>0</v>
      </c>
      <c r="AX141">
        <v>0</v>
      </c>
      <c r="AY141">
        <v>0</v>
      </c>
      <c r="AZ141">
        <v>0</v>
      </c>
      <c r="BA141">
        <v>0</v>
      </c>
      <c r="BB141">
        <v>0</v>
      </c>
      <c r="BC141">
        <v>1</v>
      </c>
      <c r="BD141">
        <v>0</v>
      </c>
      <c r="BE141">
        <v>0</v>
      </c>
      <c r="BF141">
        <v>15113</v>
      </c>
      <c r="BG141">
        <v>528</v>
      </c>
      <c r="BH141">
        <v>0.79400000000000004</v>
      </c>
      <c r="BI141" s="64">
        <v>37.5</v>
      </c>
      <c r="BJ141">
        <v>0</v>
      </c>
      <c r="BK141">
        <v>0</v>
      </c>
      <c r="BL141">
        <v>1</v>
      </c>
      <c r="BM141">
        <v>0</v>
      </c>
      <c r="BN141">
        <v>0</v>
      </c>
      <c r="BO141">
        <v>0</v>
      </c>
      <c r="BP141">
        <v>0</v>
      </c>
      <c r="BQ141" s="28">
        <v>0</v>
      </c>
      <c r="BR141">
        <v>0</v>
      </c>
      <c r="BS141">
        <v>0</v>
      </c>
      <c r="BT141" s="28">
        <v>0</v>
      </c>
      <c r="BU141">
        <v>0</v>
      </c>
      <c r="BV141">
        <v>0</v>
      </c>
      <c r="BW141">
        <v>0</v>
      </c>
      <c r="BX141">
        <v>0</v>
      </c>
      <c r="BY141">
        <v>0</v>
      </c>
      <c r="BZ141">
        <v>0</v>
      </c>
      <c r="CA141">
        <v>0</v>
      </c>
      <c r="CB141">
        <v>0</v>
      </c>
      <c r="CC141">
        <v>0</v>
      </c>
      <c r="CD141">
        <v>0</v>
      </c>
      <c r="CE141" s="16">
        <v>0</v>
      </c>
      <c r="CF141">
        <v>8.1000000000000003E-2</v>
      </c>
      <c r="CG141">
        <v>11</v>
      </c>
      <c r="CH141">
        <v>1</v>
      </c>
      <c r="CI141">
        <v>0</v>
      </c>
      <c r="CJ141">
        <v>26</v>
      </c>
      <c r="CK141" t="s">
        <v>46</v>
      </c>
    </row>
    <row r="142" spans="1:89" x14ac:dyDescent="0.25">
      <c r="A142">
        <v>141</v>
      </c>
      <c r="B142">
        <v>10</v>
      </c>
      <c r="C142" t="s">
        <v>296</v>
      </c>
      <c r="D142" s="79">
        <v>5.3</v>
      </c>
      <c r="E142" s="6">
        <v>0.2</v>
      </c>
      <c r="F142" s="6">
        <f t="shared" si="18"/>
        <v>26.499999999999996</v>
      </c>
      <c r="G142" s="78">
        <v>0</v>
      </c>
      <c r="H142" s="70">
        <v>0</v>
      </c>
      <c r="I142" s="70">
        <v>0</v>
      </c>
      <c r="J142" s="70">
        <v>1</v>
      </c>
      <c r="K142" s="70">
        <v>0</v>
      </c>
      <c r="L142" s="78">
        <v>8262</v>
      </c>
      <c r="M142" s="70">
        <v>4</v>
      </c>
      <c r="N142" s="70">
        <f t="shared" si="24"/>
        <v>8257</v>
      </c>
      <c r="O142" s="60">
        <f t="shared" si="25"/>
        <v>38</v>
      </c>
      <c r="P142" s="70">
        <v>9.6300000000000008</v>
      </c>
      <c r="Q142" s="70">
        <v>18.5</v>
      </c>
      <c r="R142" s="78">
        <v>1</v>
      </c>
      <c r="S142" s="70">
        <v>0</v>
      </c>
      <c r="T142" s="78">
        <v>0</v>
      </c>
      <c r="U142" s="70">
        <v>1</v>
      </c>
      <c r="V142" s="70">
        <v>0</v>
      </c>
      <c r="W142" s="70">
        <v>0</v>
      </c>
      <c r="X142" s="78">
        <v>0</v>
      </c>
      <c r="Y142" s="70">
        <v>0</v>
      </c>
      <c r="Z142" s="70">
        <v>1</v>
      </c>
      <c r="AA142" s="78">
        <v>1</v>
      </c>
      <c r="AB142" s="70">
        <v>0</v>
      </c>
      <c r="AC142" s="69">
        <v>1940</v>
      </c>
      <c r="AD142">
        <f t="shared" si="22"/>
        <v>0.33749999999999997</v>
      </c>
      <c r="AE142">
        <f t="shared" si="22"/>
        <v>0.33749999999999997</v>
      </c>
      <c r="AF142" s="70">
        <v>0.28199999999999997</v>
      </c>
      <c r="AG142" s="70">
        <v>4.2999999999999997E-2</v>
      </c>
      <c r="AH142" s="28">
        <v>1</v>
      </c>
      <c r="AI142">
        <v>0</v>
      </c>
      <c r="AJ142" s="28">
        <v>1</v>
      </c>
      <c r="AK142">
        <v>0</v>
      </c>
      <c r="AL142" s="28">
        <v>0.96</v>
      </c>
      <c r="AM142">
        <f t="shared" si="23"/>
        <v>4.0000000000000036E-2</v>
      </c>
      <c r="AN142">
        <v>0</v>
      </c>
      <c r="AO142">
        <v>1</v>
      </c>
      <c r="AP142" s="28">
        <v>0.75</v>
      </c>
      <c r="AQ142" s="12">
        <f t="shared" si="20"/>
        <v>0.25</v>
      </c>
      <c r="AR142">
        <v>0.5</v>
      </c>
      <c r="AS142">
        <v>0.5</v>
      </c>
      <c r="AT142">
        <v>0</v>
      </c>
      <c r="AU142" s="62" t="s">
        <v>87</v>
      </c>
      <c r="AV142">
        <v>1</v>
      </c>
      <c r="AW142">
        <v>0</v>
      </c>
      <c r="AX142">
        <v>0</v>
      </c>
      <c r="AY142">
        <v>0</v>
      </c>
      <c r="AZ142">
        <v>0</v>
      </c>
      <c r="BA142">
        <v>0</v>
      </c>
      <c r="BB142">
        <v>0</v>
      </c>
      <c r="BC142">
        <v>1</v>
      </c>
      <c r="BD142">
        <v>0</v>
      </c>
      <c r="BE142">
        <v>0</v>
      </c>
      <c r="BF142">
        <v>15113</v>
      </c>
      <c r="BG142">
        <v>528</v>
      </c>
      <c r="BH142">
        <v>0.79400000000000004</v>
      </c>
      <c r="BI142" s="64">
        <v>37.5</v>
      </c>
      <c r="BJ142">
        <v>1</v>
      </c>
      <c r="BK142">
        <v>0</v>
      </c>
      <c r="BL142">
        <v>0</v>
      </c>
      <c r="BM142">
        <v>0</v>
      </c>
      <c r="BN142">
        <v>0</v>
      </c>
      <c r="BO142">
        <v>0</v>
      </c>
      <c r="BP142">
        <v>0</v>
      </c>
      <c r="BQ142" s="28">
        <v>0</v>
      </c>
      <c r="BR142">
        <v>0</v>
      </c>
      <c r="BS142">
        <v>0</v>
      </c>
      <c r="BT142" s="28">
        <v>1</v>
      </c>
      <c r="BU142">
        <v>1</v>
      </c>
      <c r="BV142">
        <v>0</v>
      </c>
      <c r="BW142">
        <v>0</v>
      </c>
      <c r="BX142">
        <v>1</v>
      </c>
      <c r="BY142">
        <v>0</v>
      </c>
      <c r="BZ142">
        <v>0</v>
      </c>
      <c r="CA142">
        <v>0</v>
      </c>
      <c r="CB142">
        <v>0</v>
      </c>
      <c r="CC142">
        <v>0</v>
      </c>
      <c r="CD142">
        <v>0</v>
      </c>
      <c r="CE142" s="16">
        <v>0</v>
      </c>
      <c r="CF142">
        <v>8.1000000000000003E-2</v>
      </c>
      <c r="CG142">
        <v>11</v>
      </c>
      <c r="CH142">
        <v>1</v>
      </c>
      <c r="CI142">
        <v>0</v>
      </c>
      <c r="CJ142">
        <v>26</v>
      </c>
      <c r="CK142" t="s">
        <v>46</v>
      </c>
    </row>
    <row r="143" spans="1:89" x14ac:dyDescent="0.25">
      <c r="A143">
        <v>142</v>
      </c>
      <c r="B143">
        <v>10</v>
      </c>
      <c r="C143" t="s">
        <v>296</v>
      </c>
      <c r="D143" s="79">
        <v>4.0999999999999996</v>
      </c>
      <c r="E143" s="6">
        <v>0.5</v>
      </c>
      <c r="F143" s="6">
        <f t="shared" si="18"/>
        <v>8.1999999999999993</v>
      </c>
      <c r="G143" s="78">
        <v>0</v>
      </c>
      <c r="H143" s="70">
        <v>0</v>
      </c>
      <c r="I143" s="70">
        <v>0</v>
      </c>
      <c r="J143" s="70">
        <v>1</v>
      </c>
      <c r="K143" s="70">
        <v>0</v>
      </c>
      <c r="L143" s="78">
        <v>8262</v>
      </c>
      <c r="M143" s="70">
        <v>1</v>
      </c>
      <c r="N143" s="70">
        <f t="shared" si="24"/>
        <v>8260</v>
      </c>
      <c r="O143" s="60">
        <f t="shared" si="25"/>
        <v>38</v>
      </c>
      <c r="P143" s="70">
        <v>9.6300000000000008</v>
      </c>
      <c r="Q143" s="70">
        <v>18.5</v>
      </c>
      <c r="R143" s="78">
        <v>1</v>
      </c>
      <c r="S143" s="70">
        <v>0</v>
      </c>
      <c r="T143" s="78">
        <v>0</v>
      </c>
      <c r="U143" s="70">
        <v>1</v>
      </c>
      <c r="V143" s="70">
        <v>0</v>
      </c>
      <c r="W143" s="70">
        <v>0</v>
      </c>
      <c r="X143" s="78">
        <v>0</v>
      </c>
      <c r="Y143" s="70">
        <v>0</v>
      </c>
      <c r="Z143" s="70">
        <v>1</v>
      </c>
      <c r="AA143" s="78">
        <v>1</v>
      </c>
      <c r="AB143" s="70">
        <v>0</v>
      </c>
      <c r="AC143" s="69">
        <v>1940</v>
      </c>
      <c r="AD143">
        <f t="shared" si="22"/>
        <v>0.33749999999999997</v>
      </c>
      <c r="AE143">
        <f t="shared" si="22"/>
        <v>0.33749999999999997</v>
      </c>
      <c r="AF143" s="70">
        <v>0.28199999999999997</v>
      </c>
      <c r="AG143" s="70">
        <v>4.2999999999999997E-2</v>
      </c>
      <c r="AH143" s="28">
        <v>1</v>
      </c>
      <c r="AI143">
        <v>0</v>
      </c>
      <c r="AJ143" s="28">
        <v>1</v>
      </c>
      <c r="AK143">
        <v>0</v>
      </c>
      <c r="AL143" s="28">
        <v>0.96</v>
      </c>
      <c r="AM143">
        <f t="shared" si="23"/>
        <v>4.0000000000000036E-2</v>
      </c>
      <c r="AN143">
        <v>0</v>
      </c>
      <c r="AO143">
        <v>1</v>
      </c>
      <c r="AP143" s="28">
        <v>0.75</v>
      </c>
      <c r="AQ143" s="12">
        <f t="shared" si="20"/>
        <v>0.25</v>
      </c>
      <c r="AR143">
        <v>0.5</v>
      </c>
      <c r="AS143">
        <v>0.5</v>
      </c>
      <c r="AT143">
        <v>0</v>
      </c>
      <c r="AU143" s="62" t="s">
        <v>87</v>
      </c>
      <c r="AV143">
        <v>1</v>
      </c>
      <c r="AW143">
        <v>0</v>
      </c>
      <c r="AX143">
        <v>0</v>
      </c>
      <c r="AY143">
        <v>0</v>
      </c>
      <c r="AZ143">
        <v>0</v>
      </c>
      <c r="BA143">
        <v>0</v>
      </c>
      <c r="BB143">
        <v>0</v>
      </c>
      <c r="BC143">
        <v>1</v>
      </c>
      <c r="BD143">
        <v>0</v>
      </c>
      <c r="BE143">
        <v>0</v>
      </c>
      <c r="BF143">
        <v>15113</v>
      </c>
      <c r="BG143">
        <v>528</v>
      </c>
      <c r="BH143">
        <v>0.79400000000000004</v>
      </c>
      <c r="BI143" s="64">
        <v>37.5</v>
      </c>
      <c r="BJ143">
        <v>0</v>
      </c>
      <c r="BK143">
        <v>0</v>
      </c>
      <c r="BL143">
        <v>1</v>
      </c>
      <c r="BM143">
        <v>0</v>
      </c>
      <c r="BN143">
        <v>0</v>
      </c>
      <c r="BO143">
        <v>0</v>
      </c>
      <c r="BP143">
        <v>0</v>
      </c>
      <c r="BQ143" s="28">
        <v>0</v>
      </c>
      <c r="BR143">
        <v>0</v>
      </c>
      <c r="BS143">
        <v>0</v>
      </c>
      <c r="BT143" s="28">
        <v>0</v>
      </c>
      <c r="BU143">
        <v>0</v>
      </c>
      <c r="BV143">
        <v>0</v>
      </c>
      <c r="BW143">
        <v>0</v>
      </c>
      <c r="BX143">
        <v>0</v>
      </c>
      <c r="BY143">
        <v>0</v>
      </c>
      <c r="BZ143">
        <v>0</v>
      </c>
      <c r="CA143">
        <v>0</v>
      </c>
      <c r="CB143">
        <v>0</v>
      </c>
      <c r="CC143">
        <v>0</v>
      </c>
      <c r="CD143">
        <v>0</v>
      </c>
      <c r="CE143" s="16">
        <v>0</v>
      </c>
      <c r="CF143">
        <v>8.1000000000000003E-2</v>
      </c>
      <c r="CG143">
        <v>11</v>
      </c>
      <c r="CH143">
        <v>1</v>
      </c>
      <c r="CI143">
        <v>0</v>
      </c>
      <c r="CJ143">
        <v>26</v>
      </c>
      <c r="CK143" t="s">
        <v>46</v>
      </c>
    </row>
    <row r="144" spans="1:89" x14ac:dyDescent="0.25">
      <c r="A144">
        <v>143</v>
      </c>
      <c r="B144">
        <v>10</v>
      </c>
      <c r="C144" t="s">
        <v>296</v>
      </c>
      <c r="D144" s="79">
        <v>6.3</v>
      </c>
      <c r="E144" s="6">
        <v>0.5</v>
      </c>
      <c r="F144" s="6">
        <f t="shared" si="18"/>
        <v>12.6</v>
      </c>
      <c r="G144" s="78">
        <v>0</v>
      </c>
      <c r="H144" s="70">
        <v>0</v>
      </c>
      <c r="I144" s="70">
        <v>0</v>
      </c>
      <c r="J144" s="70">
        <v>1</v>
      </c>
      <c r="K144" s="70">
        <v>0</v>
      </c>
      <c r="L144" s="78">
        <v>1644</v>
      </c>
      <c r="M144" s="70">
        <v>4</v>
      </c>
      <c r="N144" s="70">
        <f t="shared" si="24"/>
        <v>1639</v>
      </c>
      <c r="O144" s="60">
        <f t="shared" si="25"/>
        <v>38</v>
      </c>
      <c r="P144" s="70">
        <v>9.6300000000000008</v>
      </c>
      <c r="Q144" s="70">
        <v>18.5</v>
      </c>
      <c r="R144" s="78">
        <v>1</v>
      </c>
      <c r="S144" s="70">
        <v>0</v>
      </c>
      <c r="T144" s="78">
        <v>0</v>
      </c>
      <c r="U144" s="70">
        <v>1</v>
      </c>
      <c r="V144" s="70">
        <v>0</v>
      </c>
      <c r="W144" s="70">
        <v>0</v>
      </c>
      <c r="X144" s="78">
        <v>0</v>
      </c>
      <c r="Y144" s="70">
        <v>0</v>
      </c>
      <c r="Z144" s="70">
        <v>1</v>
      </c>
      <c r="AA144" s="78">
        <v>1</v>
      </c>
      <c r="AB144" s="70">
        <v>0</v>
      </c>
      <c r="AC144" s="69">
        <v>1940</v>
      </c>
      <c r="AD144">
        <f t="shared" si="22"/>
        <v>0.33749999999999997</v>
      </c>
      <c r="AE144">
        <f t="shared" si="22"/>
        <v>0.33749999999999997</v>
      </c>
      <c r="AF144" s="70">
        <v>0.28199999999999997</v>
      </c>
      <c r="AG144" s="70">
        <v>4.2999999999999997E-2</v>
      </c>
      <c r="AH144" s="28">
        <v>1</v>
      </c>
      <c r="AI144">
        <v>0</v>
      </c>
      <c r="AJ144" s="28">
        <v>1</v>
      </c>
      <c r="AK144">
        <v>0</v>
      </c>
      <c r="AL144" s="28">
        <v>0.96</v>
      </c>
      <c r="AM144">
        <f t="shared" si="23"/>
        <v>4.0000000000000036E-2</v>
      </c>
      <c r="AN144">
        <v>0</v>
      </c>
      <c r="AO144">
        <v>1</v>
      </c>
      <c r="AP144" s="28">
        <v>0.75</v>
      </c>
      <c r="AQ144" s="12">
        <f t="shared" si="20"/>
        <v>0.25</v>
      </c>
      <c r="AR144">
        <v>0.5</v>
      </c>
      <c r="AS144">
        <v>0.5</v>
      </c>
      <c r="AT144">
        <v>0</v>
      </c>
      <c r="AU144" s="62" t="s">
        <v>87</v>
      </c>
      <c r="AV144">
        <v>1</v>
      </c>
      <c r="AW144">
        <v>0</v>
      </c>
      <c r="AX144">
        <v>0</v>
      </c>
      <c r="AY144">
        <v>0</v>
      </c>
      <c r="AZ144">
        <v>0</v>
      </c>
      <c r="BA144">
        <v>0</v>
      </c>
      <c r="BB144">
        <v>0</v>
      </c>
      <c r="BC144">
        <v>1</v>
      </c>
      <c r="BD144">
        <v>0</v>
      </c>
      <c r="BE144">
        <v>0</v>
      </c>
      <c r="BF144">
        <v>15113</v>
      </c>
      <c r="BG144">
        <v>528</v>
      </c>
      <c r="BH144">
        <v>0.79400000000000004</v>
      </c>
      <c r="BI144" s="64">
        <v>37.5</v>
      </c>
      <c r="BJ144">
        <v>1</v>
      </c>
      <c r="BK144">
        <v>0</v>
      </c>
      <c r="BL144">
        <v>0</v>
      </c>
      <c r="BM144">
        <v>0</v>
      </c>
      <c r="BN144">
        <v>0</v>
      </c>
      <c r="BO144">
        <v>0</v>
      </c>
      <c r="BP144">
        <v>0</v>
      </c>
      <c r="BQ144" s="28">
        <v>0</v>
      </c>
      <c r="BR144">
        <v>0</v>
      </c>
      <c r="BS144">
        <v>0</v>
      </c>
      <c r="BT144" s="28">
        <v>1</v>
      </c>
      <c r="BU144">
        <v>1</v>
      </c>
      <c r="BV144">
        <v>0</v>
      </c>
      <c r="BW144">
        <v>0</v>
      </c>
      <c r="BX144">
        <v>1</v>
      </c>
      <c r="BY144">
        <v>0</v>
      </c>
      <c r="BZ144">
        <v>0</v>
      </c>
      <c r="CA144">
        <v>0</v>
      </c>
      <c r="CB144">
        <v>0</v>
      </c>
      <c r="CC144">
        <v>0</v>
      </c>
      <c r="CD144">
        <v>0</v>
      </c>
      <c r="CE144" s="16">
        <v>0</v>
      </c>
      <c r="CF144">
        <v>8.1000000000000003E-2</v>
      </c>
      <c r="CG144">
        <v>11</v>
      </c>
      <c r="CH144">
        <v>1</v>
      </c>
      <c r="CI144">
        <v>0</v>
      </c>
      <c r="CJ144">
        <v>26</v>
      </c>
      <c r="CK144" t="s">
        <v>46</v>
      </c>
    </row>
    <row r="145" spans="1:89" x14ac:dyDescent="0.25">
      <c r="A145">
        <v>144</v>
      </c>
      <c r="B145">
        <v>10</v>
      </c>
      <c r="C145" t="s">
        <v>296</v>
      </c>
      <c r="D145" s="79">
        <v>4.5</v>
      </c>
      <c r="E145" s="6">
        <v>1</v>
      </c>
      <c r="F145" s="6">
        <f t="shared" si="18"/>
        <v>4.5</v>
      </c>
      <c r="G145" s="78">
        <v>0</v>
      </c>
      <c r="H145" s="70">
        <v>0</v>
      </c>
      <c r="I145" s="70">
        <v>0</v>
      </c>
      <c r="J145" s="70">
        <v>1</v>
      </c>
      <c r="K145" s="70">
        <v>0</v>
      </c>
      <c r="L145" s="78">
        <v>1644</v>
      </c>
      <c r="M145" s="70">
        <v>1</v>
      </c>
      <c r="N145" s="70">
        <f t="shared" si="24"/>
        <v>1642</v>
      </c>
      <c r="O145" s="60">
        <f t="shared" si="25"/>
        <v>38</v>
      </c>
      <c r="P145" s="70">
        <v>9.6300000000000008</v>
      </c>
      <c r="Q145" s="70">
        <v>18.5</v>
      </c>
      <c r="R145" s="78">
        <v>1</v>
      </c>
      <c r="S145" s="70">
        <v>0</v>
      </c>
      <c r="T145" s="78">
        <v>0</v>
      </c>
      <c r="U145" s="70">
        <v>1</v>
      </c>
      <c r="V145" s="70">
        <v>0</v>
      </c>
      <c r="W145" s="70">
        <v>0</v>
      </c>
      <c r="X145" s="78">
        <v>0</v>
      </c>
      <c r="Y145" s="70">
        <v>0</v>
      </c>
      <c r="Z145" s="70">
        <v>1</v>
      </c>
      <c r="AA145" s="78">
        <v>1</v>
      </c>
      <c r="AB145" s="70">
        <v>0</v>
      </c>
      <c r="AC145" s="69">
        <v>1940</v>
      </c>
      <c r="AD145">
        <f t="shared" si="22"/>
        <v>0.33749999999999997</v>
      </c>
      <c r="AE145">
        <f t="shared" si="22"/>
        <v>0.33749999999999997</v>
      </c>
      <c r="AF145" s="70">
        <v>0.28199999999999997</v>
      </c>
      <c r="AG145" s="70">
        <v>4.2999999999999997E-2</v>
      </c>
      <c r="AH145" s="28">
        <v>1</v>
      </c>
      <c r="AI145">
        <v>0</v>
      </c>
      <c r="AJ145" s="28">
        <v>1</v>
      </c>
      <c r="AK145">
        <v>0</v>
      </c>
      <c r="AL145" s="28">
        <v>0.96</v>
      </c>
      <c r="AM145">
        <f t="shared" si="23"/>
        <v>4.0000000000000036E-2</v>
      </c>
      <c r="AN145">
        <v>0</v>
      </c>
      <c r="AO145">
        <v>1</v>
      </c>
      <c r="AP145" s="28">
        <v>0.75</v>
      </c>
      <c r="AQ145" s="12">
        <f t="shared" si="20"/>
        <v>0.25</v>
      </c>
      <c r="AR145">
        <v>0.5</v>
      </c>
      <c r="AS145">
        <v>0.5</v>
      </c>
      <c r="AT145">
        <v>0</v>
      </c>
      <c r="AU145" s="62" t="s">
        <v>87</v>
      </c>
      <c r="AV145">
        <v>1</v>
      </c>
      <c r="AW145">
        <v>0</v>
      </c>
      <c r="AX145">
        <v>0</v>
      </c>
      <c r="AY145">
        <v>0</v>
      </c>
      <c r="AZ145">
        <v>0</v>
      </c>
      <c r="BA145">
        <v>0</v>
      </c>
      <c r="BB145">
        <v>0</v>
      </c>
      <c r="BC145">
        <v>1</v>
      </c>
      <c r="BD145">
        <v>0</v>
      </c>
      <c r="BE145">
        <v>0</v>
      </c>
      <c r="BF145">
        <v>15113</v>
      </c>
      <c r="BG145">
        <v>528</v>
      </c>
      <c r="BH145">
        <v>0.79400000000000004</v>
      </c>
      <c r="BI145" s="64">
        <v>37.5</v>
      </c>
      <c r="BJ145">
        <v>0</v>
      </c>
      <c r="BK145">
        <v>0</v>
      </c>
      <c r="BL145">
        <v>1</v>
      </c>
      <c r="BM145">
        <v>0</v>
      </c>
      <c r="BN145">
        <v>0</v>
      </c>
      <c r="BO145">
        <v>0</v>
      </c>
      <c r="BP145">
        <v>0</v>
      </c>
      <c r="BQ145" s="28">
        <v>0</v>
      </c>
      <c r="BR145">
        <v>0</v>
      </c>
      <c r="BS145">
        <v>0</v>
      </c>
      <c r="BT145" s="28">
        <v>0</v>
      </c>
      <c r="BU145">
        <v>0</v>
      </c>
      <c r="BV145">
        <v>0</v>
      </c>
      <c r="BW145">
        <v>0</v>
      </c>
      <c r="BX145">
        <v>0</v>
      </c>
      <c r="BY145">
        <v>0</v>
      </c>
      <c r="BZ145">
        <v>0</v>
      </c>
      <c r="CA145">
        <v>0</v>
      </c>
      <c r="CB145">
        <v>0</v>
      </c>
      <c r="CC145">
        <v>0</v>
      </c>
      <c r="CD145">
        <v>0</v>
      </c>
      <c r="CE145" s="16">
        <v>0</v>
      </c>
      <c r="CF145">
        <v>8.1000000000000003E-2</v>
      </c>
      <c r="CG145">
        <v>11</v>
      </c>
      <c r="CH145">
        <v>1</v>
      </c>
      <c r="CI145">
        <v>0</v>
      </c>
      <c r="CJ145">
        <v>26</v>
      </c>
      <c r="CK145" t="s">
        <v>46</v>
      </c>
    </row>
    <row r="146" spans="1:89" x14ac:dyDescent="0.25">
      <c r="A146">
        <v>145</v>
      </c>
      <c r="B146">
        <v>10</v>
      </c>
      <c r="C146" t="s">
        <v>296</v>
      </c>
      <c r="D146" s="79">
        <v>5.7</v>
      </c>
      <c r="E146" s="6">
        <v>0.9</v>
      </c>
      <c r="F146" s="6">
        <f t="shared" si="18"/>
        <v>6.333333333333333</v>
      </c>
      <c r="G146" s="78">
        <v>0</v>
      </c>
      <c r="H146" s="70">
        <v>0</v>
      </c>
      <c r="I146" s="70">
        <v>0</v>
      </c>
      <c r="J146" s="70">
        <v>1</v>
      </c>
      <c r="K146" s="70">
        <v>0</v>
      </c>
      <c r="L146" s="78">
        <v>312</v>
      </c>
      <c r="M146" s="70">
        <v>4</v>
      </c>
      <c r="N146" s="70">
        <f t="shared" si="24"/>
        <v>307</v>
      </c>
      <c r="O146" s="60">
        <f t="shared" si="25"/>
        <v>38</v>
      </c>
      <c r="P146" s="70">
        <v>9.6300000000000008</v>
      </c>
      <c r="Q146" s="70">
        <v>18.5</v>
      </c>
      <c r="R146" s="78">
        <v>1</v>
      </c>
      <c r="S146" s="70">
        <v>0</v>
      </c>
      <c r="T146" s="78">
        <v>0</v>
      </c>
      <c r="U146" s="70">
        <v>1</v>
      </c>
      <c r="V146" s="70">
        <v>0</v>
      </c>
      <c r="W146" s="70">
        <v>0</v>
      </c>
      <c r="X146" s="78">
        <v>0</v>
      </c>
      <c r="Y146" s="70">
        <v>0</v>
      </c>
      <c r="Z146" s="70">
        <v>1</v>
      </c>
      <c r="AA146" s="78">
        <v>1</v>
      </c>
      <c r="AB146" s="70">
        <v>0</v>
      </c>
      <c r="AC146" s="69">
        <v>1940</v>
      </c>
      <c r="AD146">
        <f t="shared" si="22"/>
        <v>0.33749999999999997</v>
      </c>
      <c r="AE146">
        <f t="shared" si="22"/>
        <v>0.33749999999999997</v>
      </c>
      <c r="AF146" s="70">
        <v>0.28199999999999997</v>
      </c>
      <c r="AG146" s="70">
        <v>4.2999999999999997E-2</v>
      </c>
      <c r="AH146" s="28">
        <v>1</v>
      </c>
      <c r="AI146">
        <v>0</v>
      </c>
      <c r="AJ146" s="28">
        <v>1</v>
      </c>
      <c r="AK146">
        <v>0</v>
      </c>
      <c r="AL146" s="28">
        <v>0.96</v>
      </c>
      <c r="AM146">
        <f t="shared" si="23"/>
        <v>4.0000000000000036E-2</v>
      </c>
      <c r="AN146">
        <v>0</v>
      </c>
      <c r="AO146">
        <v>1</v>
      </c>
      <c r="AP146" s="28">
        <v>0.75</v>
      </c>
      <c r="AQ146" s="12">
        <f t="shared" si="20"/>
        <v>0.25</v>
      </c>
      <c r="AR146">
        <v>0.5</v>
      </c>
      <c r="AS146">
        <v>0.5</v>
      </c>
      <c r="AT146">
        <v>0</v>
      </c>
      <c r="AU146" s="62" t="s">
        <v>87</v>
      </c>
      <c r="AV146">
        <v>1</v>
      </c>
      <c r="AW146">
        <v>0</v>
      </c>
      <c r="AX146">
        <v>0</v>
      </c>
      <c r="AY146">
        <v>0</v>
      </c>
      <c r="AZ146">
        <v>0</v>
      </c>
      <c r="BA146">
        <v>0</v>
      </c>
      <c r="BB146">
        <v>0</v>
      </c>
      <c r="BC146">
        <v>1</v>
      </c>
      <c r="BD146">
        <v>0</v>
      </c>
      <c r="BE146">
        <v>0</v>
      </c>
      <c r="BF146">
        <v>15113</v>
      </c>
      <c r="BG146">
        <v>528</v>
      </c>
      <c r="BH146">
        <v>0.79400000000000004</v>
      </c>
      <c r="BI146" s="64">
        <v>37.5</v>
      </c>
      <c r="BJ146">
        <v>1</v>
      </c>
      <c r="BK146">
        <v>0</v>
      </c>
      <c r="BL146">
        <v>0</v>
      </c>
      <c r="BM146">
        <v>0</v>
      </c>
      <c r="BN146">
        <v>0</v>
      </c>
      <c r="BO146">
        <v>0</v>
      </c>
      <c r="BP146">
        <v>0</v>
      </c>
      <c r="BQ146" s="28">
        <v>0</v>
      </c>
      <c r="BR146">
        <v>0</v>
      </c>
      <c r="BS146">
        <v>0</v>
      </c>
      <c r="BT146" s="28">
        <v>1</v>
      </c>
      <c r="BU146">
        <v>1</v>
      </c>
      <c r="BV146">
        <v>0</v>
      </c>
      <c r="BW146">
        <v>0</v>
      </c>
      <c r="BX146">
        <v>1</v>
      </c>
      <c r="BY146">
        <v>0</v>
      </c>
      <c r="BZ146">
        <v>0</v>
      </c>
      <c r="CA146">
        <v>0</v>
      </c>
      <c r="CB146">
        <v>0</v>
      </c>
      <c r="CC146">
        <v>0</v>
      </c>
      <c r="CD146">
        <v>0</v>
      </c>
      <c r="CE146" s="16">
        <v>0</v>
      </c>
      <c r="CF146">
        <v>8.1000000000000003E-2</v>
      </c>
      <c r="CG146">
        <v>11</v>
      </c>
      <c r="CH146">
        <v>1</v>
      </c>
      <c r="CI146">
        <v>0</v>
      </c>
      <c r="CJ146">
        <v>26</v>
      </c>
      <c r="CK146" t="s">
        <v>46</v>
      </c>
    </row>
    <row r="147" spans="1:89" x14ac:dyDescent="0.25">
      <c r="A147">
        <v>146</v>
      </c>
      <c r="B147">
        <v>10</v>
      </c>
      <c r="C147" t="s">
        <v>296</v>
      </c>
      <c r="D147" s="79">
        <v>5.3</v>
      </c>
      <c r="E147" s="6">
        <v>2.6</v>
      </c>
      <c r="F147" s="6">
        <f t="shared" si="18"/>
        <v>2.0384615384615383</v>
      </c>
      <c r="G147" s="78">
        <v>0</v>
      </c>
      <c r="H147" s="70">
        <v>0</v>
      </c>
      <c r="I147" s="70">
        <v>0</v>
      </c>
      <c r="J147" s="70">
        <v>1</v>
      </c>
      <c r="K147" s="70">
        <v>0</v>
      </c>
      <c r="L147" s="78">
        <v>312</v>
      </c>
      <c r="M147" s="70">
        <v>1</v>
      </c>
      <c r="N147" s="70">
        <f t="shared" si="24"/>
        <v>310</v>
      </c>
      <c r="O147" s="60">
        <f t="shared" si="25"/>
        <v>38</v>
      </c>
      <c r="P147" s="70">
        <v>9.6300000000000008</v>
      </c>
      <c r="Q147" s="70">
        <v>18.5</v>
      </c>
      <c r="R147" s="78">
        <v>1</v>
      </c>
      <c r="S147" s="70">
        <v>0</v>
      </c>
      <c r="T147" s="78">
        <v>0</v>
      </c>
      <c r="U147" s="70">
        <v>1</v>
      </c>
      <c r="V147" s="70">
        <v>0</v>
      </c>
      <c r="W147" s="70">
        <v>0</v>
      </c>
      <c r="X147" s="78">
        <v>0</v>
      </c>
      <c r="Y147" s="70">
        <v>0</v>
      </c>
      <c r="Z147" s="70">
        <v>1</v>
      </c>
      <c r="AA147" s="78">
        <v>1</v>
      </c>
      <c r="AB147" s="70">
        <v>0</v>
      </c>
      <c r="AC147" s="69">
        <v>1940</v>
      </c>
      <c r="AD147">
        <f t="shared" si="22"/>
        <v>0.33749999999999997</v>
      </c>
      <c r="AE147">
        <f t="shared" si="22"/>
        <v>0.33749999999999997</v>
      </c>
      <c r="AF147" s="70">
        <v>0.28199999999999997</v>
      </c>
      <c r="AG147" s="70">
        <v>4.2999999999999997E-2</v>
      </c>
      <c r="AH147" s="28">
        <v>1</v>
      </c>
      <c r="AI147">
        <v>0</v>
      </c>
      <c r="AJ147" s="28">
        <v>1</v>
      </c>
      <c r="AK147">
        <v>0</v>
      </c>
      <c r="AL147" s="28">
        <v>0.96</v>
      </c>
      <c r="AM147">
        <f t="shared" si="23"/>
        <v>4.0000000000000036E-2</v>
      </c>
      <c r="AN147">
        <v>0</v>
      </c>
      <c r="AO147">
        <v>1</v>
      </c>
      <c r="AP147" s="28">
        <v>0.75</v>
      </c>
      <c r="AQ147" s="12">
        <f t="shared" si="20"/>
        <v>0.25</v>
      </c>
      <c r="AR147">
        <v>0.5</v>
      </c>
      <c r="AS147">
        <v>0.5</v>
      </c>
      <c r="AT147">
        <v>0</v>
      </c>
      <c r="AU147" s="62" t="s">
        <v>87</v>
      </c>
      <c r="AV147">
        <v>1</v>
      </c>
      <c r="AW147">
        <v>0</v>
      </c>
      <c r="AX147">
        <v>0</v>
      </c>
      <c r="AY147">
        <v>0</v>
      </c>
      <c r="AZ147">
        <v>0</v>
      </c>
      <c r="BA147">
        <v>0</v>
      </c>
      <c r="BB147">
        <v>0</v>
      </c>
      <c r="BC147">
        <v>1</v>
      </c>
      <c r="BD147">
        <v>0</v>
      </c>
      <c r="BE147">
        <v>0</v>
      </c>
      <c r="BF147">
        <v>15113</v>
      </c>
      <c r="BG147">
        <v>528</v>
      </c>
      <c r="BH147">
        <v>0.79400000000000004</v>
      </c>
      <c r="BI147" s="64">
        <v>37.5</v>
      </c>
      <c r="BJ147">
        <v>0</v>
      </c>
      <c r="BK147">
        <v>0</v>
      </c>
      <c r="BL147">
        <v>1</v>
      </c>
      <c r="BM147">
        <v>0</v>
      </c>
      <c r="BN147">
        <v>0</v>
      </c>
      <c r="BO147">
        <v>0</v>
      </c>
      <c r="BP147">
        <v>0</v>
      </c>
      <c r="BQ147" s="28">
        <v>0</v>
      </c>
      <c r="BR147">
        <v>0</v>
      </c>
      <c r="BS147">
        <v>0</v>
      </c>
      <c r="BT147" s="28">
        <v>0</v>
      </c>
      <c r="BU147">
        <v>0</v>
      </c>
      <c r="BV147">
        <v>0</v>
      </c>
      <c r="BW147">
        <v>0</v>
      </c>
      <c r="BX147">
        <v>0</v>
      </c>
      <c r="BY147">
        <v>0</v>
      </c>
      <c r="BZ147">
        <v>0</v>
      </c>
      <c r="CA147">
        <v>0</v>
      </c>
      <c r="CB147">
        <v>0</v>
      </c>
      <c r="CC147">
        <v>0</v>
      </c>
      <c r="CD147">
        <v>0</v>
      </c>
      <c r="CE147" s="16">
        <v>0</v>
      </c>
      <c r="CF147">
        <v>8.1000000000000003E-2</v>
      </c>
      <c r="CG147">
        <v>11</v>
      </c>
      <c r="CH147">
        <v>1</v>
      </c>
      <c r="CI147">
        <v>0</v>
      </c>
      <c r="CJ147">
        <v>26</v>
      </c>
      <c r="CK147" t="s">
        <v>46</v>
      </c>
    </row>
    <row r="148" spans="1:89" x14ac:dyDescent="0.25">
      <c r="A148">
        <v>147</v>
      </c>
      <c r="B148">
        <v>10</v>
      </c>
      <c r="C148" t="s">
        <v>296</v>
      </c>
      <c r="D148" s="79">
        <v>4.4000000000000004</v>
      </c>
      <c r="E148" s="6">
        <v>0.2</v>
      </c>
      <c r="F148" s="6">
        <f t="shared" si="18"/>
        <v>22</v>
      </c>
      <c r="G148" s="78">
        <v>0</v>
      </c>
      <c r="H148" s="70">
        <v>0</v>
      </c>
      <c r="I148" s="70">
        <v>0</v>
      </c>
      <c r="J148" s="70">
        <v>1</v>
      </c>
      <c r="K148" s="70">
        <v>0</v>
      </c>
      <c r="L148" s="78">
        <v>38652</v>
      </c>
      <c r="M148" s="70">
        <v>1</v>
      </c>
      <c r="N148" s="70">
        <f t="shared" si="24"/>
        <v>38650</v>
      </c>
      <c r="O148" s="60">
        <f t="shared" si="25"/>
        <v>38</v>
      </c>
      <c r="P148" s="70">
        <v>9.6300000000000008</v>
      </c>
      <c r="Q148" s="70">
        <v>18.5</v>
      </c>
      <c r="R148" s="78">
        <v>1</v>
      </c>
      <c r="S148" s="70">
        <v>0</v>
      </c>
      <c r="T148" s="78">
        <v>0</v>
      </c>
      <c r="U148" s="70">
        <v>1</v>
      </c>
      <c r="V148" s="70">
        <v>0</v>
      </c>
      <c r="W148" s="70">
        <v>0</v>
      </c>
      <c r="X148" s="78">
        <v>0</v>
      </c>
      <c r="Y148" s="70">
        <v>0</v>
      </c>
      <c r="Z148" s="70">
        <v>1</v>
      </c>
      <c r="AA148" s="78">
        <v>1</v>
      </c>
      <c r="AB148" s="70">
        <v>0</v>
      </c>
      <c r="AC148" s="69">
        <v>1940</v>
      </c>
      <c r="AD148">
        <f t="shared" si="22"/>
        <v>0.33749999999999997</v>
      </c>
      <c r="AE148">
        <f t="shared" si="22"/>
        <v>0.33749999999999997</v>
      </c>
      <c r="AF148" s="70">
        <v>0.28199999999999997</v>
      </c>
      <c r="AG148" s="70">
        <v>4.2999999999999997E-2</v>
      </c>
      <c r="AH148" s="28">
        <v>1</v>
      </c>
      <c r="AI148">
        <v>0</v>
      </c>
      <c r="AJ148" s="28">
        <v>1</v>
      </c>
      <c r="AK148">
        <v>0</v>
      </c>
      <c r="AL148" s="28">
        <v>0.96</v>
      </c>
      <c r="AM148">
        <f t="shared" si="23"/>
        <v>4.0000000000000036E-2</v>
      </c>
      <c r="AN148">
        <v>0</v>
      </c>
      <c r="AO148">
        <v>1</v>
      </c>
      <c r="AP148" s="28">
        <v>0.75</v>
      </c>
      <c r="AQ148" s="12">
        <f t="shared" si="20"/>
        <v>0.25</v>
      </c>
      <c r="AR148">
        <v>0.5</v>
      </c>
      <c r="AS148">
        <v>0.5</v>
      </c>
      <c r="AT148">
        <v>0</v>
      </c>
      <c r="AU148" s="62" t="s">
        <v>87</v>
      </c>
      <c r="AV148">
        <v>1</v>
      </c>
      <c r="AW148">
        <v>0</v>
      </c>
      <c r="AX148">
        <v>0</v>
      </c>
      <c r="AY148">
        <v>0</v>
      </c>
      <c r="AZ148">
        <v>0</v>
      </c>
      <c r="BA148">
        <v>0</v>
      </c>
      <c r="BB148">
        <v>0</v>
      </c>
      <c r="BC148">
        <v>1</v>
      </c>
      <c r="BD148">
        <v>0</v>
      </c>
      <c r="BE148">
        <v>0</v>
      </c>
      <c r="BF148">
        <v>15113</v>
      </c>
      <c r="BG148">
        <v>528</v>
      </c>
      <c r="BH148">
        <v>0.79400000000000004</v>
      </c>
      <c r="BI148" s="64">
        <v>37.5</v>
      </c>
      <c r="BJ148">
        <v>0</v>
      </c>
      <c r="BK148">
        <v>0</v>
      </c>
      <c r="BL148">
        <v>1</v>
      </c>
      <c r="BM148">
        <v>0</v>
      </c>
      <c r="BN148">
        <v>0</v>
      </c>
      <c r="BO148">
        <v>0</v>
      </c>
      <c r="BP148">
        <v>0</v>
      </c>
      <c r="BQ148" s="28">
        <v>0</v>
      </c>
      <c r="BR148">
        <v>0</v>
      </c>
      <c r="BS148">
        <v>0</v>
      </c>
      <c r="BT148" s="28">
        <v>1</v>
      </c>
      <c r="BU148">
        <v>1</v>
      </c>
      <c r="BV148">
        <v>0</v>
      </c>
      <c r="BW148">
        <v>0</v>
      </c>
      <c r="BX148">
        <v>1</v>
      </c>
      <c r="BY148">
        <v>0</v>
      </c>
      <c r="BZ148">
        <v>0</v>
      </c>
      <c r="CA148">
        <v>0</v>
      </c>
      <c r="CB148">
        <v>1</v>
      </c>
      <c r="CC148">
        <v>0</v>
      </c>
      <c r="CD148">
        <v>0</v>
      </c>
      <c r="CE148" s="16">
        <v>0</v>
      </c>
      <c r="CF148">
        <v>8.1000000000000003E-2</v>
      </c>
      <c r="CG148">
        <v>11</v>
      </c>
      <c r="CH148">
        <v>1</v>
      </c>
      <c r="CI148">
        <v>0</v>
      </c>
      <c r="CJ148">
        <v>26</v>
      </c>
      <c r="CK148" t="s">
        <v>46</v>
      </c>
    </row>
    <row r="149" spans="1:89" x14ac:dyDescent="0.25">
      <c r="A149">
        <v>148</v>
      </c>
      <c r="B149">
        <v>10</v>
      </c>
      <c r="C149" t="s">
        <v>296</v>
      </c>
      <c r="D149" s="79">
        <v>3</v>
      </c>
      <c r="E149" s="6">
        <v>0.2</v>
      </c>
      <c r="F149" s="6">
        <f t="shared" si="18"/>
        <v>15</v>
      </c>
      <c r="G149" s="78">
        <v>0</v>
      </c>
      <c r="H149" s="70">
        <v>0</v>
      </c>
      <c r="I149" s="70">
        <v>0</v>
      </c>
      <c r="J149" s="70">
        <v>1</v>
      </c>
      <c r="K149" s="70">
        <v>0</v>
      </c>
      <c r="L149" s="78">
        <v>38652</v>
      </c>
      <c r="M149" s="70">
        <v>1</v>
      </c>
      <c r="N149" s="70">
        <f t="shared" si="24"/>
        <v>38650</v>
      </c>
      <c r="O149" s="60">
        <f t="shared" si="25"/>
        <v>38</v>
      </c>
      <c r="P149" s="70">
        <v>9.6300000000000008</v>
      </c>
      <c r="Q149" s="70">
        <v>18.5</v>
      </c>
      <c r="R149" s="78">
        <v>1</v>
      </c>
      <c r="S149" s="70">
        <v>0</v>
      </c>
      <c r="T149" s="78">
        <v>0</v>
      </c>
      <c r="U149" s="70">
        <v>1</v>
      </c>
      <c r="V149" s="70">
        <v>0</v>
      </c>
      <c r="W149" s="70">
        <v>0</v>
      </c>
      <c r="X149" s="78">
        <v>0</v>
      </c>
      <c r="Y149" s="70">
        <v>0</v>
      </c>
      <c r="Z149" s="70">
        <v>1</v>
      </c>
      <c r="AA149" s="78">
        <v>1</v>
      </c>
      <c r="AB149" s="70">
        <v>0</v>
      </c>
      <c r="AC149" s="69">
        <v>1940</v>
      </c>
      <c r="AD149">
        <f t="shared" ref="AD149:AE166" si="26">(1-$AF149-$AG149)/2</f>
        <v>0.33749999999999997</v>
      </c>
      <c r="AE149">
        <f t="shared" si="26"/>
        <v>0.33749999999999997</v>
      </c>
      <c r="AF149" s="70">
        <v>0.28199999999999997</v>
      </c>
      <c r="AG149" s="70">
        <v>4.2999999999999997E-2</v>
      </c>
      <c r="AH149" s="28">
        <v>1</v>
      </c>
      <c r="AI149">
        <v>0</v>
      </c>
      <c r="AJ149" s="28">
        <v>1</v>
      </c>
      <c r="AK149">
        <v>0</v>
      </c>
      <c r="AL149" s="28">
        <v>0.96</v>
      </c>
      <c r="AM149">
        <f t="shared" si="23"/>
        <v>4.0000000000000036E-2</v>
      </c>
      <c r="AN149">
        <v>0</v>
      </c>
      <c r="AO149">
        <v>1</v>
      </c>
      <c r="AP149" s="28">
        <v>0.75</v>
      </c>
      <c r="AQ149" s="12">
        <f t="shared" si="20"/>
        <v>0.25</v>
      </c>
      <c r="AR149">
        <v>0.5</v>
      </c>
      <c r="AS149">
        <v>0.5</v>
      </c>
      <c r="AT149">
        <v>0</v>
      </c>
      <c r="AU149" s="62" t="s">
        <v>87</v>
      </c>
      <c r="AV149">
        <v>1</v>
      </c>
      <c r="AW149">
        <v>0</v>
      </c>
      <c r="AX149">
        <v>0</v>
      </c>
      <c r="AY149">
        <v>0</v>
      </c>
      <c r="AZ149">
        <v>0</v>
      </c>
      <c r="BA149">
        <v>0</v>
      </c>
      <c r="BB149">
        <v>0</v>
      </c>
      <c r="BC149">
        <v>1</v>
      </c>
      <c r="BD149">
        <v>0</v>
      </c>
      <c r="BE149">
        <v>0</v>
      </c>
      <c r="BF149">
        <v>15113</v>
      </c>
      <c r="BG149">
        <v>528</v>
      </c>
      <c r="BH149">
        <v>0.79400000000000004</v>
      </c>
      <c r="BI149" s="64">
        <v>37.5</v>
      </c>
      <c r="BJ149">
        <v>0</v>
      </c>
      <c r="BK149">
        <v>0</v>
      </c>
      <c r="BL149">
        <v>1</v>
      </c>
      <c r="BM149">
        <v>0</v>
      </c>
      <c r="BN149">
        <v>0</v>
      </c>
      <c r="BO149">
        <v>0</v>
      </c>
      <c r="BP149">
        <v>0</v>
      </c>
      <c r="BQ149" s="28">
        <v>0</v>
      </c>
      <c r="BR149">
        <v>0</v>
      </c>
      <c r="BS149">
        <v>0</v>
      </c>
      <c r="BT149" s="28">
        <v>1</v>
      </c>
      <c r="BU149">
        <v>1</v>
      </c>
      <c r="BV149">
        <v>0</v>
      </c>
      <c r="BW149">
        <v>0</v>
      </c>
      <c r="BX149">
        <v>1</v>
      </c>
      <c r="BY149">
        <v>0</v>
      </c>
      <c r="BZ149">
        <v>0</v>
      </c>
      <c r="CA149">
        <v>0</v>
      </c>
      <c r="CB149">
        <v>1</v>
      </c>
      <c r="CC149">
        <v>0</v>
      </c>
      <c r="CD149">
        <v>0</v>
      </c>
      <c r="CE149" s="16">
        <v>0</v>
      </c>
      <c r="CF149">
        <v>8.1000000000000003E-2</v>
      </c>
      <c r="CG149">
        <v>11</v>
      </c>
      <c r="CH149">
        <v>1</v>
      </c>
      <c r="CI149">
        <v>0</v>
      </c>
      <c r="CJ149">
        <v>26</v>
      </c>
      <c r="CK149" t="s">
        <v>46</v>
      </c>
    </row>
    <row r="150" spans="1:89" x14ac:dyDescent="0.25">
      <c r="A150">
        <v>149</v>
      </c>
      <c r="B150">
        <v>10</v>
      </c>
      <c r="C150" t="s">
        <v>296</v>
      </c>
      <c r="D150" s="79">
        <v>2.9</v>
      </c>
      <c r="E150" s="6">
        <v>0.2</v>
      </c>
      <c r="F150" s="6">
        <f t="shared" si="18"/>
        <v>14.499999999999998</v>
      </c>
      <c r="G150" s="78">
        <v>0</v>
      </c>
      <c r="H150" s="70">
        <v>0</v>
      </c>
      <c r="I150" s="70">
        <v>0</v>
      </c>
      <c r="J150" s="70">
        <v>1</v>
      </c>
      <c r="K150" s="70">
        <v>0</v>
      </c>
      <c r="L150" s="78">
        <v>38652</v>
      </c>
      <c r="M150" s="70">
        <v>1</v>
      </c>
      <c r="N150" s="70">
        <f t="shared" si="24"/>
        <v>38650</v>
      </c>
      <c r="O150" s="60">
        <f t="shared" si="25"/>
        <v>38</v>
      </c>
      <c r="P150" s="70">
        <v>9.6300000000000008</v>
      </c>
      <c r="Q150" s="70">
        <v>18.5</v>
      </c>
      <c r="R150" s="78">
        <v>1</v>
      </c>
      <c r="S150" s="70">
        <v>0</v>
      </c>
      <c r="T150" s="78">
        <v>0</v>
      </c>
      <c r="U150" s="70">
        <v>1</v>
      </c>
      <c r="V150" s="70">
        <v>0</v>
      </c>
      <c r="W150" s="70">
        <v>0</v>
      </c>
      <c r="X150" s="78">
        <v>0</v>
      </c>
      <c r="Y150" s="70">
        <v>0</v>
      </c>
      <c r="Z150" s="70">
        <v>1</v>
      </c>
      <c r="AA150" s="78">
        <v>1</v>
      </c>
      <c r="AB150" s="70">
        <v>0</v>
      </c>
      <c r="AC150" s="69">
        <v>1940</v>
      </c>
      <c r="AD150">
        <f t="shared" si="26"/>
        <v>0.33749999999999997</v>
      </c>
      <c r="AE150">
        <f t="shared" si="26"/>
        <v>0.33749999999999997</v>
      </c>
      <c r="AF150" s="70">
        <v>0.28199999999999997</v>
      </c>
      <c r="AG150" s="70">
        <v>4.2999999999999997E-2</v>
      </c>
      <c r="AH150" s="28">
        <v>1</v>
      </c>
      <c r="AI150">
        <v>0</v>
      </c>
      <c r="AJ150" s="28">
        <v>1</v>
      </c>
      <c r="AK150">
        <v>0</v>
      </c>
      <c r="AL150" s="28">
        <v>0.96</v>
      </c>
      <c r="AM150">
        <f t="shared" si="23"/>
        <v>4.0000000000000036E-2</v>
      </c>
      <c r="AN150">
        <v>0</v>
      </c>
      <c r="AO150">
        <v>1</v>
      </c>
      <c r="AP150" s="28">
        <v>0.75</v>
      </c>
      <c r="AQ150" s="12">
        <f t="shared" si="20"/>
        <v>0.25</v>
      </c>
      <c r="AR150">
        <v>0.5</v>
      </c>
      <c r="AS150">
        <v>0.5</v>
      </c>
      <c r="AT150">
        <v>0</v>
      </c>
      <c r="AU150" s="62" t="s">
        <v>87</v>
      </c>
      <c r="AV150">
        <v>1</v>
      </c>
      <c r="AW150">
        <v>0</v>
      </c>
      <c r="AX150">
        <v>0</v>
      </c>
      <c r="AY150">
        <v>0</v>
      </c>
      <c r="AZ150">
        <v>0</v>
      </c>
      <c r="BA150">
        <v>0</v>
      </c>
      <c r="BB150">
        <v>0</v>
      </c>
      <c r="BC150">
        <v>1</v>
      </c>
      <c r="BD150">
        <v>0</v>
      </c>
      <c r="BE150">
        <v>0</v>
      </c>
      <c r="BF150">
        <v>15113</v>
      </c>
      <c r="BG150">
        <v>528</v>
      </c>
      <c r="BH150">
        <v>0.79400000000000004</v>
      </c>
      <c r="BI150" s="64">
        <v>37.5</v>
      </c>
      <c r="BJ150">
        <v>0</v>
      </c>
      <c r="BK150">
        <v>0</v>
      </c>
      <c r="BL150">
        <v>1</v>
      </c>
      <c r="BM150">
        <v>0</v>
      </c>
      <c r="BN150">
        <v>0</v>
      </c>
      <c r="BO150">
        <v>0</v>
      </c>
      <c r="BP150">
        <v>0</v>
      </c>
      <c r="BQ150" s="28">
        <v>0</v>
      </c>
      <c r="BR150">
        <v>0</v>
      </c>
      <c r="BS150">
        <v>0</v>
      </c>
      <c r="BT150" s="28">
        <v>1</v>
      </c>
      <c r="BU150">
        <v>1</v>
      </c>
      <c r="BV150">
        <v>0</v>
      </c>
      <c r="BW150">
        <v>0</v>
      </c>
      <c r="BX150">
        <v>1</v>
      </c>
      <c r="BY150">
        <v>0</v>
      </c>
      <c r="BZ150">
        <v>0</v>
      </c>
      <c r="CA150">
        <v>0</v>
      </c>
      <c r="CB150">
        <v>1</v>
      </c>
      <c r="CC150">
        <v>0</v>
      </c>
      <c r="CD150">
        <v>0</v>
      </c>
      <c r="CE150" s="16">
        <v>0</v>
      </c>
      <c r="CF150">
        <v>8.1000000000000003E-2</v>
      </c>
      <c r="CG150">
        <v>11</v>
      </c>
      <c r="CH150">
        <v>1</v>
      </c>
      <c r="CI150">
        <v>0</v>
      </c>
      <c r="CJ150">
        <v>26</v>
      </c>
      <c r="CK150" t="s">
        <v>46</v>
      </c>
    </row>
    <row r="151" spans="1:89" x14ac:dyDescent="0.25">
      <c r="A151">
        <v>150</v>
      </c>
      <c r="B151">
        <v>10</v>
      </c>
      <c r="C151" t="s">
        <v>296</v>
      </c>
      <c r="D151" s="79">
        <v>2.8</v>
      </c>
      <c r="E151" s="6">
        <v>0.2</v>
      </c>
      <c r="F151" s="6">
        <f t="shared" si="18"/>
        <v>13.999999999999998</v>
      </c>
      <c r="G151" s="78">
        <v>0</v>
      </c>
      <c r="H151" s="70">
        <v>0</v>
      </c>
      <c r="I151" s="70">
        <v>0</v>
      </c>
      <c r="J151" s="70">
        <v>1</v>
      </c>
      <c r="K151" s="70">
        <v>0</v>
      </c>
      <c r="L151" s="78">
        <v>38652</v>
      </c>
      <c r="M151" s="70">
        <v>1</v>
      </c>
      <c r="N151" s="70">
        <f t="shared" si="24"/>
        <v>38650</v>
      </c>
      <c r="O151" s="60">
        <f t="shared" si="25"/>
        <v>38</v>
      </c>
      <c r="P151" s="70">
        <v>9.6300000000000008</v>
      </c>
      <c r="Q151" s="70">
        <v>18.5</v>
      </c>
      <c r="R151" s="78">
        <v>1</v>
      </c>
      <c r="S151" s="70">
        <v>0</v>
      </c>
      <c r="T151" s="78">
        <v>0</v>
      </c>
      <c r="U151" s="70">
        <v>1</v>
      </c>
      <c r="V151" s="70">
        <v>0</v>
      </c>
      <c r="W151" s="70">
        <v>0</v>
      </c>
      <c r="X151" s="78">
        <v>0</v>
      </c>
      <c r="Y151" s="70">
        <v>0</v>
      </c>
      <c r="Z151" s="70">
        <v>1</v>
      </c>
      <c r="AA151" s="78">
        <v>1</v>
      </c>
      <c r="AB151" s="70">
        <v>0</v>
      </c>
      <c r="AC151" s="69">
        <v>1940</v>
      </c>
      <c r="AD151">
        <f t="shared" si="26"/>
        <v>0.33749999999999997</v>
      </c>
      <c r="AE151">
        <f t="shared" si="26"/>
        <v>0.33749999999999997</v>
      </c>
      <c r="AF151" s="70">
        <v>0.28199999999999997</v>
      </c>
      <c r="AG151" s="70">
        <v>4.2999999999999997E-2</v>
      </c>
      <c r="AH151" s="28">
        <v>1</v>
      </c>
      <c r="AI151">
        <v>0</v>
      </c>
      <c r="AJ151" s="28">
        <v>1</v>
      </c>
      <c r="AK151">
        <v>0</v>
      </c>
      <c r="AL151" s="28">
        <v>0.96</v>
      </c>
      <c r="AM151">
        <f t="shared" si="23"/>
        <v>4.0000000000000036E-2</v>
      </c>
      <c r="AN151">
        <v>0</v>
      </c>
      <c r="AO151">
        <v>1</v>
      </c>
      <c r="AP151" s="28">
        <v>0.75</v>
      </c>
      <c r="AQ151" s="12">
        <f t="shared" si="20"/>
        <v>0.25</v>
      </c>
      <c r="AR151">
        <v>0.5</v>
      </c>
      <c r="AS151">
        <v>0.5</v>
      </c>
      <c r="AT151">
        <v>0</v>
      </c>
      <c r="AU151" s="62" t="s">
        <v>87</v>
      </c>
      <c r="AV151">
        <v>1</v>
      </c>
      <c r="AW151">
        <v>0</v>
      </c>
      <c r="AX151">
        <v>0</v>
      </c>
      <c r="AY151">
        <v>0</v>
      </c>
      <c r="AZ151">
        <v>0</v>
      </c>
      <c r="BA151">
        <v>0</v>
      </c>
      <c r="BB151">
        <v>0</v>
      </c>
      <c r="BC151">
        <v>1</v>
      </c>
      <c r="BD151">
        <v>0</v>
      </c>
      <c r="BE151">
        <v>0</v>
      </c>
      <c r="BF151">
        <v>15113</v>
      </c>
      <c r="BG151">
        <v>528</v>
      </c>
      <c r="BH151">
        <v>0.79400000000000004</v>
      </c>
      <c r="BI151" s="64">
        <v>37.5</v>
      </c>
      <c r="BJ151">
        <v>0</v>
      </c>
      <c r="BK151">
        <v>0</v>
      </c>
      <c r="BL151">
        <v>1</v>
      </c>
      <c r="BM151">
        <v>0</v>
      </c>
      <c r="BN151">
        <v>0</v>
      </c>
      <c r="BO151">
        <v>0</v>
      </c>
      <c r="BP151">
        <v>0</v>
      </c>
      <c r="BQ151" s="28">
        <v>0</v>
      </c>
      <c r="BR151">
        <v>0</v>
      </c>
      <c r="BS151">
        <v>0</v>
      </c>
      <c r="BT151" s="28">
        <v>1</v>
      </c>
      <c r="BU151">
        <v>1</v>
      </c>
      <c r="BV151">
        <v>0</v>
      </c>
      <c r="BW151">
        <v>0</v>
      </c>
      <c r="BX151">
        <v>1</v>
      </c>
      <c r="BY151">
        <v>0</v>
      </c>
      <c r="BZ151">
        <v>0</v>
      </c>
      <c r="CA151">
        <v>0</v>
      </c>
      <c r="CB151">
        <v>0</v>
      </c>
      <c r="CC151">
        <v>0</v>
      </c>
      <c r="CD151">
        <v>0</v>
      </c>
      <c r="CE151" s="16">
        <v>0</v>
      </c>
      <c r="CF151">
        <v>8.1000000000000003E-2</v>
      </c>
      <c r="CG151">
        <v>11</v>
      </c>
      <c r="CH151">
        <v>1</v>
      </c>
      <c r="CI151">
        <v>0</v>
      </c>
      <c r="CJ151">
        <v>26</v>
      </c>
      <c r="CK151" t="s">
        <v>46</v>
      </c>
    </row>
    <row r="152" spans="1:89" x14ac:dyDescent="0.25">
      <c r="A152">
        <v>151</v>
      </c>
      <c r="B152">
        <v>10</v>
      </c>
      <c r="C152" t="s">
        <v>296</v>
      </c>
      <c r="D152" s="79">
        <v>1.9</v>
      </c>
      <c r="E152" s="6">
        <v>0.1</v>
      </c>
      <c r="F152" s="6">
        <f t="shared" si="18"/>
        <v>18.999999999999996</v>
      </c>
      <c r="G152" s="78">
        <v>0</v>
      </c>
      <c r="H152" s="70">
        <v>0</v>
      </c>
      <c r="I152" s="70">
        <v>0</v>
      </c>
      <c r="J152" s="70">
        <v>1</v>
      </c>
      <c r="K152" s="70">
        <v>0</v>
      </c>
      <c r="L152" s="78">
        <v>38652</v>
      </c>
      <c r="M152" s="70">
        <v>1</v>
      </c>
      <c r="N152" s="70">
        <f t="shared" si="24"/>
        <v>38650</v>
      </c>
      <c r="O152" s="60">
        <f t="shared" si="25"/>
        <v>38</v>
      </c>
      <c r="P152" s="70">
        <v>9.6300000000000008</v>
      </c>
      <c r="Q152" s="70">
        <v>18.5</v>
      </c>
      <c r="R152" s="78">
        <v>1</v>
      </c>
      <c r="S152" s="70">
        <v>0</v>
      </c>
      <c r="T152" s="78">
        <v>0</v>
      </c>
      <c r="U152" s="70">
        <v>1</v>
      </c>
      <c r="V152" s="70">
        <v>0</v>
      </c>
      <c r="W152" s="70">
        <v>0</v>
      </c>
      <c r="X152" s="78">
        <v>0</v>
      </c>
      <c r="Y152" s="70">
        <v>0</v>
      </c>
      <c r="Z152" s="70">
        <v>1</v>
      </c>
      <c r="AA152" s="78">
        <v>1</v>
      </c>
      <c r="AB152" s="70">
        <v>0</v>
      </c>
      <c r="AC152" s="69">
        <v>1940</v>
      </c>
      <c r="AD152">
        <f t="shared" si="26"/>
        <v>0.33749999999999997</v>
      </c>
      <c r="AE152">
        <f t="shared" si="26"/>
        <v>0.33749999999999997</v>
      </c>
      <c r="AF152" s="70">
        <v>0.28199999999999997</v>
      </c>
      <c r="AG152" s="70">
        <v>4.2999999999999997E-2</v>
      </c>
      <c r="AH152" s="28">
        <v>1</v>
      </c>
      <c r="AI152">
        <v>0</v>
      </c>
      <c r="AJ152" s="28">
        <v>1</v>
      </c>
      <c r="AK152">
        <v>0</v>
      </c>
      <c r="AL152" s="28">
        <v>0.96</v>
      </c>
      <c r="AM152">
        <f t="shared" si="23"/>
        <v>4.0000000000000036E-2</v>
      </c>
      <c r="AN152">
        <v>0</v>
      </c>
      <c r="AO152">
        <v>1</v>
      </c>
      <c r="AP152" s="28">
        <v>0.75</v>
      </c>
      <c r="AQ152" s="12">
        <f t="shared" si="20"/>
        <v>0.25</v>
      </c>
      <c r="AR152">
        <v>0.5</v>
      </c>
      <c r="AS152">
        <v>0.5</v>
      </c>
      <c r="AT152">
        <v>0</v>
      </c>
      <c r="AU152" s="62" t="s">
        <v>87</v>
      </c>
      <c r="AV152">
        <v>1</v>
      </c>
      <c r="AW152">
        <v>0</v>
      </c>
      <c r="AX152">
        <v>0</v>
      </c>
      <c r="AY152">
        <v>0</v>
      </c>
      <c r="AZ152">
        <v>0</v>
      </c>
      <c r="BA152">
        <v>0</v>
      </c>
      <c r="BB152">
        <v>0</v>
      </c>
      <c r="BC152">
        <v>1</v>
      </c>
      <c r="BD152">
        <v>0</v>
      </c>
      <c r="BE152">
        <v>0</v>
      </c>
      <c r="BF152">
        <v>15113</v>
      </c>
      <c r="BG152">
        <v>528</v>
      </c>
      <c r="BH152">
        <v>0.79400000000000004</v>
      </c>
      <c r="BI152" s="64">
        <v>37.5</v>
      </c>
      <c r="BJ152">
        <v>0</v>
      </c>
      <c r="BK152">
        <v>0</v>
      </c>
      <c r="BL152">
        <v>1</v>
      </c>
      <c r="BM152">
        <v>0</v>
      </c>
      <c r="BN152">
        <v>0</v>
      </c>
      <c r="BO152">
        <v>0</v>
      </c>
      <c r="BP152">
        <v>0</v>
      </c>
      <c r="BQ152" s="28">
        <v>0</v>
      </c>
      <c r="BR152">
        <v>0</v>
      </c>
      <c r="BS152">
        <v>0</v>
      </c>
      <c r="BT152" s="28">
        <v>0</v>
      </c>
      <c r="BU152">
        <v>0</v>
      </c>
      <c r="BV152">
        <v>0</v>
      </c>
      <c r="BW152">
        <v>0</v>
      </c>
      <c r="BX152">
        <v>0</v>
      </c>
      <c r="BY152">
        <v>0</v>
      </c>
      <c r="BZ152">
        <v>0</v>
      </c>
      <c r="CA152">
        <v>0</v>
      </c>
      <c r="CB152">
        <v>0</v>
      </c>
      <c r="CC152">
        <v>0</v>
      </c>
      <c r="CD152">
        <v>0</v>
      </c>
      <c r="CE152" s="16">
        <v>0</v>
      </c>
      <c r="CF152">
        <v>8.1000000000000003E-2</v>
      </c>
      <c r="CG152">
        <v>11</v>
      </c>
      <c r="CH152">
        <v>1</v>
      </c>
      <c r="CI152">
        <v>0</v>
      </c>
      <c r="CJ152">
        <v>26</v>
      </c>
      <c r="CK152" t="s">
        <v>46</v>
      </c>
    </row>
    <row r="153" spans="1:89" x14ac:dyDescent="0.25">
      <c r="A153">
        <v>152</v>
      </c>
      <c r="B153">
        <v>10</v>
      </c>
      <c r="C153" t="s">
        <v>296</v>
      </c>
      <c r="D153" s="79">
        <v>4.9000000000000004</v>
      </c>
      <c r="E153" s="6">
        <v>0.2</v>
      </c>
      <c r="F153" s="6">
        <f t="shared" si="18"/>
        <v>24.5</v>
      </c>
      <c r="G153" s="78">
        <v>0</v>
      </c>
      <c r="H153" s="70">
        <v>0</v>
      </c>
      <c r="I153" s="70">
        <v>0</v>
      </c>
      <c r="J153" s="70">
        <v>1</v>
      </c>
      <c r="K153" s="70">
        <v>0</v>
      </c>
      <c r="L153" s="78">
        <v>10189</v>
      </c>
      <c r="M153" s="70">
        <v>4</v>
      </c>
      <c r="N153" s="70">
        <f t="shared" si="24"/>
        <v>10184</v>
      </c>
      <c r="O153" s="60">
        <f t="shared" si="25"/>
        <v>38</v>
      </c>
      <c r="P153" s="70">
        <v>9.6300000000000008</v>
      </c>
      <c r="Q153" s="70">
        <v>18.5</v>
      </c>
      <c r="R153" s="78">
        <v>1</v>
      </c>
      <c r="S153" s="70">
        <v>0</v>
      </c>
      <c r="T153" s="78">
        <v>0</v>
      </c>
      <c r="U153" s="70">
        <v>1</v>
      </c>
      <c r="V153" s="70">
        <v>0</v>
      </c>
      <c r="W153" s="70">
        <v>0</v>
      </c>
      <c r="X153" s="78">
        <v>0</v>
      </c>
      <c r="Y153" s="70">
        <v>0</v>
      </c>
      <c r="Z153" s="70">
        <v>1</v>
      </c>
      <c r="AA153" s="78">
        <v>1</v>
      </c>
      <c r="AB153" s="70">
        <v>0</v>
      </c>
      <c r="AC153" s="69">
        <v>1940</v>
      </c>
      <c r="AD153">
        <f t="shared" si="26"/>
        <v>0.33749999999999997</v>
      </c>
      <c r="AE153">
        <f t="shared" si="26"/>
        <v>0.33749999999999997</v>
      </c>
      <c r="AF153" s="70">
        <v>0.28199999999999997</v>
      </c>
      <c r="AG153" s="70">
        <v>4.2999999999999997E-2</v>
      </c>
      <c r="AH153" s="28">
        <v>1</v>
      </c>
      <c r="AI153">
        <v>0</v>
      </c>
      <c r="AJ153" s="28">
        <v>1</v>
      </c>
      <c r="AK153">
        <v>0</v>
      </c>
      <c r="AL153" s="28">
        <v>0.96</v>
      </c>
      <c r="AM153">
        <f t="shared" si="23"/>
        <v>4.0000000000000036E-2</v>
      </c>
      <c r="AN153">
        <v>0</v>
      </c>
      <c r="AO153">
        <v>1</v>
      </c>
      <c r="AP153" s="28">
        <v>0.75</v>
      </c>
      <c r="AQ153" s="12">
        <f t="shared" si="20"/>
        <v>0.25</v>
      </c>
      <c r="AR153">
        <v>0.5</v>
      </c>
      <c r="AS153">
        <v>0.5</v>
      </c>
      <c r="AT153">
        <v>0</v>
      </c>
      <c r="AU153" s="62" t="s">
        <v>87</v>
      </c>
      <c r="AV153">
        <v>1</v>
      </c>
      <c r="AW153">
        <v>0</v>
      </c>
      <c r="AX153">
        <v>0</v>
      </c>
      <c r="AY153">
        <v>0</v>
      </c>
      <c r="AZ153">
        <v>0</v>
      </c>
      <c r="BA153">
        <v>0</v>
      </c>
      <c r="BB153">
        <v>0</v>
      </c>
      <c r="BC153">
        <v>1</v>
      </c>
      <c r="BD153">
        <v>0</v>
      </c>
      <c r="BE153">
        <v>0</v>
      </c>
      <c r="BF153">
        <v>15113</v>
      </c>
      <c r="BG153">
        <v>528</v>
      </c>
      <c r="BH153">
        <v>0.79400000000000004</v>
      </c>
      <c r="BI153" s="64">
        <v>37.5</v>
      </c>
      <c r="BJ153">
        <v>1</v>
      </c>
      <c r="BK153">
        <v>0</v>
      </c>
      <c r="BL153">
        <v>0</v>
      </c>
      <c r="BM153">
        <v>0</v>
      </c>
      <c r="BN153">
        <v>0</v>
      </c>
      <c r="BO153">
        <v>0</v>
      </c>
      <c r="BP153">
        <v>0</v>
      </c>
      <c r="BQ153" s="28">
        <v>0</v>
      </c>
      <c r="BR153">
        <v>0</v>
      </c>
      <c r="BS153">
        <v>0</v>
      </c>
      <c r="BT153" s="28">
        <v>1</v>
      </c>
      <c r="BU153">
        <v>1</v>
      </c>
      <c r="BV153">
        <v>0</v>
      </c>
      <c r="BW153">
        <v>0</v>
      </c>
      <c r="BX153">
        <v>1</v>
      </c>
      <c r="BY153">
        <v>0</v>
      </c>
      <c r="BZ153">
        <v>0</v>
      </c>
      <c r="CA153">
        <v>0</v>
      </c>
      <c r="CB153">
        <v>0</v>
      </c>
      <c r="CC153">
        <v>0</v>
      </c>
      <c r="CD153">
        <v>0</v>
      </c>
      <c r="CE153" s="16">
        <v>0</v>
      </c>
      <c r="CF153">
        <v>8.1000000000000003E-2</v>
      </c>
      <c r="CG153">
        <v>11</v>
      </c>
      <c r="CH153">
        <v>1</v>
      </c>
      <c r="CI153">
        <v>0</v>
      </c>
      <c r="CJ153">
        <v>26</v>
      </c>
      <c r="CK153" t="s">
        <v>46</v>
      </c>
    </row>
    <row r="154" spans="1:89" x14ac:dyDescent="0.25">
      <c r="A154">
        <v>153</v>
      </c>
      <c r="B154">
        <v>10</v>
      </c>
      <c r="C154" t="s">
        <v>296</v>
      </c>
      <c r="D154" s="79">
        <v>4.9000000000000004</v>
      </c>
      <c r="E154" s="6">
        <v>0.4</v>
      </c>
      <c r="F154" s="6">
        <f t="shared" si="18"/>
        <v>12.25</v>
      </c>
      <c r="G154" s="78">
        <v>0</v>
      </c>
      <c r="H154" s="70">
        <v>0</v>
      </c>
      <c r="I154" s="70">
        <v>0</v>
      </c>
      <c r="J154" s="70">
        <v>1</v>
      </c>
      <c r="K154" s="70">
        <v>0</v>
      </c>
      <c r="L154" s="78">
        <v>10189</v>
      </c>
      <c r="M154" s="70">
        <v>1</v>
      </c>
      <c r="N154" s="70">
        <f t="shared" si="24"/>
        <v>10187</v>
      </c>
      <c r="O154" s="60">
        <f t="shared" si="25"/>
        <v>38</v>
      </c>
      <c r="P154" s="70">
        <v>9.6300000000000008</v>
      </c>
      <c r="Q154" s="70">
        <v>18.5</v>
      </c>
      <c r="R154" s="78">
        <v>1</v>
      </c>
      <c r="S154" s="70">
        <v>0</v>
      </c>
      <c r="T154" s="78">
        <v>0</v>
      </c>
      <c r="U154" s="70">
        <v>1</v>
      </c>
      <c r="V154" s="70">
        <v>0</v>
      </c>
      <c r="W154" s="70">
        <v>0</v>
      </c>
      <c r="X154" s="78">
        <v>0</v>
      </c>
      <c r="Y154" s="70">
        <v>0</v>
      </c>
      <c r="Z154" s="70">
        <v>1</v>
      </c>
      <c r="AA154" s="78">
        <v>1</v>
      </c>
      <c r="AB154" s="70">
        <v>0</v>
      </c>
      <c r="AC154" s="69">
        <v>1940</v>
      </c>
      <c r="AD154">
        <f t="shared" si="26"/>
        <v>0.33749999999999997</v>
      </c>
      <c r="AE154">
        <f t="shared" si="26"/>
        <v>0.33749999999999997</v>
      </c>
      <c r="AF154" s="70">
        <v>0.28199999999999997</v>
      </c>
      <c r="AG154" s="70">
        <v>4.2999999999999997E-2</v>
      </c>
      <c r="AH154" s="28">
        <v>1</v>
      </c>
      <c r="AI154">
        <v>0</v>
      </c>
      <c r="AJ154" s="28">
        <v>1</v>
      </c>
      <c r="AK154">
        <v>0</v>
      </c>
      <c r="AL154" s="28">
        <v>0.96</v>
      </c>
      <c r="AM154">
        <f t="shared" si="23"/>
        <v>4.0000000000000036E-2</v>
      </c>
      <c r="AN154">
        <v>0</v>
      </c>
      <c r="AO154">
        <v>1</v>
      </c>
      <c r="AP154" s="28">
        <v>0.75</v>
      </c>
      <c r="AQ154" s="12">
        <f t="shared" si="20"/>
        <v>0.25</v>
      </c>
      <c r="AR154">
        <v>0.5</v>
      </c>
      <c r="AS154">
        <v>0.5</v>
      </c>
      <c r="AT154">
        <v>0</v>
      </c>
      <c r="AU154" s="62" t="s">
        <v>87</v>
      </c>
      <c r="AV154">
        <v>1</v>
      </c>
      <c r="AW154">
        <v>0</v>
      </c>
      <c r="AX154">
        <v>0</v>
      </c>
      <c r="AY154">
        <v>0</v>
      </c>
      <c r="AZ154">
        <v>0</v>
      </c>
      <c r="BA154">
        <v>0</v>
      </c>
      <c r="BB154">
        <v>0</v>
      </c>
      <c r="BC154">
        <v>1</v>
      </c>
      <c r="BD154">
        <v>0</v>
      </c>
      <c r="BE154">
        <v>0</v>
      </c>
      <c r="BF154">
        <v>15113</v>
      </c>
      <c r="BG154">
        <v>528</v>
      </c>
      <c r="BH154">
        <v>0.79400000000000004</v>
      </c>
      <c r="BI154" s="64">
        <v>37.5</v>
      </c>
      <c r="BJ154">
        <v>0</v>
      </c>
      <c r="BK154">
        <v>0</v>
      </c>
      <c r="BL154">
        <v>1</v>
      </c>
      <c r="BM154">
        <v>0</v>
      </c>
      <c r="BN154">
        <v>0</v>
      </c>
      <c r="BO154">
        <v>0</v>
      </c>
      <c r="BP154">
        <v>0</v>
      </c>
      <c r="BQ154" s="28">
        <v>0</v>
      </c>
      <c r="BR154">
        <v>0</v>
      </c>
      <c r="BS154">
        <v>0</v>
      </c>
      <c r="BT154" s="28">
        <v>0</v>
      </c>
      <c r="BU154">
        <v>0</v>
      </c>
      <c r="BV154">
        <v>0</v>
      </c>
      <c r="BW154">
        <v>0</v>
      </c>
      <c r="BX154">
        <v>0</v>
      </c>
      <c r="BY154">
        <v>0</v>
      </c>
      <c r="BZ154">
        <v>0</v>
      </c>
      <c r="CA154">
        <v>0</v>
      </c>
      <c r="CB154">
        <v>0</v>
      </c>
      <c r="CC154">
        <v>0</v>
      </c>
      <c r="CD154">
        <v>0</v>
      </c>
      <c r="CE154" s="16">
        <v>0</v>
      </c>
      <c r="CF154">
        <v>8.1000000000000003E-2</v>
      </c>
      <c r="CG154">
        <v>11</v>
      </c>
      <c r="CH154">
        <v>1</v>
      </c>
      <c r="CI154">
        <v>0</v>
      </c>
      <c r="CJ154">
        <v>26</v>
      </c>
      <c r="CK154" t="s">
        <v>46</v>
      </c>
    </row>
    <row r="155" spans="1:89" x14ac:dyDescent="0.25">
      <c r="A155">
        <v>154</v>
      </c>
      <c r="B155">
        <v>10</v>
      </c>
      <c r="C155" t="s">
        <v>296</v>
      </c>
      <c r="D155" s="79">
        <v>4.3</v>
      </c>
      <c r="E155" s="6">
        <v>0.1</v>
      </c>
      <c r="F155" s="6">
        <f t="shared" si="18"/>
        <v>42.999999999999993</v>
      </c>
      <c r="G155" s="78">
        <v>0</v>
      </c>
      <c r="H155" s="70">
        <v>0</v>
      </c>
      <c r="I155" s="70">
        <v>0</v>
      </c>
      <c r="J155" s="70">
        <v>1</v>
      </c>
      <c r="K155" s="70">
        <v>0</v>
      </c>
      <c r="L155" s="78">
        <v>25468</v>
      </c>
      <c r="M155" s="70">
        <v>4</v>
      </c>
      <c r="N155" s="70">
        <f t="shared" si="24"/>
        <v>25463</v>
      </c>
      <c r="O155" s="60">
        <f t="shared" si="25"/>
        <v>38</v>
      </c>
      <c r="P155" s="70">
        <v>9.6300000000000008</v>
      </c>
      <c r="Q155" s="70">
        <v>18.5</v>
      </c>
      <c r="R155" s="78">
        <v>1</v>
      </c>
      <c r="S155" s="70">
        <v>0</v>
      </c>
      <c r="T155" s="78">
        <v>0</v>
      </c>
      <c r="U155" s="70">
        <v>1</v>
      </c>
      <c r="V155" s="70">
        <v>0</v>
      </c>
      <c r="W155" s="70">
        <v>0</v>
      </c>
      <c r="X155" s="78">
        <v>0</v>
      </c>
      <c r="Y155" s="70">
        <v>0</v>
      </c>
      <c r="Z155" s="70">
        <v>1</v>
      </c>
      <c r="AA155" s="78">
        <v>1</v>
      </c>
      <c r="AB155" s="70">
        <v>0</v>
      </c>
      <c r="AC155" s="69">
        <v>1940</v>
      </c>
      <c r="AD155">
        <f t="shared" si="26"/>
        <v>0.33749999999999997</v>
      </c>
      <c r="AE155">
        <f t="shared" si="26"/>
        <v>0.33749999999999997</v>
      </c>
      <c r="AF155" s="70">
        <v>0.28199999999999997</v>
      </c>
      <c r="AG155" s="70">
        <v>4.2999999999999997E-2</v>
      </c>
      <c r="AH155" s="28">
        <v>1</v>
      </c>
      <c r="AI155">
        <v>0</v>
      </c>
      <c r="AJ155" s="28">
        <v>1</v>
      </c>
      <c r="AK155">
        <v>0</v>
      </c>
      <c r="AL155" s="28">
        <v>0.96</v>
      </c>
      <c r="AM155">
        <f t="shared" si="23"/>
        <v>4.0000000000000036E-2</v>
      </c>
      <c r="AN155">
        <v>0</v>
      </c>
      <c r="AO155">
        <v>1</v>
      </c>
      <c r="AP155" s="28">
        <v>0.75</v>
      </c>
      <c r="AQ155" s="12">
        <f t="shared" si="20"/>
        <v>0.25</v>
      </c>
      <c r="AR155">
        <v>0.5</v>
      </c>
      <c r="AS155">
        <v>0.5</v>
      </c>
      <c r="AT155">
        <v>0</v>
      </c>
      <c r="AU155" s="62" t="s">
        <v>87</v>
      </c>
      <c r="AV155">
        <v>1</v>
      </c>
      <c r="AW155">
        <v>0</v>
      </c>
      <c r="AX155">
        <v>0</v>
      </c>
      <c r="AY155">
        <v>0</v>
      </c>
      <c r="AZ155">
        <v>0</v>
      </c>
      <c r="BA155">
        <v>0</v>
      </c>
      <c r="BB155">
        <v>0</v>
      </c>
      <c r="BC155">
        <v>1</v>
      </c>
      <c r="BD155">
        <v>0</v>
      </c>
      <c r="BE155">
        <v>0</v>
      </c>
      <c r="BF155">
        <v>15113</v>
      </c>
      <c r="BG155">
        <v>528</v>
      </c>
      <c r="BH155">
        <v>0.79400000000000004</v>
      </c>
      <c r="BI155" s="64">
        <v>37.5</v>
      </c>
      <c r="BJ155">
        <v>1</v>
      </c>
      <c r="BK155">
        <v>0</v>
      </c>
      <c r="BL155">
        <v>0</v>
      </c>
      <c r="BM155">
        <v>0</v>
      </c>
      <c r="BN155">
        <v>0</v>
      </c>
      <c r="BO155">
        <v>0</v>
      </c>
      <c r="BP155">
        <v>0</v>
      </c>
      <c r="BQ155" s="28">
        <v>0</v>
      </c>
      <c r="BR155">
        <v>0</v>
      </c>
      <c r="BS155">
        <v>0</v>
      </c>
      <c r="BT155" s="28">
        <v>1</v>
      </c>
      <c r="BU155">
        <v>1</v>
      </c>
      <c r="BV155">
        <v>0</v>
      </c>
      <c r="BW155">
        <v>0</v>
      </c>
      <c r="BX155">
        <v>1</v>
      </c>
      <c r="BY155">
        <v>0</v>
      </c>
      <c r="BZ155">
        <v>0</v>
      </c>
      <c r="CA155">
        <v>0</v>
      </c>
      <c r="CB155">
        <v>0</v>
      </c>
      <c r="CC155">
        <v>0</v>
      </c>
      <c r="CD155">
        <v>0</v>
      </c>
      <c r="CE155" s="16">
        <v>0</v>
      </c>
      <c r="CF155">
        <v>8.1000000000000003E-2</v>
      </c>
      <c r="CG155">
        <v>11</v>
      </c>
      <c r="CH155">
        <v>1</v>
      </c>
      <c r="CI155">
        <v>0</v>
      </c>
      <c r="CJ155">
        <v>26</v>
      </c>
      <c r="CK155" t="s">
        <v>46</v>
      </c>
    </row>
    <row r="156" spans="1:89" x14ac:dyDescent="0.25">
      <c r="A156">
        <v>155</v>
      </c>
      <c r="B156">
        <v>10</v>
      </c>
      <c r="C156" t="s">
        <v>296</v>
      </c>
      <c r="D156" s="79">
        <v>4.0999999999999996</v>
      </c>
      <c r="E156" s="6">
        <v>0.3</v>
      </c>
      <c r="F156" s="6">
        <f t="shared" si="18"/>
        <v>13.666666666666666</v>
      </c>
      <c r="G156" s="78">
        <v>0</v>
      </c>
      <c r="H156" s="70">
        <v>0</v>
      </c>
      <c r="I156" s="70">
        <v>0</v>
      </c>
      <c r="J156" s="70">
        <v>1</v>
      </c>
      <c r="K156" s="70">
        <v>0</v>
      </c>
      <c r="L156" s="78">
        <v>25468</v>
      </c>
      <c r="M156" s="70">
        <v>1</v>
      </c>
      <c r="N156" s="70">
        <f t="shared" si="24"/>
        <v>25466</v>
      </c>
      <c r="O156" s="60">
        <f t="shared" si="25"/>
        <v>38</v>
      </c>
      <c r="P156" s="70">
        <v>9.6300000000000008</v>
      </c>
      <c r="Q156" s="70">
        <v>18.5</v>
      </c>
      <c r="R156" s="78">
        <v>1</v>
      </c>
      <c r="S156" s="70">
        <v>0</v>
      </c>
      <c r="T156" s="78">
        <v>0</v>
      </c>
      <c r="U156" s="70">
        <v>1</v>
      </c>
      <c r="V156" s="70">
        <v>0</v>
      </c>
      <c r="W156" s="70">
        <v>0</v>
      </c>
      <c r="X156" s="78">
        <v>0</v>
      </c>
      <c r="Y156" s="70">
        <v>0</v>
      </c>
      <c r="Z156" s="70">
        <v>1</v>
      </c>
      <c r="AA156" s="78">
        <v>1</v>
      </c>
      <c r="AB156" s="70">
        <v>0</v>
      </c>
      <c r="AC156" s="69">
        <v>1940</v>
      </c>
      <c r="AD156">
        <f t="shared" si="26"/>
        <v>0.33749999999999997</v>
      </c>
      <c r="AE156">
        <f t="shared" si="26"/>
        <v>0.33749999999999997</v>
      </c>
      <c r="AF156" s="70">
        <v>0.28199999999999997</v>
      </c>
      <c r="AG156" s="70">
        <v>4.2999999999999997E-2</v>
      </c>
      <c r="AH156" s="28">
        <v>1</v>
      </c>
      <c r="AI156">
        <v>0</v>
      </c>
      <c r="AJ156" s="28">
        <v>1</v>
      </c>
      <c r="AK156">
        <v>0</v>
      </c>
      <c r="AL156" s="28">
        <v>0.96</v>
      </c>
      <c r="AM156">
        <f t="shared" si="23"/>
        <v>4.0000000000000036E-2</v>
      </c>
      <c r="AN156">
        <v>0</v>
      </c>
      <c r="AO156">
        <v>1</v>
      </c>
      <c r="AP156" s="28">
        <v>0.75</v>
      </c>
      <c r="AQ156" s="12">
        <f t="shared" si="20"/>
        <v>0.25</v>
      </c>
      <c r="AR156">
        <v>0.5</v>
      </c>
      <c r="AS156">
        <v>0.5</v>
      </c>
      <c r="AT156">
        <v>0</v>
      </c>
      <c r="AU156" s="62" t="s">
        <v>87</v>
      </c>
      <c r="AV156">
        <v>1</v>
      </c>
      <c r="AW156">
        <v>0</v>
      </c>
      <c r="AX156">
        <v>0</v>
      </c>
      <c r="AY156">
        <v>0</v>
      </c>
      <c r="AZ156">
        <v>0</v>
      </c>
      <c r="BA156">
        <v>0</v>
      </c>
      <c r="BB156">
        <v>0</v>
      </c>
      <c r="BC156">
        <v>1</v>
      </c>
      <c r="BD156">
        <v>0</v>
      </c>
      <c r="BE156">
        <v>0</v>
      </c>
      <c r="BF156">
        <v>15113</v>
      </c>
      <c r="BG156">
        <v>528</v>
      </c>
      <c r="BH156">
        <v>0.79400000000000004</v>
      </c>
      <c r="BI156" s="64">
        <v>37.5</v>
      </c>
      <c r="BJ156">
        <v>0</v>
      </c>
      <c r="BK156">
        <v>0</v>
      </c>
      <c r="BL156">
        <v>1</v>
      </c>
      <c r="BM156">
        <v>0</v>
      </c>
      <c r="BN156">
        <v>0</v>
      </c>
      <c r="BO156">
        <v>0</v>
      </c>
      <c r="BP156">
        <v>0</v>
      </c>
      <c r="BQ156" s="28">
        <v>0</v>
      </c>
      <c r="BR156">
        <v>0</v>
      </c>
      <c r="BS156">
        <v>0</v>
      </c>
      <c r="BT156" s="28">
        <v>0</v>
      </c>
      <c r="BU156">
        <v>0</v>
      </c>
      <c r="BV156">
        <v>0</v>
      </c>
      <c r="BW156">
        <v>0</v>
      </c>
      <c r="BX156">
        <v>0</v>
      </c>
      <c r="BY156">
        <v>0</v>
      </c>
      <c r="BZ156">
        <v>0</v>
      </c>
      <c r="CA156">
        <v>0</v>
      </c>
      <c r="CB156">
        <v>0</v>
      </c>
      <c r="CC156">
        <v>0</v>
      </c>
      <c r="CD156">
        <v>0</v>
      </c>
      <c r="CE156" s="16">
        <v>0</v>
      </c>
      <c r="CF156">
        <v>8.1000000000000003E-2</v>
      </c>
      <c r="CG156">
        <v>11</v>
      </c>
      <c r="CH156">
        <v>1</v>
      </c>
      <c r="CI156">
        <v>0</v>
      </c>
      <c r="CJ156">
        <v>26</v>
      </c>
      <c r="CK156" t="s">
        <v>46</v>
      </c>
    </row>
    <row r="157" spans="1:89" x14ac:dyDescent="0.25">
      <c r="A157">
        <v>156</v>
      </c>
      <c r="B157">
        <v>10</v>
      </c>
      <c r="C157" t="s">
        <v>296</v>
      </c>
      <c r="D157" s="79">
        <v>4.5</v>
      </c>
      <c r="E157" s="6">
        <v>0.2</v>
      </c>
      <c r="F157" s="6">
        <f t="shared" si="18"/>
        <v>22.5</v>
      </c>
      <c r="G157" s="78">
        <v>0</v>
      </c>
      <c r="H157" s="70">
        <v>0</v>
      </c>
      <c r="I157" s="70">
        <v>0</v>
      </c>
      <c r="J157" s="70">
        <v>1</v>
      </c>
      <c r="K157" s="70">
        <v>0</v>
      </c>
      <c r="L157" s="78">
        <v>12950</v>
      </c>
      <c r="M157" s="70">
        <v>4</v>
      </c>
      <c r="N157" s="70">
        <f t="shared" si="24"/>
        <v>12945</v>
      </c>
      <c r="O157" s="60">
        <f t="shared" si="25"/>
        <v>38</v>
      </c>
      <c r="P157" s="70">
        <v>9.6300000000000008</v>
      </c>
      <c r="Q157" s="70">
        <v>18.5</v>
      </c>
      <c r="R157" s="78">
        <v>1</v>
      </c>
      <c r="S157" s="70">
        <v>0</v>
      </c>
      <c r="T157" s="78">
        <v>0</v>
      </c>
      <c r="U157" s="70">
        <v>1</v>
      </c>
      <c r="V157" s="70">
        <v>0</v>
      </c>
      <c r="W157" s="70">
        <v>0</v>
      </c>
      <c r="X157" s="78">
        <v>0</v>
      </c>
      <c r="Y157" s="70">
        <v>0</v>
      </c>
      <c r="Z157" s="70">
        <v>1</v>
      </c>
      <c r="AA157" s="78">
        <v>1</v>
      </c>
      <c r="AB157" s="70">
        <v>0</v>
      </c>
      <c r="AC157" s="69">
        <v>1940</v>
      </c>
      <c r="AD157">
        <f t="shared" si="26"/>
        <v>0.33749999999999997</v>
      </c>
      <c r="AE157">
        <f t="shared" si="26"/>
        <v>0.33749999999999997</v>
      </c>
      <c r="AF157" s="70">
        <v>0.28199999999999997</v>
      </c>
      <c r="AG157" s="70">
        <v>4.2999999999999997E-2</v>
      </c>
      <c r="AH157" s="28">
        <v>1</v>
      </c>
      <c r="AI157">
        <v>0</v>
      </c>
      <c r="AJ157" s="28">
        <v>1</v>
      </c>
      <c r="AK157">
        <v>0</v>
      </c>
      <c r="AL157" s="28">
        <v>0.96</v>
      </c>
      <c r="AM157">
        <f t="shared" si="23"/>
        <v>4.0000000000000036E-2</v>
      </c>
      <c r="AN157">
        <v>0</v>
      </c>
      <c r="AO157">
        <v>1</v>
      </c>
      <c r="AP157" s="28">
        <v>0.75</v>
      </c>
      <c r="AQ157" s="12">
        <f t="shared" si="20"/>
        <v>0.25</v>
      </c>
      <c r="AR157">
        <v>0.5</v>
      </c>
      <c r="AS157">
        <v>0.5</v>
      </c>
      <c r="AT157">
        <v>0</v>
      </c>
      <c r="AU157" s="62" t="s">
        <v>87</v>
      </c>
      <c r="AV157">
        <v>1</v>
      </c>
      <c r="AW157">
        <v>0</v>
      </c>
      <c r="AX157">
        <v>0</v>
      </c>
      <c r="AY157">
        <v>0</v>
      </c>
      <c r="AZ157">
        <v>0</v>
      </c>
      <c r="BA157">
        <v>0</v>
      </c>
      <c r="BB157">
        <v>0</v>
      </c>
      <c r="BC157">
        <v>1</v>
      </c>
      <c r="BD157">
        <v>0</v>
      </c>
      <c r="BE157">
        <v>0</v>
      </c>
      <c r="BF157">
        <v>15113</v>
      </c>
      <c r="BG157">
        <v>528</v>
      </c>
      <c r="BH157">
        <v>0.79400000000000004</v>
      </c>
      <c r="BI157" s="64">
        <v>37.5</v>
      </c>
      <c r="BJ157">
        <v>1</v>
      </c>
      <c r="BK157">
        <v>0</v>
      </c>
      <c r="BL157">
        <v>0</v>
      </c>
      <c r="BM157">
        <v>0</v>
      </c>
      <c r="BN157">
        <v>0</v>
      </c>
      <c r="BO157">
        <v>0</v>
      </c>
      <c r="BP157">
        <v>0</v>
      </c>
      <c r="BQ157" s="28">
        <v>0</v>
      </c>
      <c r="BR157">
        <v>0</v>
      </c>
      <c r="BS157">
        <v>0</v>
      </c>
      <c r="BT157" s="28">
        <v>1</v>
      </c>
      <c r="BU157">
        <v>1</v>
      </c>
      <c r="BV157">
        <v>0</v>
      </c>
      <c r="BW157">
        <v>0</v>
      </c>
      <c r="BX157">
        <v>1</v>
      </c>
      <c r="BY157">
        <v>0</v>
      </c>
      <c r="BZ157">
        <v>0</v>
      </c>
      <c r="CA157">
        <v>0</v>
      </c>
      <c r="CB157">
        <v>0</v>
      </c>
      <c r="CC157">
        <v>0</v>
      </c>
      <c r="CD157">
        <v>0</v>
      </c>
      <c r="CE157" s="16">
        <v>0</v>
      </c>
      <c r="CF157">
        <v>8.1000000000000003E-2</v>
      </c>
      <c r="CG157">
        <v>11</v>
      </c>
      <c r="CH157">
        <v>1</v>
      </c>
      <c r="CI157">
        <v>0</v>
      </c>
      <c r="CJ157">
        <v>26</v>
      </c>
      <c r="CK157" t="s">
        <v>46</v>
      </c>
    </row>
    <row r="158" spans="1:89" x14ac:dyDescent="0.25">
      <c r="A158">
        <v>157</v>
      </c>
      <c r="B158">
        <v>10</v>
      </c>
      <c r="C158" t="s">
        <v>296</v>
      </c>
      <c r="D158" s="79">
        <v>4.4000000000000004</v>
      </c>
      <c r="E158" s="6">
        <v>0.4</v>
      </c>
      <c r="F158" s="6">
        <f t="shared" si="18"/>
        <v>11</v>
      </c>
      <c r="G158" s="78">
        <v>0</v>
      </c>
      <c r="H158" s="70">
        <v>0</v>
      </c>
      <c r="I158" s="70">
        <v>0</v>
      </c>
      <c r="J158" s="70">
        <v>1</v>
      </c>
      <c r="K158" s="70">
        <v>0</v>
      </c>
      <c r="L158" s="78">
        <v>12950</v>
      </c>
      <c r="M158" s="70">
        <v>1</v>
      </c>
      <c r="N158" s="70">
        <f t="shared" si="24"/>
        <v>12948</v>
      </c>
      <c r="O158" s="60">
        <f t="shared" si="25"/>
        <v>38</v>
      </c>
      <c r="P158" s="70">
        <v>9.6300000000000008</v>
      </c>
      <c r="Q158" s="70">
        <v>18.5</v>
      </c>
      <c r="R158" s="78">
        <v>1</v>
      </c>
      <c r="S158" s="70">
        <v>0</v>
      </c>
      <c r="T158" s="78">
        <v>0</v>
      </c>
      <c r="U158" s="70">
        <v>1</v>
      </c>
      <c r="V158" s="70">
        <v>0</v>
      </c>
      <c r="W158" s="70">
        <v>0</v>
      </c>
      <c r="X158" s="78">
        <v>0</v>
      </c>
      <c r="Y158" s="70">
        <v>0</v>
      </c>
      <c r="Z158" s="70">
        <v>1</v>
      </c>
      <c r="AA158" s="78">
        <v>1</v>
      </c>
      <c r="AB158" s="70">
        <v>0</v>
      </c>
      <c r="AC158" s="69">
        <v>1940</v>
      </c>
      <c r="AD158">
        <f t="shared" si="26"/>
        <v>0.33749999999999997</v>
      </c>
      <c r="AE158">
        <f t="shared" si="26"/>
        <v>0.33749999999999997</v>
      </c>
      <c r="AF158" s="70">
        <v>0.28199999999999997</v>
      </c>
      <c r="AG158" s="70">
        <v>4.2999999999999997E-2</v>
      </c>
      <c r="AH158" s="28">
        <v>1</v>
      </c>
      <c r="AI158">
        <v>0</v>
      </c>
      <c r="AJ158" s="28">
        <v>1</v>
      </c>
      <c r="AK158">
        <v>0</v>
      </c>
      <c r="AL158" s="28">
        <v>0.96</v>
      </c>
      <c r="AM158">
        <f t="shared" si="23"/>
        <v>4.0000000000000036E-2</v>
      </c>
      <c r="AN158">
        <v>0</v>
      </c>
      <c r="AO158">
        <v>1</v>
      </c>
      <c r="AP158" s="28">
        <v>0.75</v>
      </c>
      <c r="AQ158" s="12">
        <f t="shared" si="20"/>
        <v>0.25</v>
      </c>
      <c r="AR158">
        <v>0.5</v>
      </c>
      <c r="AS158">
        <v>0.5</v>
      </c>
      <c r="AT158">
        <v>0</v>
      </c>
      <c r="AU158" s="62" t="s">
        <v>87</v>
      </c>
      <c r="AV158">
        <v>1</v>
      </c>
      <c r="AW158">
        <v>0</v>
      </c>
      <c r="AX158">
        <v>0</v>
      </c>
      <c r="AY158">
        <v>0</v>
      </c>
      <c r="AZ158">
        <v>0</v>
      </c>
      <c r="BA158">
        <v>0</v>
      </c>
      <c r="BB158">
        <v>0</v>
      </c>
      <c r="BC158">
        <v>1</v>
      </c>
      <c r="BD158">
        <v>0</v>
      </c>
      <c r="BE158">
        <v>0</v>
      </c>
      <c r="BF158">
        <v>15113</v>
      </c>
      <c r="BG158">
        <v>528</v>
      </c>
      <c r="BH158">
        <v>0.79400000000000004</v>
      </c>
      <c r="BI158" s="64">
        <v>37.5</v>
      </c>
      <c r="BJ158">
        <v>0</v>
      </c>
      <c r="BK158">
        <v>0</v>
      </c>
      <c r="BL158">
        <v>1</v>
      </c>
      <c r="BM158">
        <v>0</v>
      </c>
      <c r="BN158">
        <v>0</v>
      </c>
      <c r="BO158">
        <v>0</v>
      </c>
      <c r="BP158">
        <v>0</v>
      </c>
      <c r="BQ158" s="28">
        <v>0</v>
      </c>
      <c r="BR158">
        <v>0</v>
      </c>
      <c r="BS158">
        <v>0</v>
      </c>
      <c r="BT158" s="28">
        <v>0</v>
      </c>
      <c r="BU158">
        <v>0</v>
      </c>
      <c r="BV158">
        <v>0</v>
      </c>
      <c r="BW158">
        <v>0</v>
      </c>
      <c r="BX158">
        <v>0</v>
      </c>
      <c r="BY158">
        <v>0</v>
      </c>
      <c r="BZ158">
        <v>0</v>
      </c>
      <c r="CA158">
        <v>0</v>
      </c>
      <c r="CB158">
        <v>0</v>
      </c>
      <c r="CC158">
        <v>0</v>
      </c>
      <c r="CD158">
        <v>0</v>
      </c>
      <c r="CE158" s="16">
        <v>0</v>
      </c>
      <c r="CF158">
        <v>8.1000000000000003E-2</v>
      </c>
      <c r="CG158">
        <v>11</v>
      </c>
      <c r="CH158">
        <v>1</v>
      </c>
      <c r="CI158">
        <v>0</v>
      </c>
      <c r="CJ158">
        <v>26</v>
      </c>
      <c r="CK158" t="s">
        <v>46</v>
      </c>
    </row>
    <row r="159" spans="1:89" x14ac:dyDescent="0.25">
      <c r="A159">
        <v>158</v>
      </c>
      <c r="B159">
        <v>10</v>
      </c>
      <c r="C159" t="s">
        <v>296</v>
      </c>
      <c r="D159" s="79">
        <v>4</v>
      </c>
      <c r="E159" s="6">
        <v>0.2</v>
      </c>
      <c r="F159" s="6">
        <f t="shared" si="18"/>
        <v>20</v>
      </c>
      <c r="G159" s="78">
        <v>0</v>
      </c>
      <c r="H159" s="70">
        <v>0</v>
      </c>
      <c r="I159" s="70">
        <v>0</v>
      </c>
      <c r="J159" s="70">
        <v>1</v>
      </c>
      <c r="K159" s="70">
        <v>0</v>
      </c>
      <c r="L159" s="78">
        <v>12518</v>
      </c>
      <c r="M159" s="70">
        <v>4</v>
      </c>
      <c r="N159" s="70">
        <f t="shared" si="24"/>
        <v>12513</v>
      </c>
      <c r="O159" s="60">
        <f t="shared" si="25"/>
        <v>38</v>
      </c>
      <c r="P159" s="70">
        <v>9.6300000000000008</v>
      </c>
      <c r="Q159" s="70">
        <v>18.5</v>
      </c>
      <c r="R159" s="78">
        <v>1</v>
      </c>
      <c r="S159" s="70">
        <v>0</v>
      </c>
      <c r="T159" s="78">
        <v>0</v>
      </c>
      <c r="U159" s="70">
        <v>1</v>
      </c>
      <c r="V159" s="70">
        <v>0</v>
      </c>
      <c r="W159" s="70">
        <v>0</v>
      </c>
      <c r="X159" s="78">
        <v>0</v>
      </c>
      <c r="Y159" s="70">
        <v>0</v>
      </c>
      <c r="Z159" s="70">
        <v>1</v>
      </c>
      <c r="AA159" s="78">
        <v>1</v>
      </c>
      <c r="AB159" s="70">
        <v>0</v>
      </c>
      <c r="AC159" s="69">
        <v>1940</v>
      </c>
      <c r="AD159">
        <f t="shared" si="26"/>
        <v>0.33749999999999997</v>
      </c>
      <c r="AE159">
        <f t="shared" si="26"/>
        <v>0.33749999999999997</v>
      </c>
      <c r="AF159" s="70">
        <v>0.28199999999999997</v>
      </c>
      <c r="AG159" s="70">
        <v>4.2999999999999997E-2</v>
      </c>
      <c r="AH159" s="28">
        <v>1</v>
      </c>
      <c r="AI159">
        <v>0</v>
      </c>
      <c r="AJ159" s="28">
        <v>1</v>
      </c>
      <c r="AK159">
        <v>0</v>
      </c>
      <c r="AL159" s="28">
        <v>0.96</v>
      </c>
      <c r="AM159">
        <f t="shared" si="23"/>
        <v>4.0000000000000036E-2</v>
      </c>
      <c r="AN159">
        <v>0</v>
      </c>
      <c r="AO159">
        <v>1</v>
      </c>
      <c r="AP159" s="28">
        <v>0.75</v>
      </c>
      <c r="AQ159" s="12">
        <f t="shared" si="20"/>
        <v>0.25</v>
      </c>
      <c r="AR159">
        <v>0.5</v>
      </c>
      <c r="AS159">
        <v>0.5</v>
      </c>
      <c r="AT159">
        <v>0</v>
      </c>
      <c r="AU159" s="62" t="s">
        <v>87</v>
      </c>
      <c r="AV159">
        <v>1</v>
      </c>
      <c r="AW159">
        <v>0</v>
      </c>
      <c r="AX159">
        <v>0</v>
      </c>
      <c r="AY159">
        <v>0</v>
      </c>
      <c r="AZ159">
        <v>0</v>
      </c>
      <c r="BA159">
        <v>0</v>
      </c>
      <c r="BB159">
        <v>0</v>
      </c>
      <c r="BC159">
        <v>1</v>
      </c>
      <c r="BD159">
        <v>0</v>
      </c>
      <c r="BE159">
        <v>0</v>
      </c>
      <c r="BF159">
        <v>15113</v>
      </c>
      <c r="BG159">
        <v>528</v>
      </c>
      <c r="BH159">
        <v>0.79400000000000004</v>
      </c>
      <c r="BI159" s="64">
        <v>37.5</v>
      </c>
      <c r="BJ159">
        <v>1</v>
      </c>
      <c r="BK159">
        <v>0</v>
      </c>
      <c r="BL159">
        <v>0</v>
      </c>
      <c r="BM159">
        <v>0</v>
      </c>
      <c r="BN159">
        <v>0</v>
      </c>
      <c r="BO159">
        <v>0</v>
      </c>
      <c r="BP159">
        <v>0</v>
      </c>
      <c r="BQ159" s="28">
        <v>0</v>
      </c>
      <c r="BR159">
        <v>0</v>
      </c>
      <c r="BS159">
        <v>0</v>
      </c>
      <c r="BT159" s="28">
        <v>1</v>
      </c>
      <c r="BU159">
        <v>1</v>
      </c>
      <c r="BV159">
        <v>0</v>
      </c>
      <c r="BW159">
        <v>0</v>
      </c>
      <c r="BX159">
        <v>1</v>
      </c>
      <c r="BY159">
        <v>0</v>
      </c>
      <c r="BZ159">
        <v>0</v>
      </c>
      <c r="CA159">
        <v>0</v>
      </c>
      <c r="CB159">
        <v>0</v>
      </c>
      <c r="CC159">
        <v>0</v>
      </c>
      <c r="CD159">
        <v>0</v>
      </c>
      <c r="CE159" s="16">
        <v>0</v>
      </c>
      <c r="CF159">
        <v>8.1000000000000003E-2</v>
      </c>
      <c r="CG159">
        <v>11</v>
      </c>
      <c r="CH159">
        <v>1</v>
      </c>
      <c r="CI159">
        <v>0</v>
      </c>
      <c r="CJ159">
        <v>26</v>
      </c>
      <c r="CK159" t="s">
        <v>46</v>
      </c>
    </row>
    <row r="160" spans="1:89" x14ac:dyDescent="0.25">
      <c r="A160">
        <v>159</v>
      </c>
      <c r="B160">
        <v>10</v>
      </c>
      <c r="C160" t="s">
        <v>296</v>
      </c>
      <c r="D160" s="79">
        <v>3.9</v>
      </c>
      <c r="E160" s="6">
        <v>0.4</v>
      </c>
      <c r="F160" s="6">
        <f t="shared" si="18"/>
        <v>9.75</v>
      </c>
      <c r="G160" s="78">
        <v>0</v>
      </c>
      <c r="H160" s="70">
        <v>0</v>
      </c>
      <c r="I160" s="70">
        <v>0</v>
      </c>
      <c r="J160" s="70">
        <v>1</v>
      </c>
      <c r="K160" s="70">
        <v>0</v>
      </c>
      <c r="L160" s="78">
        <v>12518</v>
      </c>
      <c r="M160" s="70">
        <v>1</v>
      </c>
      <c r="N160" s="70">
        <f t="shared" si="24"/>
        <v>12516</v>
      </c>
      <c r="O160" s="60">
        <f t="shared" si="25"/>
        <v>38</v>
      </c>
      <c r="P160" s="70">
        <v>9.6300000000000008</v>
      </c>
      <c r="Q160" s="70">
        <v>18.5</v>
      </c>
      <c r="R160" s="78">
        <v>1</v>
      </c>
      <c r="S160" s="70">
        <v>0</v>
      </c>
      <c r="T160" s="78">
        <v>0</v>
      </c>
      <c r="U160" s="70">
        <v>1</v>
      </c>
      <c r="V160" s="70">
        <v>0</v>
      </c>
      <c r="W160" s="70">
        <v>0</v>
      </c>
      <c r="X160" s="78">
        <v>0</v>
      </c>
      <c r="Y160" s="70">
        <v>0</v>
      </c>
      <c r="Z160" s="70">
        <v>1</v>
      </c>
      <c r="AA160" s="78">
        <v>1</v>
      </c>
      <c r="AB160" s="70">
        <v>0</v>
      </c>
      <c r="AC160" s="69">
        <v>1940</v>
      </c>
      <c r="AD160">
        <f t="shared" si="26"/>
        <v>0.33749999999999997</v>
      </c>
      <c r="AE160">
        <f t="shared" si="26"/>
        <v>0.33749999999999997</v>
      </c>
      <c r="AF160" s="70">
        <v>0.28199999999999997</v>
      </c>
      <c r="AG160" s="70">
        <v>4.2999999999999997E-2</v>
      </c>
      <c r="AH160" s="28">
        <v>1</v>
      </c>
      <c r="AI160">
        <v>0</v>
      </c>
      <c r="AJ160" s="28">
        <v>1</v>
      </c>
      <c r="AK160">
        <v>0</v>
      </c>
      <c r="AL160" s="28">
        <v>0.96</v>
      </c>
      <c r="AM160">
        <f t="shared" si="23"/>
        <v>4.0000000000000036E-2</v>
      </c>
      <c r="AN160">
        <v>0</v>
      </c>
      <c r="AO160">
        <v>1</v>
      </c>
      <c r="AP160" s="28">
        <v>0.75</v>
      </c>
      <c r="AQ160" s="12">
        <f t="shared" si="20"/>
        <v>0.25</v>
      </c>
      <c r="AR160">
        <v>0.5</v>
      </c>
      <c r="AS160">
        <v>0.5</v>
      </c>
      <c r="AT160">
        <v>0</v>
      </c>
      <c r="AU160" s="62" t="s">
        <v>87</v>
      </c>
      <c r="AV160">
        <v>1</v>
      </c>
      <c r="AW160">
        <v>0</v>
      </c>
      <c r="AX160">
        <v>0</v>
      </c>
      <c r="AY160">
        <v>0</v>
      </c>
      <c r="AZ160">
        <v>0</v>
      </c>
      <c r="BA160">
        <v>0</v>
      </c>
      <c r="BB160">
        <v>0</v>
      </c>
      <c r="BC160">
        <v>1</v>
      </c>
      <c r="BD160">
        <v>0</v>
      </c>
      <c r="BE160">
        <v>0</v>
      </c>
      <c r="BF160">
        <v>15113</v>
      </c>
      <c r="BG160">
        <v>528</v>
      </c>
      <c r="BH160">
        <v>0.79400000000000004</v>
      </c>
      <c r="BI160" s="64">
        <v>37.5</v>
      </c>
      <c r="BJ160">
        <v>0</v>
      </c>
      <c r="BK160">
        <v>0</v>
      </c>
      <c r="BL160">
        <v>1</v>
      </c>
      <c r="BM160">
        <v>0</v>
      </c>
      <c r="BN160">
        <v>0</v>
      </c>
      <c r="BO160">
        <v>0</v>
      </c>
      <c r="BP160">
        <v>0</v>
      </c>
      <c r="BQ160" s="28">
        <v>0</v>
      </c>
      <c r="BR160">
        <v>0</v>
      </c>
      <c r="BS160">
        <v>0</v>
      </c>
      <c r="BT160" s="28">
        <v>0</v>
      </c>
      <c r="BU160">
        <v>0</v>
      </c>
      <c r="BV160">
        <v>0</v>
      </c>
      <c r="BW160">
        <v>0</v>
      </c>
      <c r="BX160">
        <v>0</v>
      </c>
      <c r="BY160">
        <v>0</v>
      </c>
      <c r="BZ160">
        <v>0</v>
      </c>
      <c r="CA160">
        <v>0</v>
      </c>
      <c r="CB160">
        <v>0</v>
      </c>
      <c r="CC160">
        <v>0</v>
      </c>
      <c r="CD160">
        <v>0</v>
      </c>
      <c r="CE160" s="16">
        <v>0</v>
      </c>
      <c r="CF160">
        <v>8.1000000000000003E-2</v>
      </c>
      <c r="CG160">
        <v>11</v>
      </c>
      <c r="CH160">
        <v>1</v>
      </c>
      <c r="CI160">
        <v>0</v>
      </c>
      <c r="CJ160">
        <v>26</v>
      </c>
      <c r="CK160" t="s">
        <v>46</v>
      </c>
    </row>
    <row r="161" spans="1:89" x14ac:dyDescent="0.25">
      <c r="A161">
        <v>160</v>
      </c>
      <c r="B161">
        <v>10</v>
      </c>
      <c r="C161" t="s">
        <v>296</v>
      </c>
      <c r="D161" s="79">
        <v>5.5</v>
      </c>
      <c r="E161" s="6">
        <v>0.2</v>
      </c>
      <c r="F161" s="6">
        <f t="shared" si="18"/>
        <v>27.5</v>
      </c>
      <c r="G161" s="78">
        <v>0</v>
      </c>
      <c r="H161" s="70">
        <v>0</v>
      </c>
      <c r="I161" s="70">
        <v>0</v>
      </c>
      <c r="J161" s="70">
        <v>1</v>
      </c>
      <c r="K161" s="70">
        <v>0</v>
      </c>
      <c r="L161" s="78">
        <v>14493</v>
      </c>
      <c r="M161" s="70">
        <v>4</v>
      </c>
      <c r="N161" s="70">
        <f t="shared" si="24"/>
        <v>14488</v>
      </c>
      <c r="O161" s="60">
        <f t="shared" si="25"/>
        <v>38</v>
      </c>
      <c r="P161" s="70">
        <v>9.6300000000000008</v>
      </c>
      <c r="Q161" s="70">
        <v>18.5</v>
      </c>
      <c r="R161" s="78">
        <v>1</v>
      </c>
      <c r="S161" s="70">
        <v>0</v>
      </c>
      <c r="T161" s="78">
        <v>0</v>
      </c>
      <c r="U161" s="70">
        <v>1</v>
      </c>
      <c r="V161" s="70">
        <v>0</v>
      </c>
      <c r="W161" s="70">
        <v>0</v>
      </c>
      <c r="X161" s="78">
        <v>0</v>
      </c>
      <c r="Y161" s="70">
        <v>0</v>
      </c>
      <c r="Z161" s="70">
        <v>1</v>
      </c>
      <c r="AA161" s="78">
        <v>1</v>
      </c>
      <c r="AB161" s="70">
        <v>0</v>
      </c>
      <c r="AC161" s="69">
        <v>1940</v>
      </c>
      <c r="AD161">
        <f t="shared" si="26"/>
        <v>0.33749999999999997</v>
      </c>
      <c r="AE161">
        <f t="shared" si="26"/>
        <v>0.33749999999999997</v>
      </c>
      <c r="AF161" s="70">
        <v>0.28199999999999997</v>
      </c>
      <c r="AG161" s="70">
        <v>4.2999999999999997E-2</v>
      </c>
      <c r="AH161" s="28">
        <v>1</v>
      </c>
      <c r="AI161">
        <v>0</v>
      </c>
      <c r="AJ161" s="28">
        <v>1</v>
      </c>
      <c r="AK161">
        <v>0</v>
      </c>
      <c r="AL161" s="28">
        <v>0.96</v>
      </c>
      <c r="AM161">
        <f t="shared" si="23"/>
        <v>4.0000000000000036E-2</v>
      </c>
      <c r="AN161">
        <v>0</v>
      </c>
      <c r="AO161">
        <v>1</v>
      </c>
      <c r="AP161" s="28">
        <v>0.75</v>
      </c>
      <c r="AQ161" s="12">
        <f t="shared" si="20"/>
        <v>0.25</v>
      </c>
      <c r="AR161">
        <v>0.5</v>
      </c>
      <c r="AS161">
        <v>0.5</v>
      </c>
      <c r="AT161">
        <v>0</v>
      </c>
      <c r="AU161" s="62" t="s">
        <v>87</v>
      </c>
      <c r="AV161">
        <v>1</v>
      </c>
      <c r="AW161">
        <v>0</v>
      </c>
      <c r="AX161">
        <v>0</v>
      </c>
      <c r="AY161">
        <v>0</v>
      </c>
      <c r="AZ161">
        <v>0</v>
      </c>
      <c r="BA161">
        <v>0</v>
      </c>
      <c r="BB161">
        <v>0</v>
      </c>
      <c r="BC161">
        <v>1</v>
      </c>
      <c r="BD161">
        <v>0</v>
      </c>
      <c r="BE161">
        <v>0</v>
      </c>
      <c r="BF161">
        <v>15113</v>
      </c>
      <c r="BG161">
        <v>528</v>
      </c>
      <c r="BH161">
        <v>0.79400000000000004</v>
      </c>
      <c r="BI161" s="64">
        <v>37.5</v>
      </c>
      <c r="BJ161">
        <v>1</v>
      </c>
      <c r="BK161">
        <v>0</v>
      </c>
      <c r="BL161">
        <v>0</v>
      </c>
      <c r="BM161">
        <v>0</v>
      </c>
      <c r="BN161">
        <v>0</v>
      </c>
      <c r="BO161">
        <v>0</v>
      </c>
      <c r="BP161">
        <v>0</v>
      </c>
      <c r="BQ161" s="28">
        <v>0</v>
      </c>
      <c r="BR161">
        <v>0</v>
      </c>
      <c r="BS161">
        <v>0</v>
      </c>
      <c r="BT161" s="28">
        <v>1</v>
      </c>
      <c r="BU161">
        <v>1</v>
      </c>
      <c r="BV161">
        <v>0</v>
      </c>
      <c r="BW161">
        <v>0</v>
      </c>
      <c r="BX161">
        <v>1</v>
      </c>
      <c r="BY161">
        <v>0</v>
      </c>
      <c r="BZ161">
        <v>0</v>
      </c>
      <c r="CA161">
        <v>0</v>
      </c>
      <c r="CB161">
        <v>0</v>
      </c>
      <c r="CC161">
        <v>0</v>
      </c>
      <c r="CD161">
        <v>0</v>
      </c>
      <c r="CE161" s="16">
        <v>0</v>
      </c>
      <c r="CF161">
        <v>8.1000000000000003E-2</v>
      </c>
      <c r="CG161">
        <v>11</v>
      </c>
      <c r="CH161">
        <v>1</v>
      </c>
      <c r="CI161">
        <v>0</v>
      </c>
      <c r="CJ161">
        <v>26</v>
      </c>
      <c r="CK161" t="s">
        <v>46</v>
      </c>
    </row>
    <row r="162" spans="1:89" x14ac:dyDescent="0.25">
      <c r="A162">
        <v>161</v>
      </c>
      <c r="B162">
        <v>10</v>
      </c>
      <c r="C162" t="s">
        <v>296</v>
      </c>
      <c r="D162" s="79">
        <v>5</v>
      </c>
      <c r="E162" s="6">
        <v>0.3</v>
      </c>
      <c r="F162" s="6">
        <f t="shared" si="18"/>
        <v>16.666666666666668</v>
      </c>
      <c r="G162" s="78">
        <v>0</v>
      </c>
      <c r="H162" s="70">
        <v>0</v>
      </c>
      <c r="I162" s="70">
        <v>0</v>
      </c>
      <c r="J162" s="70">
        <v>1</v>
      </c>
      <c r="K162" s="70">
        <v>0</v>
      </c>
      <c r="L162" s="78">
        <v>14493</v>
      </c>
      <c r="M162" s="70">
        <v>1</v>
      </c>
      <c r="N162" s="70">
        <f t="shared" si="24"/>
        <v>14491</v>
      </c>
      <c r="O162" s="60">
        <f t="shared" si="25"/>
        <v>38</v>
      </c>
      <c r="P162" s="70">
        <v>9.6300000000000008</v>
      </c>
      <c r="Q162" s="70">
        <v>18.5</v>
      </c>
      <c r="R162" s="78">
        <v>1</v>
      </c>
      <c r="S162" s="70">
        <v>0</v>
      </c>
      <c r="T162" s="78">
        <v>0</v>
      </c>
      <c r="U162" s="70">
        <v>1</v>
      </c>
      <c r="V162" s="70">
        <v>0</v>
      </c>
      <c r="W162" s="70">
        <v>0</v>
      </c>
      <c r="X162" s="78">
        <v>0</v>
      </c>
      <c r="Y162" s="70">
        <v>0</v>
      </c>
      <c r="Z162" s="70">
        <v>1</v>
      </c>
      <c r="AA162" s="78">
        <v>1</v>
      </c>
      <c r="AB162" s="70">
        <v>0</v>
      </c>
      <c r="AC162" s="69">
        <v>1940</v>
      </c>
      <c r="AD162">
        <f t="shared" si="26"/>
        <v>0.33749999999999997</v>
      </c>
      <c r="AE162">
        <f t="shared" si="26"/>
        <v>0.33749999999999997</v>
      </c>
      <c r="AF162" s="70">
        <v>0.28199999999999997</v>
      </c>
      <c r="AG162" s="70">
        <v>4.2999999999999997E-2</v>
      </c>
      <c r="AH162" s="28">
        <v>1</v>
      </c>
      <c r="AI162">
        <v>0</v>
      </c>
      <c r="AJ162" s="28">
        <v>1</v>
      </c>
      <c r="AK162">
        <v>0</v>
      </c>
      <c r="AL162" s="28">
        <v>0.96</v>
      </c>
      <c r="AM162">
        <f t="shared" si="23"/>
        <v>4.0000000000000036E-2</v>
      </c>
      <c r="AN162">
        <v>0</v>
      </c>
      <c r="AO162">
        <v>1</v>
      </c>
      <c r="AP162" s="28">
        <v>0.75</v>
      </c>
      <c r="AQ162" s="12">
        <f t="shared" si="20"/>
        <v>0.25</v>
      </c>
      <c r="AR162">
        <v>0.5</v>
      </c>
      <c r="AS162">
        <v>0.5</v>
      </c>
      <c r="AT162">
        <v>0</v>
      </c>
      <c r="AU162" s="62" t="s">
        <v>87</v>
      </c>
      <c r="AV162">
        <v>1</v>
      </c>
      <c r="AW162">
        <v>0</v>
      </c>
      <c r="AX162">
        <v>0</v>
      </c>
      <c r="AY162">
        <v>0</v>
      </c>
      <c r="AZ162">
        <v>0</v>
      </c>
      <c r="BA162">
        <v>0</v>
      </c>
      <c r="BB162">
        <v>0</v>
      </c>
      <c r="BC162">
        <v>1</v>
      </c>
      <c r="BD162">
        <v>0</v>
      </c>
      <c r="BE162">
        <v>0</v>
      </c>
      <c r="BF162">
        <v>15113</v>
      </c>
      <c r="BG162">
        <v>528</v>
      </c>
      <c r="BH162">
        <v>0.79400000000000004</v>
      </c>
      <c r="BI162" s="64">
        <v>37.5</v>
      </c>
      <c r="BJ162">
        <v>0</v>
      </c>
      <c r="BK162">
        <v>0</v>
      </c>
      <c r="BL162">
        <v>1</v>
      </c>
      <c r="BM162">
        <v>0</v>
      </c>
      <c r="BN162">
        <v>0</v>
      </c>
      <c r="BO162">
        <v>0</v>
      </c>
      <c r="BP162">
        <v>0</v>
      </c>
      <c r="BQ162" s="28">
        <v>0</v>
      </c>
      <c r="BR162">
        <v>0</v>
      </c>
      <c r="BS162">
        <v>0</v>
      </c>
      <c r="BT162" s="28">
        <v>0</v>
      </c>
      <c r="BU162">
        <v>0</v>
      </c>
      <c r="BV162">
        <v>0</v>
      </c>
      <c r="BW162">
        <v>0</v>
      </c>
      <c r="BX162">
        <v>0</v>
      </c>
      <c r="BY162">
        <v>0</v>
      </c>
      <c r="BZ162">
        <v>0</v>
      </c>
      <c r="CA162">
        <v>0</v>
      </c>
      <c r="CB162">
        <v>0</v>
      </c>
      <c r="CC162">
        <v>0</v>
      </c>
      <c r="CD162">
        <v>0</v>
      </c>
      <c r="CE162" s="16">
        <v>0</v>
      </c>
      <c r="CF162">
        <v>8.1000000000000003E-2</v>
      </c>
      <c r="CG162">
        <v>11</v>
      </c>
      <c r="CH162">
        <v>1</v>
      </c>
      <c r="CI162">
        <v>0</v>
      </c>
      <c r="CJ162">
        <v>26</v>
      </c>
      <c r="CK162" t="s">
        <v>46</v>
      </c>
    </row>
    <row r="163" spans="1:89" x14ac:dyDescent="0.25">
      <c r="A163">
        <v>162</v>
      </c>
      <c r="B163">
        <v>10</v>
      </c>
      <c r="C163" t="s">
        <v>296</v>
      </c>
      <c r="D163" s="79">
        <v>4.4000000000000004</v>
      </c>
      <c r="E163" s="6">
        <v>0.2</v>
      </c>
      <c r="F163" s="6">
        <f t="shared" si="18"/>
        <v>22</v>
      </c>
      <c r="G163" s="78">
        <v>0</v>
      </c>
      <c r="H163" s="70">
        <v>0</v>
      </c>
      <c r="I163" s="70">
        <v>0</v>
      </c>
      <c r="J163" s="70">
        <v>1</v>
      </c>
      <c r="K163" s="70">
        <v>0</v>
      </c>
      <c r="L163" s="78">
        <v>7154</v>
      </c>
      <c r="M163" s="70">
        <v>4</v>
      </c>
      <c r="N163" s="70">
        <f t="shared" si="24"/>
        <v>7149</v>
      </c>
      <c r="O163" s="60">
        <f t="shared" si="25"/>
        <v>38</v>
      </c>
      <c r="P163" s="70">
        <v>9.6300000000000008</v>
      </c>
      <c r="Q163" s="70">
        <v>18.5</v>
      </c>
      <c r="R163" s="78">
        <v>1</v>
      </c>
      <c r="S163" s="70">
        <v>0</v>
      </c>
      <c r="T163" s="78">
        <v>0</v>
      </c>
      <c r="U163" s="70">
        <v>1</v>
      </c>
      <c r="V163" s="70">
        <v>0</v>
      </c>
      <c r="W163" s="70">
        <v>0</v>
      </c>
      <c r="X163" s="78">
        <v>0</v>
      </c>
      <c r="Y163" s="70">
        <v>0</v>
      </c>
      <c r="Z163" s="70">
        <v>1</v>
      </c>
      <c r="AA163" s="78">
        <v>1</v>
      </c>
      <c r="AB163" s="70">
        <v>0</v>
      </c>
      <c r="AC163" s="69">
        <v>1940</v>
      </c>
      <c r="AD163">
        <f t="shared" si="26"/>
        <v>0.33749999999999997</v>
      </c>
      <c r="AE163">
        <f t="shared" si="26"/>
        <v>0.33749999999999997</v>
      </c>
      <c r="AF163" s="70">
        <v>0.28199999999999997</v>
      </c>
      <c r="AG163" s="70">
        <v>4.2999999999999997E-2</v>
      </c>
      <c r="AH163" s="28">
        <v>1</v>
      </c>
      <c r="AI163">
        <v>0</v>
      </c>
      <c r="AJ163" s="28">
        <v>1</v>
      </c>
      <c r="AK163">
        <v>0</v>
      </c>
      <c r="AL163" s="28">
        <v>0.96</v>
      </c>
      <c r="AM163">
        <f t="shared" si="23"/>
        <v>4.0000000000000036E-2</v>
      </c>
      <c r="AN163">
        <v>0</v>
      </c>
      <c r="AO163">
        <v>1</v>
      </c>
      <c r="AP163" s="28">
        <v>0.75</v>
      </c>
      <c r="AQ163" s="12">
        <f t="shared" si="20"/>
        <v>0.25</v>
      </c>
      <c r="AR163">
        <v>0.5</v>
      </c>
      <c r="AS163">
        <v>0.5</v>
      </c>
      <c r="AT163">
        <v>0</v>
      </c>
      <c r="AU163" s="62" t="s">
        <v>87</v>
      </c>
      <c r="AV163">
        <v>1</v>
      </c>
      <c r="AW163">
        <v>0</v>
      </c>
      <c r="AX163">
        <v>0</v>
      </c>
      <c r="AY163">
        <v>0</v>
      </c>
      <c r="AZ163">
        <v>0</v>
      </c>
      <c r="BA163">
        <v>0</v>
      </c>
      <c r="BB163">
        <v>0</v>
      </c>
      <c r="BC163">
        <v>1</v>
      </c>
      <c r="BD163">
        <v>0</v>
      </c>
      <c r="BE163">
        <v>0</v>
      </c>
      <c r="BF163">
        <v>15113</v>
      </c>
      <c r="BG163">
        <v>528</v>
      </c>
      <c r="BH163">
        <v>0.79400000000000004</v>
      </c>
      <c r="BI163" s="64">
        <v>37.5</v>
      </c>
      <c r="BJ163">
        <v>1</v>
      </c>
      <c r="BK163">
        <v>0</v>
      </c>
      <c r="BL163">
        <v>0</v>
      </c>
      <c r="BM163">
        <v>0</v>
      </c>
      <c r="BN163">
        <v>0</v>
      </c>
      <c r="BO163">
        <v>0</v>
      </c>
      <c r="BP163">
        <v>0</v>
      </c>
      <c r="BQ163" s="28">
        <v>0</v>
      </c>
      <c r="BR163">
        <v>0</v>
      </c>
      <c r="BS163">
        <v>0</v>
      </c>
      <c r="BT163" s="28">
        <v>1</v>
      </c>
      <c r="BU163">
        <v>1</v>
      </c>
      <c r="BV163">
        <v>0</v>
      </c>
      <c r="BW163">
        <v>0</v>
      </c>
      <c r="BX163">
        <v>1</v>
      </c>
      <c r="BY163">
        <v>0</v>
      </c>
      <c r="BZ163">
        <v>0</v>
      </c>
      <c r="CA163">
        <v>0</v>
      </c>
      <c r="CB163">
        <v>0</v>
      </c>
      <c r="CC163">
        <v>0</v>
      </c>
      <c r="CD163">
        <v>0</v>
      </c>
      <c r="CE163" s="16">
        <v>0</v>
      </c>
      <c r="CF163">
        <v>8.1000000000000003E-2</v>
      </c>
      <c r="CG163">
        <v>11</v>
      </c>
      <c r="CH163">
        <v>1</v>
      </c>
      <c r="CI163">
        <v>0</v>
      </c>
      <c r="CJ163">
        <v>26</v>
      </c>
      <c r="CK163" t="s">
        <v>46</v>
      </c>
    </row>
    <row r="164" spans="1:89" x14ac:dyDescent="0.25">
      <c r="A164">
        <v>163</v>
      </c>
      <c r="B164">
        <v>10</v>
      </c>
      <c r="C164" t="s">
        <v>296</v>
      </c>
      <c r="D164" s="79">
        <v>4.3</v>
      </c>
      <c r="E164" s="6">
        <v>0.5</v>
      </c>
      <c r="F164" s="6">
        <f t="shared" si="18"/>
        <v>8.6</v>
      </c>
      <c r="G164" s="78">
        <v>0</v>
      </c>
      <c r="H164" s="70">
        <v>0</v>
      </c>
      <c r="I164" s="70">
        <v>0</v>
      </c>
      <c r="J164" s="70">
        <v>1</v>
      </c>
      <c r="K164" s="70">
        <v>0</v>
      </c>
      <c r="L164" s="78">
        <v>7154</v>
      </c>
      <c r="M164" s="70">
        <v>1</v>
      </c>
      <c r="N164" s="70">
        <f t="shared" si="24"/>
        <v>7152</v>
      </c>
      <c r="O164" s="60">
        <f t="shared" si="25"/>
        <v>38</v>
      </c>
      <c r="P164" s="70">
        <v>9.6300000000000008</v>
      </c>
      <c r="Q164" s="70">
        <v>18.5</v>
      </c>
      <c r="R164" s="78">
        <v>1</v>
      </c>
      <c r="S164" s="70">
        <v>0</v>
      </c>
      <c r="T164" s="78">
        <v>0</v>
      </c>
      <c r="U164" s="70">
        <v>1</v>
      </c>
      <c r="V164" s="70">
        <v>0</v>
      </c>
      <c r="W164" s="70">
        <v>0</v>
      </c>
      <c r="X164" s="78">
        <v>0</v>
      </c>
      <c r="Y164" s="70">
        <v>0</v>
      </c>
      <c r="Z164" s="70">
        <v>1</v>
      </c>
      <c r="AA164" s="78">
        <v>1</v>
      </c>
      <c r="AB164" s="70">
        <v>0</v>
      </c>
      <c r="AC164" s="69">
        <v>1940</v>
      </c>
      <c r="AD164">
        <f t="shared" si="26"/>
        <v>0.33749999999999997</v>
      </c>
      <c r="AE164">
        <f t="shared" si="26"/>
        <v>0.33749999999999997</v>
      </c>
      <c r="AF164" s="70">
        <v>0.28199999999999997</v>
      </c>
      <c r="AG164" s="70">
        <v>4.2999999999999997E-2</v>
      </c>
      <c r="AH164" s="28">
        <v>1</v>
      </c>
      <c r="AI164">
        <v>0</v>
      </c>
      <c r="AJ164" s="28">
        <v>1</v>
      </c>
      <c r="AK164">
        <v>0</v>
      </c>
      <c r="AL164" s="28">
        <v>0.96</v>
      </c>
      <c r="AM164">
        <f t="shared" si="23"/>
        <v>4.0000000000000036E-2</v>
      </c>
      <c r="AN164">
        <v>0</v>
      </c>
      <c r="AO164">
        <v>1</v>
      </c>
      <c r="AP164" s="28">
        <v>0.75</v>
      </c>
      <c r="AQ164" s="12">
        <f t="shared" si="20"/>
        <v>0.25</v>
      </c>
      <c r="AR164">
        <v>0.5</v>
      </c>
      <c r="AS164">
        <v>0.5</v>
      </c>
      <c r="AT164">
        <v>0</v>
      </c>
      <c r="AU164" s="62" t="s">
        <v>87</v>
      </c>
      <c r="AV164">
        <v>1</v>
      </c>
      <c r="AW164">
        <v>0</v>
      </c>
      <c r="AX164">
        <v>0</v>
      </c>
      <c r="AY164">
        <v>0</v>
      </c>
      <c r="AZ164">
        <v>0</v>
      </c>
      <c r="BA164">
        <v>0</v>
      </c>
      <c r="BB164">
        <v>0</v>
      </c>
      <c r="BC164">
        <v>1</v>
      </c>
      <c r="BD164">
        <v>0</v>
      </c>
      <c r="BE164">
        <v>0</v>
      </c>
      <c r="BF164">
        <v>15113</v>
      </c>
      <c r="BG164">
        <v>528</v>
      </c>
      <c r="BH164">
        <v>0.79400000000000004</v>
      </c>
      <c r="BI164" s="64">
        <v>37.5</v>
      </c>
      <c r="BJ164">
        <v>0</v>
      </c>
      <c r="BK164">
        <v>0</v>
      </c>
      <c r="BL164">
        <v>1</v>
      </c>
      <c r="BM164">
        <v>0</v>
      </c>
      <c r="BN164">
        <v>0</v>
      </c>
      <c r="BO164">
        <v>0</v>
      </c>
      <c r="BP164">
        <v>0</v>
      </c>
      <c r="BQ164" s="28">
        <v>0</v>
      </c>
      <c r="BR164">
        <v>0</v>
      </c>
      <c r="BS164">
        <v>0</v>
      </c>
      <c r="BT164" s="28">
        <v>0</v>
      </c>
      <c r="BU164">
        <v>0</v>
      </c>
      <c r="BV164">
        <v>0</v>
      </c>
      <c r="BW164">
        <v>0</v>
      </c>
      <c r="BX164">
        <v>0</v>
      </c>
      <c r="BY164">
        <v>0</v>
      </c>
      <c r="BZ164">
        <v>0</v>
      </c>
      <c r="CA164">
        <v>0</v>
      </c>
      <c r="CB164">
        <v>0</v>
      </c>
      <c r="CC164">
        <v>0</v>
      </c>
      <c r="CD164">
        <v>0</v>
      </c>
      <c r="CE164" s="16">
        <v>0</v>
      </c>
      <c r="CF164">
        <v>8.1000000000000003E-2</v>
      </c>
      <c r="CG164">
        <v>11</v>
      </c>
      <c r="CH164">
        <v>1</v>
      </c>
      <c r="CI164">
        <v>0</v>
      </c>
      <c r="CJ164">
        <v>26</v>
      </c>
      <c r="CK164" t="s">
        <v>46</v>
      </c>
    </row>
    <row r="165" spans="1:89" x14ac:dyDescent="0.25">
      <c r="A165">
        <v>164</v>
      </c>
      <c r="B165">
        <v>10</v>
      </c>
      <c r="C165" t="s">
        <v>296</v>
      </c>
      <c r="D165" s="79">
        <v>3.8</v>
      </c>
      <c r="E165" s="6">
        <v>0.2</v>
      </c>
      <c r="F165" s="6">
        <f t="shared" si="18"/>
        <v>18.999999999999996</v>
      </c>
      <c r="G165" s="78">
        <v>0</v>
      </c>
      <c r="H165" s="70">
        <v>0</v>
      </c>
      <c r="I165" s="70">
        <v>0</v>
      </c>
      <c r="J165" s="70">
        <v>1</v>
      </c>
      <c r="K165" s="70">
        <v>0</v>
      </c>
      <c r="L165" s="78">
        <v>11369</v>
      </c>
      <c r="M165" s="70">
        <v>4</v>
      </c>
      <c r="N165" s="70">
        <f t="shared" si="24"/>
        <v>11364</v>
      </c>
      <c r="O165" s="60">
        <f t="shared" si="25"/>
        <v>38</v>
      </c>
      <c r="P165" s="70">
        <v>9.6300000000000008</v>
      </c>
      <c r="Q165" s="70">
        <v>18.5</v>
      </c>
      <c r="R165" s="78">
        <v>1</v>
      </c>
      <c r="S165" s="70">
        <v>0</v>
      </c>
      <c r="T165" s="78">
        <v>0</v>
      </c>
      <c r="U165" s="70">
        <v>1</v>
      </c>
      <c r="V165" s="70">
        <v>0</v>
      </c>
      <c r="W165" s="70">
        <v>0</v>
      </c>
      <c r="X165" s="78">
        <v>0</v>
      </c>
      <c r="Y165" s="70">
        <v>0</v>
      </c>
      <c r="Z165" s="70">
        <v>1</v>
      </c>
      <c r="AA165" s="78">
        <v>1</v>
      </c>
      <c r="AB165" s="70">
        <v>0</v>
      </c>
      <c r="AC165" s="69">
        <v>1940</v>
      </c>
      <c r="AD165">
        <f t="shared" si="26"/>
        <v>0.33749999999999997</v>
      </c>
      <c r="AE165">
        <f t="shared" si="26"/>
        <v>0.33749999999999997</v>
      </c>
      <c r="AF165" s="70">
        <v>0.28199999999999997</v>
      </c>
      <c r="AG165" s="70">
        <v>4.2999999999999997E-2</v>
      </c>
      <c r="AH165" s="28">
        <v>1</v>
      </c>
      <c r="AI165">
        <v>0</v>
      </c>
      <c r="AJ165" s="28">
        <v>1</v>
      </c>
      <c r="AK165">
        <v>0</v>
      </c>
      <c r="AL165" s="28">
        <v>0.96</v>
      </c>
      <c r="AM165">
        <f t="shared" si="23"/>
        <v>4.0000000000000036E-2</v>
      </c>
      <c r="AN165">
        <v>0</v>
      </c>
      <c r="AO165">
        <v>1</v>
      </c>
      <c r="AP165" s="28">
        <v>0.75</v>
      </c>
      <c r="AQ165" s="12">
        <f t="shared" si="20"/>
        <v>0.25</v>
      </c>
      <c r="AR165">
        <v>0.5</v>
      </c>
      <c r="AS165">
        <v>0.5</v>
      </c>
      <c r="AT165">
        <v>0</v>
      </c>
      <c r="AU165" s="62" t="s">
        <v>87</v>
      </c>
      <c r="AV165">
        <v>1</v>
      </c>
      <c r="AW165">
        <v>0</v>
      </c>
      <c r="AX165">
        <v>0</v>
      </c>
      <c r="AY165">
        <v>0</v>
      </c>
      <c r="AZ165">
        <v>0</v>
      </c>
      <c r="BA165">
        <v>0</v>
      </c>
      <c r="BB165">
        <v>0</v>
      </c>
      <c r="BC165">
        <v>1</v>
      </c>
      <c r="BD165">
        <v>0</v>
      </c>
      <c r="BE165">
        <v>0</v>
      </c>
      <c r="BF165">
        <v>15113</v>
      </c>
      <c r="BG165">
        <v>528</v>
      </c>
      <c r="BH165">
        <v>0.79400000000000004</v>
      </c>
      <c r="BI165" s="64">
        <v>37.5</v>
      </c>
      <c r="BJ165">
        <v>1</v>
      </c>
      <c r="BK165">
        <v>0</v>
      </c>
      <c r="BL165">
        <v>0</v>
      </c>
      <c r="BM165">
        <v>0</v>
      </c>
      <c r="BN165">
        <v>0</v>
      </c>
      <c r="BO165">
        <v>0</v>
      </c>
      <c r="BP165">
        <v>0</v>
      </c>
      <c r="BQ165" s="28">
        <v>0</v>
      </c>
      <c r="BR165">
        <v>0</v>
      </c>
      <c r="BS165">
        <v>0</v>
      </c>
      <c r="BT165" s="28">
        <v>1</v>
      </c>
      <c r="BU165">
        <v>1</v>
      </c>
      <c r="BV165">
        <v>0</v>
      </c>
      <c r="BW165">
        <v>0</v>
      </c>
      <c r="BX165">
        <v>1</v>
      </c>
      <c r="BY165">
        <v>0</v>
      </c>
      <c r="BZ165">
        <v>0</v>
      </c>
      <c r="CA165">
        <v>0</v>
      </c>
      <c r="CB165">
        <v>0</v>
      </c>
      <c r="CC165">
        <v>0</v>
      </c>
      <c r="CD165">
        <v>0</v>
      </c>
      <c r="CE165" s="16">
        <v>0</v>
      </c>
      <c r="CF165">
        <v>8.1000000000000003E-2</v>
      </c>
      <c r="CG165">
        <v>11</v>
      </c>
      <c r="CH165">
        <v>1</v>
      </c>
      <c r="CI165">
        <v>0</v>
      </c>
      <c r="CJ165">
        <v>26</v>
      </c>
      <c r="CK165" t="s">
        <v>46</v>
      </c>
    </row>
    <row r="166" spans="1:89" x14ac:dyDescent="0.25">
      <c r="A166">
        <v>165</v>
      </c>
      <c r="B166">
        <v>10</v>
      </c>
      <c r="C166" t="s">
        <v>296</v>
      </c>
      <c r="D166" s="79">
        <v>3.6</v>
      </c>
      <c r="E166" s="6">
        <v>0.4</v>
      </c>
      <c r="F166" s="6">
        <f t="shared" si="18"/>
        <v>9</v>
      </c>
      <c r="G166" s="78">
        <v>0</v>
      </c>
      <c r="H166" s="70">
        <v>0</v>
      </c>
      <c r="I166" s="70">
        <v>0</v>
      </c>
      <c r="J166" s="70">
        <v>1</v>
      </c>
      <c r="K166" s="70">
        <v>0</v>
      </c>
      <c r="L166" s="78">
        <v>11369</v>
      </c>
      <c r="M166" s="70">
        <v>1</v>
      </c>
      <c r="N166" s="70">
        <f t="shared" si="24"/>
        <v>11367</v>
      </c>
      <c r="O166" s="60">
        <f t="shared" si="25"/>
        <v>38</v>
      </c>
      <c r="P166" s="70">
        <v>9.6300000000000008</v>
      </c>
      <c r="Q166" s="70">
        <v>18.5</v>
      </c>
      <c r="R166" s="78">
        <v>1</v>
      </c>
      <c r="S166" s="70">
        <v>0</v>
      </c>
      <c r="T166" s="78">
        <v>0</v>
      </c>
      <c r="U166" s="70">
        <v>1</v>
      </c>
      <c r="V166" s="70">
        <v>0</v>
      </c>
      <c r="W166" s="70">
        <v>0</v>
      </c>
      <c r="X166" s="78">
        <v>0</v>
      </c>
      <c r="Y166" s="70">
        <v>0</v>
      </c>
      <c r="Z166" s="70">
        <v>1</v>
      </c>
      <c r="AA166" s="78">
        <v>1</v>
      </c>
      <c r="AB166" s="70">
        <v>0</v>
      </c>
      <c r="AC166" s="69">
        <v>1940</v>
      </c>
      <c r="AD166">
        <f t="shared" si="26"/>
        <v>0.33749999999999997</v>
      </c>
      <c r="AE166">
        <f t="shared" si="26"/>
        <v>0.33749999999999997</v>
      </c>
      <c r="AF166" s="70">
        <v>0.28199999999999997</v>
      </c>
      <c r="AG166" s="70">
        <v>4.2999999999999997E-2</v>
      </c>
      <c r="AH166" s="28">
        <v>1</v>
      </c>
      <c r="AI166">
        <v>0</v>
      </c>
      <c r="AJ166" s="28">
        <v>1</v>
      </c>
      <c r="AK166">
        <v>0</v>
      </c>
      <c r="AL166" s="28">
        <v>0.96</v>
      </c>
      <c r="AM166">
        <f t="shared" si="23"/>
        <v>4.0000000000000036E-2</v>
      </c>
      <c r="AN166">
        <v>0</v>
      </c>
      <c r="AO166">
        <v>1</v>
      </c>
      <c r="AP166" s="28">
        <v>0.75</v>
      </c>
      <c r="AQ166" s="12">
        <f t="shared" si="20"/>
        <v>0.25</v>
      </c>
      <c r="AR166">
        <v>0.5</v>
      </c>
      <c r="AS166">
        <v>0.5</v>
      </c>
      <c r="AT166">
        <v>0</v>
      </c>
      <c r="AU166" s="62" t="s">
        <v>87</v>
      </c>
      <c r="AV166">
        <v>1</v>
      </c>
      <c r="AW166">
        <v>0</v>
      </c>
      <c r="AX166">
        <v>0</v>
      </c>
      <c r="AY166">
        <v>0</v>
      </c>
      <c r="AZ166">
        <v>0</v>
      </c>
      <c r="BA166">
        <v>0</v>
      </c>
      <c r="BB166">
        <v>0</v>
      </c>
      <c r="BC166">
        <v>1</v>
      </c>
      <c r="BD166">
        <v>0</v>
      </c>
      <c r="BE166">
        <v>0</v>
      </c>
      <c r="BF166">
        <v>15113</v>
      </c>
      <c r="BG166">
        <v>528</v>
      </c>
      <c r="BH166">
        <v>0.79400000000000004</v>
      </c>
      <c r="BI166" s="64">
        <v>37.5</v>
      </c>
      <c r="BJ166">
        <v>0</v>
      </c>
      <c r="BK166">
        <v>0</v>
      </c>
      <c r="BL166">
        <v>1</v>
      </c>
      <c r="BM166">
        <v>0</v>
      </c>
      <c r="BN166">
        <v>0</v>
      </c>
      <c r="BO166">
        <v>0</v>
      </c>
      <c r="BP166">
        <v>0</v>
      </c>
      <c r="BQ166" s="28">
        <v>0</v>
      </c>
      <c r="BR166">
        <v>0</v>
      </c>
      <c r="BS166">
        <v>0</v>
      </c>
      <c r="BT166" s="28">
        <v>0</v>
      </c>
      <c r="BU166">
        <v>0</v>
      </c>
      <c r="BV166">
        <v>0</v>
      </c>
      <c r="BW166">
        <v>0</v>
      </c>
      <c r="BX166">
        <v>0</v>
      </c>
      <c r="BY166">
        <v>0</v>
      </c>
      <c r="BZ166">
        <v>0</v>
      </c>
      <c r="CA166">
        <v>0</v>
      </c>
      <c r="CB166">
        <v>0</v>
      </c>
      <c r="CC166">
        <v>0</v>
      </c>
      <c r="CD166">
        <v>0</v>
      </c>
      <c r="CE166" s="16">
        <v>0</v>
      </c>
      <c r="CF166">
        <v>8.1000000000000003E-2</v>
      </c>
      <c r="CG166">
        <v>11</v>
      </c>
      <c r="CH166">
        <v>1</v>
      </c>
      <c r="CI166">
        <v>0</v>
      </c>
      <c r="CJ166">
        <v>26</v>
      </c>
      <c r="CK166" t="s">
        <v>46</v>
      </c>
    </row>
    <row r="167" spans="1:89" x14ac:dyDescent="0.25">
      <c r="A167">
        <v>166</v>
      </c>
      <c r="B167">
        <v>11</v>
      </c>
      <c r="C167" t="s">
        <v>302</v>
      </c>
      <c r="D167" s="79">
        <v>6.7</v>
      </c>
      <c r="E167" s="6">
        <f t="shared" ref="E167:E202" si="27">D167/F167</f>
        <v>0.40095751047277078</v>
      </c>
      <c r="F167" s="6">
        <v>16.71</v>
      </c>
      <c r="G167" s="78">
        <v>1</v>
      </c>
      <c r="H167" s="70">
        <v>0</v>
      </c>
      <c r="I167" s="70">
        <v>0</v>
      </c>
      <c r="J167" s="70">
        <v>0</v>
      </c>
      <c r="K167" s="70">
        <v>0</v>
      </c>
      <c r="L167" s="78">
        <v>2253</v>
      </c>
      <c r="M167" s="70">
        <v>9</v>
      </c>
      <c r="N167" s="70">
        <f t="shared" si="24"/>
        <v>2243</v>
      </c>
      <c r="O167" s="60">
        <f t="shared" si="25"/>
        <v>36</v>
      </c>
      <c r="P167" s="6">
        <f t="shared" ref="P167:P202" si="28">12.22*AR167+11.73*AT167</f>
        <v>11.94707</v>
      </c>
      <c r="Q167" s="6">
        <f t="shared" ref="Q167:Q202" si="29">15.03*AR167+21.7*AT167</f>
        <v>18.745189999999997</v>
      </c>
      <c r="R167" s="78">
        <v>1</v>
      </c>
      <c r="S167" s="70">
        <v>0</v>
      </c>
      <c r="T167" s="78">
        <v>0</v>
      </c>
      <c r="U167" s="70">
        <v>0</v>
      </c>
      <c r="V167" s="70">
        <v>1</v>
      </c>
      <c r="W167" s="70">
        <v>0</v>
      </c>
      <c r="X167" s="78">
        <v>0</v>
      </c>
      <c r="Y167" s="70">
        <v>1</v>
      </c>
      <c r="Z167" s="70">
        <v>0</v>
      </c>
      <c r="AA167" s="78">
        <v>1</v>
      </c>
      <c r="AB167" s="70">
        <v>0</v>
      </c>
      <c r="AC167" s="69">
        <v>2002</v>
      </c>
      <c r="AD167" t="s">
        <v>57</v>
      </c>
      <c r="AE167" t="s">
        <v>57</v>
      </c>
      <c r="AF167" t="s">
        <v>57</v>
      </c>
      <c r="AG167" t="s">
        <v>57</v>
      </c>
      <c r="AH167" s="28" t="s">
        <v>57</v>
      </c>
      <c r="AI167" t="s">
        <v>57</v>
      </c>
      <c r="AJ167" s="28">
        <v>0.52780000000000005</v>
      </c>
      <c r="AK167">
        <v>0.47220000000000001</v>
      </c>
      <c r="AL167" s="28">
        <v>0</v>
      </c>
      <c r="AM167">
        <v>1</v>
      </c>
      <c r="AN167">
        <v>0</v>
      </c>
      <c r="AO167">
        <v>1</v>
      </c>
      <c r="AP167" s="81">
        <f t="shared" ref="AP167:AP202" si="30">0.66*AR167+0.94*AT167</f>
        <v>0.81596000000000002</v>
      </c>
      <c r="AQ167" s="82">
        <f t="shared" si="20"/>
        <v>0.18403999999999998</v>
      </c>
      <c r="AR167">
        <v>0.443</v>
      </c>
      <c r="AS167">
        <v>0</v>
      </c>
      <c r="AT167">
        <f>1-AR167</f>
        <v>0.55699999999999994</v>
      </c>
      <c r="AU167" s="62" t="s">
        <v>343</v>
      </c>
      <c r="AV167">
        <v>0</v>
      </c>
      <c r="AW167">
        <v>1</v>
      </c>
      <c r="AX167">
        <v>0</v>
      </c>
      <c r="AY167">
        <v>0</v>
      </c>
      <c r="AZ167">
        <v>0</v>
      </c>
      <c r="BA167">
        <v>0</v>
      </c>
      <c r="BB167">
        <v>0</v>
      </c>
      <c r="BC167">
        <v>0</v>
      </c>
      <c r="BD167">
        <v>1</v>
      </c>
      <c r="BE167">
        <v>0</v>
      </c>
      <c r="BF167">
        <v>942</v>
      </c>
      <c r="BG167">
        <v>131</v>
      </c>
      <c r="BH167">
        <v>0.29299999999999998</v>
      </c>
      <c r="BI167" s="80">
        <f t="shared" ref="BI167:BI202" si="31">34.78*AR167+43.27*AT167</f>
        <v>39.508929999999999</v>
      </c>
      <c r="BJ167">
        <v>1</v>
      </c>
      <c r="BK167">
        <v>0</v>
      </c>
      <c r="BL167">
        <v>0</v>
      </c>
      <c r="BM167">
        <v>0</v>
      </c>
      <c r="BN167">
        <v>0</v>
      </c>
      <c r="BO167">
        <v>0</v>
      </c>
      <c r="BP167">
        <v>0</v>
      </c>
      <c r="BQ167" s="28">
        <v>0</v>
      </c>
      <c r="BR167">
        <v>0</v>
      </c>
      <c r="BS167">
        <v>0</v>
      </c>
      <c r="BT167" s="28">
        <v>1</v>
      </c>
      <c r="BU167">
        <v>1</v>
      </c>
      <c r="BV167">
        <v>0</v>
      </c>
      <c r="BW167">
        <v>0</v>
      </c>
      <c r="BX167">
        <v>0</v>
      </c>
      <c r="BY167">
        <v>0</v>
      </c>
      <c r="BZ167">
        <v>1</v>
      </c>
      <c r="CA167">
        <v>0</v>
      </c>
      <c r="CB167">
        <v>0</v>
      </c>
      <c r="CC167">
        <v>0</v>
      </c>
      <c r="CD167">
        <v>0</v>
      </c>
      <c r="CE167" s="16">
        <v>0</v>
      </c>
      <c r="CF167">
        <v>0</v>
      </c>
      <c r="CG167">
        <v>1</v>
      </c>
      <c r="CH167">
        <v>0</v>
      </c>
      <c r="CI167">
        <v>1</v>
      </c>
      <c r="CJ167">
        <v>11</v>
      </c>
      <c r="CK167" t="s">
        <v>46</v>
      </c>
    </row>
    <row r="168" spans="1:89" x14ac:dyDescent="0.25">
      <c r="A168">
        <v>167</v>
      </c>
      <c r="B168">
        <v>11</v>
      </c>
      <c r="C168" t="s">
        <v>302</v>
      </c>
      <c r="D168" s="79">
        <v>6.7</v>
      </c>
      <c r="E168" s="6">
        <f t="shared" si="27"/>
        <v>0.39621525724423418</v>
      </c>
      <c r="F168" s="6">
        <v>16.91</v>
      </c>
      <c r="G168" s="78">
        <v>1</v>
      </c>
      <c r="H168" s="70">
        <v>0</v>
      </c>
      <c r="I168" s="70">
        <v>0</v>
      </c>
      <c r="J168" s="70">
        <v>0</v>
      </c>
      <c r="K168" s="70">
        <v>0</v>
      </c>
      <c r="L168" s="78">
        <v>2253</v>
      </c>
      <c r="M168" s="70">
        <v>11</v>
      </c>
      <c r="N168" s="70">
        <f t="shared" si="24"/>
        <v>2241</v>
      </c>
      <c r="O168" s="60">
        <f t="shared" si="25"/>
        <v>36</v>
      </c>
      <c r="P168" s="6">
        <f t="shared" si="28"/>
        <v>11.94707</v>
      </c>
      <c r="Q168" s="6">
        <f t="shared" si="29"/>
        <v>18.745189999999997</v>
      </c>
      <c r="R168" s="78">
        <v>1</v>
      </c>
      <c r="S168" s="70">
        <v>0</v>
      </c>
      <c r="T168" s="78">
        <v>0</v>
      </c>
      <c r="U168" s="70">
        <v>0</v>
      </c>
      <c r="V168" s="70">
        <v>1</v>
      </c>
      <c r="W168" s="70">
        <v>0</v>
      </c>
      <c r="X168" s="78">
        <v>0</v>
      </c>
      <c r="Y168" s="70">
        <v>1</v>
      </c>
      <c r="Z168" s="70">
        <v>0</v>
      </c>
      <c r="AA168" s="78">
        <v>1</v>
      </c>
      <c r="AB168" s="70">
        <v>0</v>
      </c>
      <c r="AC168" s="69">
        <v>2002</v>
      </c>
      <c r="AD168" t="s">
        <v>57</v>
      </c>
      <c r="AE168" t="s">
        <v>57</v>
      </c>
      <c r="AF168" t="s">
        <v>57</v>
      </c>
      <c r="AG168" t="s">
        <v>57</v>
      </c>
      <c r="AH168" s="28" t="s">
        <v>57</v>
      </c>
      <c r="AI168" t="s">
        <v>57</v>
      </c>
      <c r="AJ168" s="28">
        <v>0.52780000000000005</v>
      </c>
      <c r="AK168">
        <v>0.47220000000000001</v>
      </c>
      <c r="AL168" s="28">
        <v>0</v>
      </c>
      <c r="AM168">
        <v>1</v>
      </c>
      <c r="AN168">
        <v>0</v>
      </c>
      <c r="AO168">
        <v>1</v>
      </c>
      <c r="AP168" s="81">
        <f t="shared" si="30"/>
        <v>0.81596000000000002</v>
      </c>
      <c r="AQ168" s="82">
        <f t="shared" si="20"/>
        <v>0.18403999999999998</v>
      </c>
      <c r="AR168">
        <v>0.443</v>
      </c>
      <c r="AS168">
        <v>0</v>
      </c>
      <c r="AT168">
        <f>1-AR168</f>
        <v>0.55699999999999994</v>
      </c>
      <c r="AU168" s="62" t="s">
        <v>343</v>
      </c>
      <c r="AV168">
        <v>0</v>
      </c>
      <c r="AW168">
        <v>1</v>
      </c>
      <c r="AX168">
        <v>0</v>
      </c>
      <c r="AY168">
        <v>0</v>
      </c>
      <c r="AZ168">
        <v>0</v>
      </c>
      <c r="BA168">
        <v>0</v>
      </c>
      <c r="BB168">
        <v>0</v>
      </c>
      <c r="BC168">
        <v>0</v>
      </c>
      <c r="BD168">
        <v>1</v>
      </c>
      <c r="BE168">
        <v>0</v>
      </c>
      <c r="BF168">
        <v>942</v>
      </c>
      <c r="BG168">
        <v>131</v>
      </c>
      <c r="BH168">
        <v>0.29299999999999998</v>
      </c>
      <c r="BI168" s="80">
        <f t="shared" si="31"/>
        <v>39.508929999999999</v>
      </c>
      <c r="BJ168">
        <v>1</v>
      </c>
      <c r="BK168">
        <v>0</v>
      </c>
      <c r="BL168">
        <v>0</v>
      </c>
      <c r="BM168">
        <v>0</v>
      </c>
      <c r="BN168">
        <v>0</v>
      </c>
      <c r="BO168">
        <v>0</v>
      </c>
      <c r="BP168">
        <v>0</v>
      </c>
      <c r="BQ168" s="28">
        <v>0</v>
      </c>
      <c r="BR168">
        <v>0</v>
      </c>
      <c r="BS168">
        <v>0</v>
      </c>
      <c r="BT168" s="28">
        <v>1</v>
      </c>
      <c r="BU168">
        <v>1</v>
      </c>
      <c r="BV168">
        <v>1</v>
      </c>
      <c r="BW168">
        <v>0</v>
      </c>
      <c r="BX168">
        <v>0</v>
      </c>
      <c r="BY168">
        <v>0</v>
      </c>
      <c r="BZ168">
        <v>1</v>
      </c>
      <c r="CA168">
        <v>1</v>
      </c>
      <c r="CB168">
        <v>0</v>
      </c>
      <c r="CC168">
        <v>0</v>
      </c>
      <c r="CD168">
        <v>0</v>
      </c>
      <c r="CE168" s="16">
        <v>0</v>
      </c>
      <c r="CF168">
        <v>0</v>
      </c>
      <c r="CG168">
        <v>1</v>
      </c>
      <c r="CH168">
        <v>0</v>
      </c>
      <c r="CI168">
        <v>1</v>
      </c>
      <c r="CJ168">
        <v>11</v>
      </c>
      <c r="CK168" t="s">
        <v>46</v>
      </c>
    </row>
    <row r="169" spans="1:89" x14ac:dyDescent="0.25">
      <c r="A169">
        <v>168</v>
      </c>
      <c r="B169">
        <v>11</v>
      </c>
      <c r="C169" t="s">
        <v>302</v>
      </c>
      <c r="D169" s="79">
        <v>8.1999999999999993</v>
      </c>
      <c r="E169" s="6">
        <f t="shared" si="27"/>
        <v>0.59205776173285196</v>
      </c>
      <c r="F169" s="6">
        <v>13.85</v>
      </c>
      <c r="G169" s="78">
        <v>1</v>
      </c>
      <c r="H169" s="70">
        <v>0</v>
      </c>
      <c r="I169" s="70">
        <v>0</v>
      </c>
      <c r="J169" s="70">
        <v>0</v>
      </c>
      <c r="K169" s="70">
        <v>0</v>
      </c>
      <c r="L169" s="78">
        <v>976</v>
      </c>
      <c r="M169" s="70">
        <v>9</v>
      </c>
      <c r="N169" s="70">
        <f t="shared" si="24"/>
        <v>966</v>
      </c>
      <c r="O169" s="60">
        <f t="shared" si="25"/>
        <v>36</v>
      </c>
      <c r="P169" s="6">
        <f t="shared" si="28"/>
        <v>12.22</v>
      </c>
      <c r="Q169" s="6">
        <f t="shared" si="29"/>
        <v>15.03</v>
      </c>
      <c r="R169" s="78">
        <v>1</v>
      </c>
      <c r="S169" s="70">
        <v>0</v>
      </c>
      <c r="T169" s="78">
        <v>0</v>
      </c>
      <c r="U169" s="70">
        <v>0</v>
      </c>
      <c r="V169" s="70">
        <v>1</v>
      </c>
      <c r="W169" s="70">
        <v>0</v>
      </c>
      <c r="X169" s="78">
        <v>0</v>
      </c>
      <c r="Y169" s="70">
        <v>1</v>
      </c>
      <c r="Z169" s="70">
        <v>0</v>
      </c>
      <c r="AA169" s="78">
        <v>1</v>
      </c>
      <c r="AB169" s="70">
        <v>0</v>
      </c>
      <c r="AC169" s="69">
        <v>2002</v>
      </c>
      <c r="AD169" t="s">
        <v>57</v>
      </c>
      <c r="AE169" t="s">
        <v>57</v>
      </c>
      <c r="AF169" t="s">
        <v>57</v>
      </c>
      <c r="AG169" t="s">
        <v>57</v>
      </c>
      <c r="AH169" s="28" t="s">
        <v>57</v>
      </c>
      <c r="AI169" t="s">
        <v>57</v>
      </c>
      <c r="AJ169" s="28">
        <v>0.59630000000000005</v>
      </c>
      <c r="AK169">
        <v>0.40369999999999989</v>
      </c>
      <c r="AL169" s="28">
        <v>0</v>
      </c>
      <c r="AM169">
        <v>1</v>
      </c>
      <c r="AN169">
        <v>0</v>
      </c>
      <c r="AO169">
        <v>1</v>
      </c>
      <c r="AP169" s="81">
        <f t="shared" si="30"/>
        <v>0.66</v>
      </c>
      <c r="AQ169" s="82">
        <f t="shared" si="20"/>
        <v>0.33999999999999997</v>
      </c>
      <c r="AR169">
        <v>1</v>
      </c>
      <c r="AS169">
        <v>0</v>
      </c>
      <c r="AT169">
        <v>0</v>
      </c>
      <c r="AU169" s="62" t="s">
        <v>343</v>
      </c>
      <c r="AV169">
        <v>0</v>
      </c>
      <c r="AW169">
        <v>1</v>
      </c>
      <c r="AX169">
        <v>0</v>
      </c>
      <c r="AY169">
        <v>0</v>
      </c>
      <c r="AZ169">
        <v>0</v>
      </c>
      <c r="BA169">
        <v>0</v>
      </c>
      <c r="BB169">
        <v>0</v>
      </c>
      <c r="BC169">
        <v>0</v>
      </c>
      <c r="BD169">
        <v>1</v>
      </c>
      <c r="BE169">
        <v>0</v>
      </c>
      <c r="BF169">
        <v>942</v>
      </c>
      <c r="BG169">
        <v>131</v>
      </c>
      <c r="BH169">
        <v>0.29299999999999998</v>
      </c>
      <c r="BI169" s="80">
        <f t="shared" si="31"/>
        <v>34.78</v>
      </c>
      <c r="BJ169">
        <v>1</v>
      </c>
      <c r="BK169">
        <v>0</v>
      </c>
      <c r="BL169">
        <v>0</v>
      </c>
      <c r="BM169">
        <v>0</v>
      </c>
      <c r="BN169">
        <v>0</v>
      </c>
      <c r="BO169">
        <v>0</v>
      </c>
      <c r="BP169">
        <v>0</v>
      </c>
      <c r="BQ169" s="28">
        <v>0</v>
      </c>
      <c r="BR169">
        <v>0</v>
      </c>
      <c r="BS169">
        <v>0</v>
      </c>
      <c r="BT169" s="28">
        <v>1</v>
      </c>
      <c r="BU169">
        <v>1</v>
      </c>
      <c r="BV169">
        <v>0</v>
      </c>
      <c r="BW169">
        <v>0</v>
      </c>
      <c r="BX169">
        <v>0</v>
      </c>
      <c r="BY169">
        <v>0</v>
      </c>
      <c r="BZ169">
        <v>1</v>
      </c>
      <c r="CA169">
        <v>0</v>
      </c>
      <c r="CB169">
        <v>0</v>
      </c>
      <c r="CC169">
        <v>0</v>
      </c>
      <c r="CD169">
        <v>0</v>
      </c>
      <c r="CE169" s="16">
        <v>0</v>
      </c>
      <c r="CF169">
        <v>0</v>
      </c>
      <c r="CG169">
        <v>1</v>
      </c>
      <c r="CH169">
        <v>0</v>
      </c>
      <c r="CI169">
        <v>1</v>
      </c>
      <c r="CJ169">
        <v>11</v>
      </c>
      <c r="CK169" t="s">
        <v>46</v>
      </c>
    </row>
    <row r="170" spans="1:89" x14ac:dyDescent="0.25">
      <c r="A170">
        <v>169</v>
      </c>
      <c r="B170">
        <v>11</v>
      </c>
      <c r="C170" t="s">
        <v>302</v>
      </c>
      <c r="D170" s="79">
        <v>2.5</v>
      </c>
      <c r="E170" s="6">
        <f t="shared" si="27"/>
        <v>1.4880952380952381</v>
      </c>
      <c r="F170" s="6">
        <v>1.68</v>
      </c>
      <c r="G170" s="78">
        <v>1</v>
      </c>
      <c r="H170" s="70">
        <v>0</v>
      </c>
      <c r="I170" s="70">
        <v>0</v>
      </c>
      <c r="J170" s="70">
        <v>0</v>
      </c>
      <c r="K170" s="70">
        <v>0</v>
      </c>
      <c r="L170" s="78">
        <v>976</v>
      </c>
      <c r="M170" s="70">
        <v>1</v>
      </c>
      <c r="N170" s="70">
        <f t="shared" si="24"/>
        <v>974</v>
      </c>
      <c r="O170" s="60">
        <f t="shared" si="25"/>
        <v>36</v>
      </c>
      <c r="P170" s="6">
        <f t="shared" si="28"/>
        <v>12.22</v>
      </c>
      <c r="Q170" s="6">
        <f t="shared" si="29"/>
        <v>15.03</v>
      </c>
      <c r="R170" s="78">
        <v>1</v>
      </c>
      <c r="S170" s="70">
        <v>0</v>
      </c>
      <c r="T170" s="78">
        <v>0</v>
      </c>
      <c r="U170" s="70">
        <v>0</v>
      </c>
      <c r="V170" s="70">
        <v>1</v>
      </c>
      <c r="W170" s="70">
        <v>0</v>
      </c>
      <c r="X170" s="78">
        <v>0</v>
      </c>
      <c r="Y170" s="70">
        <v>1</v>
      </c>
      <c r="Z170" s="70">
        <v>0</v>
      </c>
      <c r="AA170" s="78">
        <v>1</v>
      </c>
      <c r="AB170" s="70">
        <v>0</v>
      </c>
      <c r="AC170" s="69">
        <v>2002</v>
      </c>
      <c r="AD170" t="s">
        <v>57</v>
      </c>
      <c r="AE170" t="s">
        <v>57</v>
      </c>
      <c r="AF170" t="s">
        <v>57</v>
      </c>
      <c r="AG170" t="s">
        <v>57</v>
      </c>
      <c r="AH170" s="28" t="s">
        <v>57</v>
      </c>
      <c r="AI170" t="s">
        <v>57</v>
      </c>
      <c r="AJ170" s="28">
        <v>0.59630000000000005</v>
      </c>
      <c r="AK170">
        <v>0.40369999999999989</v>
      </c>
      <c r="AL170" s="28">
        <v>0</v>
      </c>
      <c r="AM170">
        <v>1</v>
      </c>
      <c r="AN170">
        <v>0</v>
      </c>
      <c r="AO170">
        <v>1</v>
      </c>
      <c r="AP170" s="81">
        <f t="shared" si="30"/>
        <v>0.66</v>
      </c>
      <c r="AQ170" s="82">
        <f t="shared" si="20"/>
        <v>0.33999999999999997</v>
      </c>
      <c r="AR170">
        <v>1</v>
      </c>
      <c r="AS170">
        <v>0</v>
      </c>
      <c r="AT170">
        <v>0</v>
      </c>
      <c r="AU170" s="62" t="s">
        <v>343</v>
      </c>
      <c r="AV170">
        <v>0</v>
      </c>
      <c r="AW170">
        <v>1</v>
      </c>
      <c r="AX170">
        <v>0</v>
      </c>
      <c r="AY170">
        <v>0</v>
      </c>
      <c r="AZ170">
        <v>0</v>
      </c>
      <c r="BA170">
        <v>0</v>
      </c>
      <c r="BB170">
        <v>0</v>
      </c>
      <c r="BC170">
        <v>0</v>
      </c>
      <c r="BD170">
        <v>1</v>
      </c>
      <c r="BE170">
        <v>0</v>
      </c>
      <c r="BF170">
        <v>942</v>
      </c>
      <c r="BG170">
        <v>131</v>
      </c>
      <c r="BH170">
        <v>0.29299999999999998</v>
      </c>
      <c r="BI170" s="80">
        <f t="shared" si="31"/>
        <v>34.78</v>
      </c>
      <c r="BJ170">
        <v>0</v>
      </c>
      <c r="BK170">
        <v>0</v>
      </c>
      <c r="BL170">
        <v>1</v>
      </c>
      <c r="BM170">
        <v>0</v>
      </c>
      <c r="BN170">
        <v>0</v>
      </c>
      <c r="BO170">
        <v>0</v>
      </c>
      <c r="BP170">
        <v>0</v>
      </c>
      <c r="BQ170" s="28">
        <v>0</v>
      </c>
      <c r="BR170">
        <v>0</v>
      </c>
      <c r="BS170">
        <v>0</v>
      </c>
      <c r="BT170" s="28">
        <v>0</v>
      </c>
      <c r="BU170">
        <v>0</v>
      </c>
      <c r="BV170">
        <v>0</v>
      </c>
      <c r="BW170">
        <v>0</v>
      </c>
      <c r="BX170">
        <v>0</v>
      </c>
      <c r="BY170">
        <v>0</v>
      </c>
      <c r="BZ170">
        <v>0</v>
      </c>
      <c r="CA170">
        <v>0</v>
      </c>
      <c r="CB170">
        <v>0</v>
      </c>
      <c r="CC170">
        <v>0</v>
      </c>
      <c r="CD170">
        <v>0</v>
      </c>
      <c r="CE170" s="16">
        <v>0</v>
      </c>
      <c r="CF170">
        <v>0</v>
      </c>
      <c r="CG170">
        <v>1</v>
      </c>
      <c r="CH170">
        <v>0</v>
      </c>
      <c r="CI170">
        <v>1</v>
      </c>
      <c r="CJ170">
        <v>11</v>
      </c>
      <c r="CK170" t="s">
        <v>46</v>
      </c>
    </row>
    <row r="171" spans="1:89" x14ac:dyDescent="0.25">
      <c r="A171">
        <v>170</v>
      </c>
      <c r="B171">
        <v>11</v>
      </c>
      <c r="C171" t="s">
        <v>302</v>
      </c>
      <c r="D171" s="79">
        <v>8.4</v>
      </c>
      <c r="E171" s="6">
        <f t="shared" si="27"/>
        <v>0.59405940594059403</v>
      </c>
      <c r="F171" s="6">
        <v>14.14</v>
      </c>
      <c r="G171" s="78">
        <v>1</v>
      </c>
      <c r="H171" s="70">
        <v>0</v>
      </c>
      <c r="I171" s="70">
        <v>0</v>
      </c>
      <c r="J171" s="70">
        <v>0</v>
      </c>
      <c r="K171" s="70">
        <v>0</v>
      </c>
      <c r="L171" s="78">
        <v>976</v>
      </c>
      <c r="M171" s="70">
        <v>11</v>
      </c>
      <c r="N171" s="70">
        <f t="shared" si="24"/>
        <v>964</v>
      </c>
      <c r="O171" s="60">
        <f t="shared" si="25"/>
        <v>36</v>
      </c>
      <c r="P171" s="6">
        <f t="shared" si="28"/>
        <v>12.22</v>
      </c>
      <c r="Q171" s="6">
        <f t="shared" si="29"/>
        <v>15.03</v>
      </c>
      <c r="R171" s="78">
        <v>1</v>
      </c>
      <c r="S171" s="70">
        <v>0</v>
      </c>
      <c r="T171" s="78">
        <v>0</v>
      </c>
      <c r="U171" s="70">
        <v>0</v>
      </c>
      <c r="V171" s="70">
        <v>1</v>
      </c>
      <c r="W171" s="70">
        <v>0</v>
      </c>
      <c r="X171" s="78">
        <v>0</v>
      </c>
      <c r="Y171" s="70">
        <v>1</v>
      </c>
      <c r="Z171" s="70">
        <v>0</v>
      </c>
      <c r="AA171" s="78">
        <v>1</v>
      </c>
      <c r="AB171" s="70">
        <v>0</v>
      </c>
      <c r="AC171" s="69">
        <v>2002</v>
      </c>
      <c r="AD171" t="s">
        <v>57</v>
      </c>
      <c r="AE171" t="s">
        <v>57</v>
      </c>
      <c r="AF171" t="s">
        <v>57</v>
      </c>
      <c r="AG171" t="s">
        <v>57</v>
      </c>
      <c r="AH171" s="28" t="s">
        <v>57</v>
      </c>
      <c r="AI171" t="s">
        <v>57</v>
      </c>
      <c r="AJ171" s="28">
        <v>0.59630000000000005</v>
      </c>
      <c r="AK171">
        <v>0.40369999999999989</v>
      </c>
      <c r="AL171" s="28">
        <v>0</v>
      </c>
      <c r="AM171">
        <v>1</v>
      </c>
      <c r="AN171">
        <v>0</v>
      </c>
      <c r="AO171">
        <v>1</v>
      </c>
      <c r="AP171" s="81">
        <f t="shared" si="30"/>
        <v>0.66</v>
      </c>
      <c r="AQ171" s="82">
        <f t="shared" si="20"/>
        <v>0.33999999999999997</v>
      </c>
      <c r="AR171">
        <v>1</v>
      </c>
      <c r="AS171">
        <v>0</v>
      </c>
      <c r="AT171">
        <v>0</v>
      </c>
      <c r="AU171" s="62" t="s">
        <v>343</v>
      </c>
      <c r="AV171">
        <v>0</v>
      </c>
      <c r="AW171">
        <v>1</v>
      </c>
      <c r="AX171">
        <v>0</v>
      </c>
      <c r="AY171">
        <v>0</v>
      </c>
      <c r="AZ171">
        <v>0</v>
      </c>
      <c r="BA171">
        <v>0</v>
      </c>
      <c r="BB171">
        <v>0</v>
      </c>
      <c r="BC171">
        <v>0</v>
      </c>
      <c r="BD171">
        <v>1</v>
      </c>
      <c r="BE171">
        <v>0</v>
      </c>
      <c r="BF171">
        <v>942</v>
      </c>
      <c r="BG171">
        <v>131</v>
      </c>
      <c r="BH171">
        <v>0.29299999999999998</v>
      </c>
      <c r="BI171" s="80">
        <f t="shared" si="31"/>
        <v>34.78</v>
      </c>
      <c r="BJ171">
        <v>1</v>
      </c>
      <c r="BK171">
        <v>0</v>
      </c>
      <c r="BL171">
        <v>0</v>
      </c>
      <c r="BM171">
        <v>0</v>
      </c>
      <c r="BN171">
        <v>0</v>
      </c>
      <c r="BO171">
        <v>0</v>
      </c>
      <c r="BP171">
        <v>0</v>
      </c>
      <c r="BQ171" s="28">
        <v>0</v>
      </c>
      <c r="BR171">
        <v>0</v>
      </c>
      <c r="BS171">
        <v>0</v>
      </c>
      <c r="BT171" s="28">
        <v>1</v>
      </c>
      <c r="BU171">
        <v>1</v>
      </c>
      <c r="BV171">
        <v>1</v>
      </c>
      <c r="BW171">
        <v>0</v>
      </c>
      <c r="BX171">
        <v>0</v>
      </c>
      <c r="BY171">
        <v>0</v>
      </c>
      <c r="BZ171">
        <v>1</v>
      </c>
      <c r="CA171">
        <v>1</v>
      </c>
      <c r="CB171">
        <v>0</v>
      </c>
      <c r="CC171">
        <v>0</v>
      </c>
      <c r="CD171">
        <v>0</v>
      </c>
      <c r="CE171" s="16">
        <v>0</v>
      </c>
      <c r="CF171">
        <v>0</v>
      </c>
      <c r="CG171">
        <v>1</v>
      </c>
      <c r="CH171">
        <v>0</v>
      </c>
      <c r="CI171">
        <v>1</v>
      </c>
      <c r="CJ171">
        <v>11</v>
      </c>
      <c r="CK171" t="s">
        <v>46</v>
      </c>
    </row>
    <row r="172" spans="1:89" x14ac:dyDescent="0.25">
      <c r="A172">
        <v>171</v>
      </c>
      <c r="B172">
        <v>11</v>
      </c>
      <c r="C172" t="s">
        <v>302</v>
      </c>
      <c r="D172" s="79">
        <v>2.7</v>
      </c>
      <c r="E172" s="6">
        <f t="shared" si="27"/>
        <v>1.4438502673796791</v>
      </c>
      <c r="F172" s="6">
        <v>1.87</v>
      </c>
      <c r="G172" s="78">
        <v>1</v>
      </c>
      <c r="H172" s="70">
        <v>0</v>
      </c>
      <c r="I172" s="70">
        <v>0</v>
      </c>
      <c r="J172" s="70">
        <v>0</v>
      </c>
      <c r="K172" s="70">
        <v>0</v>
      </c>
      <c r="L172" s="78">
        <v>976</v>
      </c>
      <c r="M172" s="70">
        <v>3</v>
      </c>
      <c r="N172" s="70">
        <f t="shared" si="24"/>
        <v>972</v>
      </c>
      <c r="O172" s="60">
        <f t="shared" si="25"/>
        <v>36</v>
      </c>
      <c r="P172" s="6">
        <f t="shared" si="28"/>
        <v>12.22</v>
      </c>
      <c r="Q172" s="6">
        <f t="shared" si="29"/>
        <v>15.03</v>
      </c>
      <c r="R172" s="78">
        <v>1</v>
      </c>
      <c r="S172" s="70">
        <v>0</v>
      </c>
      <c r="T172" s="78">
        <v>0</v>
      </c>
      <c r="U172" s="70">
        <v>0</v>
      </c>
      <c r="V172" s="70">
        <v>1</v>
      </c>
      <c r="W172" s="70">
        <v>0</v>
      </c>
      <c r="X172" s="78">
        <v>0</v>
      </c>
      <c r="Y172" s="70">
        <v>1</v>
      </c>
      <c r="Z172" s="70">
        <v>0</v>
      </c>
      <c r="AA172" s="78">
        <v>1</v>
      </c>
      <c r="AB172" s="70">
        <v>0</v>
      </c>
      <c r="AC172" s="69">
        <v>2002</v>
      </c>
      <c r="AD172" t="s">
        <v>57</v>
      </c>
      <c r="AE172" t="s">
        <v>57</v>
      </c>
      <c r="AF172" t="s">
        <v>57</v>
      </c>
      <c r="AG172" t="s">
        <v>57</v>
      </c>
      <c r="AH172" s="28" t="s">
        <v>57</v>
      </c>
      <c r="AI172" t="s">
        <v>57</v>
      </c>
      <c r="AJ172" s="28">
        <v>0.59630000000000005</v>
      </c>
      <c r="AK172">
        <v>0.40369999999999989</v>
      </c>
      <c r="AL172" s="28">
        <v>0</v>
      </c>
      <c r="AM172">
        <v>1</v>
      </c>
      <c r="AN172">
        <v>0</v>
      </c>
      <c r="AO172">
        <v>1</v>
      </c>
      <c r="AP172" s="81">
        <f t="shared" si="30"/>
        <v>0.66</v>
      </c>
      <c r="AQ172" s="82">
        <f t="shared" si="20"/>
        <v>0.33999999999999997</v>
      </c>
      <c r="AR172">
        <v>1</v>
      </c>
      <c r="AS172">
        <v>0</v>
      </c>
      <c r="AT172">
        <v>0</v>
      </c>
      <c r="AU172" s="62" t="s">
        <v>343</v>
      </c>
      <c r="AV172">
        <v>0</v>
      </c>
      <c r="AW172">
        <v>1</v>
      </c>
      <c r="AX172">
        <v>0</v>
      </c>
      <c r="AY172">
        <v>0</v>
      </c>
      <c r="AZ172">
        <v>0</v>
      </c>
      <c r="BA172">
        <v>0</v>
      </c>
      <c r="BB172">
        <v>0</v>
      </c>
      <c r="BC172">
        <v>0</v>
      </c>
      <c r="BD172">
        <v>1</v>
      </c>
      <c r="BE172">
        <v>0</v>
      </c>
      <c r="BF172">
        <v>942</v>
      </c>
      <c r="BG172">
        <v>131</v>
      </c>
      <c r="BH172">
        <v>0.29299999999999998</v>
      </c>
      <c r="BI172" s="80">
        <f t="shared" si="31"/>
        <v>34.78</v>
      </c>
      <c r="BJ172">
        <v>0</v>
      </c>
      <c r="BK172">
        <v>0</v>
      </c>
      <c r="BL172">
        <v>1</v>
      </c>
      <c r="BM172">
        <v>0</v>
      </c>
      <c r="BN172">
        <v>0</v>
      </c>
      <c r="BO172">
        <v>0</v>
      </c>
      <c r="BP172">
        <v>0</v>
      </c>
      <c r="BQ172" s="28">
        <v>0</v>
      </c>
      <c r="BR172">
        <v>0</v>
      </c>
      <c r="BS172">
        <v>0</v>
      </c>
      <c r="BT172" s="28">
        <v>0</v>
      </c>
      <c r="BU172">
        <v>0</v>
      </c>
      <c r="BV172">
        <v>1</v>
      </c>
      <c r="BW172">
        <v>0</v>
      </c>
      <c r="BX172">
        <v>0</v>
      </c>
      <c r="BY172">
        <v>0</v>
      </c>
      <c r="BZ172">
        <v>0</v>
      </c>
      <c r="CA172">
        <v>1</v>
      </c>
      <c r="CB172">
        <v>0</v>
      </c>
      <c r="CC172">
        <v>0</v>
      </c>
      <c r="CD172">
        <v>0</v>
      </c>
      <c r="CE172" s="16">
        <v>0</v>
      </c>
      <c r="CF172">
        <v>0</v>
      </c>
      <c r="CG172">
        <v>1</v>
      </c>
      <c r="CH172">
        <v>0</v>
      </c>
      <c r="CI172">
        <v>1</v>
      </c>
      <c r="CJ172">
        <v>11</v>
      </c>
      <c r="CK172" t="s">
        <v>46</v>
      </c>
    </row>
    <row r="173" spans="1:89" x14ac:dyDescent="0.25">
      <c r="A173">
        <v>172</v>
      </c>
      <c r="B173">
        <v>11</v>
      </c>
      <c r="C173" t="s">
        <v>302</v>
      </c>
      <c r="D173" s="79">
        <v>8.6999999999999993</v>
      </c>
      <c r="E173" s="6">
        <f t="shared" si="27"/>
        <v>0.66412213740458015</v>
      </c>
      <c r="F173" s="6">
        <v>13.1</v>
      </c>
      <c r="G173" s="78">
        <v>1</v>
      </c>
      <c r="H173" s="70">
        <v>0</v>
      </c>
      <c r="I173" s="70">
        <v>0</v>
      </c>
      <c r="J173" s="70">
        <v>0</v>
      </c>
      <c r="K173" s="70">
        <v>0</v>
      </c>
      <c r="L173" s="78">
        <v>976</v>
      </c>
      <c r="M173" s="70">
        <v>9</v>
      </c>
      <c r="N173" s="70">
        <f t="shared" si="24"/>
        <v>966</v>
      </c>
      <c r="O173" s="60">
        <f t="shared" si="25"/>
        <v>36</v>
      </c>
      <c r="P173" s="6">
        <f t="shared" si="28"/>
        <v>12.22</v>
      </c>
      <c r="Q173" s="6">
        <f t="shared" si="29"/>
        <v>15.03</v>
      </c>
      <c r="R173" s="78">
        <v>1</v>
      </c>
      <c r="S173" s="70">
        <v>0</v>
      </c>
      <c r="T173" s="78">
        <v>0</v>
      </c>
      <c r="U173" s="70">
        <v>0</v>
      </c>
      <c r="V173" s="70">
        <v>1</v>
      </c>
      <c r="W173" s="70">
        <v>0</v>
      </c>
      <c r="X173" s="78">
        <v>0</v>
      </c>
      <c r="Y173" s="70">
        <v>1</v>
      </c>
      <c r="Z173" s="70">
        <v>0</v>
      </c>
      <c r="AA173" s="78">
        <v>1</v>
      </c>
      <c r="AB173" s="70">
        <v>0</v>
      </c>
      <c r="AC173" s="69">
        <v>2002</v>
      </c>
      <c r="AD173" t="s">
        <v>57</v>
      </c>
      <c r="AE173" t="s">
        <v>57</v>
      </c>
      <c r="AF173" t="s">
        <v>57</v>
      </c>
      <c r="AG173" t="s">
        <v>57</v>
      </c>
      <c r="AH173" s="28" t="s">
        <v>57</v>
      </c>
      <c r="AI173" t="s">
        <v>57</v>
      </c>
      <c r="AJ173" s="28">
        <v>0.59630000000000005</v>
      </c>
      <c r="AK173">
        <v>0.40369999999999989</v>
      </c>
      <c r="AL173" s="28">
        <v>0</v>
      </c>
      <c r="AM173">
        <v>1</v>
      </c>
      <c r="AN173">
        <v>0</v>
      </c>
      <c r="AO173">
        <v>1</v>
      </c>
      <c r="AP173" s="81">
        <f t="shared" si="30"/>
        <v>0.66</v>
      </c>
      <c r="AQ173" s="82">
        <f t="shared" si="20"/>
        <v>0.33999999999999997</v>
      </c>
      <c r="AR173">
        <v>1</v>
      </c>
      <c r="AS173">
        <v>0</v>
      </c>
      <c r="AT173">
        <v>0</v>
      </c>
      <c r="AU173" s="62" t="s">
        <v>343</v>
      </c>
      <c r="AV173">
        <v>0</v>
      </c>
      <c r="AW173">
        <v>1</v>
      </c>
      <c r="AX173">
        <v>0</v>
      </c>
      <c r="AY173">
        <v>0</v>
      </c>
      <c r="AZ173">
        <v>0</v>
      </c>
      <c r="BA173">
        <v>0</v>
      </c>
      <c r="BB173">
        <v>0</v>
      </c>
      <c r="BC173">
        <v>0</v>
      </c>
      <c r="BD173">
        <v>1</v>
      </c>
      <c r="BE173">
        <v>0</v>
      </c>
      <c r="BF173">
        <v>942</v>
      </c>
      <c r="BG173">
        <v>131</v>
      </c>
      <c r="BH173">
        <v>0.29299999999999998</v>
      </c>
      <c r="BI173" s="80">
        <f t="shared" si="31"/>
        <v>34.78</v>
      </c>
      <c r="BJ173">
        <v>0</v>
      </c>
      <c r="BK173">
        <v>0</v>
      </c>
      <c r="BL173">
        <v>0</v>
      </c>
      <c r="BM173">
        <v>0</v>
      </c>
      <c r="BN173">
        <v>0</v>
      </c>
      <c r="BO173">
        <v>0</v>
      </c>
      <c r="BP173">
        <v>1</v>
      </c>
      <c r="BQ173" s="28">
        <v>0</v>
      </c>
      <c r="BR173">
        <v>1</v>
      </c>
      <c r="BS173">
        <v>0</v>
      </c>
      <c r="BT173" s="28">
        <v>1</v>
      </c>
      <c r="BU173">
        <v>1</v>
      </c>
      <c r="BV173">
        <v>0</v>
      </c>
      <c r="BW173">
        <v>0</v>
      </c>
      <c r="BX173">
        <v>0</v>
      </c>
      <c r="BY173">
        <v>0</v>
      </c>
      <c r="BZ173">
        <v>1</v>
      </c>
      <c r="CA173">
        <v>0</v>
      </c>
      <c r="CB173">
        <v>0</v>
      </c>
      <c r="CC173">
        <v>0</v>
      </c>
      <c r="CD173">
        <v>0</v>
      </c>
      <c r="CE173" s="16">
        <v>0</v>
      </c>
      <c r="CF173">
        <v>0</v>
      </c>
      <c r="CG173">
        <v>1</v>
      </c>
      <c r="CH173">
        <v>0</v>
      </c>
      <c r="CI173">
        <v>1</v>
      </c>
      <c r="CJ173">
        <v>11</v>
      </c>
      <c r="CK173" t="s">
        <v>46</v>
      </c>
    </row>
    <row r="174" spans="1:89" x14ac:dyDescent="0.25">
      <c r="A174">
        <v>173</v>
      </c>
      <c r="B174">
        <v>11</v>
      </c>
      <c r="C174" t="s">
        <v>302</v>
      </c>
      <c r="D174" s="79">
        <v>3.2</v>
      </c>
      <c r="E174" s="6">
        <f t="shared" si="27"/>
        <v>1.9393939393939397</v>
      </c>
      <c r="F174" s="6">
        <v>1.65</v>
      </c>
      <c r="G174" s="78">
        <v>1</v>
      </c>
      <c r="H174" s="70">
        <v>0</v>
      </c>
      <c r="I174" s="70">
        <v>0</v>
      </c>
      <c r="J174" s="70">
        <v>0</v>
      </c>
      <c r="K174" s="70">
        <v>0</v>
      </c>
      <c r="L174" s="78">
        <v>976</v>
      </c>
      <c r="M174" s="70">
        <v>1</v>
      </c>
      <c r="N174" s="70">
        <f t="shared" si="24"/>
        <v>974</v>
      </c>
      <c r="O174" s="60">
        <f t="shared" si="25"/>
        <v>36</v>
      </c>
      <c r="P174" s="6">
        <f t="shared" si="28"/>
        <v>12.22</v>
      </c>
      <c r="Q174" s="6">
        <f t="shared" si="29"/>
        <v>15.03</v>
      </c>
      <c r="R174" s="78">
        <v>1</v>
      </c>
      <c r="S174" s="70">
        <v>0</v>
      </c>
      <c r="T174" s="78">
        <v>0</v>
      </c>
      <c r="U174" s="70">
        <v>0</v>
      </c>
      <c r="V174" s="70">
        <v>1</v>
      </c>
      <c r="W174" s="70">
        <v>0</v>
      </c>
      <c r="X174" s="78">
        <v>0</v>
      </c>
      <c r="Y174" s="70">
        <v>1</v>
      </c>
      <c r="Z174" s="70">
        <v>0</v>
      </c>
      <c r="AA174" s="78">
        <v>1</v>
      </c>
      <c r="AB174" s="70">
        <v>0</v>
      </c>
      <c r="AC174" s="69">
        <v>2002</v>
      </c>
      <c r="AD174" t="s">
        <v>57</v>
      </c>
      <c r="AE174" t="s">
        <v>57</v>
      </c>
      <c r="AF174" t="s">
        <v>57</v>
      </c>
      <c r="AG174" t="s">
        <v>57</v>
      </c>
      <c r="AH174" s="28" t="s">
        <v>57</v>
      </c>
      <c r="AI174" t="s">
        <v>57</v>
      </c>
      <c r="AJ174" s="28">
        <v>0.59630000000000005</v>
      </c>
      <c r="AK174">
        <v>0.40369999999999989</v>
      </c>
      <c r="AL174" s="28">
        <v>0</v>
      </c>
      <c r="AM174">
        <v>1</v>
      </c>
      <c r="AN174">
        <v>0</v>
      </c>
      <c r="AO174">
        <v>1</v>
      </c>
      <c r="AP174" s="81">
        <f t="shared" si="30"/>
        <v>0.66</v>
      </c>
      <c r="AQ174" s="82">
        <f t="shared" si="20"/>
        <v>0.33999999999999997</v>
      </c>
      <c r="AR174">
        <v>1</v>
      </c>
      <c r="AS174">
        <v>0</v>
      </c>
      <c r="AT174">
        <v>0</v>
      </c>
      <c r="AU174" s="62" t="s">
        <v>343</v>
      </c>
      <c r="AV174">
        <v>0</v>
      </c>
      <c r="AW174">
        <v>1</v>
      </c>
      <c r="AX174">
        <v>0</v>
      </c>
      <c r="AY174">
        <v>0</v>
      </c>
      <c r="AZ174">
        <v>0</v>
      </c>
      <c r="BA174">
        <v>0</v>
      </c>
      <c r="BB174">
        <v>0</v>
      </c>
      <c r="BC174">
        <v>0</v>
      </c>
      <c r="BD174">
        <v>1</v>
      </c>
      <c r="BE174">
        <v>0</v>
      </c>
      <c r="BF174">
        <v>942</v>
      </c>
      <c r="BG174">
        <v>131</v>
      </c>
      <c r="BH174">
        <v>0.29299999999999998</v>
      </c>
      <c r="BI174" s="80">
        <f t="shared" si="31"/>
        <v>34.78</v>
      </c>
      <c r="BJ174">
        <v>0</v>
      </c>
      <c r="BK174">
        <v>0</v>
      </c>
      <c r="BL174">
        <v>0</v>
      </c>
      <c r="BM174">
        <v>0</v>
      </c>
      <c r="BN174">
        <v>0</v>
      </c>
      <c r="BO174">
        <v>0</v>
      </c>
      <c r="BP174">
        <v>1</v>
      </c>
      <c r="BQ174" s="28">
        <v>0</v>
      </c>
      <c r="BR174">
        <v>1</v>
      </c>
      <c r="BS174">
        <v>0</v>
      </c>
      <c r="BT174" s="28">
        <v>0</v>
      </c>
      <c r="BU174">
        <v>0</v>
      </c>
      <c r="BV174">
        <v>0</v>
      </c>
      <c r="BW174">
        <v>0</v>
      </c>
      <c r="BX174">
        <v>0</v>
      </c>
      <c r="BY174">
        <v>0</v>
      </c>
      <c r="BZ174">
        <v>0</v>
      </c>
      <c r="CA174">
        <v>0</v>
      </c>
      <c r="CB174">
        <v>0</v>
      </c>
      <c r="CC174">
        <v>0</v>
      </c>
      <c r="CD174">
        <v>0</v>
      </c>
      <c r="CE174" s="16">
        <v>0</v>
      </c>
      <c r="CF174">
        <v>0</v>
      </c>
      <c r="CG174">
        <v>1</v>
      </c>
      <c r="CH174">
        <v>0</v>
      </c>
      <c r="CI174">
        <v>1</v>
      </c>
      <c r="CJ174">
        <v>11</v>
      </c>
      <c r="CK174" t="s">
        <v>46</v>
      </c>
    </row>
    <row r="175" spans="1:89" x14ac:dyDescent="0.25">
      <c r="A175">
        <v>174</v>
      </c>
      <c r="B175">
        <v>11</v>
      </c>
      <c r="C175" t="s">
        <v>302</v>
      </c>
      <c r="D175" s="79">
        <v>8.8000000000000007</v>
      </c>
      <c r="E175" s="6">
        <f t="shared" si="27"/>
        <v>0.65868263473053901</v>
      </c>
      <c r="F175" s="6">
        <v>13.36</v>
      </c>
      <c r="G175" s="78">
        <v>1</v>
      </c>
      <c r="H175" s="70">
        <v>0</v>
      </c>
      <c r="I175" s="70">
        <v>0</v>
      </c>
      <c r="J175" s="70">
        <v>0</v>
      </c>
      <c r="K175" s="70">
        <v>0</v>
      </c>
      <c r="L175" s="78">
        <v>976</v>
      </c>
      <c r="M175" s="70">
        <v>11</v>
      </c>
      <c r="N175" s="70">
        <f t="shared" si="24"/>
        <v>964</v>
      </c>
      <c r="O175" s="60">
        <f t="shared" si="25"/>
        <v>36</v>
      </c>
      <c r="P175" s="6">
        <f t="shared" si="28"/>
        <v>12.22</v>
      </c>
      <c r="Q175" s="6">
        <f t="shared" si="29"/>
        <v>15.03</v>
      </c>
      <c r="R175" s="78">
        <v>1</v>
      </c>
      <c r="S175" s="70">
        <v>0</v>
      </c>
      <c r="T175" s="78">
        <v>0</v>
      </c>
      <c r="U175" s="70">
        <v>0</v>
      </c>
      <c r="V175" s="70">
        <v>1</v>
      </c>
      <c r="W175" s="70">
        <v>0</v>
      </c>
      <c r="X175" s="78">
        <v>0</v>
      </c>
      <c r="Y175" s="70">
        <v>1</v>
      </c>
      <c r="Z175" s="70">
        <v>0</v>
      </c>
      <c r="AA175" s="78">
        <v>1</v>
      </c>
      <c r="AB175" s="70">
        <v>0</v>
      </c>
      <c r="AC175" s="69">
        <v>2002</v>
      </c>
      <c r="AD175" t="s">
        <v>57</v>
      </c>
      <c r="AE175" t="s">
        <v>57</v>
      </c>
      <c r="AF175" t="s">
        <v>57</v>
      </c>
      <c r="AG175" t="s">
        <v>57</v>
      </c>
      <c r="AH175" s="28" t="s">
        <v>57</v>
      </c>
      <c r="AI175" t="s">
        <v>57</v>
      </c>
      <c r="AJ175" s="28">
        <v>0.59630000000000005</v>
      </c>
      <c r="AK175">
        <v>0.40369999999999989</v>
      </c>
      <c r="AL175" s="28">
        <v>0</v>
      </c>
      <c r="AM175">
        <v>1</v>
      </c>
      <c r="AN175">
        <v>0</v>
      </c>
      <c r="AO175">
        <v>1</v>
      </c>
      <c r="AP175" s="81">
        <f t="shared" si="30"/>
        <v>0.66</v>
      </c>
      <c r="AQ175" s="82">
        <f t="shared" si="20"/>
        <v>0.33999999999999997</v>
      </c>
      <c r="AR175">
        <v>1</v>
      </c>
      <c r="AS175">
        <v>0</v>
      </c>
      <c r="AT175">
        <v>0</v>
      </c>
      <c r="AU175" s="62" t="s">
        <v>343</v>
      </c>
      <c r="AV175">
        <v>0</v>
      </c>
      <c r="AW175">
        <v>1</v>
      </c>
      <c r="AX175">
        <v>0</v>
      </c>
      <c r="AY175">
        <v>0</v>
      </c>
      <c r="AZ175">
        <v>0</v>
      </c>
      <c r="BA175">
        <v>0</v>
      </c>
      <c r="BB175">
        <v>0</v>
      </c>
      <c r="BC175">
        <v>0</v>
      </c>
      <c r="BD175">
        <v>1</v>
      </c>
      <c r="BE175">
        <v>0</v>
      </c>
      <c r="BF175">
        <v>942</v>
      </c>
      <c r="BG175">
        <v>131</v>
      </c>
      <c r="BH175">
        <v>0.29299999999999998</v>
      </c>
      <c r="BI175" s="80">
        <f t="shared" si="31"/>
        <v>34.78</v>
      </c>
      <c r="BJ175">
        <v>0</v>
      </c>
      <c r="BK175">
        <v>0</v>
      </c>
      <c r="BL175">
        <v>0</v>
      </c>
      <c r="BM175">
        <v>0</v>
      </c>
      <c r="BN175">
        <v>0</v>
      </c>
      <c r="BO175">
        <v>0</v>
      </c>
      <c r="BP175">
        <v>1</v>
      </c>
      <c r="BQ175" s="28">
        <v>0</v>
      </c>
      <c r="BR175">
        <v>1</v>
      </c>
      <c r="BS175">
        <v>0</v>
      </c>
      <c r="BT175" s="28">
        <v>1</v>
      </c>
      <c r="BU175">
        <v>1</v>
      </c>
      <c r="BV175">
        <v>1</v>
      </c>
      <c r="BW175">
        <v>0</v>
      </c>
      <c r="BX175">
        <v>0</v>
      </c>
      <c r="BY175">
        <v>0</v>
      </c>
      <c r="BZ175">
        <v>1</v>
      </c>
      <c r="CA175">
        <v>1</v>
      </c>
      <c r="CB175">
        <v>0</v>
      </c>
      <c r="CC175">
        <v>0</v>
      </c>
      <c r="CD175">
        <v>0</v>
      </c>
      <c r="CE175" s="16">
        <v>0</v>
      </c>
      <c r="CF175">
        <v>0</v>
      </c>
      <c r="CG175">
        <v>1</v>
      </c>
      <c r="CH175">
        <v>0</v>
      </c>
      <c r="CI175">
        <v>1</v>
      </c>
      <c r="CJ175">
        <v>11</v>
      </c>
      <c r="CK175" t="s">
        <v>46</v>
      </c>
    </row>
    <row r="176" spans="1:89" x14ac:dyDescent="0.25">
      <c r="A176">
        <v>175</v>
      </c>
      <c r="B176">
        <v>11</v>
      </c>
      <c r="C176" t="s">
        <v>302</v>
      </c>
      <c r="D176" s="79">
        <v>3.3</v>
      </c>
      <c r="E176" s="6">
        <f t="shared" si="27"/>
        <v>1.8644067796610169</v>
      </c>
      <c r="F176" s="6">
        <v>1.77</v>
      </c>
      <c r="G176" s="78">
        <v>1</v>
      </c>
      <c r="H176" s="70">
        <v>0</v>
      </c>
      <c r="I176" s="70">
        <v>0</v>
      </c>
      <c r="J176" s="70">
        <v>0</v>
      </c>
      <c r="K176" s="70">
        <v>0</v>
      </c>
      <c r="L176" s="78">
        <v>976</v>
      </c>
      <c r="M176" s="70">
        <v>3</v>
      </c>
      <c r="N176" s="70">
        <f t="shared" si="24"/>
        <v>972</v>
      </c>
      <c r="O176" s="60">
        <f t="shared" si="25"/>
        <v>36</v>
      </c>
      <c r="P176" s="6">
        <f t="shared" si="28"/>
        <v>12.22</v>
      </c>
      <c r="Q176" s="6">
        <f t="shared" si="29"/>
        <v>15.03</v>
      </c>
      <c r="R176" s="78">
        <v>1</v>
      </c>
      <c r="S176" s="70">
        <v>0</v>
      </c>
      <c r="T176" s="78">
        <v>0</v>
      </c>
      <c r="U176" s="70">
        <v>0</v>
      </c>
      <c r="V176" s="70">
        <v>1</v>
      </c>
      <c r="W176" s="70">
        <v>0</v>
      </c>
      <c r="X176" s="78">
        <v>0</v>
      </c>
      <c r="Y176" s="70">
        <v>1</v>
      </c>
      <c r="Z176" s="70">
        <v>0</v>
      </c>
      <c r="AA176" s="78">
        <v>1</v>
      </c>
      <c r="AB176" s="70">
        <v>0</v>
      </c>
      <c r="AC176" s="69">
        <v>2002</v>
      </c>
      <c r="AD176" t="s">
        <v>57</v>
      </c>
      <c r="AE176" t="s">
        <v>57</v>
      </c>
      <c r="AF176" t="s">
        <v>57</v>
      </c>
      <c r="AG176" t="s">
        <v>57</v>
      </c>
      <c r="AH176" s="28" t="s">
        <v>57</v>
      </c>
      <c r="AI176" t="s">
        <v>57</v>
      </c>
      <c r="AJ176" s="28">
        <v>0.59630000000000005</v>
      </c>
      <c r="AK176">
        <v>0.40369999999999989</v>
      </c>
      <c r="AL176" s="28">
        <v>0</v>
      </c>
      <c r="AM176">
        <v>1</v>
      </c>
      <c r="AN176">
        <v>0</v>
      </c>
      <c r="AO176">
        <v>1</v>
      </c>
      <c r="AP176" s="81">
        <f t="shared" si="30"/>
        <v>0.66</v>
      </c>
      <c r="AQ176" s="82">
        <f t="shared" si="20"/>
        <v>0.33999999999999997</v>
      </c>
      <c r="AR176">
        <v>1</v>
      </c>
      <c r="AS176">
        <v>0</v>
      </c>
      <c r="AT176">
        <v>0</v>
      </c>
      <c r="AU176" s="62" t="s">
        <v>343</v>
      </c>
      <c r="AV176">
        <v>0</v>
      </c>
      <c r="AW176">
        <v>1</v>
      </c>
      <c r="AX176">
        <v>0</v>
      </c>
      <c r="AY176">
        <v>0</v>
      </c>
      <c r="AZ176">
        <v>0</v>
      </c>
      <c r="BA176">
        <v>0</v>
      </c>
      <c r="BB176">
        <v>0</v>
      </c>
      <c r="BC176">
        <v>0</v>
      </c>
      <c r="BD176">
        <v>1</v>
      </c>
      <c r="BE176">
        <v>0</v>
      </c>
      <c r="BF176">
        <v>942</v>
      </c>
      <c r="BG176">
        <v>131</v>
      </c>
      <c r="BH176">
        <v>0.29299999999999998</v>
      </c>
      <c r="BI176" s="80">
        <f t="shared" si="31"/>
        <v>34.78</v>
      </c>
      <c r="BJ176">
        <v>0</v>
      </c>
      <c r="BK176">
        <v>0</v>
      </c>
      <c r="BL176">
        <v>0</v>
      </c>
      <c r="BM176">
        <v>0</v>
      </c>
      <c r="BN176">
        <v>0</v>
      </c>
      <c r="BO176">
        <v>0</v>
      </c>
      <c r="BP176">
        <v>1</v>
      </c>
      <c r="BQ176" s="28">
        <v>0</v>
      </c>
      <c r="BR176">
        <v>1</v>
      </c>
      <c r="BS176">
        <v>0</v>
      </c>
      <c r="BT176" s="28">
        <v>0</v>
      </c>
      <c r="BU176">
        <v>0</v>
      </c>
      <c r="BV176">
        <v>1</v>
      </c>
      <c r="BW176">
        <v>0</v>
      </c>
      <c r="BX176">
        <v>0</v>
      </c>
      <c r="BY176">
        <v>0</v>
      </c>
      <c r="BZ176">
        <v>0</v>
      </c>
      <c r="CA176">
        <v>1</v>
      </c>
      <c r="CB176">
        <v>0</v>
      </c>
      <c r="CC176">
        <v>0</v>
      </c>
      <c r="CD176">
        <v>0</v>
      </c>
      <c r="CE176" s="16">
        <v>0</v>
      </c>
      <c r="CF176">
        <v>0</v>
      </c>
      <c r="CG176">
        <v>1</v>
      </c>
      <c r="CH176">
        <v>0</v>
      </c>
      <c r="CI176">
        <v>1</v>
      </c>
      <c r="CJ176">
        <v>11</v>
      </c>
      <c r="CK176" t="s">
        <v>46</v>
      </c>
    </row>
    <row r="177" spans="1:89" x14ac:dyDescent="0.25">
      <c r="A177">
        <v>176</v>
      </c>
      <c r="B177">
        <v>11</v>
      </c>
      <c r="C177" t="s">
        <v>302</v>
      </c>
      <c r="D177" s="79">
        <v>6.4</v>
      </c>
      <c r="E177" s="6">
        <f t="shared" si="27"/>
        <v>0.53112033195020747</v>
      </c>
      <c r="F177" s="6">
        <v>12.05</v>
      </c>
      <c r="G177" s="78">
        <v>1</v>
      </c>
      <c r="H177" s="70">
        <v>0</v>
      </c>
      <c r="I177" s="70">
        <v>0</v>
      </c>
      <c r="J177" s="70">
        <v>0</v>
      </c>
      <c r="K177" s="70">
        <v>0</v>
      </c>
      <c r="L177" s="78">
        <v>1189</v>
      </c>
      <c r="M177" s="70">
        <v>9</v>
      </c>
      <c r="N177" s="70">
        <f t="shared" si="24"/>
        <v>1179</v>
      </c>
      <c r="O177" s="60">
        <f t="shared" si="25"/>
        <v>36</v>
      </c>
      <c r="P177" s="6">
        <f t="shared" si="28"/>
        <v>11.969609999999999</v>
      </c>
      <c r="Q177" s="6">
        <f t="shared" si="29"/>
        <v>18.438369999999999</v>
      </c>
      <c r="R177" s="78">
        <v>1</v>
      </c>
      <c r="S177" s="70">
        <v>0</v>
      </c>
      <c r="T177" s="78">
        <v>0</v>
      </c>
      <c r="U177" s="70">
        <v>0</v>
      </c>
      <c r="V177" s="70">
        <v>1</v>
      </c>
      <c r="W177" s="70">
        <v>0</v>
      </c>
      <c r="X177" s="78">
        <v>0</v>
      </c>
      <c r="Y177" s="70">
        <v>1</v>
      </c>
      <c r="Z177" s="70">
        <v>0</v>
      </c>
      <c r="AA177" s="78">
        <v>1</v>
      </c>
      <c r="AB177" s="70">
        <v>0</v>
      </c>
      <c r="AC177" s="69">
        <v>2002</v>
      </c>
      <c r="AD177" t="s">
        <v>57</v>
      </c>
      <c r="AE177" t="s">
        <v>57</v>
      </c>
      <c r="AF177" t="s">
        <v>57</v>
      </c>
      <c r="AG177" t="s">
        <v>57</v>
      </c>
      <c r="AH177" s="28" t="s">
        <v>57</v>
      </c>
      <c r="AI177" t="s">
        <v>57</v>
      </c>
      <c r="AJ177" s="28">
        <v>1</v>
      </c>
      <c r="AK177">
        <v>0</v>
      </c>
      <c r="AL177" s="28">
        <v>0</v>
      </c>
      <c r="AM177">
        <v>1</v>
      </c>
      <c r="AN177">
        <v>0</v>
      </c>
      <c r="AO177">
        <v>1</v>
      </c>
      <c r="AP177" s="81">
        <f t="shared" si="30"/>
        <v>0.80308000000000002</v>
      </c>
      <c r="AQ177" s="82">
        <f t="shared" si="20"/>
        <v>0.19691999999999998</v>
      </c>
      <c r="AR177">
        <v>0.48899999999999999</v>
      </c>
      <c r="AS177">
        <v>0</v>
      </c>
      <c r="AT177">
        <f t="shared" ref="AT177:AT202" si="32">1-AR177</f>
        <v>0.51100000000000001</v>
      </c>
      <c r="AU177" s="62" t="s">
        <v>343</v>
      </c>
      <c r="AV177">
        <v>0</v>
      </c>
      <c r="AW177">
        <v>1</v>
      </c>
      <c r="AX177">
        <v>0</v>
      </c>
      <c r="AY177">
        <v>0</v>
      </c>
      <c r="AZ177">
        <v>0</v>
      </c>
      <c r="BA177">
        <v>0</v>
      </c>
      <c r="BB177">
        <v>0</v>
      </c>
      <c r="BC177">
        <v>0</v>
      </c>
      <c r="BD177">
        <v>1</v>
      </c>
      <c r="BE177">
        <v>0</v>
      </c>
      <c r="BF177">
        <v>942</v>
      </c>
      <c r="BG177">
        <v>131</v>
      </c>
      <c r="BH177">
        <v>0.29299999999999998</v>
      </c>
      <c r="BI177" s="80">
        <f t="shared" si="31"/>
        <v>39.118390000000005</v>
      </c>
      <c r="BJ177">
        <v>1</v>
      </c>
      <c r="BK177">
        <v>0</v>
      </c>
      <c r="BL177">
        <v>0</v>
      </c>
      <c r="BM177">
        <v>0</v>
      </c>
      <c r="BN177">
        <v>0</v>
      </c>
      <c r="BO177">
        <v>0</v>
      </c>
      <c r="BP177">
        <v>0</v>
      </c>
      <c r="BQ177" s="28">
        <v>0</v>
      </c>
      <c r="BR177">
        <v>0</v>
      </c>
      <c r="BS177">
        <v>0</v>
      </c>
      <c r="BT177" s="28">
        <v>1</v>
      </c>
      <c r="BU177">
        <v>1</v>
      </c>
      <c r="BV177">
        <v>0</v>
      </c>
      <c r="BW177">
        <v>0</v>
      </c>
      <c r="BX177">
        <v>0</v>
      </c>
      <c r="BY177">
        <v>0</v>
      </c>
      <c r="BZ177">
        <v>1</v>
      </c>
      <c r="CA177">
        <v>0</v>
      </c>
      <c r="CB177">
        <v>0</v>
      </c>
      <c r="CC177">
        <v>0</v>
      </c>
      <c r="CD177">
        <v>0</v>
      </c>
      <c r="CE177" s="16">
        <v>0</v>
      </c>
      <c r="CF177">
        <v>0</v>
      </c>
      <c r="CG177">
        <v>1</v>
      </c>
      <c r="CH177">
        <v>0</v>
      </c>
      <c r="CI177">
        <v>1</v>
      </c>
      <c r="CJ177">
        <v>11</v>
      </c>
      <c r="CK177" t="s">
        <v>46</v>
      </c>
    </row>
    <row r="178" spans="1:89" x14ac:dyDescent="0.25">
      <c r="A178">
        <v>177</v>
      </c>
      <c r="B178">
        <v>11</v>
      </c>
      <c r="C178" t="s">
        <v>302</v>
      </c>
      <c r="D178" s="79">
        <v>6.6</v>
      </c>
      <c r="E178" s="6">
        <f t="shared" si="27"/>
        <v>0.53745928338762217</v>
      </c>
      <c r="F178" s="6">
        <v>12.28</v>
      </c>
      <c r="G178" s="78">
        <v>1</v>
      </c>
      <c r="H178" s="70">
        <v>0</v>
      </c>
      <c r="I178" s="70">
        <v>0</v>
      </c>
      <c r="J178" s="70">
        <v>0</v>
      </c>
      <c r="K178" s="70">
        <v>0</v>
      </c>
      <c r="L178" s="78">
        <v>1189</v>
      </c>
      <c r="M178" s="70">
        <v>11</v>
      </c>
      <c r="N178" s="70">
        <f t="shared" si="24"/>
        <v>1177</v>
      </c>
      <c r="O178" s="60">
        <f t="shared" si="25"/>
        <v>36</v>
      </c>
      <c r="P178" s="6">
        <f t="shared" si="28"/>
        <v>11.969609999999999</v>
      </c>
      <c r="Q178" s="6">
        <f t="shared" si="29"/>
        <v>18.438369999999999</v>
      </c>
      <c r="R178" s="78">
        <v>1</v>
      </c>
      <c r="S178" s="70">
        <v>0</v>
      </c>
      <c r="T178" s="78">
        <v>0</v>
      </c>
      <c r="U178" s="70">
        <v>0</v>
      </c>
      <c r="V178" s="70">
        <v>1</v>
      </c>
      <c r="W178" s="70">
        <v>0</v>
      </c>
      <c r="X178" s="78">
        <v>0</v>
      </c>
      <c r="Y178" s="70">
        <v>1</v>
      </c>
      <c r="Z178" s="70">
        <v>0</v>
      </c>
      <c r="AA178" s="78">
        <v>1</v>
      </c>
      <c r="AB178" s="70">
        <v>0</v>
      </c>
      <c r="AC178" s="69">
        <v>2002</v>
      </c>
      <c r="AD178" t="s">
        <v>57</v>
      </c>
      <c r="AE178" t="s">
        <v>57</v>
      </c>
      <c r="AF178" t="s">
        <v>57</v>
      </c>
      <c r="AG178" t="s">
        <v>57</v>
      </c>
      <c r="AH178" s="28" t="s">
        <v>57</v>
      </c>
      <c r="AI178" t="s">
        <v>57</v>
      </c>
      <c r="AJ178" s="28">
        <v>1</v>
      </c>
      <c r="AK178">
        <v>0</v>
      </c>
      <c r="AL178" s="28">
        <v>0</v>
      </c>
      <c r="AM178">
        <v>1</v>
      </c>
      <c r="AN178">
        <v>0</v>
      </c>
      <c r="AO178">
        <v>1</v>
      </c>
      <c r="AP178" s="81">
        <f t="shared" si="30"/>
        <v>0.80308000000000002</v>
      </c>
      <c r="AQ178" s="82">
        <f t="shared" si="20"/>
        <v>0.19691999999999998</v>
      </c>
      <c r="AR178">
        <v>0.48899999999999999</v>
      </c>
      <c r="AS178">
        <v>0</v>
      </c>
      <c r="AT178">
        <f t="shared" si="32"/>
        <v>0.51100000000000001</v>
      </c>
      <c r="AU178" s="62" t="s">
        <v>343</v>
      </c>
      <c r="AV178">
        <v>0</v>
      </c>
      <c r="AW178">
        <v>1</v>
      </c>
      <c r="AX178">
        <v>0</v>
      </c>
      <c r="AY178">
        <v>0</v>
      </c>
      <c r="AZ178">
        <v>0</v>
      </c>
      <c r="BA178">
        <v>0</v>
      </c>
      <c r="BB178">
        <v>0</v>
      </c>
      <c r="BC178">
        <v>0</v>
      </c>
      <c r="BD178">
        <v>1</v>
      </c>
      <c r="BE178">
        <v>0</v>
      </c>
      <c r="BF178">
        <v>942</v>
      </c>
      <c r="BG178">
        <v>131</v>
      </c>
      <c r="BH178">
        <v>0.29299999999999998</v>
      </c>
      <c r="BI178" s="80">
        <f t="shared" si="31"/>
        <v>39.118390000000005</v>
      </c>
      <c r="BJ178">
        <v>1</v>
      </c>
      <c r="BK178">
        <v>0</v>
      </c>
      <c r="BL178">
        <v>0</v>
      </c>
      <c r="BM178">
        <v>0</v>
      </c>
      <c r="BN178">
        <v>0</v>
      </c>
      <c r="BO178">
        <v>0</v>
      </c>
      <c r="BP178">
        <v>0</v>
      </c>
      <c r="BQ178" s="28">
        <v>0</v>
      </c>
      <c r="BR178">
        <v>0</v>
      </c>
      <c r="BS178">
        <v>0</v>
      </c>
      <c r="BT178" s="28">
        <v>1</v>
      </c>
      <c r="BU178">
        <v>1</v>
      </c>
      <c r="BV178">
        <v>1</v>
      </c>
      <c r="BW178">
        <v>0</v>
      </c>
      <c r="BX178">
        <v>0</v>
      </c>
      <c r="BY178">
        <v>0</v>
      </c>
      <c r="BZ178">
        <v>1</v>
      </c>
      <c r="CA178">
        <v>1</v>
      </c>
      <c r="CB178">
        <v>0</v>
      </c>
      <c r="CC178">
        <v>0</v>
      </c>
      <c r="CD178">
        <v>0</v>
      </c>
      <c r="CE178" s="16">
        <v>0</v>
      </c>
      <c r="CF178">
        <v>0</v>
      </c>
      <c r="CG178">
        <v>1</v>
      </c>
      <c r="CH178">
        <v>0</v>
      </c>
      <c r="CI178">
        <v>1</v>
      </c>
      <c r="CJ178">
        <v>11</v>
      </c>
      <c r="CK178" t="s">
        <v>46</v>
      </c>
    </row>
    <row r="179" spans="1:89" x14ac:dyDescent="0.25">
      <c r="A179">
        <v>178</v>
      </c>
      <c r="B179">
        <v>11</v>
      </c>
      <c r="C179" t="s">
        <v>302</v>
      </c>
      <c r="D179" s="79">
        <v>7.5</v>
      </c>
      <c r="E179" s="6">
        <f t="shared" si="27"/>
        <v>0.80558539205155744</v>
      </c>
      <c r="F179" s="6">
        <v>9.31</v>
      </c>
      <c r="G179" s="78">
        <v>1</v>
      </c>
      <c r="H179" s="70">
        <v>0</v>
      </c>
      <c r="I179" s="70">
        <v>0</v>
      </c>
      <c r="J179" s="70">
        <v>0</v>
      </c>
      <c r="K179" s="70">
        <v>0</v>
      </c>
      <c r="L179" s="78">
        <v>582</v>
      </c>
      <c r="M179" s="70">
        <v>9</v>
      </c>
      <c r="N179" s="70">
        <f t="shared" si="24"/>
        <v>572</v>
      </c>
      <c r="O179" s="60">
        <f t="shared" si="25"/>
        <v>36</v>
      </c>
      <c r="P179" s="6">
        <f t="shared" si="28"/>
        <v>12.22</v>
      </c>
      <c r="Q179" s="6">
        <f t="shared" si="29"/>
        <v>15.03</v>
      </c>
      <c r="R179" s="78">
        <v>1</v>
      </c>
      <c r="S179" s="70">
        <v>0</v>
      </c>
      <c r="T179" s="78">
        <v>0</v>
      </c>
      <c r="U179" s="70">
        <v>0</v>
      </c>
      <c r="V179" s="70">
        <v>1</v>
      </c>
      <c r="W179" s="70">
        <v>0</v>
      </c>
      <c r="X179" s="78">
        <v>0</v>
      </c>
      <c r="Y179" s="70">
        <v>1</v>
      </c>
      <c r="Z179" s="70">
        <v>0</v>
      </c>
      <c r="AA179" s="78">
        <v>1</v>
      </c>
      <c r="AB179" s="70">
        <v>0</v>
      </c>
      <c r="AC179" s="69">
        <v>2002</v>
      </c>
      <c r="AD179" t="s">
        <v>57</v>
      </c>
      <c r="AE179" t="s">
        <v>57</v>
      </c>
      <c r="AF179" t="s">
        <v>57</v>
      </c>
      <c r="AG179" t="s">
        <v>57</v>
      </c>
      <c r="AH179" s="28" t="s">
        <v>57</v>
      </c>
      <c r="AI179" t="s">
        <v>57</v>
      </c>
      <c r="AJ179" s="28">
        <v>1</v>
      </c>
      <c r="AK179">
        <v>0</v>
      </c>
      <c r="AL179" s="28">
        <v>0</v>
      </c>
      <c r="AM179">
        <v>1</v>
      </c>
      <c r="AN179">
        <v>0</v>
      </c>
      <c r="AO179">
        <v>1</v>
      </c>
      <c r="AP179" s="81">
        <f t="shared" si="30"/>
        <v>0.66</v>
      </c>
      <c r="AQ179" s="82">
        <f t="shared" ref="AQ179:AQ237" si="33">1-AP179</f>
        <v>0.33999999999999997</v>
      </c>
      <c r="AR179">
        <v>1</v>
      </c>
      <c r="AS179">
        <v>0</v>
      </c>
      <c r="AT179">
        <f t="shared" si="32"/>
        <v>0</v>
      </c>
      <c r="AU179" s="62" t="s">
        <v>343</v>
      </c>
      <c r="AV179">
        <v>0</v>
      </c>
      <c r="AW179">
        <v>1</v>
      </c>
      <c r="AX179">
        <v>0</v>
      </c>
      <c r="AY179">
        <v>0</v>
      </c>
      <c r="AZ179">
        <v>0</v>
      </c>
      <c r="BA179">
        <v>0</v>
      </c>
      <c r="BB179">
        <v>0</v>
      </c>
      <c r="BC179">
        <v>0</v>
      </c>
      <c r="BD179">
        <v>1</v>
      </c>
      <c r="BE179">
        <v>0</v>
      </c>
      <c r="BF179">
        <v>942</v>
      </c>
      <c r="BG179">
        <v>131</v>
      </c>
      <c r="BH179">
        <v>0.29299999999999998</v>
      </c>
      <c r="BI179" s="80">
        <f t="shared" si="31"/>
        <v>34.78</v>
      </c>
      <c r="BJ179">
        <v>1</v>
      </c>
      <c r="BK179">
        <v>0</v>
      </c>
      <c r="BL179">
        <v>0</v>
      </c>
      <c r="BM179">
        <v>0</v>
      </c>
      <c r="BN179">
        <v>0</v>
      </c>
      <c r="BO179">
        <v>0</v>
      </c>
      <c r="BP179">
        <v>0</v>
      </c>
      <c r="BQ179" s="28">
        <v>0</v>
      </c>
      <c r="BR179">
        <v>0</v>
      </c>
      <c r="BS179">
        <v>0</v>
      </c>
      <c r="BT179" s="28">
        <v>1</v>
      </c>
      <c r="BU179">
        <v>1</v>
      </c>
      <c r="BV179">
        <v>0</v>
      </c>
      <c r="BW179">
        <v>0</v>
      </c>
      <c r="BX179">
        <v>0</v>
      </c>
      <c r="BY179">
        <v>0</v>
      </c>
      <c r="BZ179">
        <v>1</v>
      </c>
      <c r="CA179">
        <v>0</v>
      </c>
      <c r="CB179">
        <v>0</v>
      </c>
      <c r="CC179">
        <v>0</v>
      </c>
      <c r="CD179">
        <v>0</v>
      </c>
      <c r="CE179" s="16">
        <v>0</v>
      </c>
      <c r="CF179">
        <v>0</v>
      </c>
      <c r="CG179">
        <v>1</v>
      </c>
      <c r="CH179">
        <v>0</v>
      </c>
      <c r="CI179">
        <v>1</v>
      </c>
      <c r="CJ179">
        <v>11</v>
      </c>
      <c r="CK179" t="s">
        <v>46</v>
      </c>
    </row>
    <row r="180" spans="1:89" x14ac:dyDescent="0.25">
      <c r="A180">
        <v>179</v>
      </c>
      <c r="B180">
        <v>11</v>
      </c>
      <c r="C180" t="s">
        <v>302</v>
      </c>
      <c r="D180" s="79">
        <v>1.2</v>
      </c>
      <c r="E180" s="6">
        <f t="shared" si="27"/>
        <v>1.9354838709677418</v>
      </c>
      <c r="F180" s="6">
        <v>0.62</v>
      </c>
      <c r="G180" s="78">
        <v>1</v>
      </c>
      <c r="H180" s="70">
        <v>0</v>
      </c>
      <c r="I180" s="70">
        <v>0</v>
      </c>
      <c r="J180" s="70">
        <v>0</v>
      </c>
      <c r="K180" s="70">
        <v>0</v>
      </c>
      <c r="L180" s="78">
        <v>582</v>
      </c>
      <c r="M180" s="70">
        <v>1</v>
      </c>
      <c r="N180" s="70">
        <f t="shared" si="24"/>
        <v>580</v>
      </c>
      <c r="O180" s="60">
        <f t="shared" si="25"/>
        <v>36</v>
      </c>
      <c r="P180" s="6">
        <f t="shared" si="28"/>
        <v>12.22</v>
      </c>
      <c r="Q180" s="6">
        <f t="shared" si="29"/>
        <v>15.03</v>
      </c>
      <c r="R180" s="78">
        <v>1</v>
      </c>
      <c r="S180" s="70">
        <v>0</v>
      </c>
      <c r="T180" s="78">
        <v>0</v>
      </c>
      <c r="U180" s="70">
        <v>0</v>
      </c>
      <c r="V180" s="70">
        <v>1</v>
      </c>
      <c r="W180" s="70">
        <v>0</v>
      </c>
      <c r="X180" s="78">
        <v>0</v>
      </c>
      <c r="Y180" s="70">
        <v>1</v>
      </c>
      <c r="Z180" s="70">
        <v>0</v>
      </c>
      <c r="AA180" s="78">
        <v>1</v>
      </c>
      <c r="AB180" s="70">
        <v>0</v>
      </c>
      <c r="AC180" s="69">
        <v>2002</v>
      </c>
      <c r="AD180" t="s">
        <v>57</v>
      </c>
      <c r="AE180" t="s">
        <v>57</v>
      </c>
      <c r="AF180" t="s">
        <v>57</v>
      </c>
      <c r="AG180" t="s">
        <v>57</v>
      </c>
      <c r="AH180" s="28" t="s">
        <v>57</v>
      </c>
      <c r="AI180" t="s">
        <v>57</v>
      </c>
      <c r="AJ180" s="28">
        <v>1</v>
      </c>
      <c r="AK180">
        <v>0</v>
      </c>
      <c r="AL180" s="28">
        <v>0</v>
      </c>
      <c r="AM180">
        <v>1</v>
      </c>
      <c r="AN180">
        <v>0</v>
      </c>
      <c r="AO180">
        <v>1</v>
      </c>
      <c r="AP180" s="81">
        <f t="shared" si="30"/>
        <v>0.66</v>
      </c>
      <c r="AQ180" s="82">
        <f t="shared" si="33"/>
        <v>0.33999999999999997</v>
      </c>
      <c r="AR180">
        <v>1</v>
      </c>
      <c r="AS180">
        <v>0</v>
      </c>
      <c r="AT180">
        <f t="shared" si="32"/>
        <v>0</v>
      </c>
      <c r="AU180" s="62" t="s">
        <v>343</v>
      </c>
      <c r="AV180">
        <v>0</v>
      </c>
      <c r="AW180">
        <v>1</v>
      </c>
      <c r="AX180">
        <v>0</v>
      </c>
      <c r="AY180">
        <v>0</v>
      </c>
      <c r="AZ180">
        <v>0</v>
      </c>
      <c r="BA180">
        <v>0</v>
      </c>
      <c r="BB180">
        <v>0</v>
      </c>
      <c r="BC180">
        <v>0</v>
      </c>
      <c r="BD180">
        <v>1</v>
      </c>
      <c r="BE180">
        <v>0</v>
      </c>
      <c r="BF180">
        <v>942</v>
      </c>
      <c r="BG180">
        <v>131</v>
      </c>
      <c r="BH180">
        <v>0.29299999999999998</v>
      </c>
      <c r="BI180" s="80">
        <f t="shared" si="31"/>
        <v>34.78</v>
      </c>
      <c r="BJ180">
        <v>0</v>
      </c>
      <c r="BK180">
        <v>0</v>
      </c>
      <c r="BL180">
        <v>1</v>
      </c>
      <c r="BM180">
        <v>0</v>
      </c>
      <c r="BN180">
        <v>0</v>
      </c>
      <c r="BO180">
        <v>0</v>
      </c>
      <c r="BP180">
        <v>0</v>
      </c>
      <c r="BQ180" s="28">
        <v>0</v>
      </c>
      <c r="BR180">
        <v>0</v>
      </c>
      <c r="BS180">
        <v>0</v>
      </c>
      <c r="BT180" s="28">
        <v>0</v>
      </c>
      <c r="BU180">
        <v>0</v>
      </c>
      <c r="BV180">
        <v>0</v>
      </c>
      <c r="BW180">
        <v>0</v>
      </c>
      <c r="BX180">
        <v>0</v>
      </c>
      <c r="BY180">
        <v>0</v>
      </c>
      <c r="BZ180">
        <v>0</v>
      </c>
      <c r="CA180">
        <v>0</v>
      </c>
      <c r="CB180">
        <v>0</v>
      </c>
      <c r="CC180">
        <v>0</v>
      </c>
      <c r="CD180">
        <v>0</v>
      </c>
      <c r="CE180" s="16">
        <v>0</v>
      </c>
      <c r="CF180">
        <v>0</v>
      </c>
      <c r="CG180">
        <v>1</v>
      </c>
      <c r="CH180">
        <v>0</v>
      </c>
      <c r="CI180">
        <v>1</v>
      </c>
      <c r="CJ180">
        <v>11</v>
      </c>
      <c r="CK180" t="s">
        <v>46</v>
      </c>
    </row>
    <row r="181" spans="1:89" x14ac:dyDescent="0.25">
      <c r="A181">
        <v>180</v>
      </c>
      <c r="B181">
        <v>11</v>
      </c>
      <c r="C181" t="s">
        <v>302</v>
      </c>
      <c r="D181" s="79">
        <v>7.6</v>
      </c>
      <c r="E181" s="6">
        <f t="shared" si="27"/>
        <v>0.80765143464399569</v>
      </c>
      <c r="F181" s="6">
        <v>9.41</v>
      </c>
      <c r="G181" s="78">
        <v>1</v>
      </c>
      <c r="H181" s="70">
        <v>0</v>
      </c>
      <c r="I181" s="70">
        <v>0</v>
      </c>
      <c r="J181" s="70">
        <v>0</v>
      </c>
      <c r="K181" s="70">
        <v>0</v>
      </c>
      <c r="L181" s="78">
        <v>582</v>
      </c>
      <c r="M181" s="70">
        <v>11</v>
      </c>
      <c r="N181" s="70">
        <f t="shared" si="24"/>
        <v>570</v>
      </c>
      <c r="O181" s="60">
        <f t="shared" si="25"/>
        <v>36</v>
      </c>
      <c r="P181" s="6">
        <f t="shared" si="28"/>
        <v>12.22</v>
      </c>
      <c r="Q181" s="6">
        <f t="shared" si="29"/>
        <v>15.03</v>
      </c>
      <c r="R181" s="78">
        <v>1</v>
      </c>
      <c r="S181" s="70">
        <v>0</v>
      </c>
      <c r="T181" s="78">
        <v>0</v>
      </c>
      <c r="U181" s="70">
        <v>0</v>
      </c>
      <c r="V181" s="70">
        <v>1</v>
      </c>
      <c r="W181" s="70">
        <v>0</v>
      </c>
      <c r="X181" s="78">
        <v>0</v>
      </c>
      <c r="Y181" s="70">
        <v>1</v>
      </c>
      <c r="Z181" s="70">
        <v>0</v>
      </c>
      <c r="AA181" s="78">
        <v>1</v>
      </c>
      <c r="AB181" s="70">
        <v>0</v>
      </c>
      <c r="AC181" s="69">
        <v>2002</v>
      </c>
      <c r="AD181" t="s">
        <v>57</v>
      </c>
      <c r="AE181" t="s">
        <v>57</v>
      </c>
      <c r="AF181" t="s">
        <v>57</v>
      </c>
      <c r="AG181" t="s">
        <v>57</v>
      </c>
      <c r="AH181" s="28" t="s">
        <v>57</v>
      </c>
      <c r="AI181" t="s">
        <v>57</v>
      </c>
      <c r="AJ181" s="28">
        <v>1</v>
      </c>
      <c r="AK181">
        <v>0</v>
      </c>
      <c r="AL181" s="28">
        <v>0</v>
      </c>
      <c r="AM181">
        <v>1</v>
      </c>
      <c r="AN181">
        <v>0</v>
      </c>
      <c r="AO181">
        <v>1</v>
      </c>
      <c r="AP181" s="81">
        <f t="shared" si="30"/>
        <v>0.66</v>
      </c>
      <c r="AQ181" s="82">
        <f t="shared" si="33"/>
        <v>0.33999999999999997</v>
      </c>
      <c r="AR181">
        <v>1</v>
      </c>
      <c r="AS181">
        <v>0</v>
      </c>
      <c r="AT181">
        <f t="shared" si="32"/>
        <v>0</v>
      </c>
      <c r="AU181" s="62" t="s">
        <v>343</v>
      </c>
      <c r="AV181">
        <v>0</v>
      </c>
      <c r="AW181">
        <v>1</v>
      </c>
      <c r="AX181">
        <v>0</v>
      </c>
      <c r="AY181">
        <v>0</v>
      </c>
      <c r="AZ181">
        <v>0</v>
      </c>
      <c r="BA181">
        <v>0</v>
      </c>
      <c r="BB181">
        <v>0</v>
      </c>
      <c r="BC181">
        <v>0</v>
      </c>
      <c r="BD181">
        <v>1</v>
      </c>
      <c r="BE181">
        <v>0</v>
      </c>
      <c r="BF181">
        <v>942</v>
      </c>
      <c r="BG181">
        <v>131</v>
      </c>
      <c r="BH181">
        <v>0.29299999999999998</v>
      </c>
      <c r="BI181" s="80">
        <f t="shared" si="31"/>
        <v>34.78</v>
      </c>
      <c r="BJ181">
        <v>1</v>
      </c>
      <c r="BK181">
        <v>0</v>
      </c>
      <c r="BL181">
        <v>0</v>
      </c>
      <c r="BM181">
        <v>0</v>
      </c>
      <c r="BN181">
        <v>0</v>
      </c>
      <c r="BO181">
        <v>0</v>
      </c>
      <c r="BP181">
        <v>0</v>
      </c>
      <c r="BQ181" s="28">
        <v>0</v>
      </c>
      <c r="BR181">
        <v>0</v>
      </c>
      <c r="BS181">
        <v>0</v>
      </c>
      <c r="BT181" s="28">
        <v>1</v>
      </c>
      <c r="BU181">
        <v>1</v>
      </c>
      <c r="BV181">
        <v>1</v>
      </c>
      <c r="BW181">
        <v>0</v>
      </c>
      <c r="BX181">
        <v>0</v>
      </c>
      <c r="BY181">
        <v>0</v>
      </c>
      <c r="BZ181">
        <v>1</v>
      </c>
      <c r="CA181">
        <v>1</v>
      </c>
      <c r="CB181">
        <v>0</v>
      </c>
      <c r="CC181">
        <v>0</v>
      </c>
      <c r="CD181">
        <v>0</v>
      </c>
      <c r="CE181" s="16">
        <v>0</v>
      </c>
      <c r="CF181">
        <v>0</v>
      </c>
      <c r="CG181">
        <v>1</v>
      </c>
      <c r="CH181">
        <v>0</v>
      </c>
      <c r="CI181">
        <v>1</v>
      </c>
      <c r="CJ181">
        <v>11</v>
      </c>
      <c r="CK181" t="s">
        <v>46</v>
      </c>
    </row>
    <row r="182" spans="1:89" x14ac:dyDescent="0.25">
      <c r="A182">
        <v>181</v>
      </c>
      <c r="B182">
        <v>11</v>
      </c>
      <c r="C182" t="s">
        <v>302</v>
      </c>
      <c r="D182" s="79">
        <v>1.5</v>
      </c>
      <c r="E182" s="6">
        <f t="shared" si="27"/>
        <v>1.948051948051948</v>
      </c>
      <c r="F182" s="6">
        <v>0.77</v>
      </c>
      <c r="G182" s="78">
        <v>1</v>
      </c>
      <c r="H182" s="70">
        <v>0</v>
      </c>
      <c r="I182" s="70">
        <v>0</v>
      </c>
      <c r="J182" s="70">
        <v>0</v>
      </c>
      <c r="K182" s="70">
        <v>0</v>
      </c>
      <c r="L182" s="78">
        <v>582</v>
      </c>
      <c r="M182" s="70">
        <v>3</v>
      </c>
      <c r="N182" s="70">
        <f t="shared" si="24"/>
        <v>578</v>
      </c>
      <c r="O182" s="60">
        <f t="shared" si="25"/>
        <v>36</v>
      </c>
      <c r="P182" s="6">
        <f t="shared" si="28"/>
        <v>12.22</v>
      </c>
      <c r="Q182" s="6">
        <f t="shared" si="29"/>
        <v>15.03</v>
      </c>
      <c r="R182" s="78">
        <v>1</v>
      </c>
      <c r="S182" s="70">
        <v>0</v>
      </c>
      <c r="T182" s="78">
        <v>0</v>
      </c>
      <c r="U182" s="70">
        <v>0</v>
      </c>
      <c r="V182" s="70">
        <v>1</v>
      </c>
      <c r="W182" s="70">
        <v>0</v>
      </c>
      <c r="X182" s="78">
        <v>0</v>
      </c>
      <c r="Y182" s="70">
        <v>1</v>
      </c>
      <c r="Z182" s="70">
        <v>0</v>
      </c>
      <c r="AA182" s="78">
        <v>1</v>
      </c>
      <c r="AB182" s="70">
        <v>0</v>
      </c>
      <c r="AC182" s="69">
        <v>2002</v>
      </c>
      <c r="AD182" t="s">
        <v>57</v>
      </c>
      <c r="AE182" t="s">
        <v>57</v>
      </c>
      <c r="AF182" t="s">
        <v>57</v>
      </c>
      <c r="AG182" t="s">
        <v>57</v>
      </c>
      <c r="AH182" s="28" t="s">
        <v>57</v>
      </c>
      <c r="AI182" t="s">
        <v>57</v>
      </c>
      <c r="AJ182" s="28">
        <v>1</v>
      </c>
      <c r="AK182">
        <v>0</v>
      </c>
      <c r="AL182" s="28">
        <v>0</v>
      </c>
      <c r="AM182">
        <v>1</v>
      </c>
      <c r="AN182">
        <v>0</v>
      </c>
      <c r="AO182">
        <v>1</v>
      </c>
      <c r="AP182" s="81">
        <f t="shared" si="30"/>
        <v>0.66</v>
      </c>
      <c r="AQ182" s="82">
        <f t="shared" si="33"/>
        <v>0.33999999999999997</v>
      </c>
      <c r="AR182">
        <v>1</v>
      </c>
      <c r="AS182">
        <v>0</v>
      </c>
      <c r="AT182">
        <f t="shared" si="32"/>
        <v>0</v>
      </c>
      <c r="AU182" s="62" t="s">
        <v>343</v>
      </c>
      <c r="AV182">
        <v>0</v>
      </c>
      <c r="AW182">
        <v>1</v>
      </c>
      <c r="AX182">
        <v>0</v>
      </c>
      <c r="AY182">
        <v>0</v>
      </c>
      <c r="AZ182">
        <v>0</v>
      </c>
      <c r="BA182">
        <v>0</v>
      </c>
      <c r="BB182">
        <v>0</v>
      </c>
      <c r="BC182">
        <v>0</v>
      </c>
      <c r="BD182">
        <v>1</v>
      </c>
      <c r="BE182">
        <v>0</v>
      </c>
      <c r="BF182">
        <v>942</v>
      </c>
      <c r="BG182">
        <v>131</v>
      </c>
      <c r="BH182">
        <v>0.29299999999999998</v>
      </c>
      <c r="BI182" s="80">
        <f t="shared" si="31"/>
        <v>34.78</v>
      </c>
      <c r="BJ182">
        <v>0</v>
      </c>
      <c r="BK182">
        <v>0</v>
      </c>
      <c r="BL182">
        <v>1</v>
      </c>
      <c r="BM182">
        <v>0</v>
      </c>
      <c r="BN182">
        <v>0</v>
      </c>
      <c r="BO182">
        <v>0</v>
      </c>
      <c r="BP182">
        <v>0</v>
      </c>
      <c r="BQ182" s="28">
        <v>0</v>
      </c>
      <c r="BR182">
        <v>0</v>
      </c>
      <c r="BS182">
        <v>0</v>
      </c>
      <c r="BT182" s="28">
        <v>0</v>
      </c>
      <c r="BU182">
        <v>0</v>
      </c>
      <c r="BV182">
        <v>1</v>
      </c>
      <c r="BW182">
        <v>0</v>
      </c>
      <c r="BX182">
        <v>0</v>
      </c>
      <c r="BY182">
        <v>0</v>
      </c>
      <c r="BZ182">
        <v>0</v>
      </c>
      <c r="CA182">
        <v>1</v>
      </c>
      <c r="CB182">
        <v>0</v>
      </c>
      <c r="CC182">
        <v>0</v>
      </c>
      <c r="CD182">
        <v>0</v>
      </c>
      <c r="CE182" s="16">
        <v>0</v>
      </c>
      <c r="CF182">
        <v>0</v>
      </c>
      <c r="CG182">
        <v>1</v>
      </c>
      <c r="CH182">
        <v>0</v>
      </c>
      <c r="CI182">
        <v>1</v>
      </c>
      <c r="CJ182">
        <v>11</v>
      </c>
      <c r="CK182" t="s">
        <v>46</v>
      </c>
    </row>
    <row r="183" spans="1:89" x14ac:dyDescent="0.25">
      <c r="A183">
        <v>182</v>
      </c>
      <c r="B183">
        <v>11</v>
      </c>
      <c r="C183" t="s">
        <v>302</v>
      </c>
      <c r="D183" s="79">
        <v>7.5</v>
      </c>
      <c r="E183" s="6">
        <f t="shared" si="27"/>
        <v>0.81699346405228757</v>
      </c>
      <c r="F183" s="6">
        <v>9.18</v>
      </c>
      <c r="G183" s="78">
        <v>1</v>
      </c>
      <c r="H183" s="70">
        <v>0</v>
      </c>
      <c r="I183" s="70">
        <v>0</v>
      </c>
      <c r="J183" s="70">
        <v>0</v>
      </c>
      <c r="K183" s="70">
        <v>0</v>
      </c>
      <c r="L183" s="78">
        <v>582</v>
      </c>
      <c r="M183" s="70">
        <v>9</v>
      </c>
      <c r="N183" s="70">
        <f t="shared" si="24"/>
        <v>572</v>
      </c>
      <c r="O183" s="60">
        <f t="shared" si="25"/>
        <v>36</v>
      </c>
      <c r="P183" s="6">
        <f t="shared" si="28"/>
        <v>12.22</v>
      </c>
      <c r="Q183" s="6">
        <f t="shared" si="29"/>
        <v>15.03</v>
      </c>
      <c r="R183" s="78">
        <v>1</v>
      </c>
      <c r="S183" s="70">
        <v>0</v>
      </c>
      <c r="T183" s="78">
        <v>0</v>
      </c>
      <c r="U183" s="70">
        <v>0</v>
      </c>
      <c r="V183" s="70">
        <v>1</v>
      </c>
      <c r="W183" s="70">
        <v>0</v>
      </c>
      <c r="X183" s="78">
        <v>0</v>
      </c>
      <c r="Y183" s="70">
        <v>1</v>
      </c>
      <c r="Z183" s="70">
        <v>0</v>
      </c>
      <c r="AA183" s="78">
        <v>1</v>
      </c>
      <c r="AB183" s="70">
        <v>0</v>
      </c>
      <c r="AC183" s="69">
        <v>2002</v>
      </c>
      <c r="AD183" t="s">
        <v>57</v>
      </c>
      <c r="AE183" t="s">
        <v>57</v>
      </c>
      <c r="AF183" t="s">
        <v>57</v>
      </c>
      <c r="AG183" t="s">
        <v>57</v>
      </c>
      <c r="AH183" s="28" t="s">
        <v>57</v>
      </c>
      <c r="AI183" t="s">
        <v>57</v>
      </c>
      <c r="AJ183" s="28">
        <v>1</v>
      </c>
      <c r="AK183">
        <v>0</v>
      </c>
      <c r="AL183" s="28">
        <v>0</v>
      </c>
      <c r="AM183">
        <v>1</v>
      </c>
      <c r="AN183">
        <v>0</v>
      </c>
      <c r="AO183">
        <v>1</v>
      </c>
      <c r="AP183" s="81">
        <f t="shared" si="30"/>
        <v>0.66</v>
      </c>
      <c r="AQ183" s="82">
        <f t="shared" si="33"/>
        <v>0.33999999999999997</v>
      </c>
      <c r="AR183">
        <v>1</v>
      </c>
      <c r="AS183">
        <v>0</v>
      </c>
      <c r="AT183">
        <f t="shared" si="32"/>
        <v>0</v>
      </c>
      <c r="AU183" s="62" t="s">
        <v>343</v>
      </c>
      <c r="AV183">
        <v>0</v>
      </c>
      <c r="AW183">
        <v>1</v>
      </c>
      <c r="AX183">
        <v>0</v>
      </c>
      <c r="AY183">
        <v>0</v>
      </c>
      <c r="AZ183">
        <v>0</v>
      </c>
      <c r="BA183">
        <v>0</v>
      </c>
      <c r="BB183">
        <v>0</v>
      </c>
      <c r="BC183">
        <v>0</v>
      </c>
      <c r="BD183">
        <v>1</v>
      </c>
      <c r="BE183">
        <v>0</v>
      </c>
      <c r="BF183">
        <v>942</v>
      </c>
      <c r="BG183">
        <v>131</v>
      </c>
      <c r="BH183">
        <v>0.29299999999999998</v>
      </c>
      <c r="BI183" s="80">
        <f t="shared" si="31"/>
        <v>34.78</v>
      </c>
      <c r="BJ183">
        <v>0</v>
      </c>
      <c r="BK183">
        <v>0</v>
      </c>
      <c r="BL183">
        <v>0</v>
      </c>
      <c r="BM183">
        <v>0</v>
      </c>
      <c r="BN183">
        <v>0</v>
      </c>
      <c r="BO183">
        <v>0</v>
      </c>
      <c r="BP183">
        <v>1</v>
      </c>
      <c r="BQ183" s="28">
        <v>0</v>
      </c>
      <c r="BR183">
        <v>1</v>
      </c>
      <c r="BS183">
        <v>0</v>
      </c>
      <c r="BT183" s="28">
        <v>1</v>
      </c>
      <c r="BU183">
        <v>1</v>
      </c>
      <c r="BV183">
        <v>0</v>
      </c>
      <c r="BW183">
        <v>0</v>
      </c>
      <c r="BX183">
        <v>0</v>
      </c>
      <c r="BY183">
        <v>0</v>
      </c>
      <c r="BZ183">
        <v>1</v>
      </c>
      <c r="CA183">
        <v>0</v>
      </c>
      <c r="CB183">
        <v>0</v>
      </c>
      <c r="CC183">
        <v>0</v>
      </c>
      <c r="CD183">
        <v>0</v>
      </c>
      <c r="CE183" s="16">
        <v>0</v>
      </c>
      <c r="CF183">
        <v>0</v>
      </c>
      <c r="CG183">
        <v>1</v>
      </c>
      <c r="CH183">
        <v>0</v>
      </c>
      <c r="CI183">
        <v>1</v>
      </c>
      <c r="CJ183">
        <v>11</v>
      </c>
      <c r="CK183" t="s">
        <v>46</v>
      </c>
    </row>
    <row r="184" spans="1:89" x14ac:dyDescent="0.25">
      <c r="A184">
        <v>183</v>
      </c>
      <c r="B184">
        <v>11</v>
      </c>
      <c r="C184" t="s">
        <v>302</v>
      </c>
      <c r="D184" s="79">
        <v>1.1000000000000001</v>
      </c>
      <c r="E184" s="6">
        <f t="shared" si="27"/>
        <v>2.0370370370370372</v>
      </c>
      <c r="F184" s="6">
        <v>0.54</v>
      </c>
      <c r="G184" s="78">
        <v>1</v>
      </c>
      <c r="H184" s="70">
        <v>0</v>
      </c>
      <c r="I184" s="70">
        <v>0</v>
      </c>
      <c r="J184" s="70">
        <v>0</v>
      </c>
      <c r="K184" s="70">
        <v>0</v>
      </c>
      <c r="L184" s="78">
        <v>582</v>
      </c>
      <c r="M184" s="70">
        <v>1</v>
      </c>
      <c r="N184" s="70">
        <f t="shared" si="24"/>
        <v>580</v>
      </c>
      <c r="O184" s="60">
        <f t="shared" si="25"/>
        <v>36</v>
      </c>
      <c r="P184" s="6">
        <f t="shared" si="28"/>
        <v>12.22</v>
      </c>
      <c r="Q184" s="6">
        <f t="shared" si="29"/>
        <v>15.03</v>
      </c>
      <c r="R184" s="78">
        <v>1</v>
      </c>
      <c r="S184" s="70">
        <v>0</v>
      </c>
      <c r="T184" s="78">
        <v>0</v>
      </c>
      <c r="U184" s="70">
        <v>0</v>
      </c>
      <c r="V184" s="70">
        <v>1</v>
      </c>
      <c r="W184" s="70">
        <v>0</v>
      </c>
      <c r="X184" s="78">
        <v>0</v>
      </c>
      <c r="Y184" s="70">
        <v>1</v>
      </c>
      <c r="Z184" s="70">
        <v>0</v>
      </c>
      <c r="AA184" s="78">
        <v>1</v>
      </c>
      <c r="AB184" s="70">
        <v>0</v>
      </c>
      <c r="AC184" s="69">
        <v>2002</v>
      </c>
      <c r="AD184" t="s">
        <v>57</v>
      </c>
      <c r="AE184" t="s">
        <v>57</v>
      </c>
      <c r="AF184" t="s">
        <v>57</v>
      </c>
      <c r="AG184" t="s">
        <v>57</v>
      </c>
      <c r="AH184" s="28" t="s">
        <v>57</v>
      </c>
      <c r="AI184" t="s">
        <v>57</v>
      </c>
      <c r="AJ184" s="28">
        <v>1</v>
      </c>
      <c r="AK184">
        <v>0</v>
      </c>
      <c r="AL184" s="28">
        <v>0</v>
      </c>
      <c r="AM184">
        <v>1</v>
      </c>
      <c r="AN184">
        <v>0</v>
      </c>
      <c r="AO184">
        <v>1</v>
      </c>
      <c r="AP184" s="81">
        <f t="shared" si="30"/>
        <v>0.66</v>
      </c>
      <c r="AQ184" s="82">
        <f t="shared" si="33"/>
        <v>0.33999999999999997</v>
      </c>
      <c r="AR184">
        <v>1</v>
      </c>
      <c r="AS184">
        <v>0</v>
      </c>
      <c r="AT184">
        <f t="shared" si="32"/>
        <v>0</v>
      </c>
      <c r="AU184" s="62" t="s">
        <v>343</v>
      </c>
      <c r="AV184">
        <v>0</v>
      </c>
      <c r="AW184">
        <v>1</v>
      </c>
      <c r="AX184">
        <v>0</v>
      </c>
      <c r="AY184">
        <v>0</v>
      </c>
      <c r="AZ184">
        <v>0</v>
      </c>
      <c r="BA184">
        <v>0</v>
      </c>
      <c r="BB184">
        <v>0</v>
      </c>
      <c r="BC184">
        <v>0</v>
      </c>
      <c r="BD184">
        <v>1</v>
      </c>
      <c r="BE184">
        <v>0</v>
      </c>
      <c r="BF184">
        <v>942</v>
      </c>
      <c r="BG184">
        <v>131</v>
      </c>
      <c r="BH184">
        <v>0.29299999999999998</v>
      </c>
      <c r="BI184" s="80">
        <f t="shared" si="31"/>
        <v>34.78</v>
      </c>
      <c r="BJ184">
        <v>0</v>
      </c>
      <c r="BK184">
        <v>0</v>
      </c>
      <c r="BL184">
        <v>0</v>
      </c>
      <c r="BM184">
        <v>0</v>
      </c>
      <c r="BN184">
        <v>0</v>
      </c>
      <c r="BO184">
        <v>0</v>
      </c>
      <c r="BP184">
        <v>1</v>
      </c>
      <c r="BQ184" s="28">
        <v>0</v>
      </c>
      <c r="BR184">
        <v>1</v>
      </c>
      <c r="BS184">
        <v>0</v>
      </c>
      <c r="BT184" s="28">
        <v>0</v>
      </c>
      <c r="BU184">
        <v>0</v>
      </c>
      <c r="BV184">
        <v>0</v>
      </c>
      <c r="BW184">
        <v>0</v>
      </c>
      <c r="BX184">
        <v>0</v>
      </c>
      <c r="BY184">
        <v>0</v>
      </c>
      <c r="BZ184">
        <v>0</v>
      </c>
      <c r="CA184">
        <v>0</v>
      </c>
      <c r="CB184">
        <v>0</v>
      </c>
      <c r="CC184">
        <v>0</v>
      </c>
      <c r="CD184">
        <v>0</v>
      </c>
      <c r="CE184" s="16">
        <v>0</v>
      </c>
      <c r="CF184">
        <v>0</v>
      </c>
      <c r="CG184">
        <v>1</v>
      </c>
      <c r="CH184">
        <v>0</v>
      </c>
      <c r="CI184">
        <v>1</v>
      </c>
      <c r="CJ184">
        <v>11</v>
      </c>
      <c r="CK184" t="s">
        <v>46</v>
      </c>
    </row>
    <row r="185" spans="1:89" x14ac:dyDescent="0.25">
      <c r="A185">
        <v>184</v>
      </c>
      <c r="B185">
        <v>11</v>
      </c>
      <c r="C185" t="s">
        <v>302</v>
      </c>
      <c r="D185" s="79">
        <v>7.6</v>
      </c>
      <c r="E185" s="6">
        <f t="shared" si="27"/>
        <v>0.80765143464399569</v>
      </c>
      <c r="F185" s="6">
        <v>9.41</v>
      </c>
      <c r="G185" s="78">
        <v>1</v>
      </c>
      <c r="H185" s="70">
        <v>0</v>
      </c>
      <c r="I185" s="70">
        <v>0</v>
      </c>
      <c r="J185" s="70">
        <v>0</v>
      </c>
      <c r="K185" s="70">
        <v>0</v>
      </c>
      <c r="L185" s="78">
        <v>582</v>
      </c>
      <c r="M185" s="70">
        <v>11</v>
      </c>
      <c r="N185" s="70">
        <f t="shared" si="24"/>
        <v>570</v>
      </c>
      <c r="O185" s="60">
        <f t="shared" si="25"/>
        <v>36</v>
      </c>
      <c r="P185" s="6">
        <f t="shared" si="28"/>
        <v>12.22</v>
      </c>
      <c r="Q185" s="6">
        <f t="shared" si="29"/>
        <v>15.03</v>
      </c>
      <c r="R185" s="78">
        <v>1</v>
      </c>
      <c r="S185" s="70">
        <v>0</v>
      </c>
      <c r="T185" s="78">
        <v>0</v>
      </c>
      <c r="U185" s="70">
        <v>0</v>
      </c>
      <c r="V185" s="70">
        <v>1</v>
      </c>
      <c r="W185" s="70">
        <v>0</v>
      </c>
      <c r="X185" s="78">
        <v>0</v>
      </c>
      <c r="Y185" s="70">
        <v>1</v>
      </c>
      <c r="Z185" s="70">
        <v>0</v>
      </c>
      <c r="AA185" s="78">
        <v>1</v>
      </c>
      <c r="AB185" s="70">
        <v>0</v>
      </c>
      <c r="AC185" s="69">
        <v>2002</v>
      </c>
      <c r="AD185" t="s">
        <v>57</v>
      </c>
      <c r="AE185" t="s">
        <v>57</v>
      </c>
      <c r="AF185" t="s">
        <v>57</v>
      </c>
      <c r="AG185" t="s">
        <v>57</v>
      </c>
      <c r="AH185" s="28" t="s">
        <v>57</v>
      </c>
      <c r="AI185" t="s">
        <v>57</v>
      </c>
      <c r="AJ185" s="28">
        <v>1</v>
      </c>
      <c r="AK185">
        <v>0</v>
      </c>
      <c r="AL185" s="28">
        <v>0</v>
      </c>
      <c r="AM185">
        <v>1</v>
      </c>
      <c r="AN185">
        <v>0</v>
      </c>
      <c r="AO185">
        <v>1</v>
      </c>
      <c r="AP185" s="81">
        <f t="shared" si="30"/>
        <v>0.66</v>
      </c>
      <c r="AQ185" s="82">
        <f t="shared" si="33"/>
        <v>0.33999999999999997</v>
      </c>
      <c r="AR185">
        <v>1</v>
      </c>
      <c r="AS185">
        <v>0</v>
      </c>
      <c r="AT185">
        <f t="shared" si="32"/>
        <v>0</v>
      </c>
      <c r="AU185" s="62" t="s">
        <v>343</v>
      </c>
      <c r="AV185">
        <v>0</v>
      </c>
      <c r="AW185">
        <v>1</v>
      </c>
      <c r="AX185">
        <v>0</v>
      </c>
      <c r="AY185">
        <v>0</v>
      </c>
      <c r="AZ185">
        <v>0</v>
      </c>
      <c r="BA185">
        <v>0</v>
      </c>
      <c r="BB185">
        <v>0</v>
      </c>
      <c r="BC185">
        <v>0</v>
      </c>
      <c r="BD185">
        <v>1</v>
      </c>
      <c r="BE185">
        <v>0</v>
      </c>
      <c r="BF185">
        <v>942</v>
      </c>
      <c r="BG185">
        <v>131</v>
      </c>
      <c r="BH185">
        <v>0.29299999999999998</v>
      </c>
      <c r="BI185" s="80">
        <f t="shared" si="31"/>
        <v>34.78</v>
      </c>
      <c r="BJ185">
        <v>0</v>
      </c>
      <c r="BK185">
        <v>0</v>
      </c>
      <c r="BL185">
        <v>0</v>
      </c>
      <c r="BM185">
        <v>0</v>
      </c>
      <c r="BN185">
        <v>0</v>
      </c>
      <c r="BO185">
        <v>0</v>
      </c>
      <c r="BP185">
        <v>1</v>
      </c>
      <c r="BQ185" s="28">
        <v>0</v>
      </c>
      <c r="BR185">
        <v>1</v>
      </c>
      <c r="BS185">
        <v>0</v>
      </c>
      <c r="BT185" s="28">
        <v>1</v>
      </c>
      <c r="BU185">
        <v>1</v>
      </c>
      <c r="BV185">
        <v>1</v>
      </c>
      <c r="BW185">
        <v>0</v>
      </c>
      <c r="BX185">
        <v>0</v>
      </c>
      <c r="BY185">
        <v>0</v>
      </c>
      <c r="BZ185">
        <v>1</v>
      </c>
      <c r="CA185">
        <v>1</v>
      </c>
      <c r="CB185">
        <v>0</v>
      </c>
      <c r="CC185">
        <v>0</v>
      </c>
      <c r="CD185">
        <v>0</v>
      </c>
      <c r="CE185" s="16">
        <v>0</v>
      </c>
      <c r="CF185">
        <v>0</v>
      </c>
      <c r="CG185">
        <v>1</v>
      </c>
      <c r="CH185">
        <v>0</v>
      </c>
      <c r="CI185">
        <v>1</v>
      </c>
      <c r="CJ185">
        <v>11</v>
      </c>
      <c r="CK185" t="s">
        <v>46</v>
      </c>
    </row>
    <row r="186" spans="1:89" x14ac:dyDescent="0.25">
      <c r="A186">
        <v>185</v>
      </c>
      <c r="B186">
        <v>11</v>
      </c>
      <c r="C186" t="s">
        <v>302</v>
      </c>
      <c r="D186" s="79">
        <v>1.4</v>
      </c>
      <c r="E186" s="6">
        <f t="shared" si="27"/>
        <v>2.0588235294117645</v>
      </c>
      <c r="F186" s="6">
        <v>0.68</v>
      </c>
      <c r="G186" s="78">
        <v>1</v>
      </c>
      <c r="H186" s="70">
        <v>0</v>
      </c>
      <c r="I186" s="70">
        <v>0</v>
      </c>
      <c r="J186" s="70">
        <v>0</v>
      </c>
      <c r="K186" s="70">
        <v>0</v>
      </c>
      <c r="L186" s="78">
        <v>582</v>
      </c>
      <c r="M186" s="70">
        <v>3</v>
      </c>
      <c r="N186" s="70">
        <f t="shared" si="24"/>
        <v>578</v>
      </c>
      <c r="O186" s="60">
        <f t="shared" si="25"/>
        <v>36</v>
      </c>
      <c r="P186" s="6">
        <f t="shared" si="28"/>
        <v>12.22</v>
      </c>
      <c r="Q186" s="6">
        <f t="shared" si="29"/>
        <v>15.03</v>
      </c>
      <c r="R186" s="78">
        <v>1</v>
      </c>
      <c r="S186" s="70">
        <v>0</v>
      </c>
      <c r="T186" s="78">
        <v>0</v>
      </c>
      <c r="U186" s="70">
        <v>0</v>
      </c>
      <c r="V186" s="70">
        <v>1</v>
      </c>
      <c r="W186" s="70">
        <v>0</v>
      </c>
      <c r="X186" s="78">
        <v>0</v>
      </c>
      <c r="Y186" s="70">
        <v>1</v>
      </c>
      <c r="Z186" s="70">
        <v>0</v>
      </c>
      <c r="AA186" s="78">
        <v>1</v>
      </c>
      <c r="AB186" s="70">
        <v>0</v>
      </c>
      <c r="AC186" s="69">
        <v>2002</v>
      </c>
      <c r="AD186" t="s">
        <v>57</v>
      </c>
      <c r="AE186" t="s">
        <v>57</v>
      </c>
      <c r="AF186" t="s">
        <v>57</v>
      </c>
      <c r="AG186" t="s">
        <v>57</v>
      </c>
      <c r="AH186" s="28" t="s">
        <v>57</v>
      </c>
      <c r="AI186" t="s">
        <v>57</v>
      </c>
      <c r="AJ186" s="28">
        <v>1</v>
      </c>
      <c r="AK186">
        <v>0</v>
      </c>
      <c r="AL186" s="28">
        <v>0</v>
      </c>
      <c r="AM186">
        <v>1</v>
      </c>
      <c r="AN186">
        <v>0</v>
      </c>
      <c r="AO186">
        <v>1</v>
      </c>
      <c r="AP186" s="81">
        <f t="shared" si="30"/>
        <v>0.66</v>
      </c>
      <c r="AQ186" s="82">
        <f t="shared" si="33"/>
        <v>0.33999999999999997</v>
      </c>
      <c r="AR186">
        <v>1</v>
      </c>
      <c r="AS186">
        <v>0</v>
      </c>
      <c r="AT186">
        <f t="shared" si="32"/>
        <v>0</v>
      </c>
      <c r="AU186" s="62" t="s">
        <v>343</v>
      </c>
      <c r="AV186">
        <v>0</v>
      </c>
      <c r="AW186">
        <v>1</v>
      </c>
      <c r="AX186">
        <v>0</v>
      </c>
      <c r="AY186">
        <v>0</v>
      </c>
      <c r="AZ186">
        <v>0</v>
      </c>
      <c r="BA186">
        <v>0</v>
      </c>
      <c r="BB186">
        <v>0</v>
      </c>
      <c r="BC186">
        <v>0</v>
      </c>
      <c r="BD186">
        <v>1</v>
      </c>
      <c r="BE186">
        <v>0</v>
      </c>
      <c r="BF186">
        <v>942</v>
      </c>
      <c r="BG186">
        <v>131</v>
      </c>
      <c r="BH186">
        <v>0.29299999999999998</v>
      </c>
      <c r="BI186" s="80">
        <f t="shared" si="31"/>
        <v>34.78</v>
      </c>
      <c r="BJ186">
        <v>0</v>
      </c>
      <c r="BK186">
        <v>0</v>
      </c>
      <c r="BL186">
        <v>0</v>
      </c>
      <c r="BM186">
        <v>0</v>
      </c>
      <c r="BN186">
        <v>0</v>
      </c>
      <c r="BO186">
        <v>0</v>
      </c>
      <c r="BP186">
        <v>1</v>
      </c>
      <c r="BQ186" s="28">
        <v>0</v>
      </c>
      <c r="BR186">
        <v>1</v>
      </c>
      <c r="BS186">
        <v>0</v>
      </c>
      <c r="BT186" s="28">
        <v>0</v>
      </c>
      <c r="BU186">
        <v>0</v>
      </c>
      <c r="BV186">
        <v>1</v>
      </c>
      <c r="BW186">
        <v>0</v>
      </c>
      <c r="BX186">
        <v>0</v>
      </c>
      <c r="BY186">
        <v>0</v>
      </c>
      <c r="BZ186">
        <v>0</v>
      </c>
      <c r="CA186">
        <v>1</v>
      </c>
      <c r="CB186">
        <v>0</v>
      </c>
      <c r="CC186">
        <v>0</v>
      </c>
      <c r="CD186">
        <v>0</v>
      </c>
      <c r="CE186" s="16">
        <v>0</v>
      </c>
      <c r="CF186">
        <v>0</v>
      </c>
      <c r="CG186">
        <v>1</v>
      </c>
      <c r="CH186">
        <v>0</v>
      </c>
      <c r="CI186">
        <v>1</v>
      </c>
      <c r="CJ186">
        <v>11</v>
      </c>
      <c r="CK186" t="s">
        <v>46</v>
      </c>
    </row>
    <row r="187" spans="1:89" x14ac:dyDescent="0.25">
      <c r="A187">
        <v>186</v>
      </c>
      <c r="B187">
        <v>11</v>
      </c>
      <c r="C187" t="s">
        <v>302</v>
      </c>
      <c r="D187" s="79">
        <v>7</v>
      </c>
      <c r="E187" s="6">
        <f t="shared" si="27"/>
        <v>0.62222222222222223</v>
      </c>
      <c r="F187" s="6">
        <v>11.25</v>
      </c>
      <c r="G187" s="78">
        <v>1</v>
      </c>
      <c r="H187" s="70">
        <v>0</v>
      </c>
      <c r="I187" s="70">
        <v>0</v>
      </c>
      <c r="J187" s="70">
        <v>0</v>
      </c>
      <c r="K187" s="70">
        <v>0</v>
      </c>
      <c r="L187" s="78">
        <v>1064</v>
      </c>
      <c r="M187" s="70">
        <v>9</v>
      </c>
      <c r="N187" s="70">
        <f t="shared" si="24"/>
        <v>1054</v>
      </c>
      <c r="O187" s="60">
        <f t="shared" si="25"/>
        <v>36</v>
      </c>
      <c r="P187" s="6">
        <f t="shared" si="28"/>
        <v>11.911300000000001</v>
      </c>
      <c r="Q187" s="6">
        <f t="shared" si="29"/>
        <v>19.232099999999999</v>
      </c>
      <c r="R187" s="78">
        <v>1</v>
      </c>
      <c r="S187" s="70">
        <v>0</v>
      </c>
      <c r="T187" s="78">
        <v>0</v>
      </c>
      <c r="U187" s="70">
        <v>0</v>
      </c>
      <c r="V187" s="70">
        <v>1</v>
      </c>
      <c r="W187" s="70">
        <v>0</v>
      </c>
      <c r="X187" s="78">
        <v>0</v>
      </c>
      <c r="Y187" s="70">
        <v>1</v>
      </c>
      <c r="Z187" s="70">
        <v>0</v>
      </c>
      <c r="AA187" s="78">
        <v>1</v>
      </c>
      <c r="AB187" s="70">
        <v>0</v>
      </c>
      <c r="AC187" s="69">
        <v>2002</v>
      </c>
      <c r="AD187" t="s">
        <v>57</v>
      </c>
      <c r="AE187" t="s">
        <v>57</v>
      </c>
      <c r="AF187" t="s">
        <v>57</v>
      </c>
      <c r="AG187" t="s">
        <v>57</v>
      </c>
      <c r="AH187" s="28" t="s">
        <v>57</v>
      </c>
      <c r="AI187" t="s">
        <v>57</v>
      </c>
      <c r="AJ187" s="28">
        <v>0</v>
      </c>
      <c r="AK187">
        <v>1</v>
      </c>
      <c r="AL187" s="28">
        <v>0</v>
      </c>
      <c r="AM187">
        <v>1</v>
      </c>
      <c r="AN187">
        <v>0</v>
      </c>
      <c r="AO187">
        <v>1</v>
      </c>
      <c r="AP187" s="81">
        <f t="shared" si="30"/>
        <v>0.83639999999999992</v>
      </c>
      <c r="AQ187" s="82">
        <f t="shared" si="33"/>
        <v>0.16360000000000008</v>
      </c>
      <c r="AR187">
        <v>0.37</v>
      </c>
      <c r="AS187">
        <v>0</v>
      </c>
      <c r="AT187">
        <f t="shared" si="32"/>
        <v>0.63</v>
      </c>
      <c r="AU187" s="62" t="s">
        <v>343</v>
      </c>
      <c r="AV187">
        <v>0</v>
      </c>
      <c r="AW187">
        <v>1</v>
      </c>
      <c r="AX187">
        <v>0</v>
      </c>
      <c r="AY187">
        <v>0</v>
      </c>
      <c r="AZ187">
        <v>0</v>
      </c>
      <c r="BA187">
        <v>0</v>
      </c>
      <c r="BB187">
        <v>0</v>
      </c>
      <c r="BC187">
        <v>0</v>
      </c>
      <c r="BD187">
        <v>1</v>
      </c>
      <c r="BE187">
        <v>0</v>
      </c>
      <c r="BF187">
        <v>942</v>
      </c>
      <c r="BG187">
        <v>131</v>
      </c>
      <c r="BH187">
        <v>0.29299999999999998</v>
      </c>
      <c r="BI187" s="80">
        <f t="shared" si="31"/>
        <v>40.128700000000002</v>
      </c>
      <c r="BJ187">
        <v>1</v>
      </c>
      <c r="BK187">
        <v>0</v>
      </c>
      <c r="BL187">
        <v>0</v>
      </c>
      <c r="BM187">
        <v>0</v>
      </c>
      <c r="BN187">
        <v>0</v>
      </c>
      <c r="BO187">
        <v>0</v>
      </c>
      <c r="BP187">
        <v>0</v>
      </c>
      <c r="BQ187" s="28">
        <v>0</v>
      </c>
      <c r="BR187">
        <v>0</v>
      </c>
      <c r="BS187">
        <v>0</v>
      </c>
      <c r="BT187" s="28">
        <v>1</v>
      </c>
      <c r="BU187">
        <v>1</v>
      </c>
      <c r="BV187">
        <v>0</v>
      </c>
      <c r="BW187">
        <v>0</v>
      </c>
      <c r="BX187">
        <v>0</v>
      </c>
      <c r="BY187">
        <v>0</v>
      </c>
      <c r="BZ187">
        <v>1</v>
      </c>
      <c r="CA187">
        <v>0</v>
      </c>
      <c r="CB187">
        <v>0</v>
      </c>
      <c r="CC187">
        <v>0</v>
      </c>
      <c r="CD187">
        <v>0</v>
      </c>
      <c r="CE187" s="16">
        <v>0</v>
      </c>
      <c r="CF187">
        <v>0</v>
      </c>
      <c r="CG187">
        <v>1</v>
      </c>
      <c r="CH187">
        <v>0</v>
      </c>
      <c r="CI187">
        <v>1</v>
      </c>
      <c r="CJ187">
        <v>11</v>
      </c>
      <c r="CK187" t="s">
        <v>46</v>
      </c>
    </row>
    <row r="188" spans="1:89" x14ac:dyDescent="0.25">
      <c r="A188">
        <v>187</v>
      </c>
      <c r="B188">
        <v>11</v>
      </c>
      <c r="C188" t="s">
        <v>302</v>
      </c>
      <c r="D188" s="79">
        <v>6.9</v>
      </c>
      <c r="E188" s="6">
        <f t="shared" si="27"/>
        <v>0.6188340807174888</v>
      </c>
      <c r="F188" s="6">
        <v>11.15</v>
      </c>
      <c r="G188" s="78">
        <v>1</v>
      </c>
      <c r="H188" s="70">
        <v>0</v>
      </c>
      <c r="I188" s="70">
        <v>0</v>
      </c>
      <c r="J188" s="70">
        <v>0</v>
      </c>
      <c r="K188" s="70">
        <v>0</v>
      </c>
      <c r="L188" s="78">
        <v>1064</v>
      </c>
      <c r="M188" s="70">
        <v>11</v>
      </c>
      <c r="N188" s="70">
        <f t="shared" si="24"/>
        <v>1052</v>
      </c>
      <c r="O188" s="60">
        <f t="shared" si="25"/>
        <v>36</v>
      </c>
      <c r="P188" s="6">
        <f t="shared" si="28"/>
        <v>11.911300000000001</v>
      </c>
      <c r="Q188" s="6">
        <f t="shared" si="29"/>
        <v>19.232099999999999</v>
      </c>
      <c r="R188" s="78">
        <v>1</v>
      </c>
      <c r="S188" s="70">
        <v>0</v>
      </c>
      <c r="T188" s="78">
        <v>0</v>
      </c>
      <c r="U188" s="70">
        <v>0</v>
      </c>
      <c r="V188" s="70">
        <v>1</v>
      </c>
      <c r="W188" s="70">
        <v>0</v>
      </c>
      <c r="X188" s="78">
        <v>0</v>
      </c>
      <c r="Y188" s="70">
        <v>1</v>
      </c>
      <c r="Z188" s="70">
        <v>0</v>
      </c>
      <c r="AA188" s="78">
        <v>1</v>
      </c>
      <c r="AB188" s="70">
        <v>0</v>
      </c>
      <c r="AC188" s="69">
        <v>2002</v>
      </c>
      <c r="AD188" t="s">
        <v>57</v>
      </c>
      <c r="AE188" t="s">
        <v>57</v>
      </c>
      <c r="AF188" t="s">
        <v>57</v>
      </c>
      <c r="AG188" t="s">
        <v>57</v>
      </c>
      <c r="AH188" s="28" t="s">
        <v>57</v>
      </c>
      <c r="AI188" t="s">
        <v>57</v>
      </c>
      <c r="AJ188" s="28">
        <v>0</v>
      </c>
      <c r="AK188">
        <v>1</v>
      </c>
      <c r="AL188" s="28">
        <v>0</v>
      </c>
      <c r="AM188">
        <v>1</v>
      </c>
      <c r="AN188">
        <v>0</v>
      </c>
      <c r="AO188">
        <v>1</v>
      </c>
      <c r="AP188" s="81">
        <f t="shared" si="30"/>
        <v>0.83639999999999992</v>
      </c>
      <c r="AQ188" s="82">
        <f t="shared" si="33"/>
        <v>0.16360000000000008</v>
      </c>
      <c r="AR188">
        <v>0.37</v>
      </c>
      <c r="AS188">
        <v>0</v>
      </c>
      <c r="AT188">
        <f t="shared" si="32"/>
        <v>0.63</v>
      </c>
      <c r="AU188" s="62" t="s">
        <v>343</v>
      </c>
      <c r="AV188">
        <v>0</v>
      </c>
      <c r="AW188">
        <v>1</v>
      </c>
      <c r="AX188">
        <v>0</v>
      </c>
      <c r="AY188">
        <v>0</v>
      </c>
      <c r="AZ188">
        <v>0</v>
      </c>
      <c r="BA188">
        <v>0</v>
      </c>
      <c r="BB188">
        <v>0</v>
      </c>
      <c r="BC188">
        <v>0</v>
      </c>
      <c r="BD188">
        <v>1</v>
      </c>
      <c r="BE188">
        <v>0</v>
      </c>
      <c r="BF188">
        <v>942</v>
      </c>
      <c r="BG188">
        <v>131</v>
      </c>
      <c r="BH188">
        <v>0.29299999999999998</v>
      </c>
      <c r="BI188" s="80">
        <f t="shared" si="31"/>
        <v>40.128700000000002</v>
      </c>
      <c r="BJ188">
        <v>1</v>
      </c>
      <c r="BK188">
        <v>0</v>
      </c>
      <c r="BL188">
        <v>0</v>
      </c>
      <c r="BM188">
        <v>0</v>
      </c>
      <c r="BN188">
        <v>0</v>
      </c>
      <c r="BO188">
        <v>0</v>
      </c>
      <c r="BP188">
        <v>0</v>
      </c>
      <c r="BQ188" s="28">
        <v>0</v>
      </c>
      <c r="BR188">
        <v>0</v>
      </c>
      <c r="BS188">
        <v>0</v>
      </c>
      <c r="BT188" s="28">
        <v>1</v>
      </c>
      <c r="BU188">
        <v>1</v>
      </c>
      <c r="BV188">
        <v>1</v>
      </c>
      <c r="BW188">
        <v>0</v>
      </c>
      <c r="BX188">
        <v>0</v>
      </c>
      <c r="BY188">
        <v>0</v>
      </c>
      <c r="BZ188">
        <v>1</v>
      </c>
      <c r="CA188">
        <v>1</v>
      </c>
      <c r="CB188">
        <v>0</v>
      </c>
      <c r="CC188">
        <v>0</v>
      </c>
      <c r="CD188">
        <v>0</v>
      </c>
      <c r="CE188" s="16">
        <v>0</v>
      </c>
      <c r="CF188">
        <v>0</v>
      </c>
      <c r="CG188">
        <v>1</v>
      </c>
      <c r="CH188">
        <v>0</v>
      </c>
      <c r="CI188">
        <v>1</v>
      </c>
      <c r="CJ188">
        <v>11</v>
      </c>
      <c r="CK188" t="s">
        <v>46</v>
      </c>
    </row>
    <row r="189" spans="1:89" x14ac:dyDescent="0.25">
      <c r="A189">
        <v>188</v>
      </c>
      <c r="B189">
        <v>11</v>
      </c>
      <c r="C189" t="s">
        <v>302</v>
      </c>
      <c r="D189" s="79">
        <v>9.6</v>
      </c>
      <c r="E189" s="6">
        <f t="shared" si="27"/>
        <v>0.89719626168224298</v>
      </c>
      <c r="F189" s="6">
        <v>10.7</v>
      </c>
      <c r="G189" s="78">
        <v>1</v>
      </c>
      <c r="H189" s="70">
        <v>0</v>
      </c>
      <c r="I189" s="70">
        <v>0</v>
      </c>
      <c r="J189" s="70">
        <v>0</v>
      </c>
      <c r="K189" s="70">
        <v>0</v>
      </c>
      <c r="L189" s="78">
        <v>394</v>
      </c>
      <c r="M189" s="70">
        <v>9</v>
      </c>
      <c r="N189" s="70">
        <f t="shared" si="24"/>
        <v>384</v>
      </c>
      <c r="O189" s="60">
        <f t="shared" si="25"/>
        <v>36</v>
      </c>
      <c r="P189" s="6">
        <f t="shared" si="28"/>
        <v>12.22</v>
      </c>
      <c r="Q189" s="6">
        <f t="shared" si="29"/>
        <v>15.03</v>
      </c>
      <c r="R189" s="78">
        <v>1</v>
      </c>
      <c r="S189" s="70">
        <v>0</v>
      </c>
      <c r="T189" s="78">
        <v>0</v>
      </c>
      <c r="U189" s="70">
        <v>0</v>
      </c>
      <c r="V189" s="70">
        <v>1</v>
      </c>
      <c r="W189" s="70">
        <v>0</v>
      </c>
      <c r="X189" s="78">
        <v>0</v>
      </c>
      <c r="Y189" s="70">
        <v>1</v>
      </c>
      <c r="Z189" s="70">
        <v>0</v>
      </c>
      <c r="AA189" s="78">
        <v>1</v>
      </c>
      <c r="AB189" s="70">
        <v>0</v>
      </c>
      <c r="AC189" s="69">
        <v>2002</v>
      </c>
      <c r="AD189" t="s">
        <v>57</v>
      </c>
      <c r="AE189" t="s">
        <v>57</v>
      </c>
      <c r="AF189" t="s">
        <v>57</v>
      </c>
      <c r="AG189" t="s">
        <v>57</v>
      </c>
      <c r="AH189" s="28" t="s">
        <v>57</v>
      </c>
      <c r="AI189" t="s">
        <v>57</v>
      </c>
      <c r="AJ189" s="28">
        <v>0</v>
      </c>
      <c r="AK189">
        <v>1</v>
      </c>
      <c r="AL189" s="28">
        <v>0</v>
      </c>
      <c r="AM189">
        <v>1</v>
      </c>
      <c r="AN189">
        <v>0</v>
      </c>
      <c r="AO189">
        <v>1</v>
      </c>
      <c r="AP189" s="81">
        <f t="shared" si="30"/>
        <v>0.66</v>
      </c>
      <c r="AQ189" s="82">
        <f t="shared" si="33"/>
        <v>0.33999999999999997</v>
      </c>
      <c r="AR189">
        <v>1</v>
      </c>
      <c r="AS189">
        <v>0</v>
      </c>
      <c r="AT189">
        <f t="shared" si="32"/>
        <v>0</v>
      </c>
      <c r="AU189" s="62" t="s">
        <v>343</v>
      </c>
      <c r="AV189">
        <v>0</v>
      </c>
      <c r="AW189">
        <v>1</v>
      </c>
      <c r="AX189">
        <v>0</v>
      </c>
      <c r="AY189">
        <v>0</v>
      </c>
      <c r="AZ189">
        <v>0</v>
      </c>
      <c r="BA189">
        <v>0</v>
      </c>
      <c r="BB189">
        <v>0</v>
      </c>
      <c r="BC189">
        <v>0</v>
      </c>
      <c r="BD189">
        <v>1</v>
      </c>
      <c r="BE189">
        <v>0</v>
      </c>
      <c r="BF189">
        <v>942</v>
      </c>
      <c r="BG189">
        <v>131</v>
      </c>
      <c r="BH189">
        <v>0.29299999999999998</v>
      </c>
      <c r="BI189" s="80">
        <f t="shared" si="31"/>
        <v>34.78</v>
      </c>
      <c r="BJ189">
        <v>1</v>
      </c>
      <c r="BK189">
        <v>0</v>
      </c>
      <c r="BL189">
        <v>0</v>
      </c>
      <c r="BM189">
        <v>0</v>
      </c>
      <c r="BN189">
        <v>0</v>
      </c>
      <c r="BO189">
        <v>0</v>
      </c>
      <c r="BP189">
        <v>0</v>
      </c>
      <c r="BQ189" s="28">
        <v>0</v>
      </c>
      <c r="BR189">
        <v>0</v>
      </c>
      <c r="BS189">
        <v>0</v>
      </c>
      <c r="BT189" s="28">
        <v>1</v>
      </c>
      <c r="BU189">
        <v>1</v>
      </c>
      <c r="BV189">
        <v>0</v>
      </c>
      <c r="BW189">
        <v>0</v>
      </c>
      <c r="BX189">
        <v>0</v>
      </c>
      <c r="BY189">
        <v>0</v>
      </c>
      <c r="BZ189">
        <v>1</v>
      </c>
      <c r="CA189">
        <v>0</v>
      </c>
      <c r="CB189">
        <v>0</v>
      </c>
      <c r="CC189">
        <v>0</v>
      </c>
      <c r="CD189">
        <v>0</v>
      </c>
      <c r="CE189" s="16">
        <v>0</v>
      </c>
      <c r="CF189">
        <v>0</v>
      </c>
      <c r="CG189">
        <v>1</v>
      </c>
      <c r="CH189">
        <v>0</v>
      </c>
      <c r="CI189">
        <v>1</v>
      </c>
      <c r="CJ189">
        <v>11</v>
      </c>
      <c r="CK189" t="s">
        <v>46</v>
      </c>
    </row>
    <row r="190" spans="1:89" x14ac:dyDescent="0.25">
      <c r="A190">
        <v>189</v>
      </c>
      <c r="B190">
        <v>11</v>
      </c>
      <c r="C190" t="s">
        <v>302</v>
      </c>
      <c r="D190" s="79">
        <v>4.5</v>
      </c>
      <c r="E190" s="6">
        <f t="shared" si="27"/>
        <v>2.1634615384615383</v>
      </c>
      <c r="F190" s="6">
        <v>2.08</v>
      </c>
      <c r="G190" s="78">
        <v>1</v>
      </c>
      <c r="H190" s="70">
        <v>0</v>
      </c>
      <c r="I190" s="70">
        <v>0</v>
      </c>
      <c r="J190" s="70">
        <v>0</v>
      </c>
      <c r="K190" s="70">
        <v>0</v>
      </c>
      <c r="L190" s="78">
        <v>394</v>
      </c>
      <c r="M190" s="70">
        <v>1</v>
      </c>
      <c r="N190" s="70">
        <f t="shared" si="24"/>
        <v>392</v>
      </c>
      <c r="O190" s="60">
        <f t="shared" si="25"/>
        <v>36</v>
      </c>
      <c r="P190" s="6">
        <f t="shared" si="28"/>
        <v>12.22</v>
      </c>
      <c r="Q190" s="6">
        <f t="shared" si="29"/>
        <v>15.03</v>
      </c>
      <c r="R190" s="78">
        <v>1</v>
      </c>
      <c r="S190" s="70">
        <v>0</v>
      </c>
      <c r="T190" s="78">
        <v>0</v>
      </c>
      <c r="U190" s="70">
        <v>0</v>
      </c>
      <c r="V190" s="70">
        <v>1</v>
      </c>
      <c r="W190" s="70">
        <v>0</v>
      </c>
      <c r="X190" s="78">
        <v>0</v>
      </c>
      <c r="Y190" s="70">
        <v>1</v>
      </c>
      <c r="Z190" s="70">
        <v>0</v>
      </c>
      <c r="AA190" s="78">
        <v>1</v>
      </c>
      <c r="AB190" s="70">
        <v>0</v>
      </c>
      <c r="AC190" s="69">
        <v>2002</v>
      </c>
      <c r="AD190" t="s">
        <v>57</v>
      </c>
      <c r="AE190" t="s">
        <v>57</v>
      </c>
      <c r="AF190" t="s">
        <v>57</v>
      </c>
      <c r="AG190" t="s">
        <v>57</v>
      </c>
      <c r="AH190" s="28" t="s">
        <v>57</v>
      </c>
      <c r="AI190" t="s">
        <v>57</v>
      </c>
      <c r="AJ190" s="28">
        <v>0</v>
      </c>
      <c r="AK190">
        <v>1</v>
      </c>
      <c r="AL190" s="28">
        <v>0</v>
      </c>
      <c r="AM190">
        <v>1</v>
      </c>
      <c r="AN190">
        <v>0</v>
      </c>
      <c r="AO190">
        <v>1</v>
      </c>
      <c r="AP190" s="81">
        <f t="shared" si="30"/>
        <v>0.66</v>
      </c>
      <c r="AQ190" s="82">
        <f t="shared" si="33"/>
        <v>0.33999999999999997</v>
      </c>
      <c r="AR190">
        <v>1</v>
      </c>
      <c r="AS190">
        <v>0</v>
      </c>
      <c r="AT190">
        <f t="shared" si="32"/>
        <v>0</v>
      </c>
      <c r="AU190" s="62" t="s">
        <v>343</v>
      </c>
      <c r="AV190">
        <v>0</v>
      </c>
      <c r="AW190">
        <v>1</v>
      </c>
      <c r="AX190">
        <v>0</v>
      </c>
      <c r="AY190">
        <v>0</v>
      </c>
      <c r="AZ190">
        <v>0</v>
      </c>
      <c r="BA190">
        <v>0</v>
      </c>
      <c r="BB190">
        <v>0</v>
      </c>
      <c r="BC190">
        <v>0</v>
      </c>
      <c r="BD190">
        <v>1</v>
      </c>
      <c r="BE190">
        <v>0</v>
      </c>
      <c r="BF190">
        <v>942</v>
      </c>
      <c r="BG190">
        <v>131</v>
      </c>
      <c r="BH190">
        <v>0.29299999999999998</v>
      </c>
      <c r="BI190" s="80">
        <f t="shared" si="31"/>
        <v>34.78</v>
      </c>
      <c r="BJ190">
        <v>0</v>
      </c>
      <c r="BK190">
        <v>0</v>
      </c>
      <c r="BL190">
        <v>1</v>
      </c>
      <c r="BM190">
        <v>0</v>
      </c>
      <c r="BN190">
        <v>0</v>
      </c>
      <c r="BO190">
        <v>0</v>
      </c>
      <c r="BP190">
        <v>0</v>
      </c>
      <c r="BQ190" s="28">
        <v>0</v>
      </c>
      <c r="BR190">
        <v>0</v>
      </c>
      <c r="BS190">
        <v>0</v>
      </c>
      <c r="BT190" s="28">
        <v>0</v>
      </c>
      <c r="BU190">
        <v>0</v>
      </c>
      <c r="BV190">
        <v>0</v>
      </c>
      <c r="BW190">
        <v>0</v>
      </c>
      <c r="BX190">
        <v>0</v>
      </c>
      <c r="BY190">
        <v>0</v>
      </c>
      <c r="BZ190">
        <v>0</v>
      </c>
      <c r="CA190">
        <v>0</v>
      </c>
      <c r="CB190">
        <v>0</v>
      </c>
      <c r="CC190">
        <v>0</v>
      </c>
      <c r="CD190">
        <v>0</v>
      </c>
      <c r="CE190" s="16">
        <v>0</v>
      </c>
      <c r="CF190">
        <v>0</v>
      </c>
      <c r="CG190">
        <v>1</v>
      </c>
      <c r="CH190">
        <v>0</v>
      </c>
      <c r="CI190">
        <v>1</v>
      </c>
      <c r="CJ190">
        <v>11</v>
      </c>
      <c r="CK190" t="s">
        <v>46</v>
      </c>
    </row>
    <row r="191" spans="1:89" x14ac:dyDescent="0.25">
      <c r="A191">
        <v>190</v>
      </c>
      <c r="B191">
        <v>11</v>
      </c>
      <c r="C191" t="s">
        <v>302</v>
      </c>
      <c r="D191" s="79">
        <v>9.6</v>
      </c>
      <c r="E191" s="6">
        <f t="shared" si="27"/>
        <v>0.8751139471285323</v>
      </c>
      <c r="F191" s="6">
        <v>10.97</v>
      </c>
      <c r="G191" s="78">
        <v>1</v>
      </c>
      <c r="H191" s="70">
        <v>0</v>
      </c>
      <c r="I191" s="70">
        <v>0</v>
      </c>
      <c r="J191" s="70">
        <v>0</v>
      </c>
      <c r="K191" s="70">
        <v>0</v>
      </c>
      <c r="L191" s="78">
        <v>394</v>
      </c>
      <c r="M191" s="70">
        <v>11</v>
      </c>
      <c r="N191" s="70">
        <f t="shared" si="24"/>
        <v>382</v>
      </c>
      <c r="O191" s="60">
        <f t="shared" si="25"/>
        <v>36</v>
      </c>
      <c r="P191" s="6">
        <f t="shared" si="28"/>
        <v>12.22</v>
      </c>
      <c r="Q191" s="6">
        <f t="shared" si="29"/>
        <v>15.03</v>
      </c>
      <c r="R191" s="78">
        <v>1</v>
      </c>
      <c r="S191" s="70">
        <v>0</v>
      </c>
      <c r="T191" s="78">
        <v>0</v>
      </c>
      <c r="U191" s="70">
        <v>0</v>
      </c>
      <c r="V191" s="70">
        <v>1</v>
      </c>
      <c r="W191" s="70">
        <v>0</v>
      </c>
      <c r="X191" s="78">
        <v>0</v>
      </c>
      <c r="Y191" s="70">
        <v>1</v>
      </c>
      <c r="Z191" s="70">
        <v>0</v>
      </c>
      <c r="AA191" s="78">
        <v>1</v>
      </c>
      <c r="AB191" s="70">
        <v>0</v>
      </c>
      <c r="AC191" s="69">
        <v>2002</v>
      </c>
      <c r="AD191" t="s">
        <v>57</v>
      </c>
      <c r="AE191" t="s">
        <v>57</v>
      </c>
      <c r="AF191" t="s">
        <v>57</v>
      </c>
      <c r="AG191" t="s">
        <v>57</v>
      </c>
      <c r="AH191" s="28" t="s">
        <v>57</v>
      </c>
      <c r="AI191" t="s">
        <v>57</v>
      </c>
      <c r="AJ191" s="28">
        <v>0</v>
      </c>
      <c r="AK191">
        <v>1</v>
      </c>
      <c r="AL191" s="28">
        <v>0</v>
      </c>
      <c r="AM191">
        <v>1</v>
      </c>
      <c r="AN191">
        <v>0</v>
      </c>
      <c r="AO191">
        <v>1</v>
      </c>
      <c r="AP191" s="81">
        <f t="shared" si="30"/>
        <v>0.66</v>
      </c>
      <c r="AQ191" s="82">
        <f t="shared" si="33"/>
        <v>0.33999999999999997</v>
      </c>
      <c r="AR191">
        <v>1</v>
      </c>
      <c r="AS191">
        <v>0</v>
      </c>
      <c r="AT191">
        <f t="shared" si="32"/>
        <v>0</v>
      </c>
      <c r="AU191" s="62" t="s">
        <v>343</v>
      </c>
      <c r="AV191">
        <v>0</v>
      </c>
      <c r="AW191">
        <v>1</v>
      </c>
      <c r="AX191">
        <v>0</v>
      </c>
      <c r="AY191">
        <v>0</v>
      </c>
      <c r="AZ191">
        <v>0</v>
      </c>
      <c r="BA191">
        <v>0</v>
      </c>
      <c r="BB191">
        <v>0</v>
      </c>
      <c r="BC191">
        <v>0</v>
      </c>
      <c r="BD191">
        <v>1</v>
      </c>
      <c r="BE191">
        <v>0</v>
      </c>
      <c r="BF191">
        <v>942</v>
      </c>
      <c r="BG191">
        <v>131</v>
      </c>
      <c r="BH191">
        <v>0.29299999999999998</v>
      </c>
      <c r="BI191" s="80">
        <f t="shared" si="31"/>
        <v>34.78</v>
      </c>
      <c r="BJ191">
        <v>1</v>
      </c>
      <c r="BK191">
        <v>0</v>
      </c>
      <c r="BL191">
        <v>0</v>
      </c>
      <c r="BM191">
        <v>0</v>
      </c>
      <c r="BN191">
        <v>0</v>
      </c>
      <c r="BO191">
        <v>0</v>
      </c>
      <c r="BP191">
        <v>0</v>
      </c>
      <c r="BQ191" s="28">
        <v>0</v>
      </c>
      <c r="BR191">
        <v>0</v>
      </c>
      <c r="BS191">
        <v>0</v>
      </c>
      <c r="BT191" s="28">
        <v>1</v>
      </c>
      <c r="BU191">
        <v>1</v>
      </c>
      <c r="BV191">
        <v>1</v>
      </c>
      <c r="BW191">
        <v>0</v>
      </c>
      <c r="BX191">
        <v>0</v>
      </c>
      <c r="BY191">
        <v>0</v>
      </c>
      <c r="BZ191">
        <v>1</v>
      </c>
      <c r="CA191">
        <v>1</v>
      </c>
      <c r="CB191">
        <v>0</v>
      </c>
      <c r="CC191">
        <v>0</v>
      </c>
      <c r="CD191">
        <v>0</v>
      </c>
      <c r="CE191" s="16">
        <v>0</v>
      </c>
      <c r="CF191">
        <v>0</v>
      </c>
      <c r="CG191">
        <v>1</v>
      </c>
      <c r="CH191">
        <v>0</v>
      </c>
      <c r="CI191">
        <v>1</v>
      </c>
      <c r="CJ191">
        <v>11</v>
      </c>
      <c r="CK191" t="s">
        <v>46</v>
      </c>
    </row>
    <row r="192" spans="1:89" x14ac:dyDescent="0.25">
      <c r="A192">
        <v>191</v>
      </c>
      <c r="B192">
        <v>11</v>
      </c>
      <c r="C192" t="s">
        <v>302</v>
      </c>
      <c r="D192" s="79">
        <v>4.5</v>
      </c>
      <c r="E192" s="6">
        <f t="shared" si="27"/>
        <v>2.2058823529411766</v>
      </c>
      <c r="F192" s="6">
        <v>2.04</v>
      </c>
      <c r="G192" s="78">
        <v>1</v>
      </c>
      <c r="H192" s="70">
        <v>0</v>
      </c>
      <c r="I192" s="70">
        <v>0</v>
      </c>
      <c r="J192" s="70">
        <v>0</v>
      </c>
      <c r="K192" s="70">
        <v>0</v>
      </c>
      <c r="L192" s="78">
        <v>394</v>
      </c>
      <c r="M192" s="70">
        <v>3</v>
      </c>
      <c r="N192" s="70">
        <f t="shared" si="24"/>
        <v>390</v>
      </c>
      <c r="O192" s="60">
        <f t="shared" si="25"/>
        <v>36</v>
      </c>
      <c r="P192" s="6">
        <f t="shared" si="28"/>
        <v>12.22</v>
      </c>
      <c r="Q192" s="6">
        <f t="shared" si="29"/>
        <v>15.03</v>
      </c>
      <c r="R192" s="78">
        <v>1</v>
      </c>
      <c r="S192" s="70">
        <v>0</v>
      </c>
      <c r="T192" s="78">
        <v>0</v>
      </c>
      <c r="U192" s="70">
        <v>0</v>
      </c>
      <c r="V192" s="70">
        <v>1</v>
      </c>
      <c r="W192" s="70">
        <v>0</v>
      </c>
      <c r="X192" s="78">
        <v>0</v>
      </c>
      <c r="Y192" s="70">
        <v>1</v>
      </c>
      <c r="Z192" s="70">
        <v>0</v>
      </c>
      <c r="AA192" s="78">
        <v>1</v>
      </c>
      <c r="AB192" s="70">
        <v>0</v>
      </c>
      <c r="AC192" s="69">
        <v>2002</v>
      </c>
      <c r="AD192" t="s">
        <v>57</v>
      </c>
      <c r="AE192" t="s">
        <v>57</v>
      </c>
      <c r="AF192" t="s">
        <v>57</v>
      </c>
      <c r="AG192" t="s">
        <v>57</v>
      </c>
      <c r="AH192" s="28" t="s">
        <v>57</v>
      </c>
      <c r="AI192" t="s">
        <v>57</v>
      </c>
      <c r="AJ192" s="28">
        <v>0</v>
      </c>
      <c r="AK192">
        <v>1</v>
      </c>
      <c r="AL192" s="28">
        <v>0</v>
      </c>
      <c r="AM192">
        <v>1</v>
      </c>
      <c r="AN192">
        <v>0</v>
      </c>
      <c r="AO192">
        <v>1</v>
      </c>
      <c r="AP192" s="81">
        <f t="shared" si="30"/>
        <v>0.66</v>
      </c>
      <c r="AQ192" s="82">
        <f t="shared" si="33"/>
        <v>0.33999999999999997</v>
      </c>
      <c r="AR192">
        <v>1</v>
      </c>
      <c r="AS192">
        <v>0</v>
      </c>
      <c r="AT192">
        <f t="shared" si="32"/>
        <v>0</v>
      </c>
      <c r="AU192" s="62" t="s">
        <v>343</v>
      </c>
      <c r="AV192">
        <v>0</v>
      </c>
      <c r="AW192">
        <v>1</v>
      </c>
      <c r="AX192">
        <v>0</v>
      </c>
      <c r="AY192">
        <v>0</v>
      </c>
      <c r="AZ192">
        <v>0</v>
      </c>
      <c r="BA192">
        <v>0</v>
      </c>
      <c r="BB192">
        <v>0</v>
      </c>
      <c r="BC192">
        <v>0</v>
      </c>
      <c r="BD192">
        <v>1</v>
      </c>
      <c r="BE192">
        <v>0</v>
      </c>
      <c r="BF192">
        <v>942</v>
      </c>
      <c r="BG192">
        <v>131</v>
      </c>
      <c r="BH192">
        <v>0.29299999999999998</v>
      </c>
      <c r="BI192" s="80">
        <f t="shared" si="31"/>
        <v>34.78</v>
      </c>
      <c r="BJ192">
        <v>0</v>
      </c>
      <c r="BK192">
        <v>0</v>
      </c>
      <c r="BL192">
        <v>1</v>
      </c>
      <c r="BM192">
        <v>0</v>
      </c>
      <c r="BN192">
        <v>0</v>
      </c>
      <c r="BO192">
        <v>0</v>
      </c>
      <c r="BP192">
        <v>0</v>
      </c>
      <c r="BQ192" s="28">
        <v>0</v>
      </c>
      <c r="BR192">
        <v>0</v>
      </c>
      <c r="BS192">
        <v>0</v>
      </c>
      <c r="BT192" s="28">
        <v>0</v>
      </c>
      <c r="BU192">
        <v>0</v>
      </c>
      <c r="BV192">
        <v>1</v>
      </c>
      <c r="BW192">
        <v>0</v>
      </c>
      <c r="BX192">
        <v>0</v>
      </c>
      <c r="BY192">
        <v>0</v>
      </c>
      <c r="BZ192">
        <v>0</v>
      </c>
      <c r="CA192">
        <v>1</v>
      </c>
      <c r="CB192">
        <v>0</v>
      </c>
      <c r="CC192">
        <v>0</v>
      </c>
      <c r="CD192">
        <v>0</v>
      </c>
      <c r="CE192" s="16">
        <v>0</v>
      </c>
      <c r="CF192">
        <v>0</v>
      </c>
      <c r="CG192">
        <v>1</v>
      </c>
      <c r="CH192">
        <v>0</v>
      </c>
      <c r="CI192">
        <v>1</v>
      </c>
      <c r="CJ192">
        <v>11</v>
      </c>
      <c r="CK192" t="s">
        <v>46</v>
      </c>
    </row>
    <row r="193" spans="1:89" x14ac:dyDescent="0.25">
      <c r="A193">
        <v>192</v>
      </c>
      <c r="B193">
        <v>11</v>
      </c>
      <c r="C193" t="s">
        <v>302</v>
      </c>
      <c r="D193" s="79">
        <v>10.8</v>
      </c>
      <c r="E193" s="6">
        <f t="shared" si="27"/>
        <v>1.1513859275053304</v>
      </c>
      <c r="F193" s="6">
        <v>9.3800000000000008</v>
      </c>
      <c r="G193" s="78">
        <v>1</v>
      </c>
      <c r="H193" s="70">
        <v>0</v>
      </c>
      <c r="I193" s="70">
        <v>0</v>
      </c>
      <c r="J193" s="70">
        <v>0</v>
      </c>
      <c r="K193" s="70">
        <v>0</v>
      </c>
      <c r="L193" s="78">
        <v>394</v>
      </c>
      <c r="M193" s="70">
        <v>9</v>
      </c>
      <c r="N193" s="70">
        <f t="shared" si="24"/>
        <v>384</v>
      </c>
      <c r="O193" s="60">
        <f t="shared" si="25"/>
        <v>36</v>
      </c>
      <c r="P193" s="6">
        <f t="shared" si="28"/>
        <v>12.22</v>
      </c>
      <c r="Q193" s="6">
        <f t="shared" si="29"/>
        <v>15.03</v>
      </c>
      <c r="R193" s="78">
        <v>1</v>
      </c>
      <c r="S193" s="70">
        <v>0</v>
      </c>
      <c r="T193" s="78">
        <v>0</v>
      </c>
      <c r="U193" s="70">
        <v>0</v>
      </c>
      <c r="V193" s="70">
        <v>1</v>
      </c>
      <c r="W193" s="70">
        <v>0</v>
      </c>
      <c r="X193" s="78">
        <v>0</v>
      </c>
      <c r="Y193" s="70">
        <v>1</v>
      </c>
      <c r="Z193" s="70">
        <v>0</v>
      </c>
      <c r="AA193" s="78">
        <v>1</v>
      </c>
      <c r="AB193" s="70">
        <v>0</v>
      </c>
      <c r="AC193" s="69">
        <v>2002</v>
      </c>
      <c r="AD193" t="s">
        <v>57</v>
      </c>
      <c r="AE193" t="s">
        <v>57</v>
      </c>
      <c r="AF193" t="s">
        <v>57</v>
      </c>
      <c r="AG193" t="s">
        <v>57</v>
      </c>
      <c r="AH193" s="28" t="s">
        <v>57</v>
      </c>
      <c r="AI193" t="s">
        <v>57</v>
      </c>
      <c r="AJ193" s="28">
        <v>0</v>
      </c>
      <c r="AK193">
        <v>1</v>
      </c>
      <c r="AL193" s="28">
        <v>0</v>
      </c>
      <c r="AM193">
        <v>1</v>
      </c>
      <c r="AN193">
        <v>0</v>
      </c>
      <c r="AO193">
        <v>1</v>
      </c>
      <c r="AP193" s="81">
        <f t="shared" si="30"/>
        <v>0.66</v>
      </c>
      <c r="AQ193" s="82">
        <f t="shared" si="33"/>
        <v>0.33999999999999997</v>
      </c>
      <c r="AR193">
        <v>1</v>
      </c>
      <c r="AS193">
        <v>0</v>
      </c>
      <c r="AT193">
        <f t="shared" si="32"/>
        <v>0</v>
      </c>
      <c r="AU193" s="62" t="s">
        <v>343</v>
      </c>
      <c r="AV193">
        <v>0</v>
      </c>
      <c r="AW193">
        <v>1</v>
      </c>
      <c r="AX193">
        <v>0</v>
      </c>
      <c r="AY193">
        <v>0</v>
      </c>
      <c r="AZ193">
        <v>0</v>
      </c>
      <c r="BA193">
        <v>0</v>
      </c>
      <c r="BB193">
        <v>0</v>
      </c>
      <c r="BC193">
        <v>0</v>
      </c>
      <c r="BD193">
        <v>1</v>
      </c>
      <c r="BE193">
        <v>0</v>
      </c>
      <c r="BF193">
        <v>942</v>
      </c>
      <c r="BG193">
        <v>131</v>
      </c>
      <c r="BH193">
        <v>0.29299999999999998</v>
      </c>
      <c r="BI193" s="80">
        <f t="shared" si="31"/>
        <v>34.78</v>
      </c>
      <c r="BJ193">
        <v>0</v>
      </c>
      <c r="BK193">
        <v>0</v>
      </c>
      <c r="BL193">
        <v>0</v>
      </c>
      <c r="BM193">
        <v>0</v>
      </c>
      <c r="BN193">
        <v>0</v>
      </c>
      <c r="BO193">
        <v>0</v>
      </c>
      <c r="BP193">
        <v>1</v>
      </c>
      <c r="BQ193" s="28">
        <v>0</v>
      </c>
      <c r="BR193">
        <v>1</v>
      </c>
      <c r="BS193">
        <v>0</v>
      </c>
      <c r="BT193" s="28">
        <v>1</v>
      </c>
      <c r="BU193">
        <v>1</v>
      </c>
      <c r="BV193">
        <v>0</v>
      </c>
      <c r="BW193">
        <v>0</v>
      </c>
      <c r="BX193">
        <v>0</v>
      </c>
      <c r="BY193">
        <v>0</v>
      </c>
      <c r="BZ193">
        <v>1</v>
      </c>
      <c r="CA193">
        <v>0</v>
      </c>
      <c r="CB193">
        <v>0</v>
      </c>
      <c r="CC193">
        <v>0</v>
      </c>
      <c r="CD193">
        <v>0</v>
      </c>
      <c r="CE193" s="16">
        <v>0</v>
      </c>
      <c r="CF193">
        <v>0</v>
      </c>
      <c r="CG193">
        <v>1</v>
      </c>
      <c r="CH193">
        <v>0</v>
      </c>
      <c r="CI193">
        <v>1</v>
      </c>
      <c r="CJ193">
        <v>11</v>
      </c>
      <c r="CK193" t="s">
        <v>46</v>
      </c>
    </row>
    <row r="194" spans="1:89" x14ac:dyDescent="0.25">
      <c r="A194">
        <v>193</v>
      </c>
      <c r="B194">
        <v>11</v>
      </c>
      <c r="C194" t="s">
        <v>302</v>
      </c>
      <c r="D194" s="79">
        <v>7.5</v>
      </c>
      <c r="E194" s="6">
        <f t="shared" si="27"/>
        <v>3.7688442211055277</v>
      </c>
      <c r="F194" s="6">
        <v>1.99</v>
      </c>
      <c r="G194" s="78">
        <v>1</v>
      </c>
      <c r="H194" s="70">
        <v>0</v>
      </c>
      <c r="I194" s="70">
        <v>0</v>
      </c>
      <c r="J194" s="70">
        <v>0</v>
      </c>
      <c r="K194" s="70">
        <v>0</v>
      </c>
      <c r="L194" s="78">
        <v>394</v>
      </c>
      <c r="M194" s="70">
        <v>1</v>
      </c>
      <c r="N194" s="70">
        <f t="shared" ref="N194:N257" si="34">L194-M194-1</f>
        <v>392</v>
      </c>
      <c r="O194" s="60">
        <f t="shared" ref="O194:O257" si="35">COUNTIF(B:B,B194)</f>
        <v>36</v>
      </c>
      <c r="P194" s="6">
        <f t="shared" si="28"/>
        <v>12.22</v>
      </c>
      <c r="Q194" s="6">
        <f t="shared" si="29"/>
        <v>15.03</v>
      </c>
      <c r="R194" s="78">
        <v>1</v>
      </c>
      <c r="S194" s="70">
        <v>0</v>
      </c>
      <c r="T194" s="78">
        <v>0</v>
      </c>
      <c r="U194" s="70">
        <v>0</v>
      </c>
      <c r="V194" s="70">
        <v>1</v>
      </c>
      <c r="W194" s="70">
        <v>0</v>
      </c>
      <c r="X194" s="78">
        <v>0</v>
      </c>
      <c r="Y194" s="70">
        <v>1</v>
      </c>
      <c r="Z194" s="70">
        <v>0</v>
      </c>
      <c r="AA194" s="78">
        <v>1</v>
      </c>
      <c r="AB194" s="70">
        <v>0</v>
      </c>
      <c r="AC194" s="69">
        <v>2002</v>
      </c>
      <c r="AD194" t="s">
        <v>57</v>
      </c>
      <c r="AE194" t="s">
        <v>57</v>
      </c>
      <c r="AF194" t="s">
        <v>57</v>
      </c>
      <c r="AG194" t="s">
        <v>57</v>
      </c>
      <c r="AH194" s="28" t="s">
        <v>57</v>
      </c>
      <c r="AI194" t="s">
        <v>57</v>
      </c>
      <c r="AJ194" s="28">
        <v>0</v>
      </c>
      <c r="AK194">
        <v>1</v>
      </c>
      <c r="AL194" s="28">
        <v>0</v>
      </c>
      <c r="AM194">
        <v>1</v>
      </c>
      <c r="AN194">
        <v>0</v>
      </c>
      <c r="AO194">
        <v>1</v>
      </c>
      <c r="AP194" s="81">
        <f t="shared" si="30"/>
        <v>0.66</v>
      </c>
      <c r="AQ194" s="82">
        <f t="shared" si="33"/>
        <v>0.33999999999999997</v>
      </c>
      <c r="AR194">
        <v>1</v>
      </c>
      <c r="AS194">
        <v>0</v>
      </c>
      <c r="AT194">
        <f t="shared" si="32"/>
        <v>0</v>
      </c>
      <c r="AU194" s="62" t="s">
        <v>343</v>
      </c>
      <c r="AV194">
        <v>0</v>
      </c>
      <c r="AW194">
        <v>1</v>
      </c>
      <c r="AX194">
        <v>0</v>
      </c>
      <c r="AY194">
        <v>0</v>
      </c>
      <c r="AZ194">
        <v>0</v>
      </c>
      <c r="BA194">
        <v>0</v>
      </c>
      <c r="BB194">
        <v>0</v>
      </c>
      <c r="BC194">
        <v>0</v>
      </c>
      <c r="BD194">
        <v>1</v>
      </c>
      <c r="BE194">
        <v>0</v>
      </c>
      <c r="BF194">
        <v>942</v>
      </c>
      <c r="BG194">
        <v>131</v>
      </c>
      <c r="BH194">
        <v>0.29299999999999998</v>
      </c>
      <c r="BI194" s="80">
        <f t="shared" si="31"/>
        <v>34.78</v>
      </c>
      <c r="BJ194">
        <v>0</v>
      </c>
      <c r="BK194">
        <v>0</v>
      </c>
      <c r="BL194">
        <v>0</v>
      </c>
      <c r="BM194">
        <v>0</v>
      </c>
      <c r="BN194">
        <v>0</v>
      </c>
      <c r="BO194">
        <v>0</v>
      </c>
      <c r="BP194">
        <v>1</v>
      </c>
      <c r="BQ194" s="28">
        <v>0</v>
      </c>
      <c r="BR194">
        <v>1</v>
      </c>
      <c r="BS194">
        <v>0</v>
      </c>
      <c r="BT194" s="28">
        <v>0</v>
      </c>
      <c r="BU194">
        <v>0</v>
      </c>
      <c r="BV194">
        <v>0</v>
      </c>
      <c r="BW194">
        <v>0</v>
      </c>
      <c r="BX194">
        <v>0</v>
      </c>
      <c r="BY194">
        <v>0</v>
      </c>
      <c r="BZ194">
        <v>0</v>
      </c>
      <c r="CA194">
        <v>0</v>
      </c>
      <c r="CB194">
        <v>0</v>
      </c>
      <c r="CC194">
        <v>0</v>
      </c>
      <c r="CD194">
        <v>0</v>
      </c>
      <c r="CE194" s="16">
        <v>0</v>
      </c>
      <c r="CF194">
        <v>0</v>
      </c>
      <c r="CG194">
        <v>1</v>
      </c>
      <c r="CH194">
        <v>0</v>
      </c>
      <c r="CI194">
        <v>1</v>
      </c>
      <c r="CJ194">
        <v>11</v>
      </c>
      <c r="CK194" t="s">
        <v>46</v>
      </c>
    </row>
    <row r="195" spans="1:89" x14ac:dyDescent="0.25">
      <c r="A195">
        <v>194</v>
      </c>
      <c r="B195">
        <v>11</v>
      </c>
      <c r="C195" t="s">
        <v>302</v>
      </c>
      <c r="D195" s="79">
        <v>10.8</v>
      </c>
      <c r="E195" s="6">
        <f t="shared" si="27"/>
        <v>1.1625403659849303</v>
      </c>
      <c r="F195" s="6">
        <v>9.2899999999999991</v>
      </c>
      <c r="G195" s="78">
        <v>1</v>
      </c>
      <c r="H195" s="70">
        <v>0</v>
      </c>
      <c r="I195" s="70">
        <v>0</v>
      </c>
      <c r="J195" s="70">
        <v>0</v>
      </c>
      <c r="K195" s="70">
        <v>0</v>
      </c>
      <c r="L195" s="78">
        <v>394</v>
      </c>
      <c r="M195" s="70">
        <v>11</v>
      </c>
      <c r="N195" s="70">
        <f t="shared" si="34"/>
        <v>382</v>
      </c>
      <c r="O195" s="60">
        <f t="shared" si="35"/>
        <v>36</v>
      </c>
      <c r="P195" s="6">
        <f t="shared" si="28"/>
        <v>12.22</v>
      </c>
      <c r="Q195" s="6">
        <f t="shared" si="29"/>
        <v>15.03</v>
      </c>
      <c r="R195" s="78">
        <v>1</v>
      </c>
      <c r="S195" s="70">
        <v>0</v>
      </c>
      <c r="T195" s="78">
        <v>0</v>
      </c>
      <c r="U195" s="70">
        <v>0</v>
      </c>
      <c r="V195" s="70">
        <v>1</v>
      </c>
      <c r="W195" s="70">
        <v>0</v>
      </c>
      <c r="X195" s="78">
        <v>0</v>
      </c>
      <c r="Y195" s="70">
        <v>1</v>
      </c>
      <c r="Z195" s="70">
        <v>0</v>
      </c>
      <c r="AA195" s="78">
        <v>1</v>
      </c>
      <c r="AB195" s="70">
        <v>0</v>
      </c>
      <c r="AC195" s="69">
        <v>2002</v>
      </c>
      <c r="AD195" t="s">
        <v>57</v>
      </c>
      <c r="AE195" t="s">
        <v>57</v>
      </c>
      <c r="AF195" t="s">
        <v>57</v>
      </c>
      <c r="AG195" t="s">
        <v>57</v>
      </c>
      <c r="AH195" s="28" t="s">
        <v>57</v>
      </c>
      <c r="AI195" t="s">
        <v>57</v>
      </c>
      <c r="AJ195" s="28">
        <v>0</v>
      </c>
      <c r="AK195">
        <v>1</v>
      </c>
      <c r="AL195" s="28">
        <v>0</v>
      </c>
      <c r="AM195">
        <v>1</v>
      </c>
      <c r="AN195">
        <v>0</v>
      </c>
      <c r="AO195">
        <v>1</v>
      </c>
      <c r="AP195" s="81">
        <f t="shared" si="30"/>
        <v>0.66</v>
      </c>
      <c r="AQ195" s="82">
        <f t="shared" si="33"/>
        <v>0.33999999999999997</v>
      </c>
      <c r="AR195">
        <v>1</v>
      </c>
      <c r="AS195">
        <v>0</v>
      </c>
      <c r="AT195">
        <f t="shared" si="32"/>
        <v>0</v>
      </c>
      <c r="AU195" s="62" t="s">
        <v>343</v>
      </c>
      <c r="AV195">
        <v>0</v>
      </c>
      <c r="AW195">
        <v>1</v>
      </c>
      <c r="AX195">
        <v>0</v>
      </c>
      <c r="AY195">
        <v>0</v>
      </c>
      <c r="AZ195">
        <v>0</v>
      </c>
      <c r="BA195">
        <v>0</v>
      </c>
      <c r="BB195">
        <v>0</v>
      </c>
      <c r="BC195">
        <v>0</v>
      </c>
      <c r="BD195">
        <v>1</v>
      </c>
      <c r="BE195">
        <v>0</v>
      </c>
      <c r="BF195">
        <v>942</v>
      </c>
      <c r="BG195">
        <v>131</v>
      </c>
      <c r="BH195">
        <v>0.29299999999999998</v>
      </c>
      <c r="BI195" s="80">
        <f t="shared" si="31"/>
        <v>34.78</v>
      </c>
      <c r="BJ195">
        <v>0</v>
      </c>
      <c r="BK195">
        <v>0</v>
      </c>
      <c r="BL195">
        <v>0</v>
      </c>
      <c r="BM195">
        <v>0</v>
      </c>
      <c r="BN195">
        <v>0</v>
      </c>
      <c r="BO195">
        <v>0</v>
      </c>
      <c r="BP195">
        <v>1</v>
      </c>
      <c r="BQ195" s="28">
        <v>0</v>
      </c>
      <c r="BR195">
        <v>1</v>
      </c>
      <c r="BS195">
        <v>0</v>
      </c>
      <c r="BT195" s="28">
        <v>1</v>
      </c>
      <c r="BU195">
        <v>1</v>
      </c>
      <c r="BV195">
        <v>1</v>
      </c>
      <c r="BW195">
        <v>0</v>
      </c>
      <c r="BX195">
        <v>0</v>
      </c>
      <c r="BY195">
        <v>0</v>
      </c>
      <c r="BZ195">
        <v>1</v>
      </c>
      <c r="CA195">
        <v>1</v>
      </c>
      <c r="CB195">
        <v>0</v>
      </c>
      <c r="CC195">
        <v>0</v>
      </c>
      <c r="CD195">
        <v>0</v>
      </c>
      <c r="CE195" s="16">
        <v>0</v>
      </c>
      <c r="CF195">
        <v>0</v>
      </c>
      <c r="CG195">
        <v>1</v>
      </c>
      <c r="CH195">
        <v>0</v>
      </c>
      <c r="CI195">
        <v>1</v>
      </c>
      <c r="CJ195">
        <v>11</v>
      </c>
      <c r="CK195" t="s">
        <v>46</v>
      </c>
    </row>
    <row r="196" spans="1:89" x14ac:dyDescent="0.25">
      <c r="A196">
        <v>195</v>
      </c>
      <c r="B196">
        <v>11</v>
      </c>
      <c r="C196" t="s">
        <v>302</v>
      </c>
      <c r="D196" s="79">
        <v>7.1</v>
      </c>
      <c r="E196" s="6">
        <f t="shared" si="27"/>
        <v>3.736842105263158</v>
      </c>
      <c r="F196" s="6">
        <v>1.9</v>
      </c>
      <c r="G196" s="78">
        <v>1</v>
      </c>
      <c r="H196" s="70">
        <v>0</v>
      </c>
      <c r="I196" s="70">
        <v>0</v>
      </c>
      <c r="J196" s="70">
        <v>0</v>
      </c>
      <c r="K196" s="70">
        <v>0</v>
      </c>
      <c r="L196" s="78">
        <v>394</v>
      </c>
      <c r="M196" s="70">
        <v>3</v>
      </c>
      <c r="N196" s="70">
        <f t="shared" si="34"/>
        <v>390</v>
      </c>
      <c r="O196" s="60">
        <f t="shared" si="35"/>
        <v>36</v>
      </c>
      <c r="P196" s="6">
        <f t="shared" si="28"/>
        <v>12.22</v>
      </c>
      <c r="Q196" s="6">
        <f t="shared" si="29"/>
        <v>15.03</v>
      </c>
      <c r="R196" s="78">
        <v>1</v>
      </c>
      <c r="S196" s="70">
        <v>0</v>
      </c>
      <c r="T196" s="78">
        <v>0</v>
      </c>
      <c r="U196" s="70">
        <v>0</v>
      </c>
      <c r="V196" s="70">
        <v>1</v>
      </c>
      <c r="W196" s="70">
        <v>0</v>
      </c>
      <c r="X196" s="78">
        <v>0</v>
      </c>
      <c r="Y196" s="70">
        <v>1</v>
      </c>
      <c r="Z196" s="70">
        <v>0</v>
      </c>
      <c r="AA196" s="78">
        <v>1</v>
      </c>
      <c r="AB196" s="70">
        <v>0</v>
      </c>
      <c r="AC196" s="69">
        <v>2002</v>
      </c>
      <c r="AD196" t="s">
        <v>57</v>
      </c>
      <c r="AE196" t="s">
        <v>57</v>
      </c>
      <c r="AF196" t="s">
        <v>57</v>
      </c>
      <c r="AG196" t="s">
        <v>57</v>
      </c>
      <c r="AH196" s="28" t="s">
        <v>57</v>
      </c>
      <c r="AI196" t="s">
        <v>57</v>
      </c>
      <c r="AJ196" s="28">
        <v>0</v>
      </c>
      <c r="AK196">
        <v>1</v>
      </c>
      <c r="AL196" s="28">
        <v>0</v>
      </c>
      <c r="AM196">
        <v>1</v>
      </c>
      <c r="AN196">
        <v>0</v>
      </c>
      <c r="AO196">
        <v>1</v>
      </c>
      <c r="AP196" s="81">
        <f t="shared" si="30"/>
        <v>0.66</v>
      </c>
      <c r="AQ196" s="82">
        <f t="shared" si="33"/>
        <v>0.33999999999999997</v>
      </c>
      <c r="AR196">
        <v>1</v>
      </c>
      <c r="AS196">
        <v>0</v>
      </c>
      <c r="AT196">
        <f t="shared" si="32"/>
        <v>0</v>
      </c>
      <c r="AU196" s="62" t="s">
        <v>343</v>
      </c>
      <c r="AV196">
        <v>0</v>
      </c>
      <c r="AW196">
        <v>1</v>
      </c>
      <c r="AX196">
        <v>0</v>
      </c>
      <c r="AY196">
        <v>0</v>
      </c>
      <c r="AZ196">
        <v>0</v>
      </c>
      <c r="BA196">
        <v>0</v>
      </c>
      <c r="BB196">
        <v>0</v>
      </c>
      <c r="BC196">
        <v>0</v>
      </c>
      <c r="BD196">
        <v>1</v>
      </c>
      <c r="BE196">
        <v>0</v>
      </c>
      <c r="BF196">
        <v>942</v>
      </c>
      <c r="BG196">
        <v>131</v>
      </c>
      <c r="BH196">
        <v>0.29299999999999998</v>
      </c>
      <c r="BI196" s="80">
        <f t="shared" si="31"/>
        <v>34.78</v>
      </c>
      <c r="BJ196">
        <v>0</v>
      </c>
      <c r="BK196">
        <v>0</v>
      </c>
      <c r="BL196">
        <v>0</v>
      </c>
      <c r="BM196">
        <v>0</v>
      </c>
      <c r="BN196">
        <v>0</v>
      </c>
      <c r="BO196">
        <v>0</v>
      </c>
      <c r="BP196">
        <v>1</v>
      </c>
      <c r="BQ196" s="28">
        <v>0</v>
      </c>
      <c r="BR196">
        <v>1</v>
      </c>
      <c r="BS196">
        <v>0</v>
      </c>
      <c r="BT196" s="28">
        <v>0</v>
      </c>
      <c r="BU196">
        <v>0</v>
      </c>
      <c r="BV196">
        <v>1</v>
      </c>
      <c r="BW196">
        <v>0</v>
      </c>
      <c r="BX196">
        <v>0</v>
      </c>
      <c r="BY196">
        <v>0</v>
      </c>
      <c r="BZ196">
        <v>0</v>
      </c>
      <c r="CA196">
        <v>1</v>
      </c>
      <c r="CB196">
        <v>0</v>
      </c>
      <c r="CC196">
        <v>0</v>
      </c>
      <c r="CD196">
        <v>0</v>
      </c>
      <c r="CE196" s="16">
        <v>0</v>
      </c>
      <c r="CF196">
        <v>0</v>
      </c>
      <c r="CG196">
        <v>1</v>
      </c>
      <c r="CH196">
        <v>0</v>
      </c>
      <c r="CI196">
        <v>1</v>
      </c>
      <c r="CJ196">
        <v>11</v>
      </c>
      <c r="CK196" t="s">
        <v>46</v>
      </c>
    </row>
    <row r="197" spans="1:89" x14ac:dyDescent="0.25">
      <c r="A197">
        <v>196</v>
      </c>
      <c r="B197">
        <v>11</v>
      </c>
      <c r="C197" t="s">
        <v>302</v>
      </c>
      <c r="D197" s="79">
        <v>7.6</v>
      </c>
      <c r="E197" s="6">
        <f t="shared" si="27"/>
        <v>0.61939690301548489</v>
      </c>
      <c r="F197" s="6">
        <v>12.27</v>
      </c>
      <c r="G197" s="78">
        <v>1</v>
      </c>
      <c r="H197" s="70">
        <v>0</v>
      </c>
      <c r="I197" s="70">
        <v>0</v>
      </c>
      <c r="J197" s="70">
        <v>0</v>
      </c>
      <c r="K197" s="70">
        <v>0</v>
      </c>
      <c r="L197" s="78">
        <v>488</v>
      </c>
      <c r="M197" s="70">
        <v>9</v>
      </c>
      <c r="N197" s="70">
        <f t="shared" si="34"/>
        <v>478</v>
      </c>
      <c r="O197" s="60">
        <f t="shared" si="35"/>
        <v>36</v>
      </c>
      <c r="P197" s="6">
        <f t="shared" si="28"/>
        <v>12.22</v>
      </c>
      <c r="Q197" s="6">
        <f t="shared" si="29"/>
        <v>15.03</v>
      </c>
      <c r="R197" s="78">
        <v>1</v>
      </c>
      <c r="S197" s="70">
        <v>0</v>
      </c>
      <c r="T197" s="78">
        <v>0</v>
      </c>
      <c r="U197" s="70">
        <v>0</v>
      </c>
      <c r="V197" s="70">
        <v>1</v>
      </c>
      <c r="W197" s="70">
        <v>0</v>
      </c>
      <c r="X197" s="78">
        <v>0</v>
      </c>
      <c r="Y197" s="70">
        <v>1</v>
      </c>
      <c r="Z197" s="70">
        <v>0</v>
      </c>
      <c r="AA197" s="78">
        <v>1</v>
      </c>
      <c r="AB197" s="70">
        <v>0</v>
      </c>
      <c r="AC197" s="69">
        <v>2002</v>
      </c>
      <c r="AD197" t="s">
        <v>57</v>
      </c>
      <c r="AE197" t="s">
        <v>57</v>
      </c>
      <c r="AF197" t="s">
        <v>57</v>
      </c>
      <c r="AG197" t="s">
        <v>57</v>
      </c>
      <c r="AH197" s="28" t="s">
        <v>57</v>
      </c>
      <c r="AI197" t="s">
        <v>57</v>
      </c>
      <c r="AJ197" s="28">
        <v>0</v>
      </c>
      <c r="AK197">
        <v>1</v>
      </c>
      <c r="AL197" s="28">
        <v>0</v>
      </c>
      <c r="AM197">
        <v>1</v>
      </c>
      <c r="AN197">
        <v>0</v>
      </c>
      <c r="AO197">
        <v>1</v>
      </c>
      <c r="AP197" s="81">
        <f t="shared" si="30"/>
        <v>0.66</v>
      </c>
      <c r="AQ197" s="82">
        <f t="shared" si="33"/>
        <v>0.33999999999999997</v>
      </c>
      <c r="AR197">
        <v>1</v>
      </c>
      <c r="AS197">
        <v>0</v>
      </c>
      <c r="AT197">
        <f t="shared" si="32"/>
        <v>0</v>
      </c>
      <c r="AU197" s="62" t="s">
        <v>343</v>
      </c>
      <c r="AV197">
        <v>0</v>
      </c>
      <c r="AW197">
        <v>1</v>
      </c>
      <c r="AX197">
        <v>0</v>
      </c>
      <c r="AY197">
        <v>0</v>
      </c>
      <c r="AZ197">
        <v>0</v>
      </c>
      <c r="BA197">
        <v>0</v>
      </c>
      <c r="BB197">
        <v>0</v>
      </c>
      <c r="BC197">
        <v>0</v>
      </c>
      <c r="BD197">
        <v>1</v>
      </c>
      <c r="BE197">
        <v>0</v>
      </c>
      <c r="BF197">
        <v>942</v>
      </c>
      <c r="BG197">
        <v>131</v>
      </c>
      <c r="BH197">
        <v>0.29299999999999998</v>
      </c>
      <c r="BI197" s="80">
        <f t="shared" si="31"/>
        <v>34.78</v>
      </c>
      <c r="BJ197">
        <v>0</v>
      </c>
      <c r="BK197">
        <v>1</v>
      </c>
      <c r="BL197">
        <v>0</v>
      </c>
      <c r="BM197">
        <v>0</v>
      </c>
      <c r="BN197">
        <v>0</v>
      </c>
      <c r="BO197">
        <v>0</v>
      </c>
      <c r="BP197">
        <v>0</v>
      </c>
      <c r="BQ197" s="28">
        <v>0</v>
      </c>
      <c r="BR197">
        <v>0</v>
      </c>
      <c r="BS197">
        <v>0</v>
      </c>
      <c r="BT197" s="28">
        <v>1</v>
      </c>
      <c r="BU197">
        <v>1</v>
      </c>
      <c r="BV197">
        <v>0</v>
      </c>
      <c r="BW197">
        <v>0</v>
      </c>
      <c r="BX197">
        <v>0</v>
      </c>
      <c r="BY197">
        <v>0</v>
      </c>
      <c r="BZ197">
        <v>1</v>
      </c>
      <c r="CA197">
        <v>0</v>
      </c>
      <c r="CB197">
        <v>0</v>
      </c>
      <c r="CC197">
        <v>0</v>
      </c>
      <c r="CD197">
        <v>0</v>
      </c>
      <c r="CE197" s="16">
        <v>0</v>
      </c>
      <c r="CF197">
        <v>0</v>
      </c>
      <c r="CG197">
        <v>1</v>
      </c>
      <c r="CH197">
        <v>0</v>
      </c>
      <c r="CI197">
        <v>1</v>
      </c>
      <c r="CJ197">
        <v>11</v>
      </c>
      <c r="CK197" t="s">
        <v>46</v>
      </c>
    </row>
    <row r="198" spans="1:89" x14ac:dyDescent="0.25">
      <c r="A198">
        <v>197</v>
      </c>
      <c r="B198">
        <v>11</v>
      </c>
      <c r="C198" t="s">
        <v>302</v>
      </c>
      <c r="D198" s="79">
        <v>2.5</v>
      </c>
      <c r="E198" s="6">
        <f t="shared" si="27"/>
        <v>1.2135922330097086</v>
      </c>
      <c r="F198" s="6">
        <v>2.06</v>
      </c>
      <c r="G198" s="78">
        <v>1</v>
      </c>
      <c r="H198" s="70">
        <v>0</v>
      </c>
      <c r="I198" s="70">
        <v>0</v>
      </c>
      <c r="J198" s="70">
        <v>0</v>
      </c>
      <c r="K198" s="70">
        <v>0</v>
      </c>
      <c r="L198" s="78">
        <v>488</v>
      </c>
      <c r="M198" s="70">
        <v>10</v>
      </c>
      <c r="N198" s="70">
        <f t="shared" si="34"/>
        <v>477</v>
      </c>
      <c r="O198" s="60">
        <f t="shared" si="35"/>
        <v>36</v>
      </c>
      <c r="P198" s="6">
        <f t="shared" si="28"/>
        <v>12.22</v>
      </c>
      <c r="Q198" s="6">
        <f t="shared" si="29"/>
        <v>15.03</v>
      </c>
      <c r="R198" s="78">
        <v>1</v>
      </c>
      <c r="S198" s="70">
        <v>0</v>
      </c>
      <c r="T198" s="78">
        <v>0</v>
      </c>
      <c r="U198" s="70">
        <v>0</v>
      </c>
      <c r="V198" s="70">
        <v>1</v>
      </c>
      <c r="W198" s="70">
        <v>0</v>
      </c>
      <c r="X198" s="78">
        <v>0</v>
      </c>
      <c r="Y198" s="70">
        <v>1</v>
      </c>
      <c r="Z198" s="70">
        <v>0</v>
      </c>
      <c r="AA198" s="78">
        <v>1</v>
      </c>
      <c r="AB198" s="70">
        <v>0</v>
      </c>
      <c r="AC198" s="69">
        <v>2002</v>
      </c>
      <c r="AD198" t="s">
        <v>57</v>
      </c>
      <c r="AE198" t="s">
        <v>57</v>
      </c>
      <c r="AF198" t="s">
        <v>57</v>
      </c>
      <c r="AG198" t="s">
        <v>57</v>
      </c>
      <c r="AH198" s="28" t="s">
        <v>57</v>
      </c>
      <c r="AI198" t="s">
        <v>57</v>
      </c>
      <c r="AJ198" s="28">
        <v>0</v>
      </c>
      <c r="AK198">
        <v>1</v>
      </c>
      <c r="AL198" s="28">
        <v>0</v>
      </c>
      <c r="AM198">
        <v>1</v>
      </c>
      <c r="AN198">
        <v>0</v>
      </c>
      <c r="AO198">
        <v>1</v>
      </c>
      <c r="AP198" s="81">
        <f t="shared" si="30"/>
        <v>0.66</v>
      </c>
      <c r="AQ198" s="82">
        <f t="shared" si="33"/>
        <v>0.33999999999999997</v>
      </c>
      <c r="AR198">
        <v>1</v>
      </c>
      <c r="AS198">
        <v>0</v>
      </c>
      <c r="AT198">
        <f t="shared" si="32"/>
        <v>0</v>
      </c>
      <c r="AU198" s="62" t="s">
        <v>343</v>
      </c>
      <c r="AV198">
        <v>0</v>
      </c>
      <c r="AW198">
        <v>1</v>
      </c>
      <c r="AX198">
        <v>0</v>
      </c>
      <c r="AY198">
        <v>0</v>
      </c>
      <c r="AZ198">
        <v>0</v>
      </c>
      <c r="BA198">
        <v>0</v>
      </c>
      <c r="BB198">
        <v>0</v>
      </c>
      <c r="BC198">
        <v>0</v>
      </c>
      <c r="BD198">
        <v>1</v>
      </c>
      <c r="BE198">
        <v>0</v>
      </c>
      <c r="BF198">
        <v>942</v>
      </c>
      <c r="BG198">
        <v>131</v>
      </c>
      <c r="BH198">
        <v>0.29299999999999998</v>
      </c>
      <c r="BI198" s="80">
        <f t="shared" si="31"/>
        <v>34.78</v>
      </c>
      <c r="BJ198">
        <v>0</v>
      </c>
      <c r="BK198">
        <v>1</v>
      </c>
      <c r="BL198">
        <v>0</v>
      </c>
      <c r="BM198">
        <v>0</v>
      </c>
      <c r="BN198">
        <v>0</v>
      </c>
      <c r="BO198">
        <v>0</v>
      </c>
      <c r="BP198">
        <v>0</v>
      </c>
      <c r="BQ198" s="28">
        <v>0</v>
      </c>
      <c r="BR198">
        <v>0</v>
      </c>
      <c r="BS198">
        <v>0</v>
      </c>
      <c r="BT198" s="28">
        <v>1</v>
      </c>
      <c r="BU198">
        <v>1</v>
      </c>
      <c r="BV198">
        <v>0</v>
      </c>
      <c r="BW198">
        <v>0</v>
      </c>
      <c r="BX198">
        <v>0</v>
      </c>
      <c r="BY198">
        <v>0</v>
      </c>
      <c r="BZ198">
        <v>1</v>
      </c>
      <c r="CA198">
        <v>0</v>
      </c>
      <c r="CB198">
        <v>0</v>
      </c>
      <c r="CC198">
        <v>0</v>
      </c>
      <c r="CD198">
        <v>0</v>
      </c>
      <c r="CE198" s="16">
        <v>0</v>
      </c>
      <c r="CF198">
        <v>0</v>
      </c>
      <c r="CG198">
        <v>1</v>
      </c>
      <c r="CH198">
        <v>0</v>
      </c>
      <c r="CI198">
        <v>1</v>
      </c>
      <c r="CJ198">
        <v>11</v>
      </c>
      <c r="CK198" t="s">
        <v>46</v>
      </c>
    </row>
    <row r="199" spans="1:89" x14ac:dyDescent="0.25">
      <c r="A199">
        <v>198</v>
      </c>
      <c r="B199">
        <v>11</v>
      </c>
      <c r="C199" t="s">
        <v>302</v>
      </c>
      <c r="D199" s="79">
        <v>2.2000000000000002</v>
      </c>
      <c r="E199" s="6">
        <f t="shared" si="27"/>
        <v>1.1640211640211642</v>
      </c>
      <c r="F199" s="6">
        <v>1.89</v>
      </c>
      <c r="G199" s="78">
        <v>1</v>
      </c>
      <c r="H199" s="70">
        <v>0</v>
      </c>
      <c r="I199" s="70">
        <v>0</v>
      </c>
      <c r="J199" s="70">
        <v>0</v>
      </c>
      <c r="K199" s="70">
        <v>0</v>
      </c>
      <c r="L199" s="78">
        <v>488</v>
      </c>
      <c r="M199" s="70">
        <v>10</v>
      </c>
      <c r="N199" s="70">
        <f t="shared" si="34"/>
        <v>477</v>
      </c>
      <c r="O199" s="60">
        <f t="shared" si="35"/>
        <v>36</v>
      </c>
      <c r="P199" s="6">
        <f t="shared" si="28"/>
        <v>12.22</v>
      </c>
      <c r="Q199" s="6">
        <f t="shared" si="29"/>
        <v>15.03</v>
      </c>
      <c r="R199" s="78">
        <v>1</v>
      </c>
      <c r="S199" s="70">
        <v>0</v>
      </c>
      <c r="T199" s="78">
        <v>0</v>
      </c>
      <c r="U199" s="70">
        <v>0</v>
      </c>
      <c r="V199" s="70">
        <v>1</v>
      </c>
      <c r="W199" s="70">
        <v>0</v>
      </c>
      <c r="X199" s="78">
        <v>0</v>
      </c>
      <c r="Y199" s="70">
        <v>1</v>
      </c>
      <c r="Z199" s="70">
        <v>0</v>
      </c>
      <c r="AA199" s="78">
        <v>1</v>
      </c>
      <c r="AB199" s="70">
        <v>0</v>
      </c>
      <c r="AC199" s="69">
        <v>2002</v>
      </c>
      <c r="AD199" t="s">
        <v>57</v>
      </c>
      <c r="AE199" t="s">
        <v>57</v>
      </c>
      <c r="AF199" t="s">
        <v>57</v>
      </c>
      <c r="AG199" t="s">
        <v>57</v>
      </c>
      <c r="AH199" s="28" t="s">
        <v>57</v>
      </c>
      <c r="AI199" t="s">
        <v>57</v>
      </c>
      <c r="AJ199" s="28">
        <v>0</v>
      </c>
      <c r="AK199">
        <v>1</v>
      </c>
      <c r="AL199" s="28">
        <v>0</v>
      </c>
      <c r="AM199">
        <v>1</v>
      </c>
      <c r="AN199">
        <v>0</v>
      </c>
      <c r="AO199">
        <v>1</v>
      </c>
      <c r="AP199" s="81">
        <f t="shared" si="30"/>
        <v>0.66</v>
      </c>
      <c r="AQ199" s="82">
        <f t="shared" si="33"/>
        <v>0.33999999999999997</v>
      </c>
      <c r="AR199">
        <v>1</v>
      </c>
      <c r="AS199">
        <v>0</v>
      </c>
      <c r="AT199">
        <f t="shared" si="32"/>
        <v>0</v>
      </c>
      <c r="AU199" s="62" t="s">
        <v>343</v>
      </c>
      <c r="AV199">
        <v>0</v>
      </c>
      <c r="AW199">
        <v>1</v>
      </c>
      <c r="AX199">
        <v>0</v>
      </c>
      <c r="AY199">
        <v>0</v>
      </c>
      <c r="AZ199">
        <v>0</v>
      </c>
      <c r="BA199">
        <v>0</v>
      </c>
      <c r="BB199">
        <v>0</v>
      </c>
      <c r="BC199">
        <v>0</v>
      </c>
      <c r="BD199">
        <v>1</v>
      </c>
      <c r="BE199">
        <v>0</v>
      </c>
      <c r="BF199">
        <v>942</v>
      </c>
      <c r="BG199">
        <v>131</v>
      </c>
      <c r="BH199">
        <v>0.29299999999999998</v>
      </c>
      <c r="BI199" s="80">
        <f t="shared" si="31"/>
        <v>34.78</v>
      </c>
      <c r="BJ199">
        <v>0</v>
      </c>
      <c r="BK199">
        <v>0</v>
      </c>
      <c r="BL199">
        <v>0</v>
      </c>
      <c r="BM199">
        <v>0</v>
      </c>
      <c r="BN199">
        <v>0</v>
      </c>
      <c r="BO199">
        <v>0</v>
      </c>
      <c r="BP199">
        <v>1</v>
      </c>
      <c r="BQ199" s="28">
        <v>1</v>
      </c>
      <c r="BR199">
        <v>0</v>
      </c>
      <c r="BS199">
        <v>0</v>
      </c>
      <c r="BT199" s="28">
        <v>1</v>
      </c>
      <c r="BU199">
        <v>1</v>
      </c>
      <c r="BV199">
        <v>0</v>
      </c>
      <c r="BW199">
        <v>0</v>
      </c>
      <c r="BX199">
        <v>0</v>
      </c>
      <c r="BY199">
        <v>0</v>
      </c>
      <c r="BZ199">
        <v>1</v>
      </c>
      <c r="CA199">
        <v>0</v>
      </c>
      <c r="CB199">
        <v>0</v>
      </c>
      <c r="CC199">
        <v>0</v>
      </c>
      <c r="CD199">
        <v>0</v>
      </c>
      <c r="CE199" s="16">
        <v>0</v>
      </c>
      <c r="CF199">
        <v>0</v>
      </c>
      <c r="CG199">
        <v>1</v>
      </c>
      <c r="CH199">
        <v>0</v>
      </c>
      <c r="CI199">
        <v>1</v>
      </c>
      <c r="CJ199">
        <v>11</v>
      </c>
      <c r="CK199" t="s">
        <v>46</v>
      </c>
    </row>
    <row r="200" spans="1:89" x14ac:dyDescent="0.25">
      <c r="A200">
        <v>199</v>
      </c>
      <c r="B200">
        <v>11</v>
      </c>
      <c r="C200" t="s">
        <v>302</v>
      </c>
      <c r="D200" s="79">
        <v>7.7</v>
      </c>
      <c r="E200" s="6">
        <f t="shared" si="27"/>
        <v>0.61946902654867264</v>
      </c>
      <c r="F200" s="6">
        <v>12.43</v>
      </c>
      <c r="G200" s="78">
        <v>1</v>
      </c>
      <c r="H200" s="70">
        <v>0</v>
      </c>
      <c r="I200" s="70">
        <v>0</v>
      </c>
      <c r="J200" s="70">
        <v>0</v>
      </c>
      <c r="K200" s="70">
        <v>0</v>
      </c>
      <c r="L200" s="78">
        <v>488</v>
      </c>
      <c r="M200" s="70">
        <v>11</v>
      </c>
      <c r="N200" s="70">
        <f t="shared" si="34"/>
        <v>476</v>
      </c>
      <c r="O200" s="60">
        <f t="shared" si="35"/>
        <v>36</v>
      </c>
      <c r="P200" s="6">
        <f t="shared" si="28"/>
        <v>12.22</v>
      </c>
      <c r="Q200" s="6">
        <f t="shared" si="29"/>
        <v>15.03</v>
      </c>
      <c r="R200" s="78">
        <v>1</v>
      </c>
      <c r="S200" s="70">
        <v>0</v>
      </c>
      <c r="T200" s="78">
        <v>0</v>
      </c>
      <c r="U200" s="70">
        <v>0</v>
      </c>
      <c r="V200" s="70">
        <v>1</v>
      </c>
      <c r="W200" s="70">
        <v>0</v>
      </c>
      <c r="X200" s="78">
        <v>0</v>
      </c>
      <c r="Y200" s="70">
        <v>1</v>
      </c>
      <c r="Z200" s="70">
        <v>0</v>
      </c>
      <c r="AA200" s="78">
        <v>1</v>
      </c>
      <c r="AB200" s="70">
        <v>0</v>
      </c>
      <c r="AC200" s="69">
        <v>2002</v>
      </c>
      <c r="AD200" t="s">
        <v>57</v>
      </c>
      <c r="AE200" t="s">
        <v>57</v>
      </c>
      <c r="AF200" t="s">
        <v>57</v>
      </c>
      <c r="AG200" t="s">
        <v>57</v>
      </c>
      <c r="AH200" s="28" t="s">
        <v>57</v>
      </c>
      <c r="AI200" t="s">
        <v>57</v>
      </c>
      <c r="AJ200" s="28">
        <v>0</v>
      </c>
      <c r="AK200">
        <v>1</v>
      </c>
      <c r="AL200" s="28">
        <v>0</v>
      </c>
      <c r="AM200">
        <v>1</v>
      </c>
      <c r="AN200">
        <v>0</v>
      </c>
      <c r="AO200">
        <v>1</v>
      </c>
      <c r="AP200" s="81">
        <f t="shared" si="30"/>
        <v>0.66</v>
      </c>
      <c r="AQ200" s="82">
        <f t="shared" si="33"/>
        <v>0.33999999999999997</v>
      </c>
      <c r="AR200">
        <v>1</v>
      </c>
      <c r="AS200">
        <v>0</v>
      </c>
      <c r="AT200">
        <f t="shared" si="32"/>
        <v>0</v>
      </c>
      <c r="AU200" s="62" t="s">
        <v>343</v>
      </c>
      <c r="AV200">
        <v>0</v>
      </c>
      <c r="AW200">
        <v>1</v>
      </c>
      <c r="AX200">
        <v>0</v>
      </c>
      <c r="AY200">
        <v>0</v>
      </c>
      <c r="AZ200">
        <v>0</v>
      </c>
      <c r="BA200">
        <v>0</v>
      </c>
      <c r="BB200">
        <v>0</v>
      </c>
      <c r="BC200">
        <v>0</v>
      </c>
      <c r="BD200">
        <v>1</v>
      </c>
      <c r="BE200">
        <v>0</v>
      </c>
      <c r="BF200">
        <v>942</v>
      </c>
      <c r="BG200">
        <v>131</v>
      </c>
      <c r="BH200">
        <v>0.29299999999999998</v>
      </c>
      <c r="BI200" s="80">
        <f t="shared" si="31"/>
        <v>34.78</v>
      </c>
      <c r="BJ200">
        <v>0</v>
      </c>
      <c r="BK200">
        <v>1</v>
      </c>
      <c r="BL200">
        <v>0</v>
      </c>
      <c r="BM200">
        <v>0</v>
      </c>
      <c r="BN200">
        <v>0</v>
      </c>
      <c r="BO200">
        <v>0</v>
      </c>
      <c r="BP200">
        <v>0</v>
      </c>
      <c r="BQ200" s="28">
        <v>0</v>
      </c>
      <c r="BR200">
        <v>0</v>
      </c>
      <c r="BS200">
        <v>0</v>
      </c>
      <c r="BT200" s="28">
        <v>1</v>
      </c>
      <c r="BU200">
        <v>1</v>
      </c>
      <c r="BV200">
        <v>1</v>
      </c>
      <c r="BW200">
        <v>0</v>
      </c>
      <c r="BX200">
        <v>0</v>
      </c>
      <c r="BY200">
        <v>0</v>
      </c>
      <c r="BZ200">
        <v>1</v>
      </c>
      <c r="CA200">
        <v>1</v>
      </c>
      <c r="CB200">
        <v>0</v>
      </c>
      <c r="CC200">
        <v>0</v>
      </c>
      <c r="CD200">
        <v>0</v>
      </c>
      <c r="CE200" s="16">
        <v>0</v>
      </c>
      <c r="CF200">
        <v>0</v>
      </c>
      <c r="CG200">
        <v>1</v>
      </c>
      <c r="CH200">
        <v>0</v>
      </c>
      <c r="CI200">
        <v>1</v>
      </c>
      <c r="CJ200">
        <v>11</v>
      </c>
      <c r="CK200" t="s">
        <v>46</v>
      </c>
    </row>
    <row r="201" spans="1:89" x14ac:dyDescent="0.25">
      <c r="A201">
        <v>200</v>
      </c>
      <c r="B201">
        <v>11</v>
      </c>
      <c r="C201" t="s">
        <v>302</v>
      </c>
      <c r="D201" s="79">
        <v>2.7</v>
      </c>
      <c r="E201" s="6">
        <f t="shared" si="27"/>
        <v>1.2162162162162162</v>
      </c>
      <c r="F201" s="6">
        <v>2.2200000000000002</v>
      </c>
      <c r="G201" s="78">
        <v>1</v>
      </c>
      <c r="H201" s="70">
        <v>0</v>
      </c>
      <c r="I201" s="70">
        <v>0</v>
      </c>
      <c r="J201" s="70">
        <v>0</v>
      </c>
      <c r="K201" s="70">
        <v>0</v>
      </c>
      <c r="L201" s="78">
        <v>488</v>
      </c>
      <c r="M201" s="70">
        <v>11</v>
      </c>
      <c r="N201" s="70">
        <f t="shared" si="34"/>
        <v>476</v>
      </c>
      <c r="O201" s="60">
        <f t="shared" si="35"/>
        <v>36</v>
      </c>
      <c r="P201" s="6">
        <f t="shared" si="28"/>
        <v>12.22</v>
      </c>
      <c r="Q201" s="6">
        <f t="shared" si="29"/>
        <v>15.03</v>
      </c>
      <c r="R201" s="78">
        <v>1</v>
      </c>
      <c r="S201" s="70">
        <v>0</v>
      </c>
      <c r="T201" s="78">
        <v>0</v>
      </c>
      <c r="U201" s="70">
        <v>0</v>
      </c>
      <c r="V201" s="70">
        <v>1</v>
      </c>
      <c r="W201" s="70">
        <v>0</v>
      </c>
      <c r="X201" s="78">
        <v>0</v>
      </c>
      <c r="Y201" s="70">
        <v>1</v>
      </c>
      <c r="Z201" s="70">
        <v>0</v>
      </c>
      <c r="AA201" s="78">
        <v>1</v>
      </c>
      <c r="AB201" s="70">
        <v>0</v>
      </c>
      <c r="AC201" s="69">
        <v>2002</v>
      </c>
      <c r="AD201" t="s">
        <v>57</v>
      </c>
      <c r="AE201" t="s">
        <v>57</v>
      </c>
      <c r="AF201" t="s">
        <v>57</v>
      </c>
      <c r="AG201" t="s">
        <v>57</v>
      </c>
      <c r="AH201" s="28" t="s">
        <v>57</v>
      </c>
      <c r="AI201" t="s">
        <v>57</v>
      </c>
      <c r="AJ201" s="28">
        <v>0</v>
      </c>
      <c r="AK201">
        <v>1</v>
      </c>
      <c r="AL201" s="28">
        <v>0</v>
      </c>
      <c r="AM201">
        <v>1</v>
      </c>
      <c r="AN201">
        <v>0</v>
      </c>
      <c r="AO201">
        <v>1</v>
      </c>
      <c r="AP201" s="81">
        <f t="shared" si="30"/>
        <v>0.66</v>
      </c>
      <c r="AQ201" s="82">
        <f t="shared" si="33"/>
        <v>0.33999999999999997</v>
      </c>
      <c r="AR201">
        <v>1</v>
      </c>
      <c r="AS201">
        <v>0</v>
      </c>
      <c r="AT201">
        <f t="shared" si="32"/>
        <v>0</v>
      </c>
      <c r="AU201" s="62" t="s">
        <v>343</v>
      </c>
      <c r="AV201">
        <v>0</v>
      </c>
      <c r="AW201">
        <v>1</v>
      </c>
      <c r="AX201">
        <v>0</v>
      </c>
      <c r="AY201">
        <v>0</v>
      </c>
      <c r="AZ201">
        <v>0</v>
      </c>
      <c r="BA201">
        <v>0</v>
      </c>
      <c r="BB201">
        <v>0</v>
      </c>
      <c r="BC201">
        <v>0</v>
      </c>
      <c r="BD201">
        <v>1</v>
      </c>
      <c r="BE201">
        <v>0</v>
      </c>
      <c r="BF201">
        <v>942</v>
      </c>
      <c r="BG201">
        <v>131</v>
      </c>
      <c r="BH201">
        <v>0.29299999999999998</v>
      </c>
      <c r="BI201" s="80">
        <f t="shared" si="31"/>
        <v>34.78</v>
      </c>
      <c r="BJ201">
        <v>0</v>
      </c>
      <c r="BK201">
        <v>1</v>
      </c>
      <c r="BL201">
        <v>0</v>
      </c>
      <c r="BM201">
        <v>0</v>
      </c>
      <c r="BN201">
        <v>0</v>
      </c>
      <c r="BO201">
        <v>0</v>
      </c>
      <c r="BP201">
        <v>0</v>
      </c>
      <c r="BQ201" s="28">
        <v>0</v>
      </c>
      <c r="BR201">
        <v>0</v>
      </c>
      <c r="BS201">
        <v>0</v>
      </c>
      <c r="BT201" s="28">
        <v>1</v>
      </c>
      <c r="BU201">
        <v>1</v>
      </c>
      <c r="BV201">
        <v>1</v>
      </c>
      <c r="BW201">
        <v>0</v>
      </c>
      <c r="BX201">
        <v>0</v>
      </c>
      <c r="BY201">
        <v>0</v>
      </c>
      <c r="BZ201">
        <v>1</v>
      </c>
      <c r="CA201">
        <v>1</v>
      </c>
      <c r="CB201">
        <v>0</v>
      </c>
      <c r="CC201">
        <v>0</v>
      </c>
      <c r="CD201">
        <v>0</v>
      </c>
      <c r="CE201" s="16">
        <v>0</v>
      </c>
      <c r="CF201">
        <v>0</v>
      </c>
      <c r="CG201">
        <v>1</v>
      </c>
      <c r="CH201">
        <v>0</v>
      </c>
      <c r="CI201">
        <v>1</v>
      </c>
      <c r="CJ201">
        <v>11</v>
      </c>
      <c r="CK201" t="s">
        <v>46</v>
      </c>
    </row>
    <row r="202" spans="1:89" x14ac:dyDescent="0.25">
      <c r="A202">
        <v>201</v>
      </c>
      <c r="B202">
        <v>11</v>
      </c>
      <c r="C202" t="s">
        <v>302</v>
      </c>
      <c r="D202" s="79">
        <v>2.2999999999999998</v>
      </c>
      <c r="E202" s="6">
        <f t="shared" si="27"/>
        <v>1.1616161616161615</v>
      </c>
      <c r="F202" s="6">
        <v>1.98</v>
      </c>
      <c r="G202" s="78">
        <v>1</v>
      </c>
      <c r="H202" s="70">
        <v>0</v>
      </c>
      <c r="I202" s="70">
        <v>0</v>
      </c>
      <c r="J202" s="70">
        <v>0</v>
      </c>
      <c r="K202" s="70">
        <v>0</v>
      </c>
      <c r="L202" s="78">
        <v>488</v>
      </c>
      <c r="M202" s="70">
        <v>11</v>
      </c>
      <c r="N202" s="70">
        <f t="shared" si="34"/>
        <v>476</v>
      </c>
      <c r="O202" s="60">
        <f t="shared" si="35"/>
        <v>36</v>
      </c>
      <c r="P202" s="6">
        <f t="shared" si="28"/>
        <v>12.22</v>
      </c>
      <c r="Q202" s="6">
        <f t="shared" si="29"/>
        <v>15.03</v>
      </c>
      <c r="R202" s="78">
        <v>1</v>
      </c>
      <c r="S202" s="70">
        <v>0</v>
      </c>
      <c r="T202" s="78">
        <v>0</v>
      </c>
      <c r="U202" s="70">
        <v>0</v>
      </c>
      <c r="V202" s="70">
        <v>1</v>
      </c>
      <c r="W202" s="70">
        <v>0</v>
      </c>
      <c r="X202" s="78">
        <v>0</v>
      </c>
      <c r="Y202" s="70">
        <v>1</v>
      </c>
      <c r="Z202" s="70">
        <v>0</v>
      </c>
      <c r="AA202" s="78">
        <v>1</v>
      </c>
      <c r="AB202" s="70">
        <v>0</v>
      </c>
      <c r="AC202" s="69">
        <v>2002</v>
      </c>
      <c r="AD202" t="s">
        <v>57</v>
      </c>
      <c r="AE202" t="s">
        <v>57</v>
      </c>
      <c r="AF202" t="s">
        <v>57</v>
      </c>
      <c r="AG202" t="s">
        <v>57</v>
      </c>
      <c r="AH202" s="28" t="s">
        <v>57</v>
      </c>
      <c r="AI202" t="s">
        <v>57</v>
      </c>
      <c r="AJ202" s="28">
        <v>0</v>
      </c>
      <c r="AK202">
        <v>1</v>
      </c>
      <c r="AL202" s="28">
        <v>0</v>
      </c>
      <c r="AM202">
        <v>1</v>
      </c>
      <c r="AN202">
        <v>0</v>
      </c>
      <c r="AO202">
        <v>1</v>
      </c>
      <c r="AP202" s="81">
        <f t="shared" si="30"/>
        <v>0.66</v>
      </c>
      <c r="AQ202" s="82">
        <f t="shared" si="33"/>
        <v>0.33999999999999997</v>
      </c>
      <c r="AR202">
        <v>1</v>
      </c>
      <c r="AS202">
        <v>0</v>
      </c>
      <c r="AT202">
        <f t="shared" si="32"/>
        <v>0</v>
      </c>
      <c r="AU202" s="62" t="s">
        <v>343</v>
      </c>
      <c r="AV202">
        <v>0</v>
      </c>
      <c r="AW202">
        <v>1</v>
      </c>
      <c r="AX202">
        <v>0</v>
      </c>
      <c r="AY202">
        <v>0</v>
      </c>
      <c r="AZ202">
        <v>0</v>
      </c>
      <c r="BA202">
        <v>0</v>
      </c>
      <c r="BB202">
        <v>0</v>
      </c>
      <c r="BC202">
        <v>0</v>
      </c>
      <c r="BD202">
        <v>1</v>
      </c>
      <c r="BE202">
        <v>0</v>
      </c>
      <c r="BF202">
        <v>942</v>
      </c>
      <c r="BG202">
        <v>131</v>
      </c>
      <c r="BH202">
        <v>0.29299999999999998</v>
      </c>
      <c r="BI202" s="80">
        <f t="shared" si="31"/>
        <v>34.78</v>
      </c>
      <c r="BJ202">
        <v>0</v>
      </c>
      <c r="BK202">
        <v>0</v>
      </c>
      <c r="BL202">
        <v>0</v>
      </c>
      <c r="BM202">
        <v>0</v>
      </c>
      <c r="BN202">
        <v>0</v>
      </c>
      <c r="BO202">
        <v>0</v>
      </c>
      <c r="BP202">
        <v>1</v>
      </c>
      <c r="BQ202" s="28">
        <v>1</v>
      </c>
      <c r="BR202">
        <v>0</v>
      </c>
      <c r="BS202">
        <v>0</v>
      </c>
      <c r="BT202" s="28">
        <v>1</v>
      </c>
      <c r="BU202">
        <v>1</v>
      </c>
      <c r="BV202">
        <v>1</v>
      </c>
      <c r="BW202">
        <v>0</v>
      </c>
      <c r="BX202">
        <v>0</v>
      </c>
      <c r="BY202">
        <v>0</v>
      </c>
      <c r="BZ202">
        <v>1</v>
      </c>
      <c r="CA202">
        <v>1</v>
      </c>
      <c r="CB202">
        <v>0</v>
      </c>
      <c r="CC202">
        <v>0</v>
      </c>
      <c r="CD202">
        <v>0</v>
      </c>
      <c r="CE202" s="16">
        <v>0</v>
      </c>
      <c r="CF202">
        <v>0</v>
      </c>
      <c r="CG202">
        <v>1</v>
      </c>
      <c r="CH202">
        <v>0</v>
      </c>
      <c r="CI202">
        <v>1</v>
      </c>
      <c r="CJ202">
        <v>11</v>
      </c>
      <c r="CK202" t="s">
        <v>46</v>
      </c>
    </row>
    <row r="203" spans="1:89" x14ac:dyDescent="0.25">
      <c r="A203">
        <v>202</v>
      </c>
      <c r="B203">
        <v>12</v>
      </c>
      <c r="C203" t="s">
        <v>309</v>
      </c>
      <c r="D203" s="79">
        <v>6.5</v>
      </c>
      <c r="E203" s="6">
        <v>0.2</v>
      </c>
      <c r="F203" s="6">
        <f t="shared" ref="F203:F237" si="36">D203/E203</f>
        <v>32.5</v>
      </c>
      <c r="G203" s="78">
        <v>0</v>
      </c>
      <c r="H203" s="70">
        <v>0</v>
      </c>
      <c r="I203" s="70">
        <v>0</v>
      </c>
      <c r="J203" s="70">
        <v>1</v>
      </c>
      <c r="K203" s="70">
        <v>0</v>
      </c>
      <c r="L203" s="78">
        <v>2340</v>
      </c>
      <c r="M203" s="70">
        <v>5</v>
      </c>
      <c r="N203" s="70">
        <f t="shared" si="34"/>
        <v>2334</v>
      </c>
      <c r="O203" s="60">
        <f t="shared" si="35"/>
        <v>22</v>
      </c>
      <c r="P203" s="70">
        <v>12.513999999999999</v>
      </c>
      <c r="Q203" s="70">
        <f t="shared" ref="Q203:Q266" si="37">BI203-P203-6</f>
        <v>18.317000000000004</v>
      </c>
      <c r="R203" s="78">
        <v>1</v>
      </c>
      <c r="S203" s="70">
        <v>0</v>
      </c>
      <c r="T203" s="78">
        <v>0</v>
      </c>
      <c r="U203" s="70">
        <v>0</v>
      </c>
      <c r="V203" s="70">
        <v>0</v>
      </c>
      <c r="W203" s="70">
        <v>1</v>
      </c>
      <c r="X203" s="78">
        <v>0</v>
      </c>
      <c r="Y203" s="70">
        <v>1</v>
      </c>
      <c r="Z203" s="70">
        <v>0</v>
      </c>
      <c r="AA203" s="78">
        <v>0</v>
      </c>
      <c r="AB203" s="70">
        <v>1</v>
      </c>
      <c r="AC203" s="69">
        <v>1985</v>
      </c>
      <c r="AD203" t="s">
        <v>57</v>
      </c>
      <c r="AE203" t="s">
        <v>57</v>
      </c>
      <c r="AF203" t="s">
        <v>57</v>
      </c>
      <c r="AG203" t="s">
        <v>57</v>
      </c>
      <c r="AH203" s="28" t="s">
        <v>57</v>
      </c>
      <c r="AI203" t="s">
        <v>57</v>
      </c>
      <c r="AJ203" s="28">
        <v>0.46800000000000003</v>
      </c>
      <c r="AK203">
        <f t="shared" ref="AK203:AK258" si="38">1-AJ203</f>
        <v>0.53200000000000003</v>
      </c>
      <c r="AL203" s="28" t="s">
        <v>57</v>
      </c>
      <c r="AM203" t="s">
        <v>57</v>
      </c>
      <c r="AN203">
        <v>0</v>
      </c>
      <c r="AO203">
        <v>1</v>
      </c>
      <c r="AP203" s="83">
        <f>0.741*(AR203+AS203)+0.674*AT203</f>
        <v>0.70750000000000002</v>
      </c>
      <c r="AQ203" s="84">
        <f t="shared" si="33"/>
        <v>0.29249999999999998</v>
      </c>
      <c r="AR203">
        <v>0.25</v>
      </c>
      <c r="AS203">
        <v>0.25</v>
      </c>
      <c r="AT203">
        <v>0.5</v>
      </c>
      <c r="AU203" s="28" t="s">
        <v>350</v>
      </c>
      <c r="AV203">
        <v>1</v>
      </c>
      <c r="AW203">
        <v>0</v>
      </c>
      <c r="AX203">
        <v>0</v>
      </c>
      <c r="AY203">
        <v>0</v>
      </c>
      <c r="AZ203">
        <v>0</v>
      </c>
      <c r="BA203">
        <v>0</v>
      </c>
      <c r="BB203">
        <v>0</v>
      </c>
      <c r="BC203">
        <v>1</v>
      </c>
      <c r="BD203">
        <v>0</v>
      </c>
      <c r="BE203">
        <v>0</v>
      </c>
      <c r="BF203">
        <v>17464</v>
      </c>
      <c r="BG203">
        <v>1807</v>
      </c>
      <c r="BH203">
        <v>0.92300000000000004</v>
      </c>
      <c r="BI203" s="64">
        <v>36.831000000000003</v>
      </c>
      <c r="BJ203">
        <v>1</v>
      </c>
      <c r="BK203">
        <v>0</v>
      </c>
      <c r="BL203">
        <v>0</v>
      </c>
      <c r="BM203">
        <v>0</v>
      </c>
      <c r="BN203">
        <v>0</v>
      </c>
      <c r="BO203">
        <v>0</v>
      </c>
      <c r="BP203">
        <v>0</v>
      </c>
      <c r="BQ203" s="28">
        <v>0</v>
      </c>
      <c r="BR203">
        <v>0</v>
      </c>
      <c r="BS203">
        <v>0</v>
      </c>
      <c r="BT203" s="28">
        <v>1</v>
      </c>
      <c r="BU203">
        <v>0</v>
      </c>
      <c r="BV203">
        <v>0</v>
      </c>
      <c r="BW203">
        <v>0</v>
      </c>
      <c r="BX203">
        <v>0</v>
      </c>
      <c r="BY203">
        <v>0</v>
      </c>
      <c r="BZ203">
        <v>1</v>
      </c>
      <c r="CA203">
        <v>1</v>
      </c>
      <c r="CB203">
        <v>0</v>
      </c>
      <c r="CC203">
        <v>0</v>
      </c>
      <c r="CD203">
        <v>0</v>
      </c>
      <c r="CE203" s="16">
        <v>0</v>
      </c>
      <c r="CF203">
        <v>0.29799999999999999</v>
      </c>
      <c r="CG203">
        <v>19</v>
      </c>
      <c r="CH203">
        <v>1</v>
      </c>
      <c r="CI203">
        <v>0</v>
      </c>
      <c r="CJ203">
        <v>10</v>
      </c>
      <c r="CK203" t="s">
        <v>46</v>
      </c>
    </row>
    <row r="204" spans="1:89" x14ac:dyDescent="0.25">
      <c r="A204">
        <v>203</v>
      </c>
      <c r="B204">
        <v>12</v>
      </c>
      <c r="C204" t="s">
        <v>309</v>
      </c>
      <c r="D204" s="79">
        <v>7.6</v>
      </c>
      <c r="E204" s="6">
        <v>0.2</v>
      </c>
      <c r="F204" s="6">
        <f t="shared" si="36"/>
        <v>37.999999999999993</v>
      </c>
      <c r="G204" s="78">
        <v>0</v>
      </c>
      <c r="H204" s="70">
        <v>0</v>
      </c>
      <c r="I204" s="70">
        <v>0</v>
      </c>
      <c r="J204" s="70">
        <v>1</v>
      </c>
      <c r="K204" s="70">
        <v>0</v>
      </c>
      <c r="L204" s="78">
        <v>2340</v>
      </c>
      <c r="M204" s="70">
        <v>5</v>
      </c>
      <c r="N204" s="70">
        <f t="shared" si="34"/>
        <v>2334</v>
      </c>
      <c r="O204" s="60">
        <f t="shared" si="35"/>
        <v>22</v>
      </c>
      <c r="P204" s="70">
        <v>12.513999999999999</v>
      </c>
      <c r="Q204" s="70">
        <f t="shared" si="37"/>
        <v>18.317000000000004</v>
      </c>
      <c r="R204" s="78">
        <v>1</v>
      </c>
      <c r="S204" s="70">
        <v>0</v>
      </c>
      <c r="T204" s="78">
        <v>0</v>
      </c>
      <c r="U204" s="70">
        <v>0</v>
      </c>
      <c r="V204" s="70">
        <v>0</v>
      </c>
      <c r="W204" s="70">
        <v>1</v>
      </c>
      <c r="X204" s="78">
        <v>0</v>
      </c>
      <c r="Y204" s="70">
        <v>1</v>
      </c>
      <c r="Z204" s="70">
        <v>0</v>
      </c>
      <c r="AA204" s="78">
        <v>0</v>
      </c>
      <c r="AB204" s="70">
        <v>1</v>
      </c>
      <c r="AC204" s="69">
        <v>1985</v>
      </c>
      <c r="AD204" t="s">
        <v>57</v>
      </c>
      <c r="AE204" t="s">
        <v>57</v>
      </c>
      <c r="AF204" t="s">
        <v>57</v>
      </c>
      <c r="AG204" t="s">
        <v>57</v>
      </c>
      <c r="AH204" s="28" t="s">
        <v>57</v>
      </c>
      <c r="AI204" t="s">
        <v>57</v>
      </c>
      <c r="AJ204" s="28">
        <v>0.46800000000000003</v>
      </c>
      <c r="AK204">
        <f t="shared" si="38"/>
        <v>0.53200000000000003</v>
      </c>
      <c r="AL204" s="28" t="s">
        <v>57</v>
      </c>
      <c r="AM204" t="s">
        <v>57</v>
      </c>
      <c r="AN204">
        <v>0</v>
      </c>
      <c r="AO204">
        <v>1</v>
      </c>
      <c r="AP204" s="83">
        <f>0.741*(AR204+AS204)+0.674*AT204</f>
        <v>0.70750000000000002</v>
      </c>
      <c r="AQ204" s="84">
        <f t="shared" si="33"/>
        <v>0.29249999999999998</v>
      </c>
      <c r="AR204">
        <v>0.25</v>
      </c>
      <c r="AS204">
        <v>0.25</v>
      </c>
      <c r="AT204">
        <v>0.5</v>
      </c>
      <c r="AU204" s="28" t="s">
        <v>350</v>
      </c>
      <c r="AV204">
        <v>1</v>
      </c>
      <c r="AW204">
        <v>0</v>
      </c>
      <c r="AX204">
        <v>0</v>
      </c>
      <c r="AY204">
        <v>0</v>
      </c>
      <c r="AZ204">
        <v>0</v>
      </c>
      <c r="BA204">
        <v>0</v>
      </c>
      <c r="BB204">
        <v>0</v>
      </c>
      <c r="BC204">
        <v>1</v>
      </c>
      <c r="BD204">
        <v>0</v>
      </c>
      <c r="BE204">
        <v>0</v>
      </c>
      <c r="BF204">
        <v>17464</v>
      </c>
      <c r="BG204">
        <v>1807</v>
      </c>
      <c r="BH204">
        <v>0.92300000000000004</v>
      </c>
      <c r="BI204" s="64">
        <v>36.831000000000003</v>
      </c>
      <c r="BJ204">
        <v>0</v>
      </c>
      <c r="BK204">
        <v>0</v>
      </c>
      <c r="BL204">
        <v>0</v>
      </c>
      <c r="BM204">
        <v>0</v>
      </c>
      <c r="BN204">
        <v>0</v>
      </c>
      <c r="BO204">
        <v>0</v>
      </c>
      <c r="BP204">
        <v>1</v>
      </c>
      <c r="BQ204" s="28">
        <v>1</v>
      </c>
      <c r="BR204">
        <v>0</v>
      </c>
      <c r="BS204">
        <v>0</v>
      </c>
      <c r="BT204" s="28">
        <v>1</v>
      </c>
      <c r="BU204">
        <v>0</v>
      </c>
      <c r="BV204">
        <v>0</v>
      </c>
      <c r="BW204">
        <v>0</v>
      </c>
      <c r="BX204">
        <v>0</v>
      </c>
      <c r="BY204">
        <v>0</v>
      </c>
      <c r="BZ204">
        <v>1</v>
      </c>
      <c r="CA204">
        <v>1</v>
      </c>
      <c r="CB204">
        <v>0</v>
      </c>
      <c r="CC204">
        <v>0</v>
      </c>
      <c r="CD204">
        <v>0</v>
      </c>
      <c r="CE204" s="16">
        <v>0</v>
      </c>
      <c r="CF204">
        <v>0.29799999999999999</v>
      </c>
      <c r="CG204">
        <v>19</v>
      </c>
      <c r="CH204">
        <v>1</v>
      </c>
      <c r="CI204">
        <v>0</v>
      </c>
      <c r="CJ204">
        <v>10</v>
      </c>
      <c r="CK204" t="s">
        <v>46</v>
      </c>
    </row>
    <row r="205" spans="1:89" x14ac:dyDescent="0.25">
      <c r="A205">
        <v>204</v>
      </c>
      <c r="B205">
        <v>12</v>
      </c>
      <c r="C205" t="s">
        <v>309</v>
      </c>
      <c r="D205" s="79">
        <v>2.5</v>
      </c>
      <c r="E205" s="6">
        <v>0.5</v>
      </c>
      <c r="F205" s="6">
        <f t="shared" si="36"/>
        <v>5</v>
      </c>
      <c r="G205" s="78">
        <v>0</v>
      </c>
      <c r="H205" s="70">
        <v>0</v>
      </c>
      <c r="I205" s="70">
        <v>0</v>
      </c>
      <c r="J205" s="70">
        <v>1</v>
      </c>
      <c r="K205" s="70">
        <v>0</v>
      </c>
      <c r="L205" s="78">
        <v>602</v>
      </c>
      <c r="M205" s="70">
        <v>5</v>
      </c>
      <c r="N205" s="70">
        <f t="shared" si="34"/>
        <v>596</v>
      </c>
      <c r="O205" s="60">
        <f t="shared" si="35"/>
        <v>22</v>
      </c>
      <c r="P205" s="70">
        <v>12.513999999999999</v>
      </c>
      <c r="Q205" s="70">
        <f t="shared" si="37"/>
        <v>18.317000000000004</v>
      </c>
      <c r="R205" s="78">
        <v>1</v>
      </c>
      <c r="S205" s="70">
        <v>0</v>
      </c>
      <c r="T205" s="78">
        <v>0</v>
      </c>
      <c r="U205" s="70">
        <v>0</v>
      </c>
      <c r="V205" s="70">
        <v>0</v>
      </c>
      <c r="W205" s="70">
        <v>1</v>
      </c>
      <c r="X205" s="78">
        <v>0</v>
      </c>
      <c r="Y205" s="70">
        <v>1</v>
      </c>
      <c r="Z205" s="70">
        <v>0</v>
      </c>
      <c r="AA205" s="78">
        <v>0</v>
      </c>
      <c r="AB205" s="70">
        <v>1</v>
      </c>
      <c r="AC205" s="69">
        <v>1985</v>
      </c>
      <c r="AD205" t="s">
        <v>57</v>
      </c>
      <c r="AE205" t="s">
        <v>57</v>
      </c>
      <c r="AF205" t="s">
        <v>57</v>
      </c>
      <c r="AG205" t="s">
        <v>57</v>
      </c>
      <c r="AH205" s="28" t="s">
        <v>57</v>
      </c>
      <c r="AI205" t="s">
        <v>57</v>
      </c>
      <c r="AJ205" s="28">
        <v>0.46800000000000003</v>
      </c>
      <c r="AK205">
        <f t="shared" si="38"/>
        <v>0.53200000000000003</v>
      </c>
      <c r="AL205" s="28" t="s">
        <v>57</v>
      </c>
      <c r="AM205" t="s">
        <v>57</v>
      </c>
      <c r="AN205">
        <v>0</v>
      </c>
      <c r="AO205">
        <v>1</v>
      </c>
      <c r="AP205" s="28">
        <v>0.75900000000000001</v>
      </c>
      <c r="AQ205" s="12">
        <f t="shared" si="33"/>
        <v>0.24099999999999999</v>
      </c>
      <c r="AR205">
        <v>1</v>
      </c>
      <c r="AS205">
        <v>0</v>
      </c>
      <c r="AT205">
        <v>0</v>
      </c>
      <c r="AU205" s="28" t="s">
        <v>350</v>
      </c>
      <c r="AV205">
        <v>1</v>
      </c>
      <c r="AW205">
        <v>0</v>
      </c>
      <c r="AX205">
        <v>0</v>
      </c>
      <c r="AY205">
        <v>0</v>
      </c>
      <c r="AZ205">
        <v>0</v>
      </c>
      <c r="BA205">
        <v>0</v>
      </c>
      <c r="BB205">
        <v>0</v>
      </c>
      <c r="BC205">
        <v>1</v>
      </c>
      <c r="BD205">
        <v>0</v>
      </c>
      <c r="BE205">
        <v>0</v>
      </c>
      <c r="BF205">
        <v>17464</v>
      </c>
      <c r="BG205">
        <v>1807</v>
      </c>
      <c r="BH205">
        <v>0.92300000000000004</v>
      </c>
      <c r="BI205" s="64">
        <v>36.831000000000003</v>
      </c>
      <c r="BJ205">
        <v>1</v>
      </c>
      <c r="BK205">
        <v>0</v>
      </c>
      <c r="BL205">
        <v>0</v>
      </c>
      <c r="BM205">
        <v>0</v>
      </c>
      <c r="BN205">
        <v>0</v>
      </c>
      <c r="BO205">
        <v>0</v>
      </c>
      <c r="BP205">
        <v>0</v>
      </c>
      <c r="BQ205" s="28">
        <v>0</v>
      </c>
      <c r="BR205">
        <v>0</v>
      </c>
      <c r="BS205">
        <v>0</v>
      </c>
      <c r="BT205" s="28">
        <v>1</v>
      </c>
      <c r="BU205">
        <v>0</v>
      </c>
      <c r="BV205">
        <v>0</v>
      </c>
      <c r="BW205">
        <v>0</v>
      </c>
      <c r="BX205">
        <v>0</v>
      </c>
      <c r="BY205">
        <v>0</v>
      </c>
      <c r="BZ205">
        <v>1</v>
      </c>
      <c r="CA205">
        <v>1</v>
      </c>
      <c r="CB205">
        <v>0</v>
      </c>
      <c r="CC205">
        <v>0</v>
      </c>
      <c r="CD205">
        <v>0</v>
      </c>
      <c r="CE205" s="16">
        <v>0</v>
      </c>
      <c r="CF205">
        <v>0.29799999999999999</v>
      </c>
      <c r="CG205">
        <v>19</v>
      </c>
      <c r="CH205">
        <v>1</v>
      </c>
      <c r="CI205">
        <v>0</v>
      </c>
      <c r="CJ205">
        <v>10</v>
      </c>
      <c r="CK205" t="s">
        <v>46</v>
      </c>
    </row>
    <row r="206" spans="1:89" x14ac:dyDescent="0.25">
      <c r="A206">
        <v>205</v>
      </c>
      <c r="B206">
        <v>12</v>
      </c>
      <c r="C206" t="s">
        <v>309</v>
      </c>
      <c r="D206" s="79">
        <v>4.5</v>
      </c>
      <c r="E206" s="6">
        <v>0.9</v>
      </c>
      <c r="F206" s="6">
        <f t="shared" si="36"/>
        <v>5</v>
      </c>
      <c r="G206" s="78">
        <v>0</v>
      </c>
      <c r="H206" s="70">
        <v>0</v>
      </c>
      <c r="I206" s="70">
        <v>0</v>
      </c>
      <c r="J206" s="70">
        <v>1</v>
      </c>
      <c r="K206" s="70">
        <v>0</v>
      </c>
      <c r="L206" s="78">
        <v>602</v>
      </c>
      <c r="M206" s="70">
        <v>5</v>
      </c>
      <c r="N206" s="70">
        <f t="shared" si="34"/>
        <v>596</v>
      </c>
      <c r="O206" s="60">
        <f t="shared" si="35"/>
        <v>22</v>
      </c>
      <c r="P206" s="70">
        <v>12.513999999999999</v>
      </c>
      <c r="Q206" s="70">
        <f t="shared" si="37"/>
        <v>18.317000000000004</v>
      </c>
      <c r="R206" s="78">
        <v>1</v>
      </c>
      <c r="S206" s="70">
        <v>0</v>
      </c>
      <c r="T206" s="78">
        <v>0</v>
      </c>
      <c r="U206" s="70">
        <v>0</v>
      </c>
      <c r="V206" s="70">
        <v>0</v>
      </c>
      <c r="W206" s="70">
        <v>1</v>
      </c>
      <c r="X206" s="78">
        <v>0</v>
      </c>
      <c r="Y206" s="70">
        <v>1</v>
      </c>
      <c r="Z206" s="70">
        <v>0</v>
      </c>
      <c r="AA206" s="78">
        <v>0</v>
      </c>
      <c r="AB206" s="70">
        <v>1</v>
      </c>
      <c r="AC206" s="69">
        <v>1985</v>
      </c>
      <c r="AD206" t="s">
        <v>57</v>
      </c>
      <c r="AE206" t="s">
        <v>57</v>
      </c>
      <c r="AF206" t="s">
        <v>57</v>
      </c>
      <c r="AG206" t="s">
        <v>57</v>
      </c>
      <c r="AH206" s="28" t="s">
        <v>57</v>
      </c>
      <c r="AI206" t="s">
        <v>57</v>
      </c>
      <c r="AJ206" s="28">
        <v>0.46800000000000003</v>
      </c>
      <c r="AK206">
        <f t="shared" si="38"/>
        <v>0.53200000000000003</v>
      </c>
      <c r="AL206" s="28" t="s">
        <v>57</v>
      </c>
      <c r="AM206" t="s">
        <v>57</v>
      </c>
      <c r="AN206">
        <v>0</v>
      </c>
      <c r="AO206">
        <v>1</v>
      </c>
      <c r="AP206" s="28">
        <v>0.75900000000000001</v>
      </c>
      <c r="AQ206" s="12">
        <f t="shared" si="33"/>
        <v>0.24099999999999999</v>
      </c>
      <c r="AR206">
        <v>1</v>
      </c>
      <c r="AS206">
        <v>0</v>
      </c>
      <c r="AT206">
        <v>0</v>
      </c>
      <c r="AU206" s="28" t="s">
        <v>350</v>
      </c>
      <c r="AV206">
        <v>1</v>
      </c>
      <c r="AW206">
        <v>0</v>
      </c>
      <c r="AX206">
        <v>0</v>
      </c>
      <c r="AY206">
        <v>0</v>
      </c>
      <c r="AZ206">
        <v>0</v>
      </c>
      <c r="BA206">
        <v>0</v>
      </c>
      <c r="BB206">
        <v>0</v>
      </c>
      <c r="BC206">
        <v>1</v>
      </c>
      <c r="BD206">
        <v>0</v>
      </c>
      <c r="BE206">
        <v>0</v>
      </c>
      <c r="BF206">
        <v>17464</v>
      </c>
      <c r="BG206">
        <v>1807</v>
      </c>
      <c r="BH206">
        <v>0.92300000000000004</v>
      </c>
      <c r="BI206" s="64">
        <v>36.831000000000003</v>
      </c>
      <c r="BJ206">
        <v>0</v>
      </c>
      <c r="BK206">
        <v>0</v>
      </c>
      <c r="BL206">
        <v>0</v>
      </c>
      <c r="BM206">
        <v>0</v>
      </c>
      <c r="BN206">
        <v>0</v>
      </c>
      <c r="BO206">
        <v>0</v>
      </c>
      <c r="BP206">
        <v>1</v>
      </c>
      <c r="BQ206" s="28">
        <v>1</v>
      </c>
      <c r="BR206">
        <v>0</v>
      </c>
      <c r="BS206">
        <v>0</v>
      </c>
      <c r="BT206" s="28">
        <v>1</v>
      </c>
      <c r="BU206">
        <v>0</v>
      </c>
      <c r="BV206">
        <v>0</v>
      </c>
      <c r="BW206">
        <v>0</v>
      </c>
      <c r="BX206">
        <v>0</v>
      </c>
      <c r="BY206">
        <v>0</v>
      </c>
      <c r="BZ206">
        <v>1</v>
      </c>
      <c r="CA206">
        <v>1</v>
      </c>
      <c r="CB206">
        <v>0</v>
      </c>
      <c r="CC206">
        <v>0</v>
      </c>
      <c r="CD206">
        <v>0</v>
      </c>
      <c r="CE206" s="16">
        <v>0</v>
      </c>
      <c r="CF206">
        <v>0.29799999999999999</v>
      </c>
      <c r="CG206">
        <v>19</v>
      </c>
      <c r="CH206">
        <v>1</v>
      </c>
      <c r="CI206">
        <v>0</v>
      </c>
      <c r="CJ206">
        <v>10</v>
      </c>
      <c r="CK206" t="s">
        <v>46</v>
      </c>
    </row>
    <row r="207" spans="1:89" x14ac:dyDescent="0.25">
      <c r="A207">
        <v>206</v>
      </c>
      <c r="B207">
        <v>12</v>
      </c>
      <c r="C207" t="s">
        <v>309</v>
      </c>
      <c r="D207" s="79">
        <v>4.5</v>
      </c>
      <c r="E207" s="6">
        <v>0.5</v>
      </c>
      <c r="F207" s="6">
        <f t="shared" si="36"/>
        <v>9</v>
      </c>
      <c r="G207" s="78">
        <v>0</v>
      </c>
      <c r="H207" s="70">
        <v>0</v>
      </c>
      <c r="I207" s="70">
        <v>0</v>
      </c>
      <c r="J207" s="70">
        <v>1</v>
      </c>
      <c r="K207" s="70">
        <v>0</v>
      </c>
      <c r="L207" s="78">
        <v>568</v>
      </c>
      <c r="M207" s="70">
        <v>5</v>
      </c>
      <c r="N207" s="70">
        <f t="shared" si="34"/>
        <v>562</v>
      </c>
      <c r="O207" s="60">
        <f t="shared" si="35"/>
        <v>22</v>
      </c>
      <c r="P207" s="70">
        <v>12.695</v>
      </c>
      <c r="Q207" s="70">
        <f t="shared" si="37"/>
        <v>16.643000000000001</v>
      </c>
      <c r="R207" s="78">
        <v>1</v>
      </c>
      <c r="S207" s="70">
        <v>0</v>
      </c>
      <c r="T207" s="78">
        <v>0</v>
      </c>
      <c r="U207" s="70">
        <v>0</v>
      </c>
      <c r="V207" s="70">
        <v>0</v>
      </c>
      <c r="W207" s="70">
        <v>1</v>
      </c>
      <c r="X207" s="78">
        <v>0</v>
      </c>
      <c r="Y207" s="70">
        <v>1</v>
      </c>
      <c r="Z207" s="70">
        <v>0</v>
      </c>
      <c r="AA207" s="78">
        <v>0</v>
      </c>
      <c r="AB207" s="70">
        <v>1</v>
      </c>
      <c r="AC207" s="69">
        <v>1985</v>
      </c>
      <c r="AD207" t="s">
        <v>57</v>
      </c>
      <c r="AE207" t="s">
        <v>57</v>
      </c>
      <c r="AF207" t="s">
        <v>57</v>
      </c>
      <c r="AG207" t="s">
        <v>57</v>
      </c>
      <c r="AH207" s="28" t="s">
        <v>57</v>
      </c>
      <c r="AI207" t="s">
        <v>57</v>
      </c>
      <c r="AJ207" s="28">
        <v>0.505</v>
      </c>
      <c r="AK207">
        <f t="shared" si="38"/>
        <v>0.495</v>
      </c>
      <c r="AL207" s="28" t="s">
        <v>57</v>
      </c>
      <c r="AM207" t="s">
        <v>57</v>
      </c>
      <c r="AN207">
        <v>0</v>
      </c>
      <c r="AO207">
        <v>1</v>
      </c>
      <c r="AP207" s="28">
        <v>0.72199999999999998</v>
      </c>
      <c r="AQ207" s="12">
        <f t="shared" si="33"/>
        <v>0.27800000000000002</v>
      </c>
      <c r="AR207">
        <v>0</v>
      </c>
      <c r="AS207">
        <v>1</v>
      </c>
      <c r="AT207">
        <v>0</v>
      </c>
      <c r="AU207" s="28" t="s">
        <v>350</v>
      </c>
      <c r="AV207">
        <v>1</v>
      </c>
      <c r="AW207">
        <v>0</v>
      </c>
      <c r="AX207">
        <v>0</v>
      </c>
      <c r="AY207">
        <v>0</v>
      </c>
      <c r="AZ207">
        <v>0</v>
      </c>
      <c r="BA207">
        <v>0</v>
      </c>
      <c r="BB207">
        <v>0</v>
      </c>
      <c r="BC207">
        <v>1</v>
      </c>
      <c r="BD207">
        <v>0</v>
      </c>
      <c r="BE207">
        <v>0</v>
      </c>
      <c r="BF207">
        <v>17464</v>
      </c>
      <c r="BG207">
        <v>1807</v>
      </c>
      <c r="BH207">
        <v>0.92300000000000004</v>
      </c>
      <c r="BI207" s="64">
        <v>35.338000000000001</v>
      </c>
      <c r="BJ207">
        <v>1</v>
      </c>
      <c r="BK207">
        <v>0</v>
      </c>
      <c r="BL207">
        <v>0</v>
      </c>
      <c r="BM207">
        <v>0</v>
      </c>
      <c r="BN207">
        <v>0</v>
      </c>
      <c r="BO207">
        <v>0</v>
      </c>
      <c r="BP207">
        <v>0</v>
      </c>
      <c r="BQ207" s="28">
        <v>0</v>
      </c>
      <c r="BR207">
        <v>0</v>
      </c>
      <c r="BS207">
        <v>0</v>
      </c>
      <c r="BT207" s="28">
        <v>1</v>
      </c>
      <c r="BU207">
        <v>0</v>
      </c>
      <c r="BV207">
        <v>0</v>
      </c>
      <c r="BW207">
        <v>0</v>
      </c>
      <c r="BX207">
        <v>0</v>
      </c>
      <c r="BY207">
        <v>0</v>
      </c>
      <c r="BZ207">
        <v>1</v>
      </c>
      <c r="CA207">
        <v>1</v>
      </c>
      <c r="CB207">
        <v>0</v>
      </c>
      <c r="CC207">
        <v>0</v>
      </c>
      <c r="CD207">
        <v>0</v>
      </c>
      <c r="CE207" s="16">
        <v>0</v>
      </c>
      <c r="CF207">
        <v>0.29799999999999999</v>
      </c>
      <c r="CG207">
        <v>19</v>
      </c>
      <c r="CH207">
        <v>1</v>
      </c>
      <c r="CI207">
        <v>0</v>
      </c>
      <c r="CJ207">
        <v>10</v>
      </c>
      <c r="CK207" t="s">
        <v>46</v>
      </c>
    </row>
    <row r="208" spans="1:89" x14ac:dyDescent="0.25">
      <c r="A208">
        <v>207</v>
      </c>
      <c r="B208">
        <v>12</v>
      </c>
      <c r="C208" t="s">
        <v>309</v>
      </c>
      <c r="D208" s="79">
        <v>7.4</v>
      </c>
      <c r="E208" s="6">
        <v>0.9</v>
      </c>
      <c r="F208" s="6">
        <f t="shared" si="36"/>
        <v>8.2222222222222232</v>
      </c>
      <c r="G208" s="78">
        <v>0</v>
      </c>
      <c r="H208" s="70">
        <v>0</v>
      </c>
      <c r="I208" s="70">
        <v>0</v>
      </c>
      <c r="J208" s="70">
        <v>1</v>
      </c>
      <c r="K208" s="70">
        <v>0</v>
      </c>
      <c r="L208" s="78">
        <v>568</v>
      </c>
      <c r="M208" s="70">
        <v>5</v>
      </c>
      <c r="N208" s="70">
        <f t="shared" si="34"/>
        <v>562</v>
      </c>
      <c r="O208" s="60">
        <f t="shared" si="35"/>
        <v>22</v>
      </c>
      <c r="P208" s="70">
        <v>12.695</v>
      </c>
      <c r="Q208" s="70">
        <f t="shared" si="37"/>
        <v>16.643000000000001</v>
      </c>
      <c r="R208" s="78">
        <v>1</v>
      </c>
      <c r="S208" s="70">
        <v>0</v>
      </c>
      <c r="T208" s="78">
        <v>0</v>
      </c>
      <c r="U208" s="70">
        <v>0</v>
      </c>
      <c r="V208" s="70">
        <v>0</v>
      </c>
      <c r="W208" s="70">
        <v>1</v>
      </c>
      <c r="X208" s="78">
        <v>0</v>
      </c>
      <c r="Y208" s="70">
        <v>1</v>
      </c>
      <c r="Z208" s="70">
        <v>0</v>
      </c>
      <c r="AA208" s="78">
        <v>0</v>
      </c>
      <c r="AB208" s="70">
        <v>1</v>
      </c>
      <c r="AC208" s="69">
        <v>1985</v>
      </c>
      <c r="AD208" t="s">
        <v>57</v>
      </c>
      <c r="AE208" t="s">
        <v>57</v>
      </c>
      <c r="AF208" t="s">
        <v>57</v>
      </c>
      <c r="AG208" t="s">
        <v>57</v>
      </c>
      <c r="AH208" s="28" t="s">
        <v>57</v>
      </c>
      <c r="AI208" t="s">
        <v>57</v>
      </c>
      <c r="AJ208" s="28">
        <v>0.505</v>
      </c>
      <c r="AK208">
        <f t="shared" si="38"/>
        <v>0.495</v>
      </c>
      <c r="AL208" s="28" t="s">
        <v>57</v>
      </c>
      <c r="AM208" t="s">
        <v>57</v>
      </c>
      <c r="AN208">
        <v>0</v>
      </c>
      <c r="AO208">
        <v>1</v>
      </c>
      <c r="AP208" s="28">
        <v>0.72199999999999998</v>
      </c>
      <c r="AQ208" s="12">
        <f t="shared" si="33"/>
        <v>0.27800000000000002</v>
      </c>
      <c r="AR208">
        <v>0</v>
      </c>
      <c r="AS208">
        <v>1</v>
      </c>
      <c r="AT208">
        <v>0</v>
      </c>
      <c r="AU208" s="28" t="s">
        <v>350</v>
      </c>
      <c r="AV208">
        <v>1</v>
      </c>
      <c r="AW208">
        <v>0</v>
      </c>
      <c r="AX208">
        <v>0</v>
      </c>
      <c r="AY208">
        <v>0</v>
      </c>
      <c r="AZ208">
        <v>0</v>
      </c>
      <c r="BA208">
        <v>0</v>
      </c>
      <c r="BB208">
        <v>0</v>
      </c>
      <c r="BC208">
        <v>1</v>
      </c>
      <c r="BD208">
        <v>0</v>
      </c>
      <c r="BE208">
        <v>0</v>
      </c>
      <c r="BF208">
        <v>17464</v>
      </c>
      <c r="BG208">
        <v>1807</v>
      </c>
      <c r="BH208">
        <v>0.92300000000000004</v>
      </c>
      <c r="BI208" s="64">
        <v>35.338000000000001</v>
      </c>
      <c r="BJ208">
        <v>0</v>
      </c>
      <c r="BK208">
        <v>0</v>
      </c>
      <c r="BL208">
        <v>0</v>
      </c>
      <c r="BM208">
        <v>0</v>
      </c>
      <c r="BN208">
        <v>0</v>
      </c>
      <c r="BO208">
        <v>0</v>
      </c>
      <c r="BP208">
        <v>1</v>
      </c>
      <c r="BQ208" s="28">
        <v>1</v>
      </c>
      <c r="BR208">
        <v>0</v>
      </c>
      <c r="BS208">
        <v>0</v>
      </c>
      <c r="BT208" s="28">
        <v>1</v>
      </c>
      <c r="BU208">
        <v>0</v>
      </c>
      <c r="BV208">
        <v>0</v>
      </c>
      <c r="BW208">
        <v>0</v>
      </c>
      <c r="BX208">
        <v>0</v>
      </c>
      <c r="BY208">
        <v>0</v>
      </c>
      <c r="BZ208">
        <v>1</v>
      </c>
      <c r="CA208">
        <v>1</v>
      </c>
      <c r="CB208">
        <v>0</v>
      </c>
      <c r="CC208">
        <v>0</v>
      </c>
      <c r="CD208">
        <v>0</v>
      </c>
      <c r="CE208" s="16">
        <v>0</v>
      </c>
      <c r="CF208">
        <v>0.29799999999999999</v>
      </c>
      <c r="CG208">
        <v>19</v>
      </c>
      <c r="CH208">
        <v>1</v>
      </c>
      <c r="CI208">
        <v>0</v>
      </c>
      <c r="CJ208">
        <v>10</v>
      </c>
      <c r="CK208" t="s">
        <v>46</v>
      </c>
    </row>
    <row r="209" spans="1:89" x14ac:dyDescent="0.25">
      <c r="A209">
        <v>208</v>
      </c>
      <c r="B209">
        <v>12</v>
      </c>
      <c r="C209" t="s">
        <v>309</v>
      </c>
      <c r="D209" s="79">
        <v>4.2</v>
      </c>
      <c r="E209" s="6">
        <v>0.9</v>
      </c>
      <c r="F209" s="6">
        <f t="shared" si="36"/>
        <v>4.666666666666667</v>
      </c>
      <c r="G209" s="78">
        <v>0</v>
      </c>
      <c r="H209" s="70">
        <v>0</v>
      </c>
      <c r="I209" s="70">
        <v>0</v>
      </c>
      <c r="J209" s="70">
        <v>1</v>
      </c>
      <c r="K209" s="70">
        <v>0</v>
      </c>
      <c r="L209" s="78">
        <v>602</v>
      </c>
      <c r="M209" s="70">
        <v>5</v>
      </c>
      <c r="N209" s="70">
        <f t="shared" si="34"/>
        <v>596</v>
      </c>
      <c r="O209" s="60">
        <f t="shared" si="35"/>
        <v>22</v>
      </c>
      <c r="P209" s="70">
        <v>12.513999999999999</v>
      </c>
      <c r="Q209" s="70">
        <f t="shared" si="37"/>
        <v>18.317000000000004</v>
      </c>
      <c r="R209" s="78">
        <v>1</v>
      </c>
      <c r="S209" s="70">
        <v>0</v>
      </c>
      <c r="T209" s="78">
        <v>0</v>
      </c>
      <c r="U209" s="70">
        <v>0</v>
      </c>
      <c r="V209" s="70">
        <v>0</v>
      </c>
      <c r="W209" s="70">
        <v>1</v>
      </c>
      <c r="X209" s="78">
        <v>0</v>
      </c>
      <c r="Y209" s="70">
        <v>1</v>
      </c>
      <c r="Z209" s="70">
        <v>0</v>
      </c>
      <c r="AA209" s="78">
        <v>0</v>
      </c>
      <c r="AB209" s="70">
        <v>1</v>
      </c>
      <c r="AC209" s="69">
        <v>1985</v>
      </c>
      <c r="AD209" t="s">
        <v>57</v>
      </c>
      <c r="AE209" t="s">
        <v>57</v>
      </c>
      <c r="AF209" t="s">
        <v>57</v>
      </c>
      <c r="AG209" t="s">
        <v>57</v>
      </c>
      <c r="AH209" s="28" t="s">
        <v>57</v>
      </c>
      <c r="AI209" t="s">
        <v>57</v>
      </c>
      <c r="AJ209" s="28">
        <v>0.46800000000000003</v>
      </c>
      <c r="AK209">
        <f t="shared" si="38"/>
        <v>0.53200000000000003</v>
      </c>
      <c r="AL209" s="28" t="s">
        <v>57</v>
      </c>
      <c r="AM209" t="s">
        <v>57</v>
      </c>
      <c r="AN209">
        <v>0</v>
      </c>
      <c r="AO209">
        <v>1</v>
      </c>
      <c r="AP209" s="28">
        <v>0.75900000000000001</v>
      </c>
      <c r="AQ209" s="12">
        <f t="shared" si="33"/>
        <v>0.24099999999999999</v>
      </c>
      <c r="AR209">
        <v>1</v>
      </c>
      <c r="AS209">
        <v>0</v>
      </c>
      <c r="AT209">
        <v>0</v>
      </c>
      <c r="AU209" s="28" t="s">
        <v>350</v>
      </c>
      <c r="AV209">
        <v>1</v>
      </c>
      <c r="AW209">
        <v>0</v>
      </c>
      <c r="AX209">
        <v>0</v>
      </c>
      <c r="AY209">
        <v>0</v>
      </c>
      <c r="AZ209">
        <v>0</v>
      </c>
      <c r="BA209">
        <v>0</v>
      </c>
      <c r="BB209">
        <v>0</v>
      </c>
      <c r="BC209">
        <v>1</v>
      </c>
      <c r="BD209">
        <v>0</v>
      </c>
      <c r="BE209">
        <v>0</v>
      </c>
      <c r="BF209">
        <v>17464</v>
      </c>
      <c r="BG209">
        <v>1807</v>
      </c>
      <c r="BH209">
        <v>0.92300000000000004</v>
      </c>
      <c r="BI209" s="64">
        <v>36.831000000000003</v>
      </c>
      <c r="BJ209">
        <v>1</v>
      </c>
      <c r="BK209">
        <v>0</v>
      </c>
      <c r="BL209">
        <v>0</v>
      </c>
      <c r="BM209">
        <v>0</v>
      </c>
      <c r="BN209">
        <v>0</v>
      </c>
      <c r="BO209">
        <v>0</v>
      </c>
      <c r="BP209">
        <v>0</v>
      </c>
      <c r="BQ209" s="28">
        <v>0</v>
      </c>
      <c r="BR209">
        <v>0</v>
      </c>
      <c r="BS209">
        <v>0</v>
      </c>
      <c r="BT209" s="28">
        <v>1</v>
      </c>
      <c r="BU209">
        <v>0</v>
      </c>
      <c r="BV209">
        <v>0</v>
      </c>
      <c r="BW209">
        <v>0</v>
      </c>
      <c r="BX209">
        <v>0</v>
      </c>
      <c r="BY209">
        <v>0</v>
      </c>
      <c r="BZ209">
        <v>1</v>
      </c>
      <c r="CA209">
        <v>1</v>
      </c>
      <c r="CB209">
        <v>0</v>
      </c>
      <c r="CC209">
        <v>0</v>
      </c>
      <c r="CD209">
        <v>0</v>
      </c>
      <c r="CE209" s="16">
        <v>0</v>
      </c>
      <c r="CF209">
        <v>0.29799999999999999</v>
      </c>
      <c r="CG209">
        <v>19</v>
      </c>
      <c r="CH209">
        <v>1</v>
      </c>
      <c r="CI209">
        <v>0</v>
      </c>
      <c r="CJ209">
        <v>10</v>
      </c>
      <c r="CK209" t="s">
        <v>46</v>
      </c>
    </row>
    <row r="210" spans="1:89" x14ac:dyDescent="0.25">
      <c r="A210">
        <v>209</v>
      </c>
      <c r="B210">
        <v>12</v>
      </c>
      <c r="C210" t="s">
        <v>309</v>
      </c>
      <c r="D210" s="79">
        <v>1.5</v>
      </c>
      <c r="E210" s="6">
        <v>0.6</v>
      </c>
      <c r="F210" s="6">
        <f t="shared" si="36"/>
        <v>2.5</v>
      </c>
      <c r="G210" s="78">
        <v>0</v>
      </c>
      <c r="H210" s="70">
        <v>0</v>
      </c>
      <c r="I210" s="70">
        <v>0</v>
      </c>
      <c r="J210" s="70">
        <v>1</v>
      </c>
      <c r="K210" s="70">
        <v>0</v>
      </c>
      <c r="L210" s="78">
        <v>602</v>
      </c>
      <c r="M210" s="70">
        <v>5</v>
      </c>
      <c r="N210" s="70">
        <f t="shared" si="34"/>
        <v>596</v>
      </c>
      <c r="O210" s="60">
        <f t="shared" si="35"/>
        <v>22</v>
      </c>
      <c r="P210" s="70">
        <v>12.513999999999999</v>
      </c>
      <c r="Q210" s="70">
        <f t="shared" si="37"/>
        <v>18.317000000000004</v>
      </c>
      <c r="R210" s="78">
        <v>1</v>
      </c>
      <c r="S210" s="70">
        <v>0</v>
      </c>
      <c r="T210" s="78">
        <v>0</v>
      </c>
      <c r="U210" s="70">
        <v>0</v>
      </c>
      <c r="V210" s="70">
        <v>0</v>
      </c>
      <c r="W210" s="70">
        <v>1</v>
      </c>
      <c r="X210" s="78">
        <v>0</v>
      </c>
      <c r="Y210" s="70">
        <v>1</v>
      </c>
      <c r="Z210" s="70">
        <v>0</v>
      </c>
      <c r="AA210" s="78">
        <v>0</v>
      </c>
      <c r="AB210" s="70">
        <v>1</v>
      </c>
      <c r="AC210" s="69">
        <v>1985</v>
      </c>
      <c r="AD210" t="s">
        <v>57</v>
      </c>
      <c r="AE210" t="s">
        <v>57</v>
      </c>
      <c r="AF210" t="s">
        <v>57</v>
      </c>
      <c r="AG210" t="s">
        <v>57</v>
      </c>
      <c r="AH210" s="28" t="s">
        <v>57</v>
      </c>
      <c r="AI210" t="s">
        <v>57</v>
      </c>
      <c r="AJ210" s="28">
        <v>0.46800000000000003</v>
      </c>
      <c r="AK210">
        <f t="shared" si="38"/>
        <v>0.53200000000000003</v>
      </c>
      <c r="AL210" s="28" t="s">
        <v>57</v>
      </c>
      <c r="AM210" t="s">
        <v>57</v>
      </c>
      <c r="AN210">
        <v>0</v>
      </c>
      <c r="AO210">
        <v>1</v>
      </c>
      <c r="AP210" s="28">
        <v>0.75900000000000001</v>
      </c>
      <c r="AQ210" s="12">
        <f t="shared" si="33"/>
        <v>0.24099999999999999</v>
      </c>
      <c r="AR210">
        <v>1</v>
      </c>
      <c r="AS210">
        <v>0</v>
      </c>
      <c r="AT210">
        <v>0</v>
      </c>
      <c r="AU210" s="28" t="s">
        <v>350</v>
      </c>
      <c r="AV210">
        <v>1</v>
      </c>
      <c r="AW210">
        <v>0</v>
      </c>
      <c r="AX210">
        <v>0</v>
      </c>
      <c r="AY210">
        <v>0</v>
      </c>
      <c r="AZ210">
        <v>0</v>
      </c>
      <c r="BA210">
        <v>0</v>
      </c>
      <c r="BB210">
        <v>0</v>
      </c>
      <c r="BC210">
        <v>1</v>
      </c>
      <c r="BD210">
        <v>0</v>
      </c>
      <c r="BE210">
        <v>0</v>
      </c>
      <c r="BF210">
        <v>17464</v>
      </c>
      <c r="BG210">
        <v>1807</v>
      </c>
      <c r="BH210">
        <v>0.92300000000000004</v>
      </c>
      <c r="BI210" s="64">
        <v>36.831000000000003</v>
      </c>
      <c r="BJ210">
        <v>1</v>
      </c>
      <c r="BK210">
        <v>0</v>
      </c>
      <c r="BL210">
        <v>0</v>
      </c>
      <c r="BM210">
        <v>0</v>
      </c>
      <c r="BN210">
        <v>0</v>
      </c>
      <c r="BO210">
        <v>0</v>
      </c>
      <c r="BP210">
        <v>0</v>
      </c>
      <c r="BQ210" s="28">
        <v>0</v>
      </c>
      <c r="BR210">
        <v>0</v>
      </c>
      <c r="BS210">
        <v>0</v>
      </c>
      <c r="BT210" s="28">
        <v>1</v>
      </c>
      <c r="BU210">
        <v>0</v>
      </c>
      <c r="BV210">
        <v>0</v>
      </c>
      <c r="BW210">
        <v>0</v>
      </c>
      <c r="BX210">
        <v>0</v>
      </c>
      <c r="BY210">
        <v>0</v>
      </c>
      <c r="BZ210">
        <v>1</v>
      </c>
      <c r="CA210">
        <v>1</v>
      </c>
      <c r="CB210">
        <v>0</v>
      </c>
      <c r="CC210">
        <v>0</v>
      </c>
      <c r="CD210">
        <v>0</v>
      </c>
      <c r="CE210" s="16">
        <v>0</v>
      </c>
      <c r="CF210">
        <v>0.29799999999999999</v>
      </c>
      <c r="CG210">
        <v>19</v>
      </c>
      <c r="CH210">
        <v>1</v>
      </c>
      <c r="CI210">
        <v>0</v>
      </c>
      <c r="CJ210">
        <v>10</v>
      </c>
      <c r="CK210" t="s">
        <v>46</v>
      </c>
    </row>
    <row r="211" spans="1:89" x14ac:dyDescent="0.25">
      <c r="A211">
        <v>210</v>
      </c>
      <c r="B211">
        <v>12</v>
      </c>
      <c r="C211" t="s">
        <v>309</v>
      </c>
      <c r="D211" s="79">
        <v>3.7</v>
      </c>
      <c r="E211" s="6">
        <v>0.7</v>
      </c>
      <c r="F211" s="6">
        <f t="shared" si="36"/>
        <v>5.2857142857142865</v>
      </c>
      <c r="G211" s="78">
        <v>0</v>
      </c>
      <c r="H211" s="70">
        <v>0</v>
      </c>
      <c r="I211" s="70">
        <v>0</v>
      </c>
      <c r="J211" s="70">
        <v>1</v>
      </c>
      <c r="K211" s="70">
        <v>0</v>
      </c>
      <c r="L211" s="78">
        <v>568</v>
      </c>
      <c r="M211" s="70">
        <v>5</v>
      </c>
      <c r="N211" s="70">
        <f t="shared" si="34"/>
        <v>562</v>
      </c>
      <c r="O211" s="60">
        <f t="shared" si="35"/>
        <v>22</v>
      </c>
      <c r="P211" s="70">
        <v>12.695</v>
      </c>
      <c r="Q211" s="70">
        <f t="shared" si="37"/>
        <v>16.643000000000001</v>
      </c>
      <c r="R211" s="78">
        <v>1</v>
      </c>
      <c r="S211" s="70">
        <v>0</v>
      </c>
      <c r="T211" s="78">
        <v>0</v>
      </c>
      <c r="U211" s="70">
        <v>0</v>
      </c>
      <c r="V211" s="70">
        <v>0</v>
      </c>
      <c r="W211" s="70">
        <v>1</v>
      </c>
      <c r="X211" s="78">
        <v>0</v>
      </c>
      <c r="Y211" s="70">
        <v>1</v>
      </c>
      <c r="Z211" s="70">
        <v>0</v>
      </c>
      <c r="AA211" s="78">
        <v>0</v>
      </c>
      <c r="AB211" s="70">
        <v>1</v>
      </c>
      <c r="AC211" s="69">
        <v>1985</v>
      </c>
      <c r="AD211" t="s">
        <v>57</v>
      </c>
      <c r="AE211" t="s">
        <v>57</v>
      </c>
      <c r="AF211" t="s">
        <v>57</v>
      </c>
      <c r="AG211" t="s">
        <v>57</v>
      </c>
      <c r="AH211" s="28" t="s">
        <v>57</v>
      </c>
      <c r="AI211" t="s">
        <v>57</v>
      </c>
      <c r="AJ211" s="28">
        <v>0.505</v>
      </c>
      <c r="AK211">
        <f t="shared" si="38"/>
        <v>0.495</v>
      </c>
      <c r="AL211" s="28" t="s">
        <v>57</v>
      </c>
      <c r="AM211" t="s">
        <v>57</v>
      </c>
      <c r="AN211">
        <v>0</v>
      </c>
      <c r="AO211">
        <v>1</v>
      </c>
      <c r="AP211" s="28">
        <v>0.72199999999999998</v>
      </c>
      <c r="AQ211" s="12">
        <f t="shared" si="33"/>
        <v>0.27800000000000002</v>
      </c>
      <c r="AR211">
        <v>0</v>
      </c>
      <c r="AS211">
        <v>1</v>
      </c>
      <c r="AT211">
        <v>0</v>
      </c>
      <c r="AU211" s="28" t="s">
        <v>350</v>
      </c>
      <c r="AV211">
        <v>1</v>
      </c>
      <c r="AW211">
        <v>0</v>
      </c>
      <c r="AX211">
        <v>0</v>
      </c>
      <c r="AY211">
        <v>0</v>
      </c>
      <c r="AZ211">
        <v>0</v>
      </c>
      <c r="BA211">
        <v>0</v>
      </c>
      <c r="BB211">
        <v>0</v>
      </c>
      <c r="BC211">
        <v>1</v>
      </c>
      <c r="BD211">
        <v>0</v>
      </c>
      <c r="BE211">
        <v>0</v>
      </c>
      <c r="BF211">
        <v>17464</v>
      </c>
      <c r="BG211">
        <v>1807</v>
      </c>
      <c r="BH211">
        <v>0.92300000000000004</v>
      </c>
      <c r="BI211" s="64">
        <v>35.338000000000001</v>
      </c>
      <c r="BJ211">
        <v>1</v>
      </c>
      <c r="BK211">
        <v>0</v>
      </c>
      <c r="BL211">
        <v>0</v>
      </c>
      <c r="BM211">
        <v>0</v>
      </c>
      <c r="BN211">
        <v>0</v>
      </c>
      <c r="BO211">
        <v>0</v>
      </c>
      <c r="BP211">
        <v>0</v>
      </c>
      <c r="BQ211" s="28">
        <v>0</v>
      </c>
      <c r="BR211">
        <v>0</v>
      </c>
      <c r="BS211">
        <v>0</v>
      </c>
      <c r="BT211" s="28">
        <v>1</v>
      </c>
      <c r="BU211">
        <v>0</v>
      </c>
      <c r="BV211">
        <v>0</v>
      </c>
      <c r="BW211">
        <v>0</v>
      </c>
      <c r="BX211">
        <v>0</v>
      </c>
      <c r="BY211">
        <v>0</v>
      </c>
      <c r="BZ211">
        <v>1</v>
      </c>
      <c r="CA211">
        <v>1</v>
      </c>
      <c r="CB211">
        <v>0</v>
      </c>
      <c r="CC211">
        <v>0</v>
      </c>
      <c r="CD211">
        <v>0</v>
      </c>
      <c r="CE211" s="16">
        <v>0</v>
      </c>
      <c r="CF211">
        <v>0.29799999999999999</v>
      </c>
      <c r="CG211">
        <v>19</v>
      </c>
      <c r="CH211">
        <v>1</v>
      </c>
      <c r="CI211">
        <v>0</v>
      </c>
      <c r="CJ211">
        <v>10</v>
      </c>
      <c r="CK211" t="s">
        <v>46</v>
      </c>
    </row>
    <row r="212" spans="1:89" x14ac:dyDescent="0.25">
      <c r="A212">
        <v>211</v>
      </c>
      <c r="B212">
        <v>12</v>
      </c>
      <c r="C212" t="s">
        <v>309</v>
      </c>
      <c r="D212" s="79">
        <v>5.0999999999999996</v>
      </c>
      <c r="E212" s="6">
        <v>0.7</v>
      </c>
      <c r="F212" s="6">
        <f t="shared" si="36"/>
        <v>7.2857142857142856</v>
      </c>
      <c r="G212" s="78">
        <v>0</v>
      </c>
      <c r="H212" s="70">
        <v>0</v>
      </c>
      <c r="I212" s="70">
        <v>0</v>
      </c>
      <c r="J212" s="70">
        <v>1</v>
      </c>
      <c r="K212" s="70">
        <v>0</v>
      </c>
      <c r="L212" s="78">
        <v>568</v>
      </c>
      <c r="M212" s="70">
        <v>5</v>
      </c>
      <c r="N212" s="70">
        <f t="shared" si="34"/>
        <v>562</v>
      </c>
      <c r="O212" s="60">
        <f t="shared" si="35"/>
        <v>22</v>
      </c>
      <c r="P212" s="70">
        <v>12.695</v>
      </c>
      <c r="Q212" s="70">
        <f t="shared" si="37"/>
        <v>16.643000000000001</v>
      </c>
      <c r="R212" s="78">
        <v>1</v>
      </c>
      <c r="S212" s="70">
        <v>0</v>
      </c>
      <c r="T212" s="78">
        <v>0</v>
      </c>
      <c r="U212" s="70">
        <v>0</v>
      </c>
      <c r="V212" s="70">
        <v>0</v>
      </c>
      <c r="W212" s="70">
        <v>1</v>
      </c>
      <c r="X212" s="78">
        <v>0</v>
      </c>
      <c r="Y212" s="70">
        <v>1</v>
      </c>
      <c r="Z212" s="70">
        <v>0</v>
      </c>
      <c r="AA212" s="78">
        <v>0</v>
      </c>
      <c r="AB212" s="70">
        <v>1</v>
      </c>
      <c r="AC212" s="69">
        <v>1985</v>
      </c>
      <c r="AD212" t="s">
        <v>57</v>
      </c>
      <c r="AE212" t="s">
        <v>57</v>
      </c>
      <c r="AF212" t="s">
        <v>57</v>
      </c>
      <c r="AG212" t="s">
        <v>57</v>
      </c>
      <c r="AH212" s="28" t="s">
        <v>57</v>
      </c>
      <c r="AI212" t="s">
        <v>57</v>
      </c>
      <c r="AJ212" s="28">
        <v>0.505</v>
      </c>
      <c r="AK212">
        <f t="shared" si="38"/>
        <v>0.495</v>
      </c>
      <c r="AL212" s="28" t="s">
        <v>57</v>
      </c>
      <c r="AM212" t="s">
        <v>57</v>
      </c>
      <c r="AN212">
        <v>0</v>
      </c>
      <c r="AO212">
        <v>1</v>
      </c>
      <c r="AP212" s="28">
        <v>0.72199999999999998</v>
      </c>
      <c r="AQ212" s="12">
        <f t="shared" si="33"/>
        <v>0.27800000000000002</v>
      </c>
      <c r="AR212">
        <v>0</v>
      </c>
      <c r="AS212">
        <v>1</v>
      </c>
      <c r="AT212">
        <v>0</v>
      </c>
      <c r="AU212" s="28" t="s">
        <v>350</v>
      </c>
      <c r="AV212">
        <v>1</v>
      </c>
      <c r="AW212">
        <v>0</v>
      </c>
      <c r="AX212">
        <v>0</v>
      </c>
      <c r="AY212">
        <v>0</v>
      </c>
      <c r="AZ212">
        <v>0</v>
      </c>
      <c r="BA212">
        <v>0</v>
      </c>
      <c r="BB212">
        <v>0</v>
      </c>
      <c r="BC212">
        <v>1</v>
      </c>
      <c r="BD212">
        <v>0</v>
      </c>
      <c r="BE212">
        <v>0</v>
      </c>
      <c r="BF212">
        <v>17464</v>
      </c>
      <c r="BG212">
        <v>1807</v>
      </c>
      <c r="BH212">
        <v>0.92300000000000004</v>
      </c>
      <c r="BI212" s="64">
        <v>35.338000000000001</v>
      </c>
      <c r="BJ212">
        <v>1</v>
      </c>
      <c r="BK212">
        <v>0</v>
      </c>
      <c r="BL212">
        <v>0</v>
      </c>
      <c r="BM212">
        <v>0</v>
      </c>
      <c r="BN212">
        <v>0</v>
      </c>
      <c r="BO212">
        <v>0</v>
      </c>
      <c r="BP212">
        <v>0</v>
      </c>
      <c r="BQ212" s="28">
        <v>0</v>
      </c>
      <c r="BR212">
        <v>0</v>
      </c>
      <c r="BS212">
        <v>0</v>
      </c>
      <c r="BT212" s="28">
        <v>1</v>
      </c>
      <c r="BU212">
        <v>0</v>
      </c>
      <c r="BV212">
        <v>0</v>
      </c>
      <c r="BW212">
        <v>0</v>
      </c>
      <c r="BX212">
        <v>0</v>
      </c>
      <c r="BY212">
        <v>0</v>
      </c>
      <c r="BZ212">
        <v>1</v>
      </c>
      <c r="CA212">
        <v>1</v>
      </c>
      <c r="CB212">
        <v>0</v>
      </c>
      <c r="CC212">
        <v>0</v>
      </c>
      <c r="CD212">
        <v>0</v>
      </c>
      <c r="CE212" s="16">
        <v>0</v>
      </c>
      <c r="CF212">
        <v>0.29799999999999999</v>
      </c>
      <c r="CG212">
        <v>19</v>
      </c>
      <c r="CH212">
        <v>1</v>
      </c>
      <c r="CI212">
        <v>0</v>
      </c>
      <c r="CJ212">
        <v>10</v>
      </c>
      <c r="CK212" t="s">
        <v>46</v>
      </c>
    </row>
    <row r="213" spans="1:89" x14ac:dyDescent="0.25">
      <c r="A213">
        <v>212</v>
      </c>
      <c r="B213">
        <v>12</v>
      </c>
      <c r="C213" t="s">
        <v>309</v>
      </c>
      <c r="D213" s="79">
        <v>6.3</v>
      </c>
      <c r="E213" s="6">
        <v>1.4</v>
      </c>
      <c r="F213" s="6">
        <f t="shared" si="36"/>
        <v>4.5</v>
      </c>
      <c r="G213" s="78">
        <v>0</v>
      </c>
      <c r="H213" s="70">
        <v>0</v>
      </c>
      <c r="I213" s="70">
        <v>0</v>
      </c>
      <c r="J213" s="70">
        <v>1</v>
      </c>
      <c r="K213" s="70">
        <v>0</v>
      </c>
      <c r="L213" s="78">
        <v>602</v>
      </c>
      <c r="M213" s="70">
        <v>5</v>
      </c>
      <c r="N213" s="70">
        <f t="shared" si="34"/>
        <v>596</v>
      </c>
      <c r="O213" s="60">
        <f t="shared" si="35"/>
        <v>22</v>
      </c>
      <c r="P213" s="70">
        <v>12.513999999999999</v>
      </c>
      <c r="Q213" s="70">
        <f t="shared" si="37"/>
        <v>18.317000000000004</v>
      </c>
      <c r="R213" s="78">
        <v>1</v>
      </c>
      <c r="S213" s="70">
        <v>0</v>
      </c>
      <c r="T213" s="78">
        <v>0</v>
      </c>
      <c r="U213" s="70">
        <v>0</v>
      </c>
      <c r="V213" s="70">
        <v>0</v>
      </c>
      <c r="W213" s="70">
        <v>1</v>
      </c>
      <c r="X213" s="78">
        <v>0</v>
      </c>
      <c r="Y213" s="70">
        <v>1</v>
      </c>
      <c r="Z213" s="70">
        <v>0</v>
      </c>
      <c r="AA213" s="78">
        <v>0</v>
      </c>
      <c r="AB213" s="70">
        <v>1</v>
      </c>
      <c r="AC213" s="69">
        <v>1985</v>
      </c>
      <c r="AD213" t="s">
        <v>57</v>
      </c>
      <c r="AE213" t="s">
        <v>57</v>
      </c>
      <c r="AF213" t="s">
        <v>57</v>
      </c>
      <c r="AG213" t="s">
        <v>57</v>
      </c>
      <c r="AH213" s="28" t="s">
        <v>57</v>
      </c>
      <c r="AI213" t="s">
        <v>57</v>
      </c>
      <c r="AJ213" s="28">
        <v>0.46800000000000003</v>
      </c>
      <c r="AK213">
        <f t="shared" si="38"/>
        <v>0.53200000000000003</v>
      </c>
      <c r="AL213" s="28" t="s">
        <v>57</v>
      </c>
      <c r="AM213" t="s">
        <v>57</v>
      </c>
      <c r="AN213">
        <v>0</v>
      </c>
      <c r="AO213">
        <v>1</v>
      </c>
      <c r="AP213" s="28">
        <v>0.75900000000000001</v>
      </c>
      <c r="AQ213" s="12">
        <f t="shared" si="33"/>
        <v>0.24099999999999999</v>
      </c>
      <c r="AR213">
        <v>1</v>
      </c>
      <c r="AS213">
        <v>0</v>
      </c>
      <c r="AT213">
        <v>0</v>
      </c>
      <c r="AU213" s="28" t="s">
        <v>350</v>
      </c>
      <c r="AV213">
        <v>1</v>
      </c>
      <c r="AW213">
        <v>0</v>
      </c>
      <c r="AX213">
        <v>0</v>
      </c>
      <c r="AY213">
        <v>0</v>
      </c>
      <c r="AZ213">
        <v>0</v>
      </c>
      <c r="BA213">
        <v>0</v>
      </c>
      <c r="BB213">
        <v>0</v>
      </c>
      <c r="BC213">
        <v>1</v>
      </c>
      <c r="BD213">
        <v>0</v>
      </c>
      <c r="BE213">
        <v>0</v>
      </c>
      <c r="BF213">
        <v>17464</v>
      </c>
      <c r="BG213">
        <v>1807</v>
      </c>
      <c r="BH213">
        <v>0.92300000000000004</v>
      </c>
      <c r="BI213" s="64">
        <v>36.831000000000003</v>
      </c>
      <c r="BJ213">
        <v>0</v>
      </c>
      <c r="BK213">
        <v>0</v>
      </c>
      <c r="BL213">
        <v>0</v>
      </c>
      <c r="BM213">
        <v>0</v>
      </c>
      <c r="BN213">
        <v>0</v>
      </c>
      <c r="BO213">
        <v>0</v>
      </c>
      <c r="BP213">
        <v>1</v>
      </c>
      <c r="BQ213" s="28">
        <v>1</v>
      </c>
      <c r="BR213">
        <v>0</v>
      </c>
      <c r="BS213">
        <v>0</v>
      </c>
      <c r="BT213" s="28">
        <v>1</v>
      </c>
      <c r="BU213">
        <v>0</v>
      </c>
      <c r="BV213">
        <v>0</v>
      </c>
      <c r="BW213">
        <v>0</v>
      </c>
      <c r="BX213">
        <v>0</v>
      </c>
      <c r="BY213">
        <v>0</v>
      </c>
      <c r="BZ213">
        <v>1</v>
      </c>
      <c r="CA213">
        <v>1</v>
      </c>
      <c r="CB213">
        <v>0</v>
      </c>
      <c r="CC213">
        <v>0</v>
      </c>
      <c r="CD213">
        <v>0</v>
      </c>
      <c r="CE213" s="16">
        <v>0</v>
      </c>
      <c r="CF213">
        <v>0.29799999999999999</v>
      </c>
      <c r="CG213">
        <v>19</v>
      </c>
      <c r="CH213">
        <v>1</v>
      </c>
      <c r="CI213">
        <v>0</v>
      </c>
      <c r="CJ213">
        <v>10</v>
      </c>
      <c r="CK213" t="s">
        <v>46</v>
      </c>
    </row>
    <row r="214" spans="1:89" x14ac:dyDescent="0.25">
      <c r="A214">
        <v>213</v>
      </c>
      <c r="B214">
        <v>12</v>
      </c>
      <c r="C214" t="s">
        <v>309</v>
      </c>
      <c r="D214" s="79">
        <v>3.2</v>
      </c>
      <c r="E214" s="6">
        <v>1.2</v>
      </c>
      <c r="F214" s="6">
        <f t="shared" si="36"/>
        <v>2.666666666666667</v>
      </c>
      <c r="G214" s="78">
        <v>0</v>
      </c>
      <c r="H214" s="70">
        <v>0</v>
      </c>
      <c r="I214" s="70">
        <v>0</v>
      </c>
      <c r="J214" s="70">
        <v>1</v>
      </c>
      <c r="K214" s="70">
        <v>0</v>
      </c>
      <c r="L214" s="78">
        <v>602</v>
      </c>
      <c r="M214" s="70">
        <v>5</v>
      </c>
      <c r="N214" s="70">
        <f t="shared" si="34"/>
        <v>596</v>
      </c>
      <c r="O214" s="60">
        <f t="shared" si="35"/>
        <v>22</v>
      </c>
      <c r="P214" s="70">
        <v>12.513999999999999</v>
      </c>
      <c r="Q214" s="70">
        <f t="shared" si="37"/>
        <v>18.317000000000004</v>
      </c>
      <c r="R214" s="78">
        <v>1</v>
      </c>
      <c r="S214" s="70">
        <v>0</v>
      </c>
      <c r="T214" s="78">
        <v>0</v>
      </c>
      <c r="U214" s="70">
        <v>0</v>
      </c>
      <c r="V214" s="70">
        <v>0</v>
      </c>
      <c r="W214" s="70">
        <v>1</v>
      </c>
      <c r="X214" s="78">
        <v>0</v>
      </c>
      <c r="Y214" s="70">
        <v>1</v>
      </c>
      <c r="Z214" s="70">
        <v>0</v>
      </c>
      <c r="AA214" s="78">
        <v>0</v>
      </c>
      <c r="AB214" s="70">
        <v>1</v>
      </c>
      <c r="AC214" s="69">
        <v>1985</v>
      </c>
      <c r="AD214" t="s">
        <v>57</v>
      </c>
      <c r="AE214" t="s">
        <v>57</v>
      </c>
      <c r="AF214" t="s">
        <v>57</v>
      </c>
      <c r="AG214" t="s">
        <v>57</v>
      </c>
      <c r="AH214" s="28" t="s">
        <v>57</v>
      </c>
      <c r="AI214" t="s">
        <v>57</v>
      </c>
      <c r="AJ214" s="28">
        <v>0.46800000000000003</v>
      </c>
      <c r="AK214">
        <f t="shared" si="38"/>
        <v>0.53200000000000003</v>
      </c>
      <c r="AL214" s="28" t="s">
        <v>57</v>
      </c>
      <c r="AM214" t="s">
        <v>57</v>
      </c>
      <c r="AN214">
        <v>0</v>
      </c>
      <c r="AO214">
        <v>1</v>
      </c>
      <c r="AP214" s="28">
        <v>0.75900000000000001</v>
      </c>
      <c r="AQ214" s="12">
        <f t="shared" si="33"/>
        <v>0.24099999999999999</v>
      </c>
      <c r="AR214">
        <v>1</v>
      </c>
      <c r="AS214">
        <v>0</v>
      </c>
      <c r="AT214">
        <v>0</v>
      </c>
      <c r="AU214" s="28" t="s">
        <v>350</v>
      </c>
      <c r="AV214">
        <v>1</v>
      </c>
      <c r="AW214">
        <v>0</v>
      </c>
      <c r="AX214">
        <v>0</v>
      </c>
      <c r="AY214">
        <v>0</v>
      </c>
      <c r="AZ214">
        <v>0</v>
      </c>
      <c r="BA214">
        <v>0</v>
      </c>
      <c r="BB214">
        <v>0</v>
      </c>
      <c r="BC214">
        <v>1</v>
      </c>
      <c r="BD214">
        <v>0</v>
      </c>
      <c r="BE214">
        <v>0</v>
      </c>
      <c r="BF214">
        <v>17464</v>
      </c>
      <c r="BG214">
        <v>1807</v>
      </c>
      <c r="BH214">
        <v>0.92300000000000004</v>
      </c>
      <c r="BI214" s="64">
        <v>36.831000000000003</v>
      </c>
      <c r="BJ214">
        <v>0</v>
      </c>
      <c r="BK214">
        <v>0</v>
      </c>
      <c r="BL214">
        <v>0</v>
      </c>
      <c r="BM214">
        <v>0</v>
      </c>
      <c r="BN214">
        <v>0</v>
      </c>
      <c r="BO214">
        <v>0</v>
      </c>
      <c r="BP214">
        <v>1</v>
      </c>
      <c r="BQ214" s="28">
        <v>1</v>
      </c>
      <c r="BR214">
        <v>0</v>
      </c>
      <c r="BS214">
        <v>0</v>
      </c>
      <c r="BT214" s="28">
        <v>1</v>
      </c>
      <c r="BU214">
        <v>0</v>
      </c>
      <c r="BV214">
        <v>0</v>
      </c>
      <c r="BW214">
        <v>0</v>
      </c>
      <c r="BX214">
        <v>0</v>
      </c>
      <c r="BY214">
        <v>0</v>
      </c>
      <c r="BZ214">
        <v>1</v>
      </c>
      <c r="CA214">
        <v>1</v>
      </c>
      <c r="CB214">
        <v>0</v>
      </c>
      <c r="CC214">
        <v>0</v>
      </c>
      <c r="CD214">
        <v>0</v>
      </c>
      <c r="CE214" s="16">
        <v>0</v>
      </c>
      <c r="CF214">
        <v>0.29799999999999999</v>
      </c>
      <c r="CG214">
        <v>19</v>
      </c>
      <c r="CH214">
        <v>1</v>
      </c>
      <c r="CI214">
        <v>0</v>
      </c>
      <c r="CJ214">
        <v>10</v>
      </c>
      <c r="CK214" t="s">
        <v>46</v>
      </c>
    </row>
    <row r="215" spans="1:89" x14ac:dyDescent="0.25">
      <c r="A215">
        <v>214</v>
      </c>
      <c r="B215">
        <v>12</v>
      </c>
      <c r="C215" t="s">
        <v>309</v>
      </c>
      <c r="D215" s="79">
        <v>6.9</v>
      </c>
      <c r="E215" s="6">
        <v>1.1000000000000001</v>
      </c>
      <c r="F215" s="6">
        <f t="shared" si="36"/>
        <v>6.2727272727272725</v>
      </c>
      <c r="G215" s="78">
        <v>0</v>
      </c>
      <c r="H215" s="70">
        <v>0</v>
      </c>
      <c r="I215" s="70">
        <v>0</v>
      </c>
      <c r="J215" s="70">
        <v>1</v>
      </c>
      <c r="K215" s="70">
        <v>0</v>
      </c>
      <c r="L215" s="78">
        <v>568</v>
      </c>
      <c r="M215" s="70">
        <v>5</v>
      </c>
      <c r="N215" s="70">
        <f t="shared" si="34"/>
        <v>562</v>
      </c>
      <c r="O215" s="60">
        <f t="shared" si="35"/>
        <v>22</v>
      </c>
      <c r="P215" s="70">
        <v>12.695</v>
      </c>
      <c r="Q215" s="70">
        <f t="shared" si="37"/>
        <v>16.643000000000001</v>
      </c>
      <c r="R215" s="78">
        <v>1</v>
      </c>
      <c r="S215" s="70">
        <v>0</v>
      </c>
      <c r="T215" s="78">
        <v>0</v>
      </c>
      <c r="U215" s="70">
        <v>0</v>
      </c>
      <c r="V215" s="70">
        <v>0</v>
      </c>
      <c r="W215" s="70">
        <v>1</v>
      </c>
      <c r="X215" s="78">
        <v>0</v>
      </c>
      <c r="Y215" s="70">
        <v>1</v>
      </c>
      <c r="Z215" s="70">
        <v>0</v>
      </c>
      <c r="AA215" s="78">
        <v>0</v>
      </c>
      <c r="AB215" s="70">
        <v>1</v>
      </c>
      <c r="AC215" s="69">
        <v>1985</v>
      </c>
      <c r="AD215" t="s">
        <v>57</v>
      </c>
      <c r="AE215" t="s">
        <v>57</v>
      </c>
      <c r="AF215" t="s">
        <v>57</v>
      </c>
      <c r="AG215" t="s">
        <v>57</v>
      </c>
      <c r="AH215" s="28" t="s">
        <v>57</v>
      </c>
      <c r="AI215" t="s">
        <v>57</v>
      </c>
      <c r="AJ215" s="28">
        <v>0.505</v>
      </c>
      <c r="AK215">
        <f t="shared" si="38"/>
        <v>0.495</v>
      </c>
      <c r="AL215" s="28" t="s">
        <v>57</v>
      </c>
      <c r="AM215" t="s">
        <v>57</v>
      </c>
      <c r="AN215">
        <v>0</v>
      </c>
      <c r="AO215">
        <v>1</v>
      </c>
      <c r="AP215" s="28">
        <v>0.72199999999999998</v>
      </c>
      <c r="AQ215" s="12">
        <f t="shared" si="33"/>
        <v>0.27800000000000002</v>
      </c>
      <c r="AR215">
        <v>0</v>
      </c>
      <c r="AS215">
        <v>1</v>
      </c>
      <c r="AT215">
        <v>0</v>
      </c>
      <c r="AU215" s="28" t="s">
        <v>350</v>
      </c>
      <c r="AV215">
        <v>1</v>
      </c>
      <c r="AW215">
        <v>0</v>
      </c>
      <c r="AX215">
        <v>0</v>
      </c>
      <c r="AY215">
        <v>0</v>
      </c>
      <c r="AZ215">
        <v>0</v>
      </c>
      <c r="BA215">
        <v>0</v>
      </c>
      <c r="BB215">
        <v>0</v>
      </c>
      <c r="BC215">
        <v>1</v>
      </c>
      <c r="BD215">
        <v>0</v>
      </c>
      <c r="BE215">
        <v>0</v>
      </c>
      <c r="BF215">
        <v>17464</v>
      </c>
      <c r="BG215">
        <v>1807</v>
      </c>
      <c r="BH215">
        <v>0.92300000000000004</v>
      </c>
      <c r="BI215" s="64">
        <v>35.338000000000001</v>
      </c>
      <c r="BJ215">
        <v>0</v>
      </c>
      <c r="BK215">
        <v>0</v>
      </c>
      <c r="BL215">
        <v>0</v>
      </c>
      <c r="BM215">
        <v>0</v>
      </c>
      <c r="BN215">
        <v>0</v>
      </c>
      <c r="BO215">
        <v>0</v>
      </c>
      <c r="BP215">
        <v>1</v>
      </c>
      <c r="BQ215" s="28">
        <v>1</v>
      </c>
      <c r="BR215">
        <v>0</v>
      </c>
      <c r="BS215">
        <v>0</v>
      </c>
      <c r="BT215" s="28">
        <v>1</v>
      </c>
      <c r="BU215">
        <v>0</v>
      </c>
      <c r="BV215">
        <v>0</v>
      </c>
      <c r="BW215">
        <v>0</v>
      </c>
      <c r="BX215">
        <v>0</v>
      </c>
      <c r="BY215">
        <v>0</v>
      </c>
      <c r="BZ215">
        <v>1</v>
      </c>
      <c r="CA215">
        <v>1</v>
      </c>
      <c r="CB215">
        <v>0</v>
      </c>
      <c r="CC215">
        <v>0</v>
      </c>
      <c r="CD215">
        <v>0</v>
      </c>
      <c r="CE215" s="16">
        <v>0</v>
      </c>
      <c r="CF215">
        <v>0.29799999999999999</v>
      </c>
      <c r="CG215">
        <v>19</v>
      </c>
      <c r="CH215">
        <v>1</v>
      </c>
      <c r="CI215">
        <v>0</v>
      </c>
      <c r="CJ215">
        <v>10</v>
      </c>
      <c r="CK215" t="s">
        <v>46</v>
      </c>
    </row>
    <row r="216" spans="1:89" x14ac:dyDescent="0.25">
      <c r="A216">
        <v>215</v>
      </c>
      <c r="B216">
        <v>12</v>
      </c>
      <c r="C216" t="s">
        <v>309</v>
      </c>
      <c r="D216" s="79">
        <v>7.6</v>
      </c>
      <c r="E216" s="6">
        <v>1.2</v>
      </c>
      <c r="F216" s="6">
        <f t="shared" si="36"/>
        <v>6.333333333333333</v>
      </c>
      <c r="G216" s="78">
        <v>0</v>
      </c>
      <c r="H216" s="70">
        <v>0</v>
      </c>
      <c r="I216" s="70">
        <v>0</v>
      </c>
      <c r="J216" s="70">
        <v>1</v>
      </c>
      <c r="K216" s="70">
        <v>0</v>
      </c>
      <c r="L216" s="78">
        <v>568</v>
      </c>
      <c r="M216" s="70">
        <v>5</v>
      </c>
      <c r="N216" s="70">
        <f t="shared" si="34"/>
        <v>562</v>
      </c>
      <c r="O216" s="60">
        <f t="shared" si="35"/>
        <v>22</v>
      </c>
      <c r="P216" s="70">
        <v>12.695</v>
      </c>
      <c r="Q216" s="70">
        <f t="shared" si="37"/>
        <v>16.643000000000001</v>
      </c>
      <c r="R216" s="78">
        <v>1</v>
      </c>
      <c r="S216" s="70">
        <v>0</v>
      </c>
      <c r="T216" s="78">
        <v>0</v>
      </c>
      <c r="U216" s="70">
        <v>0</v>
      </c>
      <c r="V216" s="70">
        <v>0</v>
      </c>
      <c r="W216" s="70">
        <v>1</v>
      </c>
      <c r="X216" s="78">
        <v>0</v>
      </c>
      <c r="Y216" s="70">
        <v>1</v>
      </c>
      <c r="Z216" s="70">
        <v>0</v>
      </c>
      <c r="AA216" s="78">
        <v>0</v>
      </c>
      <c r="AB216" s="70">
        <v>1</v>
      </c>
      <c r="AC216" s="69">
        <v>1985</v>
      </c>
      <c r="AD216" t="s">
        <v>57</v>
      </c>
      <c r="AE216" t="s">
        <v>57</v>
      </c>
      <c r="AF216" t="s">
        <v>57</v>
      </c>
      <c r="AG216" t="s">
        <v>57</v>
      </c>
      <c r="AH216" s="28" t="s">
        <v>57</v>
      </c>
      <c r="AI216" t="s">
        <v>57</v>
      </c>
      <c r="AJ216" s="28">
        <v>0.505</v>
      </c>
      <c r="AK216">
        <f t="shared" si="38"/>
        <v>0.495</v>
      </c>
      <c r="AL216" s="28" t="s">
        <v>57</v>
      </c>
      <c r="AM216" t="s">
        <v>57</v>
      </c>
      <c r="AN216">
        <v>0</v>
      </c>
      <c r="AO216">
        <v>1</v>
      </c>
      <c r="AP216" s="28">
        <v>0.72199999999999998</v>
      </c>
      <c r="AQ216" s="12">
        <f t="shared" si="33"/>
        <v>0.27800000000000002</v>
      </c>
      <c r="AR216">
        <v>0</v>
      </c>
      <c r="AS216">
        <v>1</v>
      </c>
      <c r="AT216">
        <v>0</v>
      </c>
      <c r="AU216" s="28" t="s">
        <v>350</v>
      </c>
      <c r="AV216">
        <v>1</v>
      </c>
      <c r="AW216">
        <v>0</v>
      </c>
      <c r="AX216">
        <v>0</v>
      </c>
      <c r="AY216">
        <v>0</v>
      </c>
      <c r="AZ216">
        <v>0</v>
      </c>
      <c r="BA216">
        <v>0</v>
      </c>
      <c r="BB216">
        <v>0</v>
      </c>
      <c r="BC216">
        <v>1</v>
      </c>
      <c r="BD216">
        <v>0</v>
      </c>
      <c r="BE216">
        <v>0</v>
      </c>
      <c r="BF216">
        <v>17464</v>
      </c>
      <c r="BG216">
        <v>1807</v>
      </c>
      <c r="BH216">
        <v>0.92300000000000004</v>
      </c>
      <c r="BI216" s="64">
        <v>35.338000000000001</v>
      </c>
      <c r="BJ216">
        <v>0</v>
      </c>
      <c r="BK216">
        <v>0</v>
      </c>
      <c r="BL216">
        <v>0</v>
      </c>
      <c r="BM216">
        <v>0</v>
      </c>
      <c r="BN216">
        <v>0</v>
      </c>
      <c r="BO216">
        <v>0</v>
      </c>
      <c r="BP216">
        <v>1</v>
      </c>
      <c r="BQ216" s="28">
        <v>1</v>
      </c>
      <c r="BR216">
        <v>0</v>
      </c>
      <c r="BS216">
        <v>0</v>
      </c>
      <c r="BT216" s="28">
        <v>1</v>
      </c>
      <c r="BU216">
        <v>0</v>
      </c>
      <c r="BV216">
        <v>0</v>
      </c>
      <c r="BW216">
        <v>0</v>
      </c>
      <c r="BX216">
        <v>0</v>
      </c>
      <c r="BY216">
        <v>0</v>
      </c>
      <c r="BZ216">
        <v>1</v>
      </c>
      <c r="CA216">
        <v>1</v>
      </c>
      <c r="CB216">
        <v>0</v>
      </c>
      <c r="CC216">
        <v>0</v>
      </c>
      <c r="CD216">
        <v>0</v>
      </c>
      <c r="CE216" s="16">
        <v>0</v>
      </c>
      <c r="CF216">
        <v>0.29799999999999999</v>
      </c>
      <c r="CG216">
        <v>19</v>
      </c>
      <c r="CH216">
        <v>1</v>
      </c>
      <c r="CI216">
        <v>0</v>
      </c>
      <c r="CJ216">
        <v>10</v>
      </c>
      <c r="CK216" t="s">
        <v>46</v>
      </c>
    </row>
    <row r="217" spans="1:89" x14ac:dyDescent="0.25">
      <c r="A217">
        <v>216</v>
      </c>
      <c r="B217">
        <v>12</v>
      </c>
      <c r="C217" t="s">
        <v>309</v>
      </c>
      <c r="D217" s="79">
        <v>4.8</v>
      </c>
      <c r="E217" s="6">
        <v>1.2</v>
      </c>
      <c r="F217" s="6">
        <f t="shared" si="36"/>
        <v>4</v>
      </c>
      <c r="G217" s="78">
        <v>0</v>
      </c>
      <c r="H217" s="70">
        <v>0</v>
      </c>
      <c r="I217" s="70">
        <v>0</v>
      </c>
      <c r="J217" s="70">
        <v>1</v>
      </c>
      <c r="K217" s="70">
        <v>0</v>
      </c>
      <c r="L217" s="78">
        <v>602</v>
      </c>
      <c r="M217" s="70">
        <v>5</v>
      </c>
      <c r="N217" s="70">
        <f t="shared" si="34"/>
        <v>596</v>
      </c>
      <c r="O217" s="60">
        <f t="shared" si="35"/>
        <v>22</v>
      </c>
      <c r="P217" s="70">
        <v>12.513999999999999</v>
      </c>
      <c r="Q217" s="70">
        <f t="shared" si="37"/>
        <v>18.317000000000004</v>
      </c>
      <c r="R217" s="78">
        <v>1</v>
      </c>
      <c r="S217" s="70">
        <v>0</v>
      </c>
      <c r="T217" s="78">
        <v>0</v>
      </c>
      <c r="U217" s="70">
        <v>0</v>
      </c>
      <c r="V217" s="70">
        <v>0</v>
      </c>
      <c r="W217" s="70">
        <v>1</v>
      </c>
      <c r="X217" s="78">
        <v>0</v>
      </c>
      <c r="Y217" s="70">
        <v>1</v>
      </c>
      <c r="Z217" s="70">
        <v>0</v>
      </c>
      <c r="AA217" s="78">
        <v>0</v>
      </c>
      <c r="AB217" s="70">
        <v>1</v>
      </c>
      <c r="AC217" s="69">
        <v>1985</v>
      </c>
      <c r="AD217" t="s">
        <v>57</v>
      </c>
      <c r="AE217" t="s">
        <v>57</v>
      </c>
      <c r="AF217" t="s">
        <v>57</v>
      </c>
      <c r="AG217" t="s">
        <v>57</v>
      </c>
      <c r="AH217" s="28" t="s">
        <v>57</v>
      </c>
      <c r="AI217" t="s">
        <v>57</v>
      </c>
      <c r="AJ217" s="28">
        <v>0.46800000000000003</v>
      </c>
      <c r="AK217">
        <f t="shared" si="38"/>
        <v>0.53200000000000003</v>
      </c>
      <c r="AL217" s="28" t="s">
        <v>57</v>
      </c>
      <c r="AM217" t="s">
        <v>57</v>
      </c>
      <c r="AN217">
        <v>0</v>
      </c>
      <c r="AO217">
        <v>1</v>
      </c>
      <c r="AP217" s="28">
        <v>0.75900000000000001</v>
      </c>
      <c r="AQ217" s="12">
        <f t="shared" si="33"/>
        <v>0.24099999999999999</v>
      </c>
      <c r="AR217">
        <v>1</v>
      </c>
      <c r="AS217">
        <v>0</v>
      </c>
      <c r="AT217">
        <v>0</v>
      </c>
      <c r="AU217" s="28" t="s">
        <v>350</v>
      </c>
      <c r="AV217">
        <v>1</v>
      </c>
      <c r="AW217">
        <v>0</v>
      </c>
      <c r="AX217">
        <v>0</v>
      </c>
      <c r="AY217">
        <v>0</v>
      </c>
      <c r="AZ217">
        <v>0</v>
      </c>
      <c r="BA217">
        <v>0</v>
      </c>
      <c r="BB217">
        <v>0</v>
      </c>
      <c r="BC217">
        <v>1</v>
      </c>
      <c r="BD217">
        <v>0</v>
      </c>
      <c r="BE217">
        <v>0</v>
      </c>
      <c r="BF217">
        <v>17464</v>
      </c>
      <c r="BG217">
        <v>1807</v>
      </c>
      <c r="BH217">
        <v>0.92300000000000004</v>
      </c>
      <c r="BI217" s="64">
        <v>36.831000000000003</v>
      </c>
      <c r="BJ217">
        <v>1</v>
      </c>
      <c r="BK217">
        <v>0</v>
      </c>
      <c r="BL217">
        <v>0</v>
      </c>
      <c r="BM217">
        <v>0</v>
      </c>
      <c r="BN217">
        <v>0</v>
      </c>
      <c r="BO217">
        <v>0</v>
      </c>
      <c r="BP217">
        <v>0</v>
      </c>
      <c r="BQ217" s="28">
        <v>0</v>
      </c>
      <c r="BR217">
        <v>0</v>
      </c>
      <c r="BS217">
        <v>0</v>
      </c>
      <c r="BT217" s="28">
        <v>1</v>
      </c>
      <c r="BU217">
        <v>0</v>
      </c>
      <c r="BV217">
        <v>0</v>
      </c>
      <c r="BW217">
        <v>0</v>
      </c>
      <c r="BX217">
        <v>0</v>
      </c>
      <c r="BY217">
        <v>0</v>
      </c>
      <c r="BZ217">
        <v>1</v>
      </c>
      <c r="CA217">
        <v>1</v>
      </c>
      <c r="CB217">
        <v>0</v>
      </c>
      <c r="CC217">
        <v>0</v>
      </c>
      <c r="CD217">
        <v>0</v>
      </c>
      <c r="CE217" s="16">
        <v>0</v>
      </c>
      <c r="CF217">
        <v>0.29799999999999999</v>
      </c>
      <c r="CG217">
        <v>19</v>
      </c>
      <c r="CH217">
        <v>1</v>
      </c>
      <c r="CI217">
        <v>0</v>
      </c>
      <c r="CJ217">
        <v>10</v>
      </c>
      <c r="CK217" t="s">
        <v>46</v>
      </c>
    </row>
    <row r="218" spans="1:89" x14ac:dyDescent="0.25">
      <c r="A218">
        <v>217</v>
      </c>
      <c r="B218">
        <v>12</v>
      </c>
      <c r="C218" t="s">
        <v>309</v>
      </c>
      <c r="D218" s="79">
        <v>1.5</v>
      </c>
      <c r="E218" s="6">
        <v>0.8</v>
      </c>
      <c r="F218" s="6">
        <f t="shared" si="36"/>
        <v>1.875</v>
      </c>
      <c r="G218" s="78">
        <v>0</v>
      </c>
      <c r="H218" s="70">
        <v>0</v>
      </c>
      <c r="I218" s="70">
        <v>0</v>
      </c>
      <c r="J218" s="70">
        <v>1</v>
      </c>
      <c r="K218" s="70">
        <v>0</v>
      </c>
      <c r="L218" s="78">
        <v>602</v>
      </c>
      <c r="M218" s="70">
        <v>5</v>
      </c>
      <c r="N218" s="70">
        <f t="shared" si="34"/>
        <v>596</v>
      </c>
      <c r="O218" s="60">
        <f t="shared" si="35"/>
        <v>22</v>
      </c>
      <c r="P218" s="70">
        <v>12.513999999999999</v>
      </c>
      <c r="Q218" s="70">
        <f t="shared" si="37"/>
        <v>18.317000000000004</v>
      </c>
      <c r="R218" s="78">
        <v>1</v>
      </c>
      <c r="S218" s="70">
        <v>0</v>
      </c>
      <c r="T218" s="78">
        <v>0</v>
      </c>
      <c r="U218" s="70">
        <v>0</v>
      </c>
      <c r="V218" s="70">
        <v>0</v>
      </c>
      <c r="W218" s="70">
        <v>1</v>
      </c>
      <c r="X218" s="78">
        <v>0</v>
      </c>
      <c r="Y218" s="70">
        <v>1</v>
      </c>
      <c r="Z218" s="70">
        <v>0</v>
      </c>
      <c r="AA218" s="78">
        <v>0</v>
      </c>
      <c r="AB218" s="70">
        <v>1</v>
      </c>
      <c r="AC218" s="69">
        <v>1985</v>
      </c>
      <c r="AD218" t="s">
        <v>57</v>
      </c>
      <c r="AE218" t="s">
        <v>57</v>
      </c>
      <c r="AF218" t="s">
        <v>57</v>
      </c>
      <c r="AG218" t="s">
        <v>57</v>
      </c>
      <c r="AH218" s="28" t="s">
        <v>57</v>
      </c>
      <c r="AI218" t="s">
        <v>57</v>
      </c>
      <c r="AJ218" s="28">
        <v>0.46800000000000003</v>
      </c>
      <c r="AK218">
        <f t="shared" si="38"/>
        <v>0.53200000000000003</v>
      </c>
      <c r="AL218" s="28" t="s">
        <v>57</v>
      </c>
      <c r="AM218" t="s">
        <v>57</v>
      </c>
      <c r="AN218">
        <v>0</v>
      </c>
      <c r="AO218">
        <v>1</v>
      </c>
      <c r="AP218" s="28">
        <v>0.75900000000000001</v>
      </c>
      <c r="AQ218" s="12">
        <f t="shared" si="33"/>
        <v>0.24099999999999999</v>
      </c>
      <c r="AR218">
        <v>1</v>
      </c>
      <c r="AS218">
        <v>0</v>
      </c>
      <c r="AT218">
        <v>0</v>
      </c>
      <c r="AU218" s="28" t="s">
        <v>350</v>
      </c>
      <c r="AV218">
        <v>1</v>
      </c>
      <c r="AW218">
        <v>0</v>
      </c>
      <c r="AX218">
        <v>0</v>
      </c>
      <c r="AY218">
        <v>0</v>
      </c>
      <c r="AZ218">
        <v>0</v>
      </c>
      <c r="BA218">
        <v>0</v>
      </c>
      <c r="BB218">
        <v>0</v>
      </c>
      <c r="BC218">
        <v>1</v>
      </c>
      <c r="BD218">
        <v>0</v>
      </c>
      <c r="BE218">
        <v>0</v>
      </c>
      <c r="BF218">
        <v>17464</v>
      </c>
      <c r="BG218">
        <v>1807</v>
      </c>
      <c r="BH218">
        <v>0.92300000000000004</v>
      </c>
      <c r="BI218" s="64">
        <v>36.831000000000003</v>
      </c>
      <c r="BJ218">
        <v>1</v>
      </c>
      <c r="BK218">
        <v>0</v>
      </c>
      <c r="BL218">
        <v>0</v>
      </c>
      <c r="BM218">
        <v>0</v>
      </c>
      <c r="BN218">
        <v>0</v>
      </c>
      <c r="BO218">
        <v>0</v>
      </c>
      <c r="BP218">
        <v>0</v>
      </c>
      <c r="BQ218" s="28">
        <v>0</v>
      </c>
      <c r="BR218">
        <v>0</v>
      </c>
      <c r="BS218">
        <v>0</v>
      </c>
      <c r="BT218" s="28">
        <v>1</v>
      </c>
      <c r="BU218">
        <v>0</v>
      </c>
      <c r="BV218">
        <v>0</v>
      </c>
      <c r="BW218">
        <v>0</v>
      </c>
      <c r="BX218">
        <v>0</v>
      </c>
      <c r="BY218">
        <v>0</v>
      </c>
      <c r="BZ218">
        <v>1</v>
      </c>
      <c r="CA218">
        <v>1</v>
      </c>
      <c r="CB218">
        <v>0</v>
      </c>
      <c r="CC218">
        <v>0</v>
      </c>
      <c r="CD218">
        <v>0</v>
      </c>
      <c r="CE218" s="16">
        <v>0</v>
      </c>
      <c r="CF218">
        <v>0.29799999999999999</v>
      </c>
      <c r="CG218">
        <v>19</v>
      </c>
      <c r="CH218">
        <v>1</v>
      </c>
      <c r="CI218">
        <v>0</v>
      </c>
      <c r="CJ218">
        <v>10</v>
      </c>
      <c r="CK218" t="s">
        <v>46</v>
      </c>
    </row>
    <row r="219" spans="1:89" x14ac:dyDescent="0.25">
      <c r="A219">
        <v>218</v>
      </c>
      <c r="B219">
        <v>12</v>
      </c>
      <c r="C219" t="s">
        <v>309</v>
      </c>
      <c r="D219" s="79">
        <v>3.7</v>
      </c>
      <c r="E219" s="6">
        <v>0.9</v>
      </c>
      <c r="F219" s="6">
        <f t="shared" si="36"/>
        <v>4.1111111111111116</v>
      </c>
      <c r="G219" s="78">
        <v>0</v>
      </c>
      <c r="H219" s="70">
        <v>0</v>
      </c>
      <c r="I219" s="70">
        <v>0</v>
      </c>
      <c r="J219" s="70">
        <v>1</v>
      </c>
      <c r="K219" s="70">
        <v>0</v>
      </c>
      <c r="L219" s="78">
        <v>568</v>
      </c>
      <c r="M219" s="70">
        <v>5</v>
      </c>
      <c r="N219" s="70">
        <f t="shared" si="34"/>
        <v>562</v>
      </c>
      <c r="O219" s="60">
        <f t="shared" si="35"/>
        <v>22</v>
      </c>
      <c r="P219" s="70">
        <v>12.695</v>
      </c>
      <c r="Q219" s="70">
        <f t="shared" si="37"/>
        <v>16.643000000000001</v>
      </c>
      <c r="R219" s="78">
        <v>1</v>
      </c>
      <c r="S219" s="70">
        <v>0</v>
      </c>
      <c r="T219" s="78">
        <v>0</v>
      </c>
      <c r="U219" s="70">
        <v>0</v>
      </c>
      <c r="V219" s="70">
        <v>0</v>
      </c>
      <c r="W219" s="70">
        <v>1</v>
      </c>
      <c r="X219" s="78">
        <v>0</v>
      </c>
      <c r="Y219" s="70">
        <v>1</v>
      </c>
      <c r="Z219" s="70">
        <v>0</v>
      </c>
      <c r="AA219" s="78">
        <v>0</v>
      </c>
      <c r="AB219" s="70">
        <v>1</v>
      </c>
      <c r="AC219" s="69">
        <v>1985</v>
      </c>
      <c r="AD219" t="s">
        <v>57</v>
      </c>
      <c r="AE219" t="s">
        <v>57</v>
      </c>
      <c r="AF219" t="s">
        <v>57</v>
      </c>
      <c r="AG219" t="s">
        <v>57</v>
      </c>
      <c r="AH219" s="28" t="s">
        <v>57</v>
      </c>
      <c r="AI219" t="s">
        <v>57</v>
      </c>
      <c r="AJ219" s="28">
        <v>0.505</v>
      </c>
      <c r="AK219">
        <f t="shared" si="38"/>
        <v>0.495</v>
      </c>
      <c r="AL219" s="28" t="s">
        <v>57</v>
      </c>
      <c r="AM219" t="s">
        <v>57</v>
      </c>
      <c r="AN219">
        <v>0</v>
      </c>
      <c r="AO219">
        <v>1</v>
      </c>
      <c r="AP219" s="28">
        <v>0.72199999999999998</v>
      </c>
      <c r="AQ219" s="12">
        <f t="shared" si="33"/>
        <v>0.27800000000000002</v>
      </c>
      <c r="AR219">
        <v>0</v>
      </c>
      <c r="AS219">
        <v>1</v>
      </c>
      <c r="AT219">
        <v>0</v>
      </c>
      <c r="AU219" s="28" t="s">
        <v>350</v>
      </c>
      <c r="AV219">
        <v>1</v>
      </c>
      <c r="AW219">
        <v>0</v>
      </c>
      <c r="AX219">
        <v>0</v>
      </c>
      <c r="AY219">
        <v>0</v>
      </c>
      <c r="AZ219">
        <v>0</v>
      </c>
      <c r="BA219">
        <v>0</v>
      </c>
      <c r="BB219">
        <v>0</v>
      </c>
      <c r="BC219">
        <v>1</v>
      </c>
      <c r="BD219">
        <v>0</v>
      </c>
      <c r="BE219">
        <v>0</v>
      </c>
      <c r="BF219">
        <v>17464</v>
      </c>
      <c r="BG219">
        <v>1807</v>
      </c>
      <c r="BH219">
        <v>0.92300000000000004</v>
      </c>
      <c r="BI219" s="64">
        <v>35.338000000000001</v>
      </c>
      <c r="BJ219">
        <v>1</v>
      </c>
      <c r="BK219">
        <v>0</v>
      </c>
      <c r="BL219">
        <v>0</v>
      </c>
      <c r="BM219">
        <v>0</v>
      </c>
      <c r="BN219">
        <v>0</v>
      </c>
      <c r="BO219">
        <v>0</v>
      </c>
      <c r="BP219">
        <v>0</v>
      </c>
      <c r="BQ219" s="28">
        <v>0</v>
      </c>
      <c r="BR219">
        <v>0</v>
      </c>
      <c r="BS219">
        <v>0</v>
      </c>
      <c r="BT219" s="28">
        <v>1</v>
      </c>
      <c r="BU219">
        <v>0</v>
      </c>
      <c r="BV219">
        <v>0</v>
      </c>
      <c r="BW219">
        <v>0</v>
      </c>
      <c r="BX219">
        <v>0</v>
      </c>
      <c r="BY219">
        <v>0</v>
      </c>
      <c r="BZ219">
        <v>1</v>
      </c>
      <c r="CA219">
        <v>1</v>
      </c>
      <c r="CB219">
        <v>0</v>
      </c>
      <c r="CC219">
        <v>0</v>
      </c>
      <c r="CD219">
        <v>0</v>
      </c>
      <c r="CE219" s="16">
        <v>0</v>
      </c>
      <c r="CF219">
        <v>0.29799999999999999</v>
      </c>
      <c r="CG219">
        <v>19</v>
      </c>
      <c r="CH219">
        <v>1</v>
      </c>
      <c r="CI219">
        <v>0</v>
      </c>
      <c r="CJ219">
        <v>10</v>
      </c>
      <c r="CK219" t="s">
        <v>46</v>
      </c>
    </row>
    <row r="220" spans="1:89" x14ac:dyDescent="0.25">
      <c r="A220">
        <v>219</v>
      </c>
      <c r="B220">
        <v>12</v>
      </c>
      <c r="C220" t="s">
        <v>309</v>
      </c>
      <c r="D220" s="79">
        <v>5.7</v>
      </c>
      <c r="E220" s="6">
        <v>0.8</v>
      </c>
      <c r="F220" s="6">
        <f t="shared" si="36"/>
        <v>7.125</v>
      </c>
      <c r="G220" s="78">
        <v>0</v>
      </c>
      <c r="H220" s="70">
        <v>0</v>
      </c>
      <c r="I220" s="70">
        <v>0</v>
      </c>
      <c r="J220" s="70">
        <v>1</v>
      </c>
      <c r="K220" s="70">
        <v>0</v>
      </c>
      <c r="L220" s="78">
        <v>568</v>
      </c>
      <c r="M220" s="70">
        <v>5</v>
      </c>
      <c r="N220" s="70">
        <f t="shared" si="34"/>
        <v>562</v>
      </c>
      <c r="O220" s="60">
        <f t="shared" si="35"/>
        <v>22</v>
      </c>
      <c r="P220" s="70">
        <v>12.695</v>
      </c>
      <c r="Q220" s="70">
        <f t="shared" si="37"/>
        <v>16.643000000000001</v>
      </c>
      <c r="R220" s="78">
        <v>1</v>
      </c>
      <c r="S220" s="70">
        <v>0</v>
      </c>
      <c r="T220" s="78">
        <v>0</v>
      </c>
      <c r="U220" s="70">
        <v>0</v>
      </c>
      <c r="V220" s="70">
        <v>0</v>
      </c>
      <c r="W220" s="70">
        <v>1</v>
      </c>
      <c r="X220" s="78">
        <v>0</v>
      </c>
      <c r="Y220" s="70">
        <v>1</v>
      </c>
      <c r="Z220" s="70">
        <v>0</v>
      </c>
      <c r="AA220" s="78">
        <v>0</v>
      </c>
      <c r="AB220" s="70">
        <v>1</v>
      </c>
      <c r="AC220" s="69">
        <v>1985</v>
      </c>
      <c r="AD220" t="s">
        <v>57</v>
      </c>
      <c r="AE220" t="s">
        <v>57</v>
      </c>
      <c r="AF220" t="s">
        <v>57</v>
      </c>
      <c r="AG220" t="s">
        <v>57</v>
      </c>
      <c r="AH220" s="28" t="s">
        <v>57</v>
      </c>
      <c r="AI220" t="s">
        <v>57</v>
      </c>
      <c r="AJ220" s="28">
        <v>0.505</v>
      </c>
      <c r="AK220">
        <f t="shared" si="38"/>
        <v>0.495</v>
      </c>
      <c r="AL220" s="28" t="s">
        <v>57</v>
      </c>
      <c r="AM220" t="s">
        <v>57</v>
      </c>
      <c r="AN220">
        <v>0</v>
      </c>
      <c r="AO220">
        <v>1</v>
      </c>
      <c r="AP220" s="28">
        <v>0.72199999999999998</v>
      </c>
      <c r="AQ220" s="12">
        <f t="shared" si="33"/>
        <v>0.27800000000000002</v>
      </c>
      <c r="AR220">
        <v>0</v>
      </c>
      <c r="AS220">
        <v>1</v>
      </c>
      <c r="AT220">
        <v>0</v>
      </c>
      <c r="AU220" s="28" t="s">
        <v>350</v>
      </c>
      <c r="AV220">
        <v>1</v>
      </c>
      <c r="AW220">
        <v>0</v>
      </c>
      <c r="AX220">
        <v>0</v>
      </c>
      <c r="AY220">
        <v>0</v>
      </c>
      <c r="AZ220">
        <v>0</v>
      </c>
      <c r="BA220">
        <v>0</v>
      </c>
      <c r="BB220">
        <v>0</v>
      </c>
      <c r="BC220">
        <v>1</v>
      </c>
      <c r="BD220">
        <v>0</v>
      </c>
      <c r="BE220">
        <v>0</v>
      </c>
      <c r="BF220">
        <v>17464</v>
      </c>
      <c r="BG220">
        <v>1807</v>
      </c>
      <c r="BH220">
        <v>0.92300000000000004</v>
      </c>
      <c r="BI220" s="64">
        <v>35.338000000000001</v>
      </c>
      <c r="BJ220">
        <v>1</v>
      </c>
      <c r="BK220">
        <v>0</v>
      </c>
      <c r="BL220">
        <v>0</v>
      </c>
      <c r="BM220">
        <v>0</v>
      </c>
      <c r="BN220">
        <v>0</v>
      </c>
      <c r="BO220">
        <v>0</v>
      </c>
      <c r="BP220">
        <v>0</v>
      </c>
      <c r="BQ220" s="28">
        <v>0</v>
      </c>
      <c r="BR220">
        <v>0</v>
      </c>
      <c r="BS220">
        <v>0</v>
      </c>
      <c r="BT220" s="28">
        <v>1</v>
      </c>
      <c r="BU220">
        <v>0</v>
      </c>
      <c r="BV220">
        <v>0</v>
      </c>
      <c r="BW220">
        <v>0</v>
      </c>
      <c r="BX220">
        <v>0</v>
      </c>
      <c r="BY220">
        <v>0</v>
      </c>
      <c r="BZ220">
        <v>1</v>
      </c>
      <c r="CA220">
        <v>1</v>
      </c>
      <c r="CB220">
        <v>0</v>
      </c>
      <c r="CC220">
        <v>0</v>
      </c>
      <c r="CD220">
        <v>0</v>
      </c>
      <c r="CE220" s="16">
        <v>0</v>
      </c>
      <c r="CF220">
        <v>0.29799999999999999</v>
      </c>
      <c r="CG220">
        <v>19</v>
      </c>
      <c r="CH220">
        <v>1</v>
      </c>
      <c r="CI220">
        <v>0</v>
      </c>
      <c r="CJ220">
        <v>10</v>
      </c>
      <c r="CK220" t="s">
        <v>46</v>
      </c>
    </row>
    <row r="221" spans="1:89" x14ac:dyDescent="0.25">
      <c r="A221">
        <v>220</v>
      </c>
      <c r="B221">
        <v>12</v>
      </c>
      <c r="C221" t="s">
        <v>309</v>
      </c>
      <c r="D221" s="79">
        <v>7.8</v>
      </c>
      <c r="E221" s="6">
        <v>2.4</v>
      </c>
      <c r="F221" s="6">
        <f t="shared" si="36"/>
        <v>3.25</v>
      </c>
      <c r="G221" s="78">
        <v>0</v>
      </c>
      <c r="H221" s="70">
        <v>0</v>
      </c>
      <c r="I221" s="70">
        <v>0</v>
      </c>
      <c r="J221" s="70">
        <v>1</v>
      </c>
      <c r="K221" s="70">
        <v>0</v>
      </c>
      <c r="L221" s="78">
        <v>602</v>
      </c>
      <c r="M221" s="70">
        <v>5</v>
      </c>
      <c r="N221" s="70">
        <f t="shared" si="34"/>
        <v>596</v>
      </c>
      <c r="O221" s="60">
        <f t="shared" si="35"/>
        <v>22</v>
      </c>
      <c r="P221" s="70">
        <v>12.513999999999999</v>
      </c>
      <c r="Q221" s="70">
        <f t="shared" si="37"/>
        <v>18.317000000000004</v>
      </c>
      <c r="R221" s="78">
        <v>1</v>
      </c>
      <c r="S221" s="70">
        <v>0</v>
      </c>
      <c r="T221" s="78">
        <v>0</v>
      </c>
      <c r="U221" s="70">
        <v>0</v>
      </c>
      <c r="V221" s="70">
        <v>0</v>
      </c>
      <c r="W221" s="70">
        <v>1</v>
      </c>
      <c r="X221" s="78">
        <v>0</v>
      </c>
      <c r="Y221" s="70">
        <v>1</v>
      </c>
      <c r="Z221" s="70">
        <v>0</v>
      </c>
      <c r="AA221" s="78">
        <v>0</v>
      </c>
      <c r="AB221" s="70">
        <v>1</v>
      </c>
      <c r="AC221" s="69">
        <v>1985</v>
      </c>
      <c r="AD221" t="s">
        <v>57</v>
      </c>
      <c r="AE221" t="s">
        <v>57</v>
      </c>
      <c r="AF221" t="s">
        <v>57</v>
      </c>
      <c r="AG221" t="s">
        <v>57</v>
      </c>
      <c r="AH221" s="28" t="s">
        <v>57</v>
      </c>
      <c r="AI221" t="s">
        <v>57</v>
      </c>
      <c r="AJ221" s="28">
        <v>0.46800000000000003</v>
      </c>
      <c r="AK221">
        <f t="shared" si="38"/>
        <v>0.53200000000000003</v>
      </c>
      <c r="AL221" s="28" t="s">
        <v>57</v>
      </c>
      <c r="AM221" t="s">
        <v>57</v>
      </c>
      <c r="AN221">
        <v>0</v>
      </c>
      <c r="AO221">
        <v>1</v>
      </c>
      <c r="AP221" s="28">
        <v>0.75900000000000001</v>
      </c>
      <c r="AQ221" s="12">
        <f t="shared" si="33"/>
        <v>0.24099999999999999</v>
      </c>
      <c r="AR221">
        <v>1</v>
      </c>
      <c r="AS221">
        <v>0</v>
      </c>
      <c r="AT221">
        <v>0</v>
      </c>
      <c r="AU221" s="28" t="s">
        <v>350</v>
      </c>
      <c r="AV221">
        <v>1</v>
      </c>
      <c r="AW221">
        <v>0</v>
      </c>
      <c r="AX221">
        <v>0</v>
      </c>
      <c r="AY221">
        <v>0</v>
      </c>
      <c r="AZ221">
        <v>0</v>
      </c>
      <c r="BA221">
        <v>0</v>
      </c>
      <c r="BB221">
        <v>0</v>
      </c>
      <c r="BC221">
        <v>1</v>
      </c>
      <c r="BD221">
        <v>0</v>
      </c>
      <c r="BE221">
        <v>0</v>
      </c>
      <c r="BF221">
        <v>17464</v>
      </c>
      <c r="BG221">
        <v>1807</v>
      </c>
      <c r="BH221">
        <v>0.92300000000000004</v>
      </c>
      <c r="BI221" s="64">
        <v>36.831000000000003</v>
      </c>
      <c r="BJ221">
        <v>0</v>
      </c>
      <c r="BK221">
        <v>0</v>
      </c>
      <c r="BL221">
        <v>0</v>
      </c>
      <c r="BM221">
        <v>0</v>
      </c>
      <c r="BN221">
        <v>0</v>
      </c>
      <c r="BO221">
        <v>0</v>
      </c>
      <c r="BP221">
        <v>1</v>
      </c>
      <c r="BQ221" s="28">
        <v>1</v>
      </c>
      <c r="BR221">
        <v>0</v>
      </c>
      <c r="BS221">
        <v>0</v>
      </c>
      <c r="BT221" s="28">
        <v>1</v>
      </c>
      <c r="BU221">
        <v>0</v>
      </c>
      <c r="BV221">
        <v>0</v>
      </c>
      <c r="BW221">
        <v>0</v>
      </c>
      <c r="BX221">
        <v>0</v>
      </c>
      <c r="BY221">
        <v>0</v>
      </c>
      <c r="BZ221">
        <v>1</v>
      </c>
      <c r="CA221">
        <v>1</v>
      </c>
      <c r="CB221">
        <v>0</v>
      </c>
      <c r="CC221">
        <v>0</v>
      </c>
      <c r="CD221">
        <v>0</v>
      </c>
      <c r="CE221" s="16">
        <v>0</v>
      </c>
      <c r="CF221">
        <v>0.29799999999999999</v>
      </c>
      <c r="CG221">
        <v>19</v>
      </c>
      <c r="CH221">
        <v>1</v>
      </c>
      <c r="CI221">
        <v>0</v>
      </c>
      <c r="CJ221">
        <v>10</v>
      </c>
      <c r="CK221" t="s">
        <v>46</v>
      </c>
    </row>
    <row r="222" spans="1:89" x14ac:dyDescent="0.25">
      <c r="A222">
        <v>221</v>
      </c>
      <c r="B222">
        <v>12</v>
      </c>
      <c r="C222" t="s">
        <v>309</v>
      </c>
      <c r="D222" s="79">
        <v>3.1</v>
      </c>
      <c r="E222" s="6">
        <v>1.5</v>
      </c>
      <c r="F222" s="6">
        <f t="shared" si="36"/>
        <v>2.0666666666666669</v>
      </c>
      <c r="G222" s="78">
        <v>0</v>
      </c>
      <c r="H222" s="70">
        <v>0</v>
      </c>
      <c r="I222" s="70">
        <v>0</v>
      </c>
      <c r="J222" s="70">
        <v>1</v>
      </c>
      <c r="K222" s="70">
        <v>0</v>
      </c>
      <c r="L222" s="78">
        <v>602</v>
      </c>
      <c r="M222" s="70">
        <v>5</v>
      </c>
      <c r="N222" s="70">
        <f t="shared" si="34"/>
        <v>596</v>
      </c>
      <c r="O222" s="60">
        <f t="shared" si="35"/>
        <v>22</v>
      </c>
      <c r="P222" s="70">
        <v>12.513999999999999</v>
      </c>
      <c r="Q222" s="70">
        <f t="shared" si="37"/>
        <v>18.317000000000004</v>
      </c>
      <c r="R222" s="78">
        <v>1</v>
      </c>
      <c r="S222" s="70">
        <v>0</v>
      </c>
      <c r="T222" s="78">
        <v>0</v>
      </c>
      <c r="U222" s="70">
        <v>0</v>
      </c>
      <c r="V222" s="70">
        <v>0</v>
      </c>
      <c r="W222" s="70">
        <v>1</v>
      </c>
      <c r="X222" s="78">
        <v>0</v>
      </c>
      <c r="Y222" s="70">
        <v>1</v>
      </c>
      <c r="Z222" s="70">
        <v>0</v>
      </c>
      <c r="AA222" s="78">
        <v>0</v>
      </c>
      <c r="AB222" s="70">
        <v>1</v>
      </c>
      <c r="AC222" s="69">
        <v>1985</v>
      </c>
      <c r="AD222" t="s">
        <v>57</v>
      </c>
      <c r="AE222" t="s">
        <v>57</v>
      </c>
      <c r="AF222" t="s">
        <v>57</v>
      </c>
      <c r="AG222" t="s">
        <v>57</v>
      </c>
      <c r="AH222" s="28" t="s">
        <v>57</v>
      </c>
      <c r="AI222" t="s">
        <v>57</v>
      </c>
      <c r="AJ222" s="28">
        <v>0.46800000000000003</v>
      </c>
      <c r="AK222">
        <f t="shared" si="38"/>
        <v>0.53200000000000003</v>
      </c>
      <c r="AL222" s="28" t="s">
        <v>57</v>
      </c>
      <c r="AM222" t="s">
        <v>57</v>
      </c>
      <c r="AN222">
        <v>0</v>
      </c>
      <c r="AO222">
        <v>1</v>
      </c>
      <c r="AP222" s="28">
        <v>0.75900000000000001</v>
      </c>
      <c r="AQ222" s="12">
        <f t="shared" si="33"/>
        <v>0.24099999999999999</v>
      </c>
      <c r="AR222">
        <v>1</v>
      </c>
      <c r="AS222">
        <v>0</v>
      </c>
      <c r="AT222">
        <v>0</v>
      </c>
      <c r="AU222" s="28" t="s">
        <v>350</v>
      </c>
      <c r="AV222">
        <v>1</v>
      </c>
      <c r="AW222">
        <v>0</v>
      </c>
      <c r="AX222">
        <v>0</v>
      </c>
      <c r="AY222">
        <v>0</v>
      </c>
      <c r="AZ222">
        <v>0</v>
      </c>
      <c r="BA222">
        <v>0</v>
      </c>
      <c r="BB222">
        <v>0</v>
      </c>
      <c r="BC222">
        <v>1</v>
      </c>
      <c r="BD222">
        <v>0</v>
      </c>
      <c r="BE222">
        <v>0</v>
      </c>
      <c r="BF222">
        <v>17464</v>
      </c>
      <c r="BG222">
        <v>1807</v>
      </c>
      <c r="BH222">
        <v>0.92300000000000004</v>
      </c>
      <c r="BI222" s="64">
        <v>36.831000000000003</v>
      </c>
      <c r="BJ222">
        <v>0</v>
      </c>
      <c r="BK222">
        <v>0</v>
      </c>
      <c r="BL222">
        <v>0</v>
      </c>
      <c r="BM222">
        <v>0</v>
      </c>
      <c r="BN222">
        <v>0</v>
      </c>
      <c r="BO222">
        <v>0</v>
      </c>
      <c r="BP222">
        <v>1</v>
      </c>
      <c r="BQ222" s="28">
        <v>1</v>
      </c>
      <c r="BR222">
        <v>0</v>
      </c>
      <c r="BS222">
        <v>0</v>
      </c>
      <c r="BT222" s="28">
        <v>1</v>
      </c>
      <c r="BU222">
        <v>0</v>
      </c>
      <c r="BV222">
        <v>0</v>
      </c>
      <c r="BW222">
        <v>0</v>
      </c>
      <c r="BX222">
        <v>0</v>
      </c>
      <c r="BY222">
        <v>0</v>
      </c>
      <c r="BZ222">
        <v>1</v>
      </c>
      <c r="CA222">
        <v>1</v>
      </c>
      <c r="CB222">
        <v>0</v>
      </c>
      <c r="CC222">
        <v>0</v>
      </c>
      <c r="CD222">
        <v>0</v>
      </c>
      <c r="CE222" s="16">
        <v>0</v>
      </c>
      <c r="CF222">
        <v>0.29799999999999999</v>
      </c>
      <c r="CG222">
        <v>19</v>
      </c>
      <c r="CH222">
        <v>1</v>
      </c>
      <c r="CI222">
        <v>0</v>
      </c>
      <c r="CJ222">
        <v>10</v>
      </c>
      <c r="CK222" t="s">
        <v>46</v>
      </c>
    </row>
    <row r="223" spans="1:89" x14ac:dyDescent="0.25">
      <c r="A223">
        <v>222</v>
      </c>
      <c r="B223">
        <v>12</v>
      </c>
      <c r="C223" t="s">
        <v>309</v>
      </c>
      <c r="D223" s="79">
        <v>7.6</v>
      </c>
      <c r="E223" s="6">
        <v>1.5</v>
      </c>
      <c r="F223" s="6">
        <f t="shared" si="36"/>
        <v>5.0666666666666664</v>
      </c>
      <c r="G223" s="78">
        <v>0</v>
      </c>
      <c r="H223" s="70">
        <v>0</v>
      </c>
      <c r="I223" s="70">
        <v>0</v>
      </c>
      <c r="J223" s="70">
        <v>1</v>
      </c>
      <c r="K223" s="70">
        <v>0</v>
      </c>
      <c r="L223" s="78">
        <v>568</v>
      </c>
      <c r="M223" s="70">
        <v>5</v>
      </c>
      <c r="N223" s="70">
        <f t="shared" si="34"/>
        <v>562</v>
      </c>
      <c r="O223" s="60">
        <f t="shared" si="35"/>
        <v>22</v>
      </c>
      <c r="P223" s="70">
        <v>12.695</v>
      </c>
      <c r="Q223" s="70">
        <f t="shared" si="37"/>
        <v>16.643000000000001</v>
      </c>
      <c r="R223" s="78">
        <v>1</v>
      </c>
      <c r="S223" s="70">
        <v>0</v>
      </c>
      <c r="T223" s="78">
        <v>0</v>
      </c>
      <c r="U223" s="70">
        <v>0</v>
      </c>
      <c r="V223" s="70">
        <v>0</v>
      </c>
      <c r="W223" s="70">
        <v>1</v>
      </c>
      <c r="X223" s="78">
        <v>0</v>
      </c>
      <c r="Y223" s="70">
        <v>1</v>
      </c>
      <c r="Z223" s="70">
        <v>0</v>
      </c>
      <c r="AA223" s="78">
        <v>0</v>
      </c>
      <c r="AB223" s="70">
        <v>1</v>
      </c>
      <c r="AC223" s="69">
        <v>1985</v>
      </c>
      <c r="AD223" t="s">
        <v>57</v>
      </c>
      <c r="AE223" t="s">
        <v>57</v>
      </c>
      <c r="AF223" t="s">
        <v>57</v>
      </c>
      <c r="AG223" t="s">
        <v>57</v>
      </c>
      <c r="AH223" s="28" t="s">
        <v>57</v>
      </c>
      <c r="AI223" t="s">
        <v>57</v>
      </c>
      <c r="AJ223" s="28">
        <v>0.505</v>
      </c>
      <c r="AK223">
        <f t="shared" si="38"/>
        <v>0.495</v>
      </c>
      <c r="AL223" s="28" t="s">
        <v>57</v>
      </c>
      <c r="AM223" t="s">
        <v>57</v>
      </c>
      <c r="AN223">
        <v>0</v>
      </c>
      <c r="AO223">
        <v>1</v>
      </c>
      <c r="AP223" s="28">
        <v>0.72199999999999998</v>
      </c>
      <c r="AQ223" s="12">
        <f t="shared" si="33"/>
        <v>0.27800000000000002</v>
      </c>
      <c r="AR223">
        <v>0</v>
      </c>
      <c r="AS223">
        <v>1</v>
      </c>
      <c r="AT223">
        <v>0</v>
      </c>
      <c r="AU223" s="28" t="s">
        <v>350</v>
      </c>
      <c r="AV223">
        <v>1</v>
      </c>
      <c r="AW223">
        <v>0</v>
      </c>
      <c r="AX223">
        <v>0</v>
      </c>
      <c r="AY223">
        <v>0</v>
      </c>
      <c r="AZ223">
        <v>0</v>
      </c>
      <c r="BA223">
        <v>0</v>
      </c>
      <c r="BB223">
        <v>0</v>
      </c>
      <c r="BC223">
        <v>1</v>
      </c>
      <c r="BD223">
        <v>0</v>
      </c>
      <c r="BE223">
        <v>0</v>
      </c>
      <c r="BF223">
        <v>17464</v>
      </c>
      <c r="BG223">
        <v>1807</v>
      </c>
      <c r="BH223">
        <v>0.92300000000000004</v>
      </c>
      <c r="BI223" s="64">
        <v>35.338000000000001</v>
      </c>
      <c r="BJ223">
        <v>0</v>
      </c>
      <c r="BK223">
        <v>0</v>
      </c>
      <c r="BL223">
        <v>0</v>
      </c>
      <c r="BM223">
        <v>0</v>
      </c>
      <c r="BN223">
        <v>0</v>
      </c>
      <c r="BO223">
        <v>0</v>
      </c>
      <c r="BP223">
        <v>1</v>
      </c>
      <c r="BQ223" s="28">
        <v>1</v>
      </c>
      <c r="BR223">
        <v>0</v>
      </c>
      <c r="BS223">
        <v>0</v>
      </c>
      <c r="BT223" s="28">
        <v>1</v>
      </c>
      <c r="BU223">
        <v>0</v>
      </c>
      <c r="BV223">
        <v>0</v>
      </c>
      <c r="BW223">
        <v>0</v>
      </c>
      <c r="BX223">
        <v>0</v>
      </c>
      <c r="BY223">
        <v>0</v>
      </c>
      <c r="BZ223">
        <v>1</v>
      </c>
      <c r="CA223">
        <v>1</v>
      </c>
      <c r="CB223">
        <v>0</v>
      </c>
      <c r="CC223">
        <v>0</v>
      </c>
      <c r="CD223">
        <v>0</v>
      </c>
      <c r="CE223" s="16">
        <v>0</v>
      </c>
      <c r="CF223">
        <v>0.29799999999999999</v>
      </c>
      <c r="CG223">
        <v>19</v>
      </c>
      <c r="CH223">
        <v>1</v>
      </c>
      <c r="CI223">
        <v>0</v>
      </c>
      <c r="CJ223">
        <v>10</v>
      </c>
      <c r="CK223" t="s">
        <v>46</v>
      </c>
    </row>
    <row r="224" spans="1:89" x14ac:dyDescent="0.25">
      <c r="A224">
        <v>223</v>
      </c>
      <c r="B224">
        <v>12</v>
      </c>
      <c r="C224" t="s">
        <v>309</v>
      </c>
      <c r="D224" s="79">
        <v>7.7</v>
      </c>
      <c r="E224" s="6">
        <v>1.4</v>
      </c>
      <c r="F224" s="6">
        <f t="shared" si="36"/>
        <v>5.5000000000000009</v>
      </c>
      <c r="G224" s="78">
        <v>0</v>
      </c>
      <c r="H224" s="70">
        <v>0</v>
      </c>
      <c r="I224" s="70">
        <v>0</v>
      </c>
      <c r="J224" s="70">
        <v>1</v>
      </c>
      <c r="K224" s="70">
        <v>0</v>
      </c>
      <c r="L224" s="78">
        <v>568</v>
      </c>
      <c r="M224" s="70">
        <v>5</v>
      </c>
      <c r="N224" s="70">
        <f t="shared" si="34"/>
        <v>562</v>
      </c>
      <c r="O224" s="60">
        <f t="shared" si="35"/>
        <v>22</v>
      </c>
      <c r="P224" s="70">
        <v>12.695</v>
      </c>
      <c r="Q224" s="70">
        <f t="shared" si="37"/>
        <v>16.643000000000001</v>
      </c>
      <c r="R224" s="78">
        <v>1</v>
      </c>
      <c r="S224" s="70">
        <v>0</v>
      </c>
      <c r="T224" s="78">
        <v>0</v>
      </c>
      <c r="U224" s="70">
        <v>0</v>
      </c>
      <c r="V224" s="70">
        <v>0</v>
      </c>
      <c r="W224" s="70">
        <v>1</v>
      </c>
      <c r="X224" s="78">
        <v>0</v>
      </c>
      <c r="Y224" s="70">
        <v>1</v>
      </c>
      <c r="Z224" s="70">
        <v>0</v>
      </c>
      <c r="AA224" s="78">
        <v>0</v>
      </c>
      <c r="AB224" s="70">
        <v>1</v>
      </c>
      <c r="AC224" s="69">
        <v>1985</v>
      </c>
      <c r="AD224" t="s">
        <v>57</v>
      </c>
      <c r="AE224" t="s">
        <v>57</v>
      </c>
      <c r="AF224" t="s">
        <v>57</v>
      </c>
      <c r="AG224" t="s">
        <v>57</v>
      </c>
      <c r="AH224" s="28" t="s">
        <v>57</v>
      </c>
      <c r="AI224" t="s">
        <v>57</v>
      </c>
      <c r="AJ224" s="28">
        <v>0.505</v>
      </c>
      <c r="AK224">
        <f t="shared" si="38"/>
        <v>0.495</v>
      </c>
      <c r="AL224" s="28" t="s">
        <v>57</v>
      </c>
      <c r="AM224" t="s">
        <v>57</v>
      </c>
      <c r="AN224">
        <v>0</v>
      </c>
      <c r="AO224">
        <v>1</v>
      </c>
      <c r="AP224" s="28">
        <v>0.72199999999999998</v>
      </c>
      <c r="AQ224" s="12">
        <f t="shared" si="33"/>
        <v>0.27800000000000002</v>
      </c>
      <c r="AR224">
        <v>0</v>
      </c>
      <c r="AS224">
        <v>1</v>
      </c>
      <c r="AT224">
        <v>0</v>
      </c>
      <c r="AU224" s="28" t="s">
        <v>350</v>
      </c>
      <c r="AV224">
        <v>1</v>
      </c>
      <c r="AW224">
        <v>0</v>
      </c>
      <c r="AX224">
        <v>0</v>
      </c>
      <c r="AY224">
        <v>0</v>
      </c>
      <c r="AZ224">
        <v>0</v>
      </c>
      <c r="BA224">
        <v>0</v>
      </c>
      <c r="BB224">
        <v>0</v>
      </c>
      <c r="BC224">
        <v>1</v>
      </c>
      <c r="BD224">
        <v>0</v>
      </c>
      <c r="BE224">
        <v>0</v>
      </c>
      <c r="BF224">
        <v>17464</v>
      </c>
      <c r="BG224">
        <v>1807</v>
      </c>
      <c r="BH224">
        <v>0.92300000000000004</v>
      </c>
      <c r="BI224" s="64">
        <v>35.338000000000001</v>
      </c>
      <c r="BJ224">
        <v>0</v>
      </c>
      <c r="BK224">
        <v>0</v>
      </c>
      <c r="BL224">
        <v>0</v>
      </c>
      <c r="BM224">
        <v>0</v>
      </c>
      <c r="BN224">
        <v>0</v>
      </c>
      <c r="BO224">
        <v>0</v>
      </c>
      <c r="BP224">
        <v>1</v>
      </c>
      <c r="BQ224" s="28">
        <v>1</v>
      </c>
      <c r="BR224">
        <v>0</v>
      </c>
      <c r="BS224">
        <v>0</v>
      </c>
      <c r="BT224" s="28">
        <v>1</v>
      </c>
      <c r="BU224">
        <v>0</v>
      </c>
      <c r="BV224">
        <v>0</v>
      </c>
      <c r="BW224">
        <v>0</v>
      </c>
      <c r="BX224">
        <v>0</v>
      </c>
      <c r="BY224">
        <v>0</v>
      </c>
      <c r="BZ224">
        <v>1</v>
      </c>
      <c r="CA224">
        <v>1</v>
      </c>
      <c r="CB224">
        <v>0</v>
      </c>
      <c r="CC224">
        <v>0</v>
      </c>
      <c r="CD224">
        <v>0</v>
      </c>
      <c r="CE224" s="16">
        <v>0</v>
      </c>
      <c r="CF224">
        <v>0.29799999999999999</v>
      </c>
      <c r="CG224">
        <v>19</v>
      </c>
      <c r="CH224">
        <v>1</v>
      </c>
      <c r="CI224">
        <v>0</v>
      </c>
      <c r="CJ224">
        <v>10</v>
      </c>
      <c r="CK224" t="s">
        <v>46</v>
      </c>
    </row>
    <row r="225" spans="1:89" x14ac:dyDescent="0.25">
      <c r="A225">
        <v>224</v>
      </c>
      <c r="B225">
        <v>13</v>
      </c>
      <c r="C225" t="s">
        <v>315</v>
      </c>
      <c r="D225" s="79">
        <v>4.5</v>
      </c>
      <c r="E225" s="6">
        <v>0.2</v>
      </c>
      <c r="F225" s="6">
        <f t="shared" si="36"/>
        <v>22.5</v>
      </c>
      <c r="G225" s="78">
        <v>0</v>
      </c>
      <c r="H225" s="70">
        <v>0</v>
      </c>
      <c r="I225" s="70">
        <v>0</v>
      </c>
      <c r="J225" s="70">
        <v>1</v>
      </c>
      <c r="K225" s="70">
        <v>0</v>
      </c>
      <c r="L225" s="78">
        <v>2214</v>
      </c>
      <c r="M225" s="70">
        <v>6</v>
      </c>
      <c r="N225" s="70">
        <f t="shared" si="34"/>
        <v>2207</v>
      </c>
      <c r="O225" s="60">
        <f t="shared" si="35"/>
        <v>13</v>
      </c>
      <c r="P225" s="6">
        <v>11.3</v>
      </c>
      <c r="Q225" s="6">
        <f t="shared" si="37"/>
        <v>29.519999999999996</v>
      </c>
      <c r="R225" s="78">
        <v>1</v>
      </c>
      <c r="S225" s="70">
        <v>0</v>
      </c>
      <c r="T225" s="78">
        <v>0</v>
      </c>
      <c r="U225" s="70">
        <v>0</v>
      </c>
      <c r="V225" s="70">
        <v>0</v>
      </c>
      <c r="W225" s="70">
        <v>1</v>
      </c>
      <c r="X225" s="78">
        <v>0</v>
      </c>
      <c r="Y225" s="70">
        <v>1</v>
      </c>
      <c r="Z225" s="70">
        <v>0</v>
      </c>
      <c r="AA225" s="78">
        <v>0</v>
      </c>
      <c r="AB225" s="70">
        <v>1</v>
      </c>
      <c r="AC225" s="69">
        <v>1990</v>
      </c>
      <c r="AD225" t="s">
        <v>57</v>
      </c>
      <c r="AE225" t="s">
        <v>57</v>
      </c>
      <c r="AF225" t="s">
        <v>57</v>
      </c>
      <c r="AG225" t="s">
        <v>57</v>
      </c>
      <c r="AH225" s="28" t="s">
        <v>57</v>
      </c>
      <c r="AI225" t="s">
        <v>57</v>
      </c>
      <c r="AJ225" s="28">
        <v>0.54</v>
      </c>
      <c r="AK225">
        <f t="shared" si="38"/>
        <v>0.45999999999999996</v>
      </c>
      <c r="AL225" s="28">
        <v>1</v>
      </c>
      <c r="AM225">
        <v>0</v>
      </c>
      <c r="AN225">
        <v>1</v>
      </c>
      <c r="AO225">
        <v>0</v>
      </c>
      <c r="AP225" s="28">
        <v>0.67</v>
      </c>
      <c r="AQ225" s="12">
        <f t="shared" si="33"/>
        <v>0.32999999999999996</v>
      </c>
      <c r="AR225">
        <v>0.42499999999999999</v>
      </c>
      <c r="AS225">
        <v>0.57499999999999996</v>
      </c>
      <c r="AT225">
        <v>0</v>
      </c>
      <c r="AU225" s="28" t="s">
        <v>368</v>
      </c>
      <c r="AV225">
        <v>1</v>
      </c>
      <c r="AW225">
        <v>0</v>
      </c>
      <c r="AX225">
        <v>0</v>
      </c>
      <c r="AY225">
        <v>0</v>
      </c>
      <c r="AZ225">
        <v>0</v>
      </c>
      <c r="BA225">
        <v>0</v>
      </c>
      <c r="BB225">
        <v>0</v>
      </c>
      <c r="BC225">
        <v>1</v>
      </c>
      <c r="BD225">
        <v>0</v>
      </c>
      <c r="BE225">
        <v>0</v>
      </c>
      <c r="BF225">
        <v>16476</v>
      </c>
      <c r="BG225">
        <v>1012</v>
      </c>
      <c r="BH225">
        <v>0.95099999999999996</v>
      </c>
      <c r="BI225" s="64">
        <v>46.82</v>
      </c>
      <c r="BJ225">
        <v>1</v>
      </c>
      <c r="BK225">
        <v>0</v>
      </c>
      <c r="BL225">
        <v>0</v>
      </c>
      <c r="BM225">
        <v>0</v>
      </c>
      <c r="BN225">
        <v>0</v>
      </c>
      <c r="BO225">
        <v>0</v>
      </c>
      <c r="BP225">
        <v>0</v>
      </c>
      <c r="BQ225" s="28">
        <v>0</v>
      </c>
      <c r="BR225">
        <v>0</v>
      </c>
      <c r="BS225">
        <v>0</v>
      </c>
      <c r="BT225" s="28">
        <v>1</v>
      </c>
      <c r="BU225">
        <v>1</v>
      </c>
      <c r="BV225">
        <v>0</v>
      </c>
      <c r="BW225">
        <v>0</v>
      </c>
      <c r="BX225">
        <v>0</v>
      </c>
      <c r="BY225">
        <v>0</v>
      </c>
      <c r="BZ225">
        <v>1</v>
      </c>
      <c r="CA225">
        <v>1</v>
      </c>
      <c r="CB225">
        <v>0</v>
      </c>
      <c r="CC225">
        <v>0</v>
      </c>
      <c r="CD225">
        <v>0</v>
      </c>
      <c r="CE225" s="16">
        <v>0</v>
      </c>
      <c r="CF225">
        <v>0.52800000000000002</v>
      </c>
      <c r="CG225">
        <v>177</v>
      </c>
      <c r="CH225">
        <v>1</v>
      </c>
      <c r="CI225">
        <v>0</v>
      </c>
      <c r="CJ225">
        <v>5</v>
      </c>
      <c r="CK225" t="s">
        <v>46</v>
      </c>
    </row>
    <row r="226" spans="1:89" x14ac:dyDescent="0.25">
      <c r="A226">
        <v>225</v>
      </c>
      <c r="B226">
        <v>13</v>
      </c>
      <c r="C226" t="s">
        <v>315</v>
      </c>
      <c r="D226" s="79">
        <v>4.5999999999999996</v>
      </c>
      <c r="E226" s="6">
        <v>0.1</v>
      </c>
      <c r="F226" s="6">
        <f t="shared" si="36"/>
        <v>45.999999999999993</v>
      </c>
      <c r="G226" s="78">
        <v>0</v>
      </c>
      <c r="H226" s="70">
        <v>0</v>
      </c>
      <c r="I226" s="70">
        <v>0</v>
      </c>
      <c r="J226" s="70">
        <v>1</v>
      </c>
      <c r="K226" s="70">
        <v>0</v>
      </c>
      <c r="L226" s="78">
        <v>4984</v>
      </c>
      <c r="M226" s="70">
        <v>6</v>
      </c>
      <c r="N226" s="70">
        <f t="shared" si="34"/>
        <v>4977</v>
      </c>
      <c r="O226" s="60">
        <f t="shared" si="35"/>
        <v>13</v>
      </c>
      <c r="P226" s="6">
        <v>11.54</v>
      </c>
      <c r="Q226" s="6">
        <f t="shared" si="37"/>
        <v>26.560000000000002</v>
      </c>
      <c r="R226" s="78">
        <v>1</v>
      </c>
      <c r="S226" s="70">
        <v>0</v>
      </c>
      <c r="T226" s="78">
        <v>0</v>
      </c>
      <c r="U226" s="70">
        <v>0</v>
      </c>
      <c r="V226" s="70">
        <v>0</v>
      </c>
      <c r="W226" s="70">
        <v>1</v>
      </c>
      <c r="X226" s="78">
        <v>0</v>
      </c>
      <c r="Y226" s="70">
        <v>1</v>
      </c>
      <c r="Z226" s="70">
        <v>0</v>
      </c>
      <c r="AA226" s="78">
        <v>0</v>
      </c>
      <c r="AB226" s="70">
        <v>1</v>
      </c>
      <c r="AC226" s="69">
        <v>1990</v>
      </c>
      <c r="AD226" t="s">
        <v>57</v>
      </c>
      <c r="AE226" t="s">
        <v>57</v>
      </c>
      <c r="AF226" t="s">
        <v>57</v>
      </c>
      <c r="AG226" t="s">
        <v>57</v>
      </c>
      <c r="AH226" s="28" t="s">
        <v>57</v>
      </c>
      <c r="AI226" t="s">
        <v>57</v>
      </c>
      <c r="AJ226" s="28">
        <v>0.52</v>
      </c>
      <c r="AK226">
        <f t="shared" si="38"/>
        <v>0.48</v>
      </c>
      <c r="AL226" s="28">
        <v>1</v>
      </c>
      <c r="AM226">
        <v>0</v>
      </c>
      <c r="AN226">
        <v>1</v>
      </c>
      <c r="AO226">
        <v>0</v>
      </c>
      <c r="AP226" s="28">
        <v>0.66</v>
      </c>
      <c r="AQ226" s="12">
        <f t="shared" si="33"/>
        <v>0.33999999999999997</v>
      </c>
      <c r="AR226">
        <v>1</v>
      </c>
      <c r="AS226">
        <v>0</v>
      </c>
      <c r="AT226">
        <v>0</v>
      </c>
      <c r="AU226" s="28" t="s">
        <v>368</v>
      </c>
      <c r="AV226">
        <v>1</v>
      </c>
      <c r="AW226">
        <v>0</v>
      </c>
      <c r="AX226">
        <v>0</v>
      </c>
      <c r="AY226">
        <v>0</v>
      </c>
      <c r="AZ226">
        <v>0</v>
      </c>
      <c r="BA226">
        <v>0</v>
      </c>
      <c r="BB226">
        <v>0</v>
      </c>
      <c r="BC226">
        <v>1</v>
      </c>
      <c r="BD226">
        <v>0</v>
      </c>
      <c r="BE226">
        <v>0</v>
      </c>
      <c r="BF226">
        <v>16476</v>
      </c>
      <c r="BG226">
        <v>1012</v>
      </c>
      <c r="BH226">
        <v>0.95099999999999996</v>
      </c>
      <c r="BI226" s="64">
        <v>44.1</v>
      </c>
      <c r="BJ226">
        <v>1</v>
      </c>
      <c r="BK226">
        <v>0</v>
      </c>
      <c r="BL226">
        <v>0</v>
      </c>
      <c r="BM226">
        <v>0</v>
      </c>
      <c r="BN226">
        <v>0</v>
      </c>
      <c r="BO226">
        <v>0</v>
      </c>
      <c r="BP226">
        <v>0</v>
      </c>
      <c r="BQ226" s="28">
        <v>0</v>
      </c>
      <c r="BR226">
        <v>0</v>
      </c>
      <c r="BS226">
        <v>0</v>
      </c>
      <c r="BT226" s="28">
        <v>1</v>
      </c>
      <c r="BU226">
        <v>1</v>
      </c>
      <c r="BV226">
        <v>0</v>
      </c>
      <c r="BW226">
        <v>0</v>
      </c>
      <c r="BX226">
        <v>0</v>
      </c>
      <c r="BY226">
        <v>0</v>
      </c>
      <c r="BZ226">
        <v>1</v>
      </c>
      <c r="CA226">
        <v>1</v>
      </c>
      <c r="CB226">
        <v>0</v>
      </c>
      <c r="CC226">
        <v>0</v>
      </c>
      <c r="CD226">
        <v>0</v>
      </c>
      <c r="CE226" s="16">
        <v>0</v>
      </c>
      <c r="CF226">
        <v>0.52800000000000002</v>
      </c>
      <c r="CG226">
        <v>177</v>
      </c>
      <c r="CH226">
        <v>1</v>
      </c>
      <c r="CI226">
        <v>0</v>
      </c>
      <c r="CJ226">
        <v>5</v>
      </c>
      <c r="CK226" t="s">
        <v>46</v>
      </c>
    </row>
    <row r="227" spans="1:89" x14ac:dyDescent="0.25">
      <c r="A227">
        <v>226</v>
      </c>
      <c r="B227">
        <v>13</v>
      </c>
      <c r="C227" t="s">
        <v>315</v>
      </c>
      <c r="D227" s="79">
        <v>4.7</v>
      </c>
      <c r="E227" s="6">
        <v>0.1</v>
      </c>
      <c r="F227" s="6">
        <f t="shared" si="36"/>
        <v>47</v>
      </c>
      <c r="G227" s="78">
        <v>0</v>
      </c>
      <c r="H227" s="70">
        <v>0</v>
      </c>
      <c r="I227" s="70">
        <v>0</v>
      </c>
      <c r="J227" s="70">
        <v>1</v>
      </c>
      <c r="K227" s="70">
        <v>0</v>
      </c>
      <c r="L227" s="78">
        <v>6736</v>
      </c>
      <c r="M227" s="70">
        <v>6</v>
      </c>
      <c r="N227" s="70">
        <f t="shared" si="34"/>
        <v>6729</v>
      </c>
      <c r="O227" s="60">
        <f t="shared" si="35"/>
        <v>13</v>
      </c>
      <c r="P227" s="6">
        <v>11.36</v>
      </c>
      <c r="Q227" s="6">
        <f t="shared" si="37"/>
        <v>26.5</v>
      </c>
      <c r="R227" s="78">
        <v>1</v>
      </c>
      <c r="S227" s="70">
        <v>0</v>
      </c>
      <c r="T227" s="78">
        <v>0</v>
      </c>
      <c r="U227" s="70">
        <v>0</v>
      </c>
      <c r="V227" s="70">
        <v>0</v>
      </c>
      <c r="W227" s="70">
        <v>1</v>
      </c>
      <c r="X227" s="78">
        <v>0</v>
      </c>
      <c r="Y227" s="70">
        <v>1</v>
      </c>
      <c r="Z227" s="70">
        <v>0</v>
      </c>
      <c r="AA227" s="78">
        <v>0</v>
      </c>
      <c r="AB227" s="70">
        <v>1</v>
      </c>
      <c r="AC227" s="69">
        <v>1990</v>
      </c>
      <c r="AD227" t="s">
        <v>57</v>
      </c>
      <c r="AE227" t="s">
        <v>57</v>
      </c>
      <c r="AF227" t="s">
        <v>57</v>
      </c>
      <c r="AG227" t="s">
        <v>57</v>
      </c>
      <c r="AH227" s="28" t="s">
        <v>57</v>
      </c>
      <c r="AI227" t="s">
        <v>57</v>
      </c>
      <c r="AJ227" s="28">
        <v>0.57999999999999996</v>
      </c>
      <c r="AK227">
        <f t="shared" si="38"/>
        <v>0.42000000000000004</v>
      </c>
      <c r="AL227" s="28">
        <v>1</v>
      </c>
      <c r="AM227">
        <v>0</v>
      </c>
      <c r="AN227">
        <v>1</v>
      </c>
      <c r="AO227">
        <v>0</v>
      </c>
      <c r="AP227" s="28">
        <v>0.66</v>
      </c>
      <c r="AQ227" s="12">
        <f t="shared" si="33"/>
        <v>0.33999999999999997</v>
      </c>
      <c r="AR227">
        <v>0</v>
      </c>
      <c r="AS227">
        <v>1</v>
      </c>
      <c r="AT227">
        <v>0</v>
      </c>
      <c r="AU227" s="28" t="s">
        <v>368</v>
      </c>
      <c r="AV227">
        <v>1</v>
      </c>
      <c r="AW227">
        <v>0</v>
      </c>
      <c r="AX227">
        <v>0</v>
      </c>
      <c r="AY227">
        <v>0</v>
      </c>
      <c r="AZ227">
        <v>0</v>
      </c>
      <c r="BA227">
        <v>0</v>
      </c>
      <c r="BB227">
        <v>0</v>
      </c>
      <c r="BC227">
        <v>1</v>
      </c>
      <c r="BD227">
        <v>0</v>
      </c>
      <c r="BE227">
        <v>0</v>
      </c>
      <c r="BF227">
        <v>16476</v>
      </c>
      <c r="BG227">
        <v>1012</v>
      </c>
      <c r="BH227">
        <v>0.95099999999999996</v>
      </c>
      <c r="BI227" s="64">
        <v>43.86</v>
      </c>
      <c r="BJ227">
        <v>1</v>
      </c>
      <c r="BK227">
        <v>0</v>
      </c>
      <c r="BL227">
        <v>0</v>
      </c>
      <c r="BM227">
        <v>0</v>
      </c>
      <c r="BN227">
        <v>0</v>
      </c>
      <c r="BO227">
        <v>0</v>
      </c>
      <c r="BP227">
        <v>0</v>
      </c>
      <c r="BQ227" s="28">
        <v>0</v>
      </c>
      <c r="BR227">
        <v>0</v>
      </c>
      <c r="BS227">
        <v>0</v>
      </c>
      <c r="BT227" s="28">
        <v>1</v>
      </c>
      <c r="BU227">
        <v>1</v>
      </c>
      <c r="BV227">
        <v>0</v>
      </c>
      <c r="BW227">
        <v>0</v>
      </c>
      <c r="BX227">
        <v>0</v>
      </c>
      <c r="BY227">
        <v>0</v>
      </c>
      <c r="BZ227">
        <v>1</v>
      </c>
      <c r="CA227">
        <v>1</v>
      </c>
      <c r="CB227">
        <v>0</v>
      </c>
      <c r="CC227">
        <v>0</v>
      </c>
      <c r="CD227">
        <v>0</v>
      </c>
      <c r="CE227" s="16">
        <v>0</v>
      </c>
      <c r="CF227">
        <v>0.52800000000000002</v>
      </c>
      <c r="CG227">
        <v>177</v>
      </c>
      <c r="CH227">
        <v>1</v>
      </c>
      <c r="CI227">
        <v>0</v>
      </c>
      <c r="CJ227">
        <v>5</v>
      </c>
      <c r="CK227" t="s">
        <v>46</v>
      </c>
    </row>
    <row r="228" spans="1:89" x14ac:dyDescent="0.25">
      <c r="A228">
        <v>227</v>
      </c>
      <c r="B228">
        <v>13</v>
      </c>
      <c r="C228" t="s">
        <v>315</v>
      </c>
      <c r="D228" s="79">
        <v>2.2000000000000002</v>
      </c>
      <c r="E228" s="6">
        <v>0.2</v>
      </c>
      <c r="F228" s="6">
        <f t="shared" si="36"/>
        <v>11</v>
      </c>
      <c r="G228" s="78">
        <v>0</v>
      </c>
      <c r="H228" s="70">
        <v>0</v>
      </c>
      <c r="I228" s="70">
        <v>0</v>
      </c>
      <c r="J228" s="70">
        <v>1</v>
      </c>
      <c r="K228" s="70">
        <v>0</v>
      </c>
      <c r="L228" s="78">
        <v>4984</v>
      </c>
      <c r="M228" s="70">
        <v>6</v>
      </c>
      <c r="N228" s="70">
        <f t="shared" si="34"/>
        <v>4977</v>
      </c>
      <c r="O228" s="60">
        <f t="shared" si="35"/>
        <v>13</v>
      </c>
      <c r="P228" s="6">
        <v>11.54</v>
      </c>
      <c r="Q228" s="6">
        <f t="shared" si="37"/>
        <v>26.560000000000002</v>
      </c>
      <c r="R228" s="78">
        <v>1</v>
      </c>
      <c r="S228" s="70">
        <v>0</v>
      </c>
      <c r="T228" s="78">
        <v>0</v>
      </c>
      <c r="U228" s="70">
        <v>0</v>
      </c>
      <c r="V228" s="70">
        <v>0</v>
      </c>
      <c r="W228" s="70">
        <v>1</v>
      </c>
      <c r="X228" s="78">
        <v>0</v>
      </c>
      <c r="Y228" s="70">
        <v>1</v>
      </c>
      <c r="Z228" s="70">
        <v>0</v>
      </c>
      <c r="AA228" s="78">
        <v>0</v>
      </c>
      <c r="AB228" s="70">
        <v>1</v>
      </c>
      <c r="AC228" s="69">
        <v>1990</v>
      </c>
      <c r="AD228" t="s">
        <v>57</v>
      </c>
      <c r="AE228" t="s">
        <v>57</v>
      </c>
      <c r="AF228" t="s">
        <v>57</v>
      </c>
      <c r="AG228" t="s">
        <v>57</v>
      </c>
      <c r="AH228" s="28" t="s">
        <v>57</v>
      </c>
      <c r="AI228" t="s">
        <v>57</v>
      </c>
      <c r="AJ228" s="28">
        <v>0.52</v>
      </c>
      <c r="AK228">
        <f t="shared" si="38"/>
        <v>0.48</v>
      </c>
      <c r="AL228" s="28">
        <v>1</v>
      </c>
      <c r="AM228">
        <v>0</v>
      </c>
      <c r="AN228">
        <v>1</v>
      </c>
      <c r="AO228">
        <v>0</v>
      </c>
      <c r="AP228" s="28">
        <v>0.66</v>
      </c>
      <c r="AQ228" s="12">
        <f t="shared" si="33"/>
        <v>0.33999999999999997</v>
      </c>
      <c r="AR228">
        <v>1</v>
      </c>
      <c r="AS228">
        <v>0</v>
      </c>
      <c r="AT228">
        <v>0</v>
      </c>
      <c r="AU228" s="28" t="s">
        <v>368</v>
      </c>
      <c r="AV228">
        <v>1</v>
      </c>
      <c r="AW228">
        <v>0</v>
      </c>
      <c r="AX228">
        <v>0</v>
      </c>
      <c r="AY228">
        <v>0</v>
      </c>
      <c r="AZ228">
        <v>0</v>
      </c>
      <c r="BA228">
        <v>0</v>
      </c>
      <c r="BB228">
        <v>0</v>
      </c>
      <c r="BC228">
        <v>1</v>
      </c>
      <c r="BD228">
        <v>0</v>
      </c>
      <c r="BE228">
        <v>0</v>
      </c>
      <c r="BF228">
        <v>16476</v>
      </c>
      <c r="BG228">
        <v>1012</v>
      </c>
      <c r="BH228">
        <v>0.95099999999999996</v>
      </c>
      <c r="BI228" s="64">
        <v>44.1</v>
      </c>
      <c r="BJ228">
        <v>0</v>
      </c>
      <c r="BK228">
        <v>0</v>
      </c>
      <c r="BL228">
        <v>1</v>
      </c>
      <c r="BM228">
        <v>0</v>
      </c>
      <c r="BN228">
        <v>0</v>
      </c>
      <c r="BO228">
        <v>0</v>
      </c>
      <c r="BP228">
        <v>0</v>
      </c>
      <c r="BQ228" s="28">
        <v>0</v>
      </c>
      <c r="BR228">
        <v>0</v>
      </c>
      <c r="BS228">
        <v>0</v>
      </c>
      <c r="BT228" s="28">
        <v>1</v>
      </c>
      <c r="BU228">
        <v>1</v>
      </c>
      <c r="BV228">
        <v>0</v>
      </c>
      <c r="BW228">
        <v>0</v>
      </c>
      <c r="BX228">
        <v>0</v>
      </c>
      <c r="BY228">
        <v>0</v>
      </c>
      <c r="BZ228">
        <v>1</v>
      </c>
      <c r="CA228">
        <v>1</v>
      </c>
      <c r="CB228">
        <v>0</v>
      </c>
      <c r="CC228">
        <v>0</v>
      </c>
      <c r="CD228">
        <v>0</v>
      </c>
      <c r="CE228" s="16">
        <v>0</v>
      </c>
      <c r="CF228">
        <v>0.52800000000000002</v>
      </c>
      <c r="CG228">
        <v>177</v>
      </c>
      <c r="CH228">
        <v>1</v>
      </c>
      <c r="CI228">
        <v>0</v>
      </c>
      <c r="CJ228">
        <v>5</v>
      </c>
      <c r="CK228" t="s">
        <v>46</v>
      </c>
    </row>
    <row r="229" spans="1:89" x14ac:dyDescent="0.25">
      <c r="A229">
        <v>228</v>
      </c>
      <c r="B229">
        <v>13</v>
      </c>
      <c r="C229" t="s">
        <v>315</v>
      </c>
      <c r="D229" s="79">
        <v>3.9</v>
      </c>
      <c r="E229" s="6">
        <v>0.2</v>
      </c>
      <c r="F229" s="6">
        <f t="shared" si="36"/>
        <v>19.5</v>
      </c>
      <c r="G229" s="78">
        <v>0</v>
      </c>
      <c r="H229" s="70">
        <v>0</v>
      </c>
      <c r="I229" s="70">
        <v>0</v>
      </c>
      <c r="J229" s="70">
        <v>1</v>
      </c>
      <c r="K229" s="70">
        <v>0</v>
      </c>
      <c r="L229" s="78">
        <v>6736</v>
      </c>
      <c r="M229" s="70">
        <v>6</v>
      </c>
      <c r="N229" s="70">
        <f t="shared" si="34"/>
        <v>6729</v>
      </c>
      <c r="O229" s="60">
        <f t="shared" si="35"/>
        <v>13</v>
      </c>
      <c r="P229" s="6">
        <v>11.36</v>
      </c>
      <c r="Q229" s="6">
        <f t="shared" si="37"/>
        <v>26.5</v>
      </c>
      <c r="R229" s="78">
        <v>1</v>
      </c>
      <c r="S229" s="70">
        <v>0</v>
      </c>
      <c r="T229" s="78">
        <v>0</v>
      </c>
      <c r="U229" s="70">
        <v>0</v>
      </c>
      <c r="V229" s="70">
        <v>0</v>
      </c>
      <c r="W229" s="70">
        <v>1</v>
      </c>
      <c r="X229" s="78">
        <v>0</v>
      </c>
      <c r="Y229" s="70">
        <v>1</v>
      </c>
      <c r="Z229" s="70">
        <v>0</v>
      </c>
      <c r="AA229" s="78">
        <v>0</v>
      </c>
      <c r="AB229" s="70">
        <v>1</v>
      </c>
      <c r="AC229" s="69">
        <v>1990</v>
      </c>
      <c r="AD229" t="s">
        <v>57</v>
      </c>
      <c r="AE229" t="s">
        <v>57</v>
      </c>
      <c r="AF229" t="s">
        <v>57</v>
      </c>
      <c r="AG229" t="s">
        <v>57</v>
      </c>
      <c r="AH229" s="28" t="s">
        <v>57</v>
      </c>
      <c r="AI229" t="s">
        <v>57</v>
      </c>
      <c r="AJ229" s="28">
        <v>0.57999999999999996</v>
      </c>
      <c r="AK229">
        <f t="shared" si="38"/>
        <v>0.42000000000000004</v>
      </c>
      <c r="AL229" s="28">
        <v>1</v>
      </c>
      <c r="AM229">
        <v>0</v>
      </c>
      <c r="AN229">
        <v>1</v>
      </c>
      <c r="AO229">
        <v>0</v>
      </c>
      <c r="AP229" s="28">
        <v>0.66</v>
      </c>
      <c r="AQ229" s="12">
        <f t="shared" si="33"/>
        <v>0.33999999999999997</v>
      </c>
      <c r="AR229">
        <v>0</v>
      </c>
      <c r="AS229">
        <v>1</v>
      </c>
      <c r="AT229">
        <v>0</v>
      </c>
      <c r="AU229" s="28" t="s">
        <v>368</v>
      </c>
      <c r="AV229">
        <v>1</v>
      </c>
      <c r="AW229">
        <v>0</v>
      </c>
      <c r="AX229">
        <v>0</v>
      </c>
      <c r="AY229">
        <v>0</v>
      </c>
      <c r="AZ229">
        <v>0</v>
      </c>
      <c r="BA229">
        <v>0</v>
      </c>
      <c r="BB229">
        <v>0</v>
      </c>
      <c r="BC229">
        <v>1</v>
      </c>
      <c r="BD229">
        <v>0</v>
      </c>
      <c r="BE229">
        <v>0</v>
      </c>
      <c r="BF229">
        <v>16476</v>
      </c>
      <c r="BG229">
        <v>1012</v>
      </c>
      <c r="BH229">
        <v>0.95099999999999996</v>
      </c>
      <c r="BI229" s="64">
        <v>43.86</v>
      </c>
      <c r="BJ229">
        <v>0</v>
      </c>
      <c r="BK229">
        <v>0</v>
      </c>
      <c r="BL229">
        <v>1</v>
      </c>
      <c r="BM229">
        <v>0</v>
      </c>
      <c r="BN229">
        <v>0</v>
      </c>
      <c r="BO229">
        <v>0</v>
      </c>
      <c r="BP229">
        <v>0</v>
      </c>
      <c r="BQ229" s="28">
        <v>0</v>
      </c>
      <c r="BR229">
        <v>0</v>
      </c>
      <c r="BS229">
        <v>0</v>
      </c>
      <c r="BT229" s="28">
        <v>1</v>
      </c>
      <c r="BU229">
        <v>1</v>
      </c>
      <c r="BV229">
        <v>0</v>
      </c>
      <c r="BW229">
        <v>0</v>
      </c>
      <c r="BX229">
        <v>0</v>
      </c>
      <c r="BY229">
        <v>0</v>
      </c>
      <c r="BZ229">
        <v>1</v>
      </c>
      <c r="CA229">
        <v>1</v>
      </c>
      <c r="CB229">
        <v>0</v>
      </c>
      <c r="CC229">
        <v>0</v>
      </c>
      <c r="CD229">
        <v>0</v>
      </c>
      <c r="CE229" s="16">
        <v>0</v>
      </c>
      <c r="CF229">
        <v>0.52800000000000002</v>
      </c>
      <c r="CG229">
        <v>177</v>
      </c>
      <c r="CH229">
        <v>1</v>
      </c>
      <c r="CI229">
        <v>0</v>
      </c>
      <c r="CJ229">
        <v>5</v>
      </c>
      <c r="CK229" t="s">
        <v>46</v>
      </c>
    </row>
    <row r="230" spans="1:89" x14ac:dyDescent="0.25">
      <c r="A230">
        <v>229</v>
      </c>
      <c r="B230">
        <v>13</v>
      </c>
      <c r="C230" t="s">
        <v>315</v>
      </c>
      <c r="D230" s="79">
        <v>2.7</v>
      </c>
      <c r="E230" s="6">
        <v>0.3</v>
      </c>
      <c r="F230" s="6">
        <f t="shared" si="36"/>
        <v>9.0000000000000018</v>
      </c>
      <c r="G230" s="78">
        <v>0</v>
      </c>
      <c r="H230" s="70">
        <v>0</v>
      </c>
      <c r="I230" s="70">
        <v>0</v>
      </c>
      <c r="J230" s="70">
        <v>1</v>
      </c>
      <c r="K230" s="70">
        <v>0</v>
      </c>
      <c r="L230" s="78">
        <v>4984</v>
      </c>
      <c r="M230" s="70">
        <v>6</v>
      </c>
      <c r="N230" s="70">
        <f t="shared" si="34"/>
        <v>4977</v>
      </c>
      <c r="O230" s="60">
        <f t="shared" si="35"/>
        <v>13</v>
      </c>
      <c r="P230" s="6">
        <v>11.54</v>
      </c>
      <c r="Q230" s="6">
        <f t="shared" si="37"/>
        <v>26.560000000000002</v>
      </c>
      <c r="R230" s="78">
        <v>1</v>
      </c>
      <c r="S230" s="70">
        <v>0</v>
      </c>
      <c r="T230" s="78">
        <v>0</v>
      </c>
      <c r="U230" s="70">
        <v>0</v>
      </c>
      <c r="V230" s="70">
        <v>0</v>
      </c>
      <c r="W230" s="70">
        <v>1</v>
      </c>
      <c r="X230" s="78">
        <v>0</v>
      </c>
      <c r="Y230" s="70">
        <v>1</v>
      </c>
      <c r="Z230" s="70">
        <v>0</v>
      </c>
      <c r="AA230" s="78">
        <v>0</v>
      </c>
      <c r="AB230" s="70">
        <v>1</v>
      </c>
      <c r="AC230" s="69">
        <v>1990</v>
      </c>
      <c r="AD230" t="s">
        <v>57</v>
      </c>
      <c r="AE230" t="s">
        <v>57</v>
      </c>
      <c r="AF230" t="s">
        <v>57</v>
      </c>
      <c r="AG230" t="s">
        <v>57</v>
      </c>
      <c r="AH230" s="28" t="s">
        <v>57</v>
      </c>
      <c r="AI230" t="s">
        <v>57</v>
      </c>
      <c r="AJ230" s="28">
        <v>0.52</v>
      </c>
      <c r="AK230">
        <f t="shared" si="38"/>
        <v>0.48</v>
      </c>
      <c r="AL230" s="28">
        <v>1</v>
      </c>
      <c r="AM230">
        <v>0</v>
      </c>
      <c r="AN230">
        <v>1</v>
      </c>
      <c r="AO230">
        <v>0</v>
      </c>
      <c r="AP230" s="28">
        <v>0.66</v>
      </c>
      <c r="AQ230" s="12">
        <f t="shared" si="33"/>
        <v>0.33999999999999997</v>
      </c>
      <c r="AR230">
        <v>1</v>
      </c>
      <c r="AS230">
        <v>0</v>
      </c>
      <c r="AT230">
        <v>0</v>
      </c>
      <c r="AU230" s="28" t="s">
        <v>368</v>
      </c>
      <c r="AV230">
        <v>1</v>
      </c>
      <c r="AW230">
        <v>0</v>
      </c>
      <c r="AX230">
        <v>0</v>
      </c>
      <c r="AY230">
        <v>0</v>
      </c>
      <c r="AZ230">
        <v>0</v>
      </c>
      <c r="BA230">
        <v>0</v>
      </c>
      <c r="BB230">
        <v>0</v>
      </c>
      <c r="BC230">
        <v>1</v>
      </c>
      <c r="BD230">
        <v>0</v>
      </c>
      <c r="BE230">
        <v>0</v>
      </c>
      <c r="BF230">
        <v>16476</v>
      </c>
      <c r="BG230">
        <v>1012</v>
      </c>
      <c r="BH230">
        <v>0.95099999999999996</v>
      </c>
      <c r="BI230" s="64">
        <v>44.1</v>
      </c>
      <c r="BJ230">
        <v>0</v>
      </c>
      <c r="BK230">
        <v>0</v>
      </c>
      <c r="BL230">
        <v>1</v>
      </c>
      <c r="BM230">
        <v>0</v>
      </c>
      <c r="BN230">
        <v>0</v>
      </c>
      <c r="BO230">
        <v>0</v>
      </c>
      <c r="BP230">
        <v>0</v>
      </c>
      <c r="BQ230" s="28">
        <v>0</v>
      </c>
      <c r="BR230">
        <v>0</v>
      </c>
      <c r="BS230">
        <v>0</v>
      </c>
      <c r="BT230" s="28">
        <v>1</v>
      </c>
      <c r="BU230">
        <v>1</v>
      </c>
      <c r="BV230">
        <v>0</v>
      </c>
      <c r="BW230">
        <v>0</v>
      </c>
      <c r="BX230">
        <v>0</v>
      </c>
      <c r="BY230">
        <v>0</v>
      </c>
      <c r="BZ230">
        <v>1</v>
      </c>
      <c r="CA230">
        <v>1</v>
      </c>
      <c r="CB230">
        <v>0</v>
      </c>
      <c r="CC230">
        <v>0</v>
      </c>
      <c r="CD230">
        <v>0</v>
      </c>
      <c r="CE230" s="16">
        <v>0</v>
      </c>
      <c r="CF230">
        <v>0.52800000000000002</v>
      </c>
      <c r="CG230">
        <v>177</v>
      </c>
      <c r="CH230">
        <v>1</v>
      </c>
      <c r="CI230">
        <v>0</v>
      </c>
      <c r="CJ230">
        <v>5</v>
      </c>
      <c r="CK230" t="s">
        <v>46</v>
      </c>
    </row>
    <row r="231" spans="1:89" x14ac:dyDescent="0.25">
      <c r="A231">
        <v>230</v>
      </c>
      <c r="B231">
        <v>13</v>
      </c>
      <c r="C231" t="s">
        <v>315</v>
      </c>
      <c r="D231" s="79">
        <v>4.4000000000000004</v>
      </c>
      <c r="E231" s="6">
        <v>0.2</v>
      </c>
      <c r="F231" s="6">
        <f t="shared" si="36"/>
        <v>22</v>
      </c>
      <c r="G231" s="78">
        <v>0</v>
      </c>
      <c r="H231" s="70">
        <v>0</v>
      </c>
      <c r="I231" s="70">
        <v>0</v>
      </c>
      <c r="J231" s="70">
        <v>1</v>
      </c>
      <c r="K231" s="70">
        <v>0</v>
      </c>
      <c r="L231" s="78">
        <v>6736</v>
      </c>
      <c r="M231" s="70">
        <v>6</v>
      </c>
      <c r="N231" s="70">
        <f t="shared" si="34"/>
        <v>6729</v>
      </c>
      <c r="O231" s="60">
        <f t="shared" si="35"/>
        <v>13</v>
      </c>
      <c r="P231" s="6">
        <v>11.36</v>
      </c>
      <c r="Q231" s="6">
        <f t="shared" si="37"/>
        <v>26.5</v>
      </c>
      <c r="R231" s="78">
        <v>1</v>
      </c>
      <c r="S231" s="70">
        <v>0</v>
      </c>
      <c r="T231" s="78">
        <v>0</v>
      </c>
      <c r="U231" s="70">
        <v>0</v>
      </c>
      <c r="V231" s="70">
        <v>0</v>
      </c>
      <c r="W231" s="70">
        <v>1</v>
      </c>
      <c r="X231" s="78">
        <v>0</v>
      </c>
      <c r="Y231" s="70">
        <v>1</v>
      </c>
      <c r="Z231" s="70">
        <v>0</v>
      </c>
      <c r="AA231" s="78">
        <v>0</v>
      </c>
      <c r="AB231" s="70">
        <v>1</v>
      </c>
      <c r="AC231" s="69">
        <v>1990</v>
      </c>
      <c r="AD231" t="s">
        <v>57</v>
      </c>
      <c r="AE231" t="s">
        <v>57</v>
      </c>
      <c r="AF231" t="s">
        <v>57</v>
      </c>
      <c r="AG231" t="s">
        <v>57</v>
      </c>
      <c r="AH231" s="28" t="s">
        <v>57</v>
      </c>
      <c r="AI231" t="s">
        <v>57</v>
      </c>
      <c r="AJ231" s="28">
        <v>0.57999999999999996</v>
      </c>
      <c r="AK231">
        <f t="shared" si="38"/>
        <v>0.42000000000000004</v>
      </c>
      <c r="AL231" s="28">
        <v>1</v>
      </c>
      <c r="AM231">
        <v>0</v>
      </c>
      <c r="AN231">
        <v>1</v>
      </c>
      <c r="AO231">
        <v>0</v>
      </c>
      <c r="AP231" s="28">
        <v>0.66</v>
      </c>
      <c r="AQ231" s="12">
        <f t="shared" si="33"/>
        <v>0.33999999999999997</v>
      </c>
      <c r="AR231">
        <v>0</v>
      </c>
      <c r="AS231">
        <v>1</v>
      </c>
      <c r="AT231">
        <v>0</v>
      </c>
      <c r="AU231" s="28" t="s">
        <v>368</v>
      </c>
      <c r="AV231">
        <v>1</v>
      </c>
      <c r="AW231">
        <v>0</v>
      </c>
      <c r="AX231">
        <v>0</v>
      </c>
      <c r="AY231">
        <v>0</v>
      </c>
      <c r="AZ231">
        <v>0</v>
      </c>
      <c r="BA231">
        <v>0</v>
      </c>
      <c r="BB231">
        <v>0</v>
      </c>
      <c r="BC231">
        <v>1</v>
      </c>
      <c r="BD231">
        <v>0</v>
      </c>
      <c r="BE231">
        <v>0</v>
      </c>
      <c r="BF231">
        <v>16476</v>
      </c>
      <c r="BG231">
        <v>1012</v>
      </c>
      <c r="BH231">
        <v>0.95099999999999996</v>
      </c>
      <c r="BI231" s="64">
        <v>43.86</v>
      </c>
      <c r="BJ231">
        <v>0</v>
      </c>
      <c r="BK231">
        <v>0</v>
      </c>
      <c r="BL231">
        <v>1</v>
      </c>
      <c r="BM231">
        <v>0</v>
      </c>
      <c r="BN231">
        <v>0</v>
      </c>
      <c r="BO231">
        <v>0</v>
      </c>
      <c r="BP231">
        <v>0</v>
      </c>
      <c r="BQ231" s="28">
        <v>0</v>
      </c>
      <c r="BR231">
        <v>0</v>
      </c>
      <c r="BS231">
        <v>0</v>
      </c>
      <c r="BT231" s="28">
        <v>1</v>
      </c>
      <c r="BU231">
        <v>1</v>
      </c>
      <c r="BV231">
        <v>0</v>
      </c>
      <c r="BW231">
        <v>0</v>
      </c>
      <c r="BX231">
        <v>0</v>
      </c>
      <c r="BY231">
        <v>0</v>
      </c>
      <c r="BZ231">
        <v>1</v>
      </c>
      <c r="CA231">
        <v>1</v>
      </c>
      <c r="CB231">
        <v>0</v>
      </c>
      <c r="CC231">
        <v>0</v>
      </c>
      <c r="CD231">
        <v>0</v>
      </c>
      <c r="CE231" s="16">
        <v>0</v>
      </c>
      <c r="CF231">
        <v>0.52800000000000002</v>
      </c>
      <c r="CG231">
        <v>177</v>
      </c>
      <c r="CH231">
        <v>1</v>
      </c>
      <c r="CI231">
        <v>0</v>
      </c>
      <c r="CJ231">
        <v>5</v>
      </c>
      <c r="CK231" t="s">
        <v>46</v>
      </c>
    </row>
    <row r="232" spans="1:89" x14ac:dyDescent="0.25">
      <c r="A232">
        <v>231</v>
      </c>
      <c r="B232">
        <v>13</v>
      </c>
      <c r="C232" t="s">
        <v>315</v>
      </c>
      <c r="D232" s="79">
        <v>3.7</v>
      </c>
      <c r="E232" s="6">
        <v>0.4</v>
      </c>
      <c r="F232" s="6">
        <f t="shared" si="36"/>
        <v>9.25</v>
      </c>
      <c r="G232" s="78">
        <v>0</v>
      </c>
      <c r="H232" s="70">
        <v>0</v>
      </c>
      <c r="I232" s="70">
        <v>0</v>
      </c>
      <c r="J232" s="70">
        <v>1</v>
      </c>
      <c r="K232" s="70">
        <v>0</v>
      </c>
      <c r="L232" s="78">
        <v>4984</v>
      </c>
      <c r="M232" s="70">
        <v>6</v>
      </c>
      <c r="N232" s="70">
        <f t="shared" si="34"/>
        <v>4977</v>
      </c>
      <c r="O232" s="60">
        <f t="shared" si="35"/>
        <v>13</v>
      </c>
      <c r="P232" s="6">
        <v>11.54</v>
      </c>
      <c r="Q232" s="6">
        <f t="shared" si="37"/>
        <v>26.560000000000002</v>
      </c>
      <c r="R232" s="78">
        <v>1</v>
      </c>
      <c r="S232" s="70">
        <v>0</v>
      </c>
      <c r="T232" s="78">
        <v>0</v>
      </c>
      <c r="U232" s="70">
        <v>0</v>
      </c>
      <c r="V232" s="70">
        <v>0</v>
      </c>
      <c r="W232" s="70">
        <v>1</v>
      </c>
      <c r="X232" s="78">
        <v>0</v>
      </c>
      <c r="Y232" s="70">
        <v>1</v>
      </c>
      <c r="Z232" s="70">
        <v>0</v>
      </c>
      <c r="AA232" s="78">
        <v>0</v>
      </c>
      <c r="AB232" s="70">
        <v>1</v>
      </c>
      <c r="AC232" s="69">
        <v>1990</v>
      </c>
      <c r="AD232" t="s">
        <v>57</v>
      </c>
      <c r="AE232" t="s">
        <v>57</v>
      </c>
      <c r="AF232" t="s">
        <v>57</v>
      </c>
      <c r="AG232" t="s">
        <v>57</v>
      </c>
      <c r="AH232" s="28" t="s">
        <v>57</v>
      </c>
      <c r="AI232" t="s">
        <v>57</v>
      </c>
      <c r="AJ232" s="28">
        <v>0.52</v>
      </c>
      <c r="AK232">
        <f t="shared" si="38"/>
        <v>0.48</v>
      </c>
      <c r="AL232" s="28">
        <v>1</v>
      </c>
      <c r="AM232">
        <v>0</v>
      </c>
      <c r="AN232">
        <v>1</v>
      </c>
      <c r="AO232">
        <v>0</v>
      </c>
      <c r="AP232" s="28">
        <v>0.66</v>
      </c>
      <c r="AQ232" s="12">
        <f t="shared" si="33"/>
        <v>0.33999999999999997</v>
      </c>
      <c r="AR232">
        <v>1</v>
      </c>
      <c r="AS232">
        <v>0</v>
      </c>
      <c r="AT232">
        <v>0</v>
      </c>
      <c r="AU232" s="28" t="s">
        <v>368</v>
      </c>
      <c r="AV232">
        <v>1</v>
      </c>
      <c r="AW232">
        <v>0</v>
      </c>
      <c r="AX232">
        <v>0</v>
      </c>
      <c r="AY232">
        <v>0</v>
      </c>
      <c r="AZ232">
        <v>0</v>
      </c>
      <c r="BA232">
        <v>0</v>
      </c>
      <c r="BB232">
        <v>0</v>
      </c>
      <c r="BC232">
        <v>1</v>
      </c>
      <c r="BD232">
        <v>0</v>
      </c>
      <c r="BE232">
        <v>0</v>
      </c>
      <c r="BF232">
        <v>16476</v>
      </c>
      <c r="BG232">
        <v>1012</v>
      </c>
      <c r="BH232">
        <v>0.95099999999999996</v>
      </c>
      <c r="BI232" s="64">
        <v>44.1</v>
      </c>
      <c r="BJ232">
        <v>0</v>
      </c>
      <c r="BK232">
        <v>0</v>
      </c>
      <c r="BL232">
        <v>1</v>
      </c>
      <c r="BM232">
        <v>0</v>
      </c>
      <c r="BN232">
        <v>0</v>
      </c>
      <c r="BO232">
        <v>0</v>
      </c>
      <c r="BP232">
        <v>0</v>
      </c>
      <c r="BQ232" s="28">
        <v>0</v>
      </c>
      <c r="BR232">
        <v>0</v>
      </c>
      <c r="BS232">
        <v>0</v>
      </c>
      <c r="BT232" s="28">
        <v>1</v>
      </c>
      <c r="BU232">
        <v>1</v>
      </c>
      <c r="BV232">
        <v>0</v>
      </c>
      <c r="BW232">
        <v>0</v>
      </c>
      <c r="BX232">
        <v>0</v>
      </c>
      <c r="BY232">
        <v>0</v>
      </c>
      <c r="BZ232">
        <v>1</v>
      </c>
      <c r="CA232">
        <v>1</v>
      </c>
      <c r="CB232">
        <v>0</v>
      </c>
      <c r="CC232">
        <v>0</v>
      </c>
      <c r="CD232">
        <v>0</v>
      </c>
      <c r="CE232" s="16">
        <v>0</v>
      </c>
      <c r="CF232">
        <v>0.52800000000000002</v>
      </c>
      <c r="CG232">
        <v>177</v>
      </c>
      <c r="CH232">
        <v>1</v>
      </c>
      <c r="CI232">
        <v>0</v>
      </c>
      <c r="CJ232">
        <v>5</v>
      </c>
      <c r="CK232" t="s">
        <v>46</v>
      </c>
    </row>
    <row r="233" spans="1:89" x14ac:dyDescent="0.25">
      <c r="A233">
        <v>232</v>
      </c>
      <c r="B233">
        <v>13</v>
      </c>
      <c r="C233" t="s">
        <v>315</v>
      </c>
      <c r="D233" s="79">
        <v>5</v>
      </c>
      <c r="E233" s="6">
        <v>0.2</v>
      </c>
      <c r="F233" s="6">
        <f t="shared" si="36"/>
        <v>25</v>
      </c>
      <c r="G233" s="78">
        <v>0</v>
      </c>
      <c r="H233" s="70">
        <v>0</v>
      </c>
      <c r="I233" s="70">
        <v>0</v>
      </c>
      <c r="J233" s="70">
        <v>1</v>
      </c>
      <c r="K233" s="70">
        <v>0</v>
      </c>
      <c r="L233" s="78">
        <v>6736</v>
      </c>
      <c r="M233" s="70">
        <v>6</v>
      </c>
      <c r="N233" s="70">
        <f t="shared" si="34"/>
        <v>6729</v>
      </c>
      <c r="O233" s="60">
        <f t="shared" si="35"/>
        <v>13</v>
      </c>
      <c r="P233" s="6">
        <v>11.36</v>
      </c>
      <c r="Q233" s="6">
        <f t="shared" si="37"/>
        <v>26.5</v>
      </c>
      <c r="R233" s="78">
        <v>1</v>
      </c>
      <c r="S233" s="70">
        <v>0</v>
      </c>
      <c r="T233" s="78">
        <v>0</v>
      </c>
      <c r="U233" s="70">
        <v>0</v>
      </c>
      <c r="V233" s="70">
        <v>0</v>
      </c>
      <c r="W233" s="70">
        <v>1</v>
      </c>
      <c r="X233" s="78">
        <v>0</v>
      </c>
      <c r="Y233" s="70">
        <v>1</v>
      </c>
      <c r="Z233" s="70">
        <v>0</v>
      </c>
      <c r="AA233" s="78">
        <v>0</v>
      </c>
      <c r="AB233" s="70">
        <v>1</v>
      </c>
      <c r="AC233" s="69">
        <v>1990</v>
      </c>
      <c r="AD233" t="s">
        <v>57</v>
      </c>
      <c r="AE233" t="s">
        <v>57</v>
      </c>
      <c r="AF233" t="s">
        <v>57</v>
      </c>
      <c r="AG233" t="s">
        <v>57</v>
      </c>
      <c r="AH233" s="28" t="s">
        <v>57</v>
      </c>
      <c r="AI233" t="s">
        <v>57</v>
      </c>
      <c r="AJ233" s="28">
        <v>0.57999999999999996</v>
      </c>
      <c r="AK233">
        <f t="shared" si="38"/>
        <v>0.42000000000000004</v>
      </c>
      <c r="AL233" s="28">
        <v>1</v>
      </c>
      <c r="AM233">
        <v>0</v>
      </c>
      <c r="AN233">
        <v>1</v>
      </c>
      <c r="AO233">
        <v>0</v>
      </c>
      <c r="AP233" s="28">
        <v>0.66</v>
      </c>
      <c r="AQ233" s="12">
        <f t="shared" si="33"/>
        <v>0.33999999999999997</v>
      </c>
      <c r="AR233">
        <v>0</v>
      </c>
      <c r="AS233">
        <v>1</v>
      </c>
      <c r="AT233">
        <v>0</v>
      </c>
      <c r="AU233" s="28" t="s">
        <v>368</v>
      </c>
      <c r="AV233">
        <v>1</v>
      </c>
      <c r="AW233">
        <v>0</v>
      </c>
      <c r="AX233">
        <v>0</v>
      </c>
      <c r="AY233">
        <v>0</v>
      </c>
      <c r="AZ233">
        <v>0</v>
      </c>
      <c r="BA233">
        <v>0</v>
      </c>
      <c r="BB233">
        <v>0</v>
      </c>
      <c r="BC233">
        <v>1</v>
      </c>
      <c r="BD233">
        <v>0</v>
      </c>
      <c r="BE233">
        <v>0</v>
      </c>
      <c r="BF233">
        <v>16476</v>
      </c>
      <c r="BG233">
        <v>1012</v>
      </c>
      <c r="BH233">
        <v>0.95099999999999996</v>
      </c>
      <c r="BI233" s="64">
        <v>43.86</v>
      </c>
      <c r="BJ233">
        <v>0</v>
      </c>
      <c r="BK233">
        <v>0</v>
      </c>
      <c r="BL233">
        <v>1</v>
      </c>
      <c r="BM233">
        <v>0</v>
      </c>
      <c r="BN233">
        <v>0</v>
      </c>
      <c r="BO233">
        <v>0</v>
      </c>
      <c r="BP233">
        <v>0</v>
      </c>
      <c r="BQ233" s="28">
        <v>0</v>
      </c>
      <c r="BR233">
        <v>0</v>
      </c>
      <c r="BS233">
        <v>0</v>
      </c>
      <c r="BT233" s="28">
        <v>1</v>
      </c>
      <c r="BU233">
        <v>1</v>
      </c>
      <c r="BV233">
        <v>0</v>
      </c>
      <c r="BW233">
        <v>0</v>
      </c>
      <c r="BX233">
        <v>0</v>
      </c>
      <c r="BY233">
        <v>0</v>
      </c>
      <c r="BZ233">
        <v>1</v>
      </c>
      <c r="CA233">
        <v>1</v>
      </c>
      <c r="CB233">
        <v>0</v>
      </c>
      <c r="CC233">
        <v>0</v>
      </c>
      <c r="CD233">
        <v>0</v>
      </c>
      <c r="CE233" s="16">
        <v>0</v>
      </c>
      <c r="CF233">
        <v>0.52800000000000002</v>
      </c>
      <c r="CG233">
        <v>177</v>
      </c>
      <c r="CH233">
        <v>1</v>
      </c>
      <c r="CI233">
        <v>0</v>
      </c>
      <c r="CJ233">
        <v>5</v>
      </c>
      <c r="CK233" t="s">
        <v>46</v>
      </c>
    </row>
    <row r="234" spans="1:89" x14ac:dyDescent="0.25">
      <c r="A234">
        <v>233</v>
      </c>
      <c r="B234">
        <v>13</v>
      </c>
      <c r="C234" t="s">
        <v>315</v>
      </c>
      <c r="D234" s="79">
        <v>4.2</v>
      </c>
      <c r="E234" s="6">
        <v>0.5</v>
      </c>
      <c r="F234" s="6">
        <f t="shared" si="36"/>
        <v>8.4</v>
      </c>
      <c r="G234" s="78">
        <v>0</v>
      </c>
      <c r="H234" s="70">
        <v>0</v>
      </c>
      <c r="I234" s="70">
        <v>0</v>
      </c>
      <c r="J234" s="70">
        <v>1</v>
      </c>
      <c r="K234" s="70">
        <v>0</v>
      </c>
      <c r="L234" s="78">
        <v>4984</v>
      </c>
      <c r="M234" s="70">
        <v>6</v>
      </c>
      <c r="N234" s="70">
        <f t="shared" si="34"/>
        <v>4977</v>
      </c>
      <c r="O234" s="60">
        <f t="shared" si="35"/>
        <v>13</v>
      </c>
      <c r="P234" s="6">
        <v>11.54</v>
      </c>
      <c r="Q234" s="6">
        <f t="shared" si="37"/>
        <v>26.560000000000002</v>
      </c>
      <c r="R234" s="78">
        <v>1</v>
      </c>
      <c r="S234" s="70">
        <v>0</v>
      </c>
      <c r="T234" s="78">
        <v>0</v>
      </c>
      <c r="U234" s="70">
        <v>0</v>
      </c>
      <c r="V234" s="70">
        <v>0</v>
      </c>
      <c r="W234" s="70">
        <v>1</v>
      </c>
      <c r="X234" s="78">
        <v>0</v>
      </c>
      <c r="Y234" s="70">
        <v>1</v>
      </c>
      <c r="Z234" s="70">
        <v>0</v>
      </c>
      <c r="AA234" s="78">
        <v>0</v>
      </c>
      <c r="AB234" s="70">
        <v>1</v>
      </c>
      <c r="AC234" s="69">
        <v>1990</v>
      </c>
      <c r="AD234" t="s">
        <v>57</v>
      </c>
      <c r="AE234" t="s">
        <v>57</v>
      </c>
      <c r="AF234" t="s">
        <v>57</v>
      </c>
      <c r="AG234" t="s">
        <v>57</v>
      </c>
      <c r="AH234" s="28" t="s">
        <v>57</v>
      </c>
      <c r="AI234" t="s">
        <v>57</v>
      </c>
      <c r="AJ234" s="28">
        <v>0.52</v>
      </c>
      <c r="AK234">
        <f t="shared" si="38"/>
        <v>0.48</v>
      </c>
      <c r="AL234" s="28">
        <v>1</v>
      </c>
      <c r="AM234">
        <v>0</v>
      </c>
      <c r="AN234">
        <v>1</v>
      </c>
      <c r="AO234">
        <v>0</v>
      </c>
      <c r="AP234" s="28">
        <v>0.66</v>
      </c>
      <c r="AQ234" s="12">
        <f t="shared" si="33"/>
        <v>0.33999999999999997</v>
      </c>
      <c r="AR234">
        <v>1</v>
      </c>
      <c r="AS234">
        <v>0</v>
      </c>
      <c r="AT234">
        <v>0</v>
      </c>
      <c r="AU234" s="28" t="s">
        <v>368</v>
      </c>
      <c r="AV234">
        <v>1</v>
      </c>
      <c r="AW234">
        <v>0</v>
      </c>
      <c r="AX234">
        <v>0</v>
      </c>
      <c r="AY234">
        <v>0</v>
      </c>
      <c r="AZ234">
        <v>0</v>
      </c>
      <c r="BA234">
        <v>0</v>
      </c>
      <c r="BB234">
        <v>0</v>
      </c>
      <c r="BC234">
        <v>1</v>
      </c>
      <c r="BD234">
        <v>0</v>
      </c>
      <c r="BE234">
        <v>0</v>
      </c>
      <c r="BF234">
        <v>16476</v>
      </c>
      <c r="BG234">
        <v>1012</v>
      </c>
      <c r="BH234">
        <v>0.95099999999999996</v>
      </c>
      <c r="BI234" s="64">
        <v>44.1</v>
      </c>
      <c r="BJ234">
        <v>0</v>
      </c>
      <c r="BK234">
        <v>0</v>
      </c>
      <c r="BL234">
        <v>1</v>
      </c>
      <c r="BM234">
        <v>0</v>
      </c>
      <c r="BN234">
        <v>0</v>
      </c>
      <c r="BO234">
        <v>0</v>
      </c>
      <c r="BP234">
        <v>0</v>
      </c>
      <c r="BQ234" s="28">
        <v>0</v>
      </c>
      <c r="BR234">
        <v>0</v>
      </c>
      <c r="BS234">
        <v>0</v>
      </c>
      <c r="BT234" s="28">
        <v>1</v>
      </c>
      <c r="BU234">
        <v>1</v>
      </c>
      <c r="BV234">
        <v>0</v>
      </c>
      <c r="BW234">
        <v>0</v>
      </c>
      <c r="BX234">
        <v>0</v>
      </c>
      <c r="BY234">
        <v>0</v>
      </c>
      <c r="BZ234">
        <v>1</v>
      </c>
      <c r="CA234">
        <v>1</v>
      </c>
      <c r="CB234">
        <v>0</v>
      </c>
      <c r="CC234">
        <v>0</v>
      </c>
      <c r="CD234">
        <v>0</v>
      </c>
      <c r="CE234" s="16">
        <v>0</v>
      </c>
      <c r="CF234">
        <v>0.52800000000000002</v>
      </c>
      <c r="CG234">
        <v>177</v>
      </c>
      <c r="CH234">
        <v>1</v>
      </c>
      <c r="CI234">
        <v>0</v>
      </c>
      <c r="CJ234">
        <v>5</v>
      </c>
      <c r="CK234" t="s">
        <v>46</v>
      </c>
    </row>
    <row r="235" spans="1:89" x14ac:dyDescent="0.25">
      <c r="A235">
        <v>234</v>
      </c>
      <c r="B235">
        <v>13</v>
      </c>
      <c r="C235" t="s">
        <v>315</v>
      </c>
      <c r="D235" s="79">
        <v>5.3</v>
      </c>
      <c r="E235" s="6">
        <v>0.3</v>
      </c>
      <c r="F235" s="6">
        <f t="shared" si="36"/>
        <v>17.666666666666668</v>
      </c>
      <c r="G235" s="78">
        <v>0</v>
      </c>
      <c r="H235" s="70">
        <v>0</v>
      </c>
      <c r="I235" s="70">
        <v>0</v>
      </c>
      <c r="J235" s="70">
        <v>1</v>
      </c>
      <c r="K235" s="70">
        <v>0</v>
      </c>
      <c r="L235" s="78">
        <v>6736</v>
      </c>
      <c r="M235" s="70">
        <v>6</v>
      </c>
      <c r="N235" s="70">
        <f t="shared" si="34"/>
        <v>6729</v>
      </c>
      <c r="O235" s="60">
        <f t="shared" si="35"/>
        <v>13</v>
      </c>
      <c r="P235" s="6">
        <v>11.36</v>
      </c>
      <c r="Q235" s="6">
        <f t="shared" si="37"/>
        <v>26.5</v>
      </c>
      <c r="R235" s="78">
        <v>1</v>
      </c>
      <c r="S235" s="70">
        <v>0</v>
      </c>
      <c r="T235" s="78">
        <v>0</v>
      </c>
      <c r="U235" s="70">
        <v>0</v>
      </c>
      <c r="V235" s="70">
        <v>0</v>
      </c>
      <c r="W235" s="70">
        <v>1</v>
      </c>
      <c r="X235" s="78">
        <v>0</v>
      </c>
      <c r="Y235" s="70">
        <v>1</v>
      </c>
      <c r="Z235" s="70">
        <v>0</v>
      </c>
      <c r="AA235" s="78">
        <v>0</v>
      </c>
      <c r="AB235" s="70">
        <v>1</v>
      </c>
      <c r="AC235" s="69">
        <v>1990</v>
      </c>
      <c r="AD235" t="s">
        <v>57</v>
      </c>
      <c r="AE235" t="s">
        <v>57</v>
      </c>
      <c r="AF235" t="s">
        <v>57</v>
      </c>
      <c r="AG235" t="s">
        <v>57</v>
      </c>
      <c r="AH235" s="28" t="s">
        <v>57</v>
      </c>
      <c r="AI235" t="s">
        <v>57</v>
      </c>
      <c r="AJ235" s="28">
        <v>0.57999999999999996</v>
      </c>
      <c r="AK235">
        <f t="shared" si="38"/>
        <v>0.42000000000000004</v>
      </c>
      <c r="AL235" s="28">
        <v>1</v>
      </c>
      <c r="AM235">
        <v>0</v>
      </c>
      <c r="AN235">
        <v>1</v>
      </c>
      <c r="AO235">
        <v>0</v>
      </c>
      <c r="AP235" s="28">
        <v>0.66</v>
      </c>
      <c r="AQ235" s="12">
        <f t="shared" si="33"/>
        <v>0.33999999999999997</v>
      </c>
      <c r="AR235">
        <v>0</v>
      </c>
      <c r="AS235">
        <v>1</v>
      </c>
      <c r="AT235">
        <v>0</v>
      </c>
      <c r="AU235" s="28" t="s">
        <v>368</v>
      </c>
      <c r="AV235">
        <v>1</v>
      </c>
      <c r="AW235">
        <v>0</v>
      </c>
      <c r="AX235">
        <v>0</v>
      </c>
      <c r="AY235">
        <v>0</v>
      </c>
      <c r="AZ235">
        <v>0</v>
      </c>
      <c r="BA235">
        <v>0</v>
      </c>
      <c r="BB235">
        <v>0</v>
      </c>
      <c r="BC235">
        <v>1</v>
      </c>
      <c r="BD235">
        <v>0</v>
      </c>
      <c r="BE235">
        <v>0</v>
      </c>
      <c r="BF235">
        <v>16476</v>
      </c>
      <c r="BG235">
        <v>1012</v>
      </c>
      <c r="BH235">
        <v>0.95099999999999996</v>
      </c>
      <c r="BI235" s="64">
        <v>43.86</v>
      </c>
      <c r="BJ235">
        <v>0</v>
      </c>
      <c r="BK235">
        <v>0</v>
      </c>
      <c r="BL235">
        <v>1</v>
      </c>
      <c r="BM235">
        <v>0</v>
      </c>
      <c r="BN235">
        <v>0</v>
      </c>
      <c r="BO235">
        <v>0</v>
      </c>
      <c r="BP235">
        <v>0</v>
      </c>
      <c r="BQ235" s="28">
        <v>0</v>
      </c>
      <c r="BR235">
        <v>0</v>
      </c>
      <c r="BS235">
        <v>0</v>
      </c>
      <c r="BT235" s="28">
        <v>1</v>
      </c>
      <c r="BU235">
        <v>1</v>
      </c>
      <c r="BV235">
        <v>0</v>
      </c>
      <c r="BW235">
        <v>0</v>
      </c>
      <c r="BX235">
        <v>0</v>
      </c>
      <c r="BY235">
        <v>0</v>
      </c>
      <c r="BZ235">
        <v>1</v>
      </c>
      <c r="CA235">
        <v>1</v>
      </c>
      <c r="CB235">
        <v>0</v>
      </c>
      <c r="CC235">
        <v>0</v>
      </c>
      <c r="CD235">
        <v>0</v>
      </c>
      <c r="CE235" s="16">
        <v>0</v>
      </c>
      <c r="CF235">
        <v>0.52800000000000002</v>
      </c>
      <c r="CG235">
        <v>177</v>
      </c>
      <c r="CH235">
        <v>1</v>
      </c>
      <c r="CI235">
        <v>0</v>
      </c>
      <c r="CJ235">
        <v>5</v>
      </c>
      <c r="CK235" t="s">
        <v>46</v>
      </c>
    </row>
    <row r="236" spans="1:89" x14ac:dyDescent="0.25">
      <c r="A236">
        <v>235</v>
      </c>
      <c r="B236">
        <v>13</v>
      </c>
      <c r="C236" t="s">
        <v>315</v>
      </c>
      <c r="D236" s="79">
        <v>6</v>
      </c>
      <c r="E236" s="6">
        <v>0.7</v>
      </c>
      <c r="F236" s="6">
        <f t="shared" si="36"/>
        <v>8.5714285714285712</v>
      </c>
      <c r="G236" s="78">
        <v>0</v>
      </c>
      <c r="H236" s="70">
        <v>0</v>
      </c>
      <c r="I236" s="70">
        <v>0</v>
      </c>
      <c r="J236" s="70">
        <v>1</v>
      </c>
      <c r="K236" s="70">
        <v>0</v>
      </c>
      <c r="L236" s="78">
        <v>4984</v>
      </c>
      <c r="M236" s="70">
        <v>6</v>
      </c>
      <c r="N236" s="70">
        <f t="shared" si="34"/>
        <v>4977</v>
      </c>
      <c r="O236" s="60">
        <f t="shared" si="35"/>
        <v>13</v>
      </c>
      <c r="P236" s="6">
        <v>11.54</v>
      </c>
      <c r="Q236" s="6">
        <f t="shared" si="37"/>
        <v>26.560000000000002</v>
      </c>
      <c r="R236" s="78">
        <v>1</v>
      </c>
      <c r="S236" s="70">
        <v>0</v>
      </c>
      <c r="T236" s="78">
        <v>0</v>
      </c>
      <c r="U236" s="70">
        <v>0</v>
      </c>
      <c r="V236" s="70">
        <v>0</v>
      </c>
      <c r="W236" s="70">
        <v>1</v>
      </c>
      <c r="X236" s="78">
        <v>0</v>
      </c>
      <c r="Y236" s="70">
        <v>1</v>
      </c>
      <c r="Z236" s="70">
        <v>0</v>
      </c>
      <c r="AA236" s="78">
        <v>0</v>
      </c>
      <c r="AB236" s="70">
        <v>1</v>
      </c>
      <c r="AC236" s="69">
        <v>1990</v>
      </c>
      <c r="AD236" t="s">
        <v>57</v>
      </c>
      <c r="AE236" t="s">
        <v>57</v>
      </c>
      <c r="AF236" t="s">
        <v>57</v>
      </c>
      <c r="AG236" t="s">
        <v>57</v>
      </c>
      <c r="AH236" s="28" t="s">
        <v>57</v>
      </c>
      <c r="AI236" t="s">
        <v>57</v>
      </c>
      <c r="AJ236" s="28">
        <v>0.52</v>
      </c>
      <c r="AK236">
        <f t="shared" si="38"/>
        <v>0.48</v>
      </c>
      <c r="AL236" s="28">
        <v>1</v>
      </c>
      <c r="AM236">
        <v>0</v>
      </c>
      <c r="AN236">
        <v>1</v>
      </c>
      <c r="AO236">
        <v>0</v>
      </c>
      <c r="AP236" s="28">
        <v>0.66</v>
      </c>
      <c r="AQ236" s="12">
        <f t="shared" si="33"/>
        <v>0.33999999999999997</v>
      </c>
      <c r="AR236">
        <v>1</v>
      </c>
      <c r="AS236">
        <v>0</v>
      </c>
      <c r="AT236">
        <v>0</v>
      </c>
      <c r="AU236" s="28" t="s">
        <v>368</v>
      </c>
      <c r="AV236">
        <v>1</v>
      </c>
      <c r="AW236">
        <v>0</v>
      </c>
      <c r="AX236">
        <v>0</v>
      </c>
      <c r="AY236">
        <v>0</v>
      </c>
      <c r="AZ236">
        <v>0</v>
      </c>
      <c r="BA236">
        <v>0</v>
      </c>
      <c r="BB236">
        <v>0</v>
      </c>
      <c r="BC236">
        <v>1</v>
      </c>
      <c r="BD236">
        <v>0</v>
      </c>
      <c r="BE236">
        <v>0</v>
      </c>
      <c r="BF236">
        <v>16476</v>
      </c>
      <c r="BG236">
        <v>1012</v>
      </c>
      <c r="BH236">
        <v>0.95099999999999996</v>
      </c>
      <c r="BI236" s="64">
        <v>44.1</v>
      </c>
      <c r="BJ236">
        <v>0</v>
      </c>
      <c r="BK236">
        <v>0</v>
      </c>
      <c r="BL236">
        <v>1</v>
      </c>
      <c r="BM236">
        <v>0</v>
      </c>
      <c r="BN236">
        <v>0</v>
      </c>
      <c r="BO236">
        <v>0</v>
      </c>
      <c r="BP236">
        <v>0</v>
      </c>
      <c r="BQ236" s="28">
        <v>0</v>
      </c>
      <c r="BR236">
        <v>0</v>
      </c>
      <c r="BS236">
        <v>0</v>
      </c>
      <c r="BT236" s="28">
        <v>1</v>
      </c>
      <c r="BU236">
        <v>1</v>
      </c>
      <c r="BV236">
        <v>0</v>
      </c>
      <c r="BW236">
        <v>0</v>
      </c>
      <c r="BX236">
        <v>0</v>
      </c>
      <c r="BY236">
        <v>0</v>
      </c>
      <c r="BZ236">
        <v>1</v>
      </c>
      <c r="CA236">
        <v>1</v>
      </c>
      <c r="CB236">
        <v>0</v>
      </c>
      <c r="CC236">
        <v>0</v>
      </c>
      <c r="CD236">
        <v>0</v>
      </c>
      <c r="CE236" s="16">
        <v>0</v>
      </c>
      <c r="CF236">
        <v>0.52800000000000002</v>
      </c>
      <c r="CG236">
        <v>177</v>
      </c>
      <c r="CH236">
        <v>1</v>
      </c>
      <c r="CI236">
        <v>0</v>
      </c>
      <c r="CJ236">
        <v>5</v>
      </c>
      <c r="CK236" t="s">
        <v>46</v>
      </c>
    </row>
    <row r="237" spans="1:89" x14ac:dyDescent="0.25">
      <c r="A237">
        <v>236</v>
      </c>
      <c r="B237">
        <v>13</v>
      </c>
      <c r="C237" t="s">
        <v>315</v>
      </c>
      <c r="D237" s="79">
        <v>6</v>
      </c>
      <c r="E237" s="6">
        <v>0.3</v>
      </c>
      <c r="F237" s="6">
        <f t="shared" si="36"/>
        <v>20</v>
      </c>
      <c r="G237" s="78">
        <v>0</v>
      </c>
      <c r="H237" s="70">
        <v>0</v>
      </c>
      <c r="I237" s="70">
        <v>0</v>
      </c>
      <c r="J237" s="70">
        <v>1</v>
      </c>
      <c r="K237" s="70">
        <v>0</v>
      </c>
      <c r="L237" s="78">
        <v>6736</v>
      </c>
      <c r="M237" s="70">
        <v>6</v>
      </c>
      <c r="N237" s="70">
        <f t="shared" si="34"/>
        <v>6729</v>
      </c>
      <c r="O237" s="60">
        <f t="shared" si="35"/>
        <v>13</v>
      </c>
      <c r="P237" s="6">
        <v>11.36</v>
      </c>
      <c r="Q237" s="6">
        <f t="shared" si="37"/>
        <v>26.5</v>
      </c>
      <c r="R237" s="78">
        <v>1</v>
      </c>
      <c r="S237" s="70">
        <v>0</v>
      </c>
      <c r="T237" s="78">
        <v>0</v>
      </c>
      <c r="U237" s="70">
        <v>0</v>
      </c>
      <c r="V237" s="70">
        <v>0</v>
      </c>
      <c r="W237" s="70">
        <v>1</v>
      </c>
      <c r="X237" s="78">
        <v>0</v>
      </c>
      <c r="Y237" s="70">
        <v>1</v>
      </c>
      <c r="Z237" s="70">
        <v>0</v>
      </c>
      <c r="AA237" s="78">
        <v>0</v>
      </c>
      <c r="AB237" s="70">
        <v>1</v>
      </c>
      <c r="AC237" s="69">
        <v>1990</v>
      </c>
      <c r="AD237" t="s">
        <v>57</v>
      </c>
      <c r="AE237" t="s">
        <v>57</v>
      </c>
      <c r="AF237" t="s">
        <v>57</v>
      </c>
      <c r="AG237" t="s">
        <v>57</v>
      </c>
      <c r="AH237" s="28" t="s">
        <v>57</v>
      </c>
      <c r="AI237" t="s">
        <v>57</v>
      </c>
      <c r="AJ237" s="28">
        <v>0.57999999999999996</v>
      </c>
      <c r="AK237">
        <f t="shared" si="38"/>
        <v>0.42000000000000004</v>
      </c>
      <c r="AL237" s="28">
        <v>1</v>
      </c>
      <c r="AM237">
        <v>0</v>
      </c>
      <c r="AN237">
        <v>1</v>
      </c>
      <c r="AO237">
        <v>0</v>
      </c>
      <c r="AP237" s="28">
        <v>0.66</v>
      </c>
      <c r="AQ237" s="12">
        <f t="shared" si="33"/>
        <v>0.33999999999999997</v>
      </c>
      <c r="AR237">
        <v>0</v>
      </c>
      <c r="AS237">
        <v>1</v>
      </c>
      <c r="AT237">
        <v>0</v>
      </c>
      <c r="AU237" s="28" t="s">
        <v>368</v>
      </c>
      <c r="AV237">
        <v>1</v>
      </c>
      <c r="AW237">
        <v>0</v>
      </c>
      <c r="AX237">
        <v>0</v>
      </c>
      <c r="AY237">
        <v>0</v>
      </c>
      <c r="AZ237">
        <v>0</v>
      </c>
      <c r="BA237">
        <v>0</v>
      </c>
      <c r="BB237">
        <v>0</v>
      </c>
      <c r="BC237">
        <v>1</v>
      </c>
      <c r="BD237">
        <v>0</v>
      </c>
      <c r="BE237">
        <v>0</v>
      </c>
      <c r="BF237">
        <v>16476</v>
      </c>
      <c r="BG237">
        <v>1012</v>
      </c>
      <c r="BH237">
        <v>0.95099999999999996</v>
      </c>
      <c r="BI237" s="64">
        <v>43.86</v>
      </c>
      <c r="BJ237">
        <v>0</v>
      </c>
      <c r="BK237">
        <v>0</v>
      </c>
      <c r="BL237">
        <v>1</v>
      </c>
      <c r="BM237">
        <v>0</v>
      </c>
      <c r="BN237">
        <v>0</v>
      </c>
      <c r="BO237">
        <v>0</v>
      </c>
      <c r="BP237">
        <v>0</v>
      </c>
      <c r="BQ237" s="28">
        <v>0</v>
      </c>
      <c r="BR237">
        <v>0</v>
      </c>
      <c r="BS237">
        <v>0</v>
      </c>
      <c r="BT237" s="28">
        <v>1</v>
      </c>
      <c r="BU237">
        <v>1</v>
      </c>
      <c r="BV237">
        <v>0</v>
      </c>
      <c r="BW237">
        <v>0</v>
      </c>
      <c r="BX237">
        <v>0</v>
      </c>
      <c r="BY237">
        <v>0</v>
      </c>
      <c r="BZ237">
        <v>1</v>
      </c>
      <c r="CA237">
        <v>1</v>
      </c>
      <c r="CB237">
        <v>0</v>
      </c>
      <c r="CC237">
        <v>0</v>
      </c>
      <c r="CD237">
        <v>0</v>
      </c>
      <c r="CE237" s="16">
        <v>0</v>
      </c>
      <c r="CF237">
        <v>0.52800000000000002</v>
      </c>
      <c r="CG237">
        <v>177</v>
      </c>
      <c r="CH237">
        <v>1</v>
      </c>
      <c r="CI237">
        <v>0</v>
      </c>
      <c r="CJ237">
        <v>5</v>
      </c>
      <c r="CK237" t="s">
        <v>46</v>
      </c>
    </row>
    <row r="238" spans="1:89" x14ac:dyDescent="0.25">
      <c r="A238">
        <v>237</v>
      </c>
      <c r="B238">
        <v>14</v>
      </c>
      <c r="C238" t="s">
        <v>369</v>
      </c>
      <c r="D238" s="79">
        <v>5.95</v>
      </c>
      <c r="E238" s="6">
        <f t="shared" ref="E238:E258" si="39">D238/F238</f>
        <v>0.3289110005527916</v>
      </c>
      <c r="F238" s="6">
        <v>18.09</v>
      </c>
      <c r="G238" s="78">
        <v>0</v>
      </c>
      <c r="H238" s="70">
        <v>0</v>
      </c>
      <c r="I238" s="70">
        <v>0</v>
      </c>
      <c r="J238" s="70">
        <v>1</v>
      </c>
      <c r="K238" s="70">
        <v>0</v>
      </c>
      <c r="L238" s="78">
        <v>9614</v>
      </c>
      <c r="M238" s="70">
        <v>7</v>
      </c>
      <c r="N238" s="70">
        <f t="shared" si="34"/>
        <v>9606</v>
      </c>
      <c r="O238" s="60">
        <f t="shared" si="35"/>
        <v>21</v>
      </c>
      <c r="P238" s="6">
        <v>12.9</v>
      </c>
      <c r="Q238" s="6">
        <f t="shared" si="37"/>
        <v>19.100000000000001</v>
      </c>
      <c r="R238" s="78">
        <v>1</v>
      </c>
      <c r="S238" s="70">
        <v>0</v>
      </c>
      <c r="T238" s="78">
        <v>1</v>
      </c>
      <c r="U238" s="70">
        <v>0</v>
      </c>
      <c r="V238" s="70">
        <v>0</v>
      </c>
      <c r="W238" s="70">
        <v>0</v>
      </c>
      <c r="X238" s="78">
        <v>0</v>
      </c>
      <c r="Y238" s="70">
        <v>0</v>
      </c>
      <c r="Z238" s="70">
        <v>1</v>
      </c>
      <c r="AA238" s="78">
        <v>0</v>
      </c>
      <c r="AB238" s="70">
        <v>1</v>
      </c>
      <c r="AC238" s="69">
        <v>1981</v>
      </c>
      <c r="AD238" t="s">
        <v>57</v>
      </c>
      <c r="AE238" t="s">
        <v>57</v>
      </c>
      <c r="AF238" t="s">
        <v>57</v>
      </c>
      <c r="AG238" t="s">
        <v>57</v>
      </c>
      <c r="AH238" s="28">
        <f t="shared" ref="AH238:AH258" si="40">1-AI238</f>
        <v>0.94299999999999995</v>
      </c>
      <c r="AI238">
        <v>5.7000000000000002E-2</v>
      </c>
      <c r="AJ238" s="28">
        <v>0.51700000000000002</v>
      </c>
      <c r="AK238">
        <f t="shared" si="38"/>
        <v>0.48299999999999998</v>
      </c>
      <c r="AL238" s="28">
        <f t="shared" ref="AL238:AL258" si="41">1-AM238</f>
        <v>0.96099999999999997</v>
      </c>
      <c r="AM238">
        <v>3.9E-2</v>
      </c>
      <c r="AN238">
        <v>0</v>
      </c>
      <c r="AO238">
        <v>1</v>
      </c>
      <c r="AP238" s="28">
        <f t="shared" ref="AP238:AP258" si="42">1-AQ238</f>
        <v>0.48299999999999998</v>
      </c>
      <c r="AQ238" s="12">
        <v>0.51700000000000002</v>
      </c>
      <c r="AR238">
        <v>4.4000000000000003E-3</v>
      </c>
      <c r="AS238">
        <f t="shared" ref="AS238:AS245" si="43">1-AT238-AR238</f>
        <v>1.0199999999999945E-2</v>
      </c>
      <c r="AT238">
        <v>0.98540000000000005</v>
      </c>
      <c r="AU238" s="28" t="s">
        <v>87</v>
      </c>
      <c r="AV238">
        <v>1</v>
      </c>
      <c r="AW238">
        <v>0</v>
      </c>
      <c r="AX238">
        <v>0</v>
      </c>
      <c r="AY238">
        <v>0</v>
      </c>
      <c r="AZ238">
        <v>0</v>
      </c>
      <c r="BA238">
        <v>0</v>
      </c>
      <c r="BB238">
        <v>0</v>
      </c>
      <c r="BC238">
        <v>1</v>
      </c>
      <c r="BD238">
        <v>0</v>
      </c>
      <c r="BE238">
        <v>0</v>
      </c>
      <c r="BF238">
        <v>19368</v>
      </c>
      <c r="BG238">
        <v>1730</v>
      </c>
      <c r="BH238">
        <v>0.91900000000000004</v>
      </c>
      <c r="BI238" s="64">
        <v>38</v>
      </c>
      <c r="BJ238">
        <v>1</v>
      </c>
      <c r="BK238">
        <v>0</v>
      </c>
      <c r="BL238">
        <v>0</v>
      </c>
      <c r="BM238">
        <v>0</v>
      </c>
      <c r="BN238">
        <v>0</v>
      </c>
      <c r="BO238">
        <v>0</v>
      </c>
      <c r="BP238">
        <v>0</v>
      </c>
      <c r="BQ238" s="28">
        <v>0</v>
      </c>
      <c r="BR238">
        <v>0</v>
      </c>
      <c r="BS238">
        <v>0</v>
      </c>
      <c r="BT238" s="28">
        <v>0</v>
      </c>
      <c r="BU238">
        <v>0</v>
      </c>
      <c r="BV238">
        <v>0</v>
      </c>
      <c r="BW238">
        <v>0</v>
      </c>
      <c r="BX238">
        <v>0</v>
      </c>
      <c r="BY238">
        <v>0</v>
      </c>
      <c r="BZ238">
        <v>1</v>
      </c>
      <c r="CA238">
        <v>0</v>
      </c>
      <c r="CB238">
        <v>0</v>
      </c>
      <c r="CC238">
        <v>1</v>
      </c>
      <c r="CD238">
        <v>0</v>
      </c>
      <c r="CE238" s="16">
        <v>0</v>
      </c>
      <c r="CF238">
        <v>0</v>
      </c>
      <c r="CG238">
        <v>17</v>
      </c>
      <c r="CH238">
        <v>0</v>
      </c>
      <c r="CI238">
        <v>1</v>
      </c>
      <c r="CJ238">
        <v>5</v>
      </c>
      <c r="CK238" t="s">
        <v>46</v>
      </c>
    </row>
    <row r="239" spans="1:89" x14ac:dyDescent="0.25">
      <c r="A239">
        <v>238</v>
      </c>
      <c r="B239">
        <v>14</v>
      </c>
      <c r="C239" t="s">
        <v>369</v>
      </c>
      <c r="D239" s="79">
        <v>4.96</v>
      </c>
      <c r="E239" s="6">
        <f t="shared" si="39"/>
        <v>0.34089347079037796</v>
      </c>
      <c r="F239" s="6">
        <v>14.55</v>
      </c>
      <c r="G239" s="78">
        <v>0</v>
      </c>
      <c r="H239" s="70">
        <v>0</v>
      </c>
      <c r="I239" s="70">
        <v>0</v>
      </c>
      <c r="J239" s="70">
        <v>1</v>
      </c>
      <c r="K239" s="70">
        <v>0</v>
      </c>
      <c r="L239" s="78">
        <v>9614</v>
      </c>
      <c r="M239" s="70">
        <v>8</v>
      </c>
      <c r="N239" s="70">
        <f t="shared" si="34"/>
        <v>9605</v>
      </c>
      <c r="O239" s="60">
        <f t="shared" si="35"/>
        <v>21</v>
      </c>
      <c r="P239" s="6">
        <v>12.9</v>
      </c>
      <c r="Q239" s="6">
        <f t="shared" si="37"/>
        <v>19.100000000000001</v>
      </c>
      <c r="R239" s="78">
        <v>1</v>
      </c>
      <c r="S239" s="70">
        <v>0</v>
      </c>
      <c r="T239" s="78">
        <v>1</v>
      </c>
      <c r="U239" s="70">
        <v>0</v>
      </c>
      <c r="V239" s="70">
        <v>0</v>
      </c>
      <c r="W239" s="70">
        <v>0</v>
      </c>
      <c r="X239" s="78">
        <v>0</v>
      </c>
      <c r="Y239" s="70">
        <v>0</v>
      </c>
      <c r="Z239" s="70">
        <v>1</v>
      </c>
      <c r="AA239" s="78">
        <v>0</v>
      </c>
      <c r="AB239" s="70">
        <v>1</v>
      </c>
      <c r="AC239" s="69">
        <v>1981</v>
      </c>
      <c r="AD239" t="s">
        <v>57</v>
      </c>
      <c r="AE239" t="s">
        <v>57</v>
      </c>
      <c r="AF239" t="s">
        <v>57</v>
      </c>
      <c r="AG239" t="s">
        <v>57</v>
      </c>
      <c r="AH239" s="28">
        <f t="shared" si="40"/>
        <v>0.94299999999999995</v>
      </c>
      <c r="AI239">
        <v>5.7000000000000002E-2</v>
      </c>
      <c r="AJ239" s="28">
        <v>0.51700000000000002</v>
      </c>
      <c r="AK239">
        <f t="shared" si="38"/>
        <v>0.48299999999999998</v>
      </c>
      <c r="AL239" s="28">
        <f t="shared" si="41"/>
        <v>0.96099999999999997</v>
      </c>
      <c r="AM239">
        <v>3.9E-2</v>
      </c>
      <c r="AN239">
        <v>0</v>
      </c>
      <c r="AO239">
        <v>1</v>
      </c>
      <c r="AP239" s="28">
        <f t="shared" si="42"/>
        <v>0.48299999999999998</v>
      </c>
      <c r="AQ239" s="12">
        <v>0.51700000000000002</v>
      </c>
      <c r="AR239">
        <v>4.4000000000000003E-3</v>
      </c>
      <c r="AS239">
        <f t="shared" si="43"/>
        <v>1.0199999999999945E-2</v>
      </c>
      <c r="AT239">
        <v>0.98540000000000005</v>
      </c>
      <c r="AU239" s="28" t="s">
        <v>87</v>
      </c>
      <c r="AV239">
        <v>1</v>
      </c>
      <c r="AW239">
        <v>0</v>
      </c>
      <c r="AX239">
        <v>0</v>
      </c>
      <c r="AY239">
        <v>0</v>
      </c>
      <c r="AZ239">
        <v>0</v>
      </c>
      <c r="BA239">
        <v>0</v>
      </c>
      <c r="BB239">
        <v>0</v>
      </c>
      <c r="BC239">
        <v>1</v>
      </c>
      <c r="BD239">
        <v>0</v>
      </c>
      <c r="BE239">
        <v>0</v>
      </c>
      <c r="BF239">
        <v>19368</v>
      </c>
      <c r="BG239">
        <v>1730</v>
      </c>
      <c r="BH239">
        <v>0.91900000000000004</v>
      </c>
      <c r="BI239" s="64">
        <v>38</v>
      </c>
      <c r="BJ239">
        <v>1</v>
      </c>
      <c r="BK239">
        <v>0</v>
      </c>
      <c r="BL239">
        <v>0</v>
      </c>
      <c r="BM239">
        <v>0</v>
      </c>
      <c r="BN239">
        <v>0</v>
      </c>
      <c r="BO239">
        <v>0</v>
      </c>
      <c r="BP239">
        <v>0</v>
      </c>
      <c r="BQ239" s="28">
        <v>0</v>
      </c>
      <c r="BR239">
        <v>0</v>
      </c>
      <c r="BS239">
        <v>0</v>
      </c>
      <c r="BT239" s="28">
        <v>0</v>
      </c>
      <c r="BU239">
        <v>0</v>
      </c>
      <c r="BV239">
        <v>0</v>
      </c>
      <c r="BW239">
        <v>0</v>
      </c>
      <c r="BX239">
        <v>0</v>
      </c>
      <c r="BY239">
        <v>0</v>
      </c>
      <c r="BZ239">
        <v>1</v>
      </c>
      <c r="CA239">
        <v>0</v>
      </c>
      <c r="CB239">
        <v>0</v>
      </c>
      <c r="CC239">
        <v>1</v>
      </c>
      <c r="CD239">
        <v>0</v>
      </c>
      <c r="CE239" s="16">
        <v>0</v>
      </c>
      <c r="CF239">
        <v>0</v>
      </c>
      <c r="CG239">
        <v>17</v>
      </c>
      <c r="CH239">
        <v>0</v>
      </c>
      <c r="CI239">
        <v>1</v>
      </c>
      <c r="CJ239">
        <v>5</v>
      </c>
      <c r="CK239" t="s">
        <v>46</v>
      </c>
    </row>
    <row r="240" spans="1:89" x14ac:dyDescent="0.25">
      <c r="A240">
        <v>239</v>
      </c>
      <c r="B240">
        <v>14</v>
      </c>
      <c r="C240" t="s">
        <v>369</v>
      </c>
      <c r="D240" s="79">
        <v>4.42</v>
      </c>
      <c r="E240" s="6">
        <f t="shared" si="39"/>
        <v>0.35359999999999997</v>
      </c>
      <c r="F240" s="6">
        <v>12.5</v>
      </c>
      <c r="G240" s="78">
        <v>0</v>
      </c>
      <c r="H240" s="70">
        <v>0</v>
      </c>
      <c r="I240" s="70">
        <v>0</v>
      </c>
      <c r="J240" s="70">
        <v>1</v>
      </c>
      <c r="K240" s="70">
        <v>0</v>
      </c>
      <c r="L240" s="78">
        <v>9614</v>
      </c>
      <c r="M240" s="70">
        <v>8</v>
      </c>
      <c r="N240" s="70">
        <f t="shared" si="34"/>
        <v>9605</v>
      </c>
      <c r="O240" s="60">
        <f t="shared" si="35"/>
        <v>21</v>
      </c>
      <c r="P240" s="6">
        <v>12.9</v>
      </c>
      <c r="Q240" s="6">
        <f t="shared" si="37"/>
        <v>19.100000000000001</v>
      </c>
      <c r="R240" s="78">
        <v>1</v>
      </c>
      <c r="S240" s="70">
        <v>0</v>
      </c>
      <c r="T240" s="78">
        <v>1</v>
      </c>
      <c r="U240" s="70">
        <v>0</v>
      </c>
      <c r="V240" s="70">
        <v>0</v>
      </c>
      <c r="W240" s="70">
        <v>0</v>
      </c>
      <c r="X240" s="78">
        <v>0</v>
      </c>
      <c r="Y240" s="70">
        <v>0</v>
      </c>
      <c r="Z240" s="70">
        <v>1</v>
      </c>
      <c r="AA240" s="78">
        <v>0</v>
      </c>
      <c r="AB240" s="70">
        <v>1</v>
      </c>
      <c r="AC240" s="69">
        <v>1981</v>
      </c>
      <c r="AD240" t="s">
        <v>57</v>
      </c>
      <c r="AE240" t="s">
        <v>57</v>
      </c>
      <c r="AF240" t="s">
        <v>57</v>
      </c>
      <c r="AG240" t="s">
        <v>57</v>
      </c>
      <c r="AH240" s="28">
        <f t="shared" si="40"/>
        <v>0.94299999999999995</v>
      </c>
      <c r="AI240">
        <v>5.7000000000000002E-2</v>
      </c>
      <c r="AJ240" s="28">
        <v>0.51700000000000002</v>
      </c>
      <c r="AK240">
        <f t="shared" si="38"/>
        <v>0.48299999999999998</v>
      </c>
      <c r="AL240" s="28">
        <f t="shared" si="41"/>
        <v>0.96099999999999997</v>
      </c>
      <c r="AM240">
        <v>3.9E-2</v>
      </c>
      <c r="AN240">
        <v>0</v>
      </c>
      <c r="AO240">
        <v>1</v>
      </c>
      <c r="AP240" s="28">
        <f t="shared" si="42"/>
        <v>0.48299999999999998</v>
      </c>
      <c r="AQ240" s="12">
        <v>0.51700000000000002</v>
      </c>
      <c r="AR240">
        <v>4.4000000000000003E-3</v>
      </c>
      <c r="AS240">
        <f t="shared" si="43"/>
        <v>1.0199999999999945E-2</v>
      </c>
      <c r="AT240">
        <v>0.98540000000000005</v>
      </c>
      <c r="AU240" s="28" t="s">
        <v>87</v>
      </c>
      <c r="AV240">
        <v>1</v>
      </c>
      <c r="AW240">
        <v>0</v>
      </c>
      <c r="AX240">
        <v>0</v>
      </c>
      <c r="AY240">
        <v>0</v>
      </c>
      <c r="AZ240">
        <v>0</v>
      </c>
      <c r="BA240">
        <v>0</v>
      </c>
      <c r="BB240">
        <v>0</v>
      </c>
      <c r="BC240">
        <v>1</v>
      </c>
      <c r="BD240">
        <v>0</v>
      </c>
      <c r="BE240">
        <v>0</v>
      </c>
      <c r="BF240">
        <v>19368</v>
      </c>
      <c r="BG240">
        <v>1730</v>
      </c>
      <c r="BH240">
        <v>0.91900000000000004</v>
      </c>
      <c r="BI240" s="64">
        <v>38</v>
      </c>
      <c r="BJ240">
        <v>1</v>
      </c>
      <c r="BK240">
        <v>0</v>
      </c>
      <c r="BL240">
        <v>0</v>
      </c>
      <c r="BM240">
        <v>0</v>
      </c>
      <c r="BN240">
        <v>0</v>
      </c>
      <c r="BO240">
        <v>0</v>
      </c>
      <c r="BP240">
        <v>0</v>
      </c>
      <c r="BQ240" s="28">
        <v>0</v>
      </c>
      <c r="BR240">
        <v>0</v>
      </c>
      <c r="BS240">
        <v>0</v>
      </c>
      <c r="BT240" s="28">
        <v>0</v>
      </c>
      <c r="BU240">
        <v>0</v>
      </c>
      <c r="BV240">
        <v>0</v>
      </c>
      <c r="BW240">
        <v>0</v>
      </c>
      <c r="BX240">
        <v>0</v>
      </c>
      <c r="BY240">
        <v>0</v>
      </c>
      <c r="BZ240">
        <v>1</v>
      </c>
      <c r="CA240">
        <v>0</v>
      </c>
      <c r="CB240">
        <v>0</v>
      </c>
      <c r="CC240">
        <v>1</v>
      </c>
      <c r="CD240">
        <v>0</v>
      </c>
      <c r="CE240" s="16">
        <v>0</v>
      </c>
      <c r="CF240">
        <v>0</v>
      </c>
      <c r="CG240">
        <v>17</v>
      </c>
      <c r="CH240">
        <v>0</v>
      </c>
      <c r="CI240">
        <v>1</v>
      </c>
      <c r="CJ240">
        <v>5</v>
      </c>
      <c r="CK240" t="s">
        <v>46</v>
      </c>
    </row>
    <row r="241" spans="1:89" x14ac:dyDescent="0.25">
      <c r="A241">
        <v>240</v>
      </c>
      <c r="B241">
        <v>14</v>
      </c>
      <c r="C241" t="s">
        <v>369</v>
      </c>
      <c r="D241" s="79">
        <v>4.38</v>
      </c>
      <c r="E241" s="6">
        <f t="shared" si="39"/>
        <v>0.35813573180703184</v>
      </c>
      <c r="F241" s="6">
        <v>12.23</v>
      </c>
      <c r="G241" s="78">
        <v>0</v>
      </c>
      <c r="H241" s="70">
        <v>0</v>
      </c>
      <c r="I241" s="70">
        <v>0</v>
      </c>
      <c r="J241" s="70">
        <v>1</v>
      </c>
      <c r="K241" s="70">
        <v>0</v>
      </c>
      <c r="L241" s="78">
        <v>9614</v>
      </c>
      <c r="M241" s="70">
        <v>8</v>
      </c>
      <c r="N241" s="70">
        <f t="shared" si="34"/>
        <v>9605</v>
      </c>
      <c r="O241" s="60">
        <f t="shared" si="35"/>
        <v>21</v>
      </c>
      <c r="P241" s="6">
        <v>12.9</v>
      </c>
      <c r="Q241" s="6">
        <f t="shared" si="37"/>
        <v>19.100000000000001</v>
      </c>
      <c r="R241" s="78">
        <v>1</v>
      </c>
      <c r="S241" s="70">
        <v>0</v>
      </c>
      <c r="T241" s="78">
        <v>1</v>
      </c>
      <c r="U241" s="70">
        <v>0</v>
      </c>
      <c r="V241" s="70">
        <v>0</v>
      </c>
      <c r="W241" s="70">
        <v>0</v>
      </c>
      <c r="X241" s="78">
        <v>0</v>
      </c>
      <c r="Y241" s="70">
        <v>0</v>
      </c>
      <c r="Z241" s="70">
        <v>1</v>
      </c>
      <c r="AA241" s="78">
        <v>0</v>
      </c>
      <c r="AB241" s="70">
        <v>1</v>
      </c>
      <c r="AC241" s="69">
        <v>1981</v>
      </c>
      <c r="AD241" t="s">
        <v>57</v>
      </c>
      <c r="AE241" t="s">
        <v>57</v>
      </c>
      <c r="AF241" t="s">
        <v>57</v>
      </c>
      <c r="AG241" t="s">
        <v>57</v>
      </c>
      <c r="AH241" s="28">
        <f t="shared" si="40"/>
        <v>0.94299999999999995</v>
      </c>
      <c r="AI241">
        <v>5.7000000000000002E-2</v>
      </c>
      <c r="AJ241" s="28">
        <v>0.51700000000000002</v>
      </c>
      <c r="AK241">
        <f t="shared" si="38"/>
        <v>0.48299999999999998</v>
      </c>
      <c r="AL241" s="28">
        <f t="shared" si="41"/>
        <v>0.96099999999999997</v>
      </c>
      <c r="AM241">
        <v>3.9E-2</v>
      </c>
      <c r="AN241">
        <v>0</v>
      </c>
      <c r="AO241">
        <v>1</v>
      </c>
      <c r="AP241" s="28">
        <f t="shared" si="42"/>
        <v>0.48299999999999998</v>
      </c>
      <c r="AQ241" s="12">
        <v>0.51700000000000002</v>
      </c>
      <c r="AR241">
        <v>4.4000000000000003E-3</v>
      </c>
      <c r="AS241">
        <f t="shared" si="43"/>
        <v>1.0199999999999945E-2</v>
      </c>
      <c r="AT241">
        <v>0.98540000000000005</v>
      </c>
      <c r="AU241" s="28" t="s">
        <v>87</v>
      </c>
      <c r="AV241">
        <v>1</v>
      </c>
      <c r="AW241">
        <v>0</v>
      </c>
      <c r="AX241">
        <v>0</v>
      </c>
      <c r="AY241">
        <v>0</v>
      </c>
      <c r="AZ241">
        <v>0</v>
      </c>
      <c r="BA241">
        <v>0</v>
      </c>
      <c r="BB241">
        <v>0</v>
      </c>
      <c r="BC241">
        <v>1</v>
      </c>
      <c r="BD241">
        <v>0</v>
      </c>
      <c r="BE241">
        <v>0</v>
      </c>
      <c r="BF241">
        <v>19368</v>
      </c>
      <c r="BG241">
        <v>1730</v>
      </c>
      <c r="BH241">
        <v>0.91900000000000004</v>
      </c>
      <c r="BI241" s="64">
        <v>38</v>
      </c>
      <c r="BJ241">
        <v>1</v>
      </c>
      <c r="BK241">
        <v>0</v>
      </c>
      <c r="BL241">
        <v>0</v>
      </c>
      <c r="BM241">
        <v>0</v>
      </c>
      <c r="BN241">
        <v>0</v>
      </c>
      <c r="BO241">
        <v>0</v>
      </c>
      <c r="BP241">
        <v>0</v>
      </c>
      <c r="BQ241" s="28">
        <v>0</v>
      </c>
      <c r="BR241">
        <v>0</v>
      </c>
      <c r="BS241">
        <v>0</v>
      </c>
      <c r="BT241" s="28">
        <v>0</v>
      </c>
      <c r="BU241">
        <v>0</v>
      </c>
      <c r="BV241">
        <v>0</v>
      </c>
      <c r="BW241">
        <v>0</v>
      </c>
      <c r="BX241">
        <v>0</v>
      </c>
      <c r="BY241">
        <v>0</v>
      </c>
      <c r="BZ241">
        <v>1</v>
      </c>
      <c r="CA241">
        <v>0</v>
      </c>
      <c r="CB241">
        <v>0</v>
      </c>
      <c r="CC241">
        <v>1</v>
      </c>
      <c r="CD241">
        <v>0</v>
      </c>
      <c r="CE241" s="16">
        <v>0</v>
      </c>
      <c r="CF241">
        <v>0</v>
      </c>
      <c r="CG241">
        <v>17</v>
      </c>
      <c r="CH241">
        <v>0</v>
      </c>
      <c r="CI241">
        <v>1</v>
      </c>
      <c r="CJ241">
        <v>5</v>
      </c>
      <c r="CK241" t="s">
        <v>46</v>
      </c>
    </row>
    <row r="242" spans="1:89" x14ac:dyDescent="0.25">
      <c r="A242">
        <v>241</v>
      </c>
      <c r="B242">
        <v>14</v>
      </c>
      <c r="C242" t="s">
        <v>369</v>
      </c>
      <c r="D242" s="79">
        <v>3.97</v>
      </c>
      <c r="E242" s="6">
        <f t="shared" si="39"/>
        <v>0.3618960802187785</v>
      </c>
      <c r="F242" s="6">
        <v>10.97</v>
      </c>
      <c r="G242" s="78">
        <v>0</v>
      </c>
      <c r="H242" s="70">
        <v>0</v>
      </c>
      <c r="I242" s="70">
        <v>0</v>
      </c>
      <c r="J242" s="70">
        <v>1</v>
      </c>
      <c r="K242" s="70">
        <v>0</v>
      </c>
      <c r="L242" s="78">
        <v>9614</v>
      </c>
      <c r="M242" s="70">
        <v>10</v>
      </c>
      <c r="N242" s="70">
        <f t="shared" si="34"/>
        <v>9603</v>
      </c>
      <c r="O242" s="60">
        <f t="shared" si="35"/>
        <v>21</v>
      </c>
      <c r="P242" s="6">
        <v>12.9</v>
      </c>
      <c r="Q242" s="6">
        <f t="shared" si="37"/>
        <v>19.100000000000001</v>
      </c>
      <c r="R242" s="78">
        <v>1</v>
      </c>
      <c r="S242" s="70">
        <v>0</v>
      </c>
      <c r="T242" s="78">
        <v>1</v>
      </c>
      <c r="U242" s="70">
        <v>0</v>
      </c>
      <c r="V242" s="70">
        <v>0</v>
      </c>
      <c r="W242" s="70">
        <v>0</v>
      </c>
      <c r="X242" s="78">
        <v>0</v>
      </c>
      <c r="Y242" s="70">
        <v>0</v>
      </c>
      <c r="Z242" s="70">
        <v>1</v>
      </c>
      <c r="AA242" s="78">
        <v>0</v>
      </c>
      <c r="AB242" s="70">
        <v>1</v>
      </c>
      <c r="AC242" s="69">
        <v>1981</v>
      </c>
      <c r="AD242" t="s">
        <v>57</v>
      </c>
      <c r="AE242" t="s">
        <v>57</v>
      </c>
      <c r="AF242" t="s">
        <v>57</v>
      </c>
      <c r="AG242" t="s">
        <v>57</v>
      </c>
      <c r="AH242" s="28">
        <f t="shared" si="40"/>
        <v>0.94299999999999995</v>
      </c>
      <c r="AI242">
        <v>5.7000000000000002E-2</v>
      </c>
      <c r="AJ242" s="28">
        <v>0.51700000000000002</v>
      </c>
      <c r="AK242">
        <f t="shared" si="38"/>
        <v>0.48299999999999998</v>
      </c>
      <c r="AL242" s="28">
        <f t="shared" si="41"/>
        <v>0.96099999999999997</v>
      </c>
      <c r="AM242">
        <v>3.9E-2</v>
      </c>
      <c r="AN242">
        <v>0</v>
      </c>
      <c r="AO242">
        <v>1</v>
      </c>
      <c r="AP242" s="28">
        <f t="shared" si="42"/>
        <v>0.48299999999999998</v>
      </c>
      <c r="AQ242" s="12">
        <v>0.51700000000000002</v>
      </c>
      <c r="AR242">
        <v>4.4000000000000003E-3</v>
      </c>
      <c r="AS242">
        <f t="shared" si="43"/>
        <v>1.0199999999999945E-2</v>
      </c>
      <c r="AT242">
        <v>0.98540000000000005</v>
      </c>
      <c r="AU242" s="28" t="s">
        <v>87</v>
      </c>
      <c r="AV242">
        <v>1</v>
      </c>
      <c r="AW242">
        <v>0</v>
      </c>
      <c r="AX242">
        <v>0</v>
      </c>
      <c r="AY242">
        <v>0</v>
      </c>
      <c r="AZ242">
        <v>0</v>
      </c>
      <c r="BA242">
        <v>0</v>
      </c>
      <c r="BB242">
        <v>0</v>
      </c>
      <c r="BC242">
        <v>1</v>
      </c>
      <c r="BD242">
        <v>0</v>
      </c>
      <c r="BE242">
        <v>0</v>
      </c>
      <c r="BF242">
        <v>19368</v>
      </c>
      <c r="BG242">
        <v>1730</v>
      </c>
      <c r="BH242">
        <v>0.91900000000000004</v>
      </c>
      <c r="BI242" s="64">
        <v>38</v>
      </c>
      <c r="BJ242">
        <v>1</v>
      </c>
      <c r="BK242">
        <v>0</v>
      </c>
      <c r="BL242">
        <v>0</v>
      </c>
      <c r="BM242">
        <v>0</v>
      </c>
      <c r="BN242">
        <v>0</v>
      </c>
      <c r="BO242">
        <v>0</v>
      </c>
      <c r="BP242">
        <v>0</v>
      </c>
      <c r="BQ242" s="28">
        <v>0</v>
      </c>
      <c r="BR242">
        <v>0</v>
      </c>
      <c r="BS242">
        <v>0</v>
      </c>
      <c r="BT242" s="28">
        <v>0</v>
      </c>
      <c r="BU242">
        <v>0</v>
      </c>
      <c r="BV242">
        <v>0</v>
      </c>
      <c r="BW242">
        <v>0</v>
      </c>
      <c r="BX242">
        <v>0</v>
      </c>
      <c r="BY242">
        <v>0</v>
      </c>
      <c r="BZ242">
        <v>1</v>
      </c>
      <c r="CA242">
        <v>0</v>
      </c>
      <c r="CB242">
        <v>0</v>
      </c>
      <c r="CC242">
        <v>1</v>
      </c>
      <c r="CD242">
        <v>0</v>
      </c>
      <c r="CE242" s="16">
        <v>0</v>
      </c>
      <c r="CF242">
        <v>0</v>
      </c>
      <c r="CG242">
        <v>17</v>
      </c>
      <c r="CH242">
        <v>0</v>
      </c>
      <c r="CI242">
        <v>1</v>
      </c>
      <c r="CJ242">
        <v>5</v>
      </c>
      <c r="CK242" t="s">
        <v>46</v>
      </c>
    </row>
    <row r="243" spans="1:89" x14ac:dyDescent="0.25">
      <c r="A243">
        <v>242</v>
      </c>
      <c r="B243">
        <v>14</v>
      </c>
      <c r="C243" t="s">
        <v>369</v>
      </c>
      <c r="D243" s="79">
        <v>4.3600000000000003</v>
      </c>
      <c r="E243" s="6">
        <f t="shared" si="39"/>
        <v>0.35447154471544717</v>
      </c>
      <c r="F243" s="6">
        <v>12.3</v>
      </c>
      <c r="G243" s="78">
        <v>0</v>
      </c>
      <c r="H243" s="70">
        <v>0</v>
      </c>
      <c r="I243" s="70">
        <v>0</v>
      </c>
      <c r="J243" s="70">
        <v>1</v>
      </c>
      <c r="K243" s="70">
        <v>0</v>
      </c>
      <c r="L243" s="78">
        <v>9614</v>
      </c>
      <c r="M243" s="70">
        <v>7</v>
      </c>
      <c r="N243" s="70">
        <f t="shared" si="34"/>
        <v>9606</v>
      </c>
      <c r="O243" s="60">
        <f t="shared" si="35"/>
        <v>21</v>
      </c>
      <c r="P243" s="6">
        <v>12.9</v>
      </c>
      <c r="Q243" s="6">
        <f t="shared" si="37"/>
        <v>19.100000000000001</v>
      </c>
      <c r="R243" s="78">
        <v>1</v>
      </c>
      <c r="S243" s="70">
        <v>0</v>
      </c>
      <c r="T243" s="78">
        <v>1</v>
      </c>
      <c r="U243" s="70">
        <v>0</v>
      </c>
      <c r="V243" s="70">
        <v>0</v>
      </c>
      <c r="W243" s="70">
        <v>0</v>
      </c>
      <c r="X243" s="78">
        <v>0</v>
      </c>
      <c r="Y243" s="70">
        <v>0</v>
      </c>
      <c r="Z243" s="70">
        <v>1</v>
      </c>
      <c r="AA243" s="78">
        <v>0</v>
      </c>
      <c r="AB243" s="70">
        <v>1</v>
      </c>
      <c r="AC243" s="69">
        <v>1981</v>
      </c>
      <c r="AD243" t="s">
        <v>57</v>
      </c>
      <c r="AE243" t="s">
        <v>57</v>
      </c>
      <c r="AF243" t="s">
        <v>57</v>
      </c>
      <c r="AG243" t="s">
        <v>57</v>
      </c>
      <c r="AH243" s="28">
        <f t="shared" si="40"/>
        <v>0.94299999999999995</v>
      </c>
      <c r="AI243">
        <v>5.7000000000000002E-2</v>
      </c>
      <c r="AJ243" s="28">
        <v>0.51700000000000002</v>
      </c>
      <c r="AK243">
        <f t="shared" si="38"/>
        <v>0.48299999999999998</v>
      </c>
      <c r="AL243" s="28">
        <f t="shared" si="41"/>
        <v>0.96099999999999997</v>
      </c>
      <c r="AM243">
        <v>3.9E-2</v>
      </c>
      <c r="AN243">
        <v>0</v>
      </c>
      <c r="AO243">
        <v>1</v>
      </c>
      <c r="AP243" s="28">
        <f t="shared" si="42"/>
        <v>0.48299999999999998</v>
      </c>
      <c r="AQ243" s="12">
        <v>0.51700000000000002</v>
      </c>
      <c r="AR243">
        <v>4.4000000000000003E-3</v>
      </c>
      <c r="AS243">
        <f t="shared" si="43"/>
        <v>1.0199999999999945E-2</v>
      </c>
      <c r="AT243">
        <v>0.98540000000000005</v>
      </c>
      <c r="AU243" s="28" t="s">
        <v>87</v>
      </c>
      <c r="AV243">
        <v>1</v>
      </c>
      <c r="AW243">
        <v>0</v>
      </c>
      <c r="AX243">
        <v>0</v>
      </c>
      <c r="AY243">
        <v>0</v>
      </c>
      <c r="AZ243">
        <v>0</v>
      </c>
      <c r="BA243">
        <v>0</v>
      </c>
      <c r="BB243">
        <v>0</v>
      </c>
      <c r="BC243">
        <v>1</v>
      </c>
      <c r="BD243">
        <v>0</v>
      </c>
      <c r="BE243">
        <v>0</v>
      </c>
      <c r="BF243">
        <v>19368</v>
      </c>
      <c r="BG243">
        <v>1730</v>
      </c>
      <c r="BH243">
        <v>0.91900000000000004</v>
      </c>
      <c r="BI243" s="64">
        <v>38</v>
      </c>
      <c r="BJ243">
        <v>0</v>
      </c>
      <c r="BK243">
        <v>0</v>
      </c>
      <c r="BL243">
        <v>0</v>
      </c>
      <c r="BM243">
        <v>0</v>
      </c>
      <c r="BN243">
        <v>0</v>
      </c>
      <c r="BO243">
        <v>0</v>
      </c>
      <c r="BP243">
        <v>1</v>
      </c>
      <c r="BQ243" s="28">
        <v>0</v>
      </c>
      <c r="BR243">
        <v>0</v>
      </c>
      <c r="BS243">
        <v>1</v>
      </c>
      <c r="BT243" s="28">
        <v>0</v>
      </c>
      <c r="BU243">
        <v>0</v>
      </c>
      <c r="BV243">
        <v>0</v>
      </c>
      <c r="BW243">
        <v>0</v>
      </c>
      <c r="BX243">
        <v>0</v>
      </c>
      <c r="BY243">
        <v>0</v>
      </c>
      <c r="BZ243">
        <v>1</v>
      </c>
      <c r="CA243">
        <v>0</v>
      </c>
      <c r="CB243">
        <v>0</v>
      </c>
      <c r="CC243">
        <v>1</v>
      </c>
      <c r="CD243">
        <v>0</v>
      </c>
      <c r="CE243" s="16">
        <v>0</v>
      </c>
      <c r="CF243">
        <v>0</v>
      </c>
      <c r="CG243">
        <v>17</v>
      </c>
      <c r="CH243">
        <v>0</v>
      </c>
      <c r="CI243">
        <v>1</v>
      </c>
      <c r="CJ243">
        <v>5</v>
      </c>
      <c r="CK243" t="s">
        <v>46</v>
      </c>
    </row>
    <row r="244" spans="1:89" x14ac:dyDescent="0.25">
      <c r="A244">
        <v>243</v>
      </c>
      <c r="B244">
        <v>14</v>
      </c>
      <c r="C244" t="s">
        <v>369</v>
      </c>
      <c r="D244" s="79">
        <v>4.8899999999999997</v>
      </c>
      <c r="E244" s="6">
        <f t="shared" si="39"/>
        <v>0.34148044692737428</v>
      </c>
      <c r="F244" s="6">
        <v>14.32</v>
      </c>
      <c r="G244" s="78">
        <v>0</v>
      </c>
      <c r="H244" s="70">
        <v>0</v>
      </c>
      <c r="I244" s="70">
        <v>0</v>
      </c>
      <c r="J244" s="70">
        <v>1</v>
      </c>
      <c r="K244" s="70">
        <v>0</v>
      </c>
      <c r="L244" s="78">
        <v>9614</v>
      </c>
      <c r="M244" s="70">
        <v>7</v>
      </c>
      <c r="N244" s="70">
        <f t="shared" si="34"/>
        <v>9606</v>
      </c>
      <c r="O244" s="60">
        <f t="shared" si="35"/>
        <v>21</v>
      </c>
      <c r="P244" s="6">
        <v>12.9</v>
      </c>
      <c r="Q244" s="6">
        <f t="shared" si="37"/>
        <v>19.100000000000001</v>
      </c>
      <c r="R244" s="78">
        <v>1</v>
      </c>
      <c r="S244" s="70">
        <v>0</v>
      </c>
      <c r="T244" s="78">
        <v>1</v>
      </c>
      <c r="U244" s="70">
        <v>0</v>
      </c>
      <c r="V244" s="70">
        <v>0</v>
      </c>
      <c r="W244" s="70">
        <v>0</v>
      </c>
      <c r="X244" s="78">
        <v>0</v>
      </c>
      <c r="Y244" s="70">
        <v>0</v>
      </c>
      <c r="Z244" s="70">
        <v>1</v>
      </c>
      <c r="AA244" s="78">
        <v>0</v>
      </c>
      <c r="AB244" s="70">
        <v>1</v>
      </c>
      <c r="AC244" s="69">
        <v>1981</v>
      </c>
      <c r="AD244" t="s">
        <v>57</v>
      </c>
      <c r="AE244" t="s">
        <v>57</v>
      </c>
      <c r="AF244" t="s">
        <v>57</v>
      </c>
      <c r="AG244" t="s">
        <v>57</v>
      </c>
      <c r="AH244" s="28">
        <f t="shared" si="40"/>
        <v>0.94299999999999995</v>
      </c>
      <c r="AI244">
        <v>5.7000000000000002E-2</v>
      </c>
      <c r="AJ244" s="28">
        <v>0.51700000000000002</v>
      </c>
      <c r="AK244">
        <f t="shared" si="38"/>
        <v>0.48299999999999998</v>
      </c>
      <c r="AL244" s="28">
        <f t="shared" si="41"/>
        <v>0.96099999999999997</v>
      </c>
      <c r="AM244">
        <v>3.9E-2</v>
      </c>
      <c r="AN244">
        <v>0</v>
      </c>
      <c r="AO244">
        <v>1</v>
      </c>
      <c r="AP244" s="28">
        <f t="shared" si="42"/>
        <v>0.48299999999999998</v>
      </c>
      <c r="AQ244" s="12">
        <v>0.51700000000000002</v>
      </c>
      <c r="AR244">
        <v>4.4000000000000003E-3</v>
      </c>
      <c r="AS244">
        <f t="shared" si="43"/>
        <v>1.0199999999999945E-2</v>
      </c>
      <c r="AT244">
        <v>0.98540000000000005</v>
      </c>
      <c r="AU244" s="28" t="s">
        <v>87</v>
      </c>
      <c r="AV244">
        <v>1</v>
      </c>
      <c r="AW244">
        <v>0</v>
      </c>
      <c r="AX244">
        <v>0</v>
      </c>
      <c r="AY244">
        <v>0</v>
      </c>
      <c r="AZ244">
        <v>0</v>
      </c>
      <c r="BA244">
        <v>0</v>
      </c>
      <c r="BB244">
        <v>0</v>
      </c>
      <c r="BC244">
        <v>1</v>
      </c>
      <c r="BD244">
        <v>0</v>
      </c>
      <c r="BE244">
        <v>0</v>
      </c>
      <c r="BF244">
        <v>19368</v>
      </c>
      <c r="BG244">
        <v>1730</v>
      </c>
      <c r="BH244">
        <v>0.91900000000000004</v>
      </c>
      <c r="BI244" s="64">
        <v>38</v>
      </c>
      <c r="BJ244">
        <v>0</v>
      </c>
      <c r="BK244">
        <v>0</v>
      </c>
      <c r="BL244">
        <v>0</v>
      </c>
      <c r="BM244">
        <v>0</v>
      </c>
      <c r="BN244">
        <v>0</v>
      </c>
      <c r="BO244">
        <v>0</v>
      </c>
      <c r="BP244">
        <v>1</v>
      </c>
      <c r="BQ244" s="28">
        <v>0</v>
      </c>
      <c r="BR244">
        <v>0</v>
      </c>
      <c r="BS244">
        <v>1</v>
      </c>
      <c r="BT244" s="28">
        <v>0</v>
      </c>
      <c r="BU244">
        <v>0</v>
      </c>
      <c r="BV244">
        <v>0</v>
      </c>
      <c r="BW244">
        <v>0</v>
      </c>
      <c r="BX244">
        <v>0</v>
      </c>
      <c r="BY244">
        <v>0</v>
      </c>
      <c r="BZ244">
        <v>1</v>
      </c>
      <c r="CA244">
        <v>0</v>
      </c>
      <c r="CB244">
        <v>0</v>
      </c>
      <c r="CC244">
        <v>1</v>
      </c>
      <c r="CD244">
        <v>0</v>
      </c>
      <c r="CE244" s="16">
        <v>0</v>
      </c>
      <c r="CF244">
        <v>0</v>
      </c>
      <c r="CG244">
        <v>17</v>
      </c>
      <c r="CH244">
        <v>0</v>
      </c>
      <c r="CI244">
        <v>1</v>
      </c>
      <c r="CJ244">
        <v>5</v>
      </c>
      <c r="CK244" t="s">
        <v>46</v>
      </c>
    </row>
    <row r="245" spans="1:89" x14ac:dyDescent="0.25">
      <c r="A245">
        <v>244</v>
      </c>
      <c r="B245">
        <v>14</v>
      </c>
      <c r="C245" t="s">
        <v>369</v>
      </c>
      <c r="D245" s="79">
        <v>4.24</v>
      </c>
      <c r="E245" s="6">
        <f t="shared" si="39"/>
        <v>0.35421888053466999</v>
      </c>
      <c r="F245" s="6">
        <v>11.97</v>
      </c>
      <c r="G245" s="78">
        <v>0</v>
      </c>
      <c r="H245" s="70">
        <v>0</v>
      </c>
      <c r="I245" s="70">
        <v>0</v>
      </c>
      <c r="J245" s="70">
        <v>1</v>
      </c>
      <c r="K245" s="70">
        <v>0</v>
      </c>
      <c r="L245" s="78">
        <v>9614</v>
      </c>
      <c r="M245" s="70">
        <v>7</v>
      </c>
      <c r="N245" s="70">
        <f t="shared" si="34"/>
        <v>9606</v>
      </c>
      <c r="O245" s="60">
        <f t="shared" si="35"/>
        <v>21</v>
      </c>
      <c r="P245" s="6">
        <v>12.9</v>
      </c>
      <c r="Q245" s="6">
        <f t="shared" si="37"/>
        <v>19.100000000000001</v>
      </c>
      <c r="R245" s="78">
        <v>1</v>
      </c>
      <c r="S245" s="70">
        <v>0</v>
      </c>
      <c r="T245" s="78">
        <v>1</v>
      </c>
      <c r="U245" s="70">
        <v>0</v>
      </c>
      <c r="V245" s="70">
        <v>0</v>
      </c>
      <c r="W245" s="70">
        <v>0</v>
      </c>
      <c r="X245" s="78">
        <v>0</v>
      </c>
      <c r="Y245" s="70">
        <v>0</v>
      </c>
      <c r="Z245" s="70">
        <v>1</v>
      </c>
      <c r="AA245" s="78">
        <v>0</v>
      </c>
      <c r="AB245" s="70">
        <v>1</v>
      </c>
      <c r="AC245" s="69">
        <v>1981</v>
      </c>
      <c r="AD245" t="s">
        <v>57</v>
      </c>
      <c r="AE245" t="s">
        <v>57</v>
      </c>
      <c r="AF245" t="s">
        <v>57</v>
      </c>
      <c r="AG245" t="s">
        <v>57</v>
      </c>
      <c r="AH245" s="28">
        <f t="shared" si="40"/>
        <v>0.94299999999999995</v>
      </c>
      <c r="AI245">
        <v>5.7000000000000002E-2</v>
      </c>
      <c r="AJ245" s="28">
        <v>0.51700000000000002</v>
      </c>
      <c r="AK245">
        <f t="shared" si="38"/>
        <v>0.48299999999999998</v>
      </c>
      <c r="AL245" s="28">
        <f t="shared" si="41"/>
        <v>0.96099999999999997</v>
      </c>
      <c r="AM245">
        <v>3.9E-2</v>
      </c>
      <c r="AN245">
        <v>0</v>
      </c>
      <c r="AO245">
        <v>1</v>
      </c>
      <c r="AP245" s="28">
        <f t="shared" si="42"/>
        <v>0.48299999999999998</v>
      </c>
      <c r="AQ245" s="12">
        <v>0.51700000000000002</v>
      </c>
      <c r="AR245">
        <v>4.4000000000000003E-3</v>
      </c>
      <c r="AS245">
        <f t="shared" si="43"/>
        <v>1.0199999999999945E-2</v>
      </c>
      <c r="AT245">
        <v>0.98540000000000005</v>
      </c>
      <c r="AU245" s="28" t="s">
        <v>87</v>
      </c>
      <c r="AV245">
        <v>1</v>
      </c>
      <c r="AW245">
        <v>0</v>
      </c>
      <c r="AX245">
        <v>0</v>
      </c>
      <c r="AY245">
        <v>0</v>
      </c>
      <c r="AZ245">
        <v>0</v>
      </c>
      <c r="BA245">
        <v>0</v>
      </c>
      <c r="BB245">
        <v>0</v>
      </c>
      <c r="BC245">
        <v>1</v>
      </c>
      <c r="BD245">
        <v>0</v>
      </c>
      <c r="BE245">
        <v>0</v>
      </c>
      <c r="BF245">
        <v>19368</v>
      </c>
      <c r="BG245">
        <v>1730</v>
      </c>
      <c r="BH245">
        <v>0.91900000000000004</v>
      </c>
      <c r="BI245" s="64">
        <v>38</v>
      </c>
      <c r="BJ245">
        <v>0</v>
      </c>
      <c r="BK245">
        <v>0</v>
      </c>
      <c r="BL245">
        <v>0</v>
      </c>
      <c r="BM245">
        <v>0</v>
      </c>
      <c r="BN245">
        <v>0</v>
      </c>
      <c r="BO245">
        <v>0</v>
      </c>
      <c r="BP245">
        <v>1</v>
      </c>
      <c r="BQ245" s="28">
        <v>0</v>
      </c>
      <c r="BR245">
        <v>0</v>
      </c>
      <c r="BS245">
        <v>1</v>
      </c>
      <c r="BT245" s="28">
        <v>0</v>
      </c>
      <c r="BU245">
        <v>0</v>
      </c>
      <c r="BV245">
        <v>0</v>
      </c>
      <c r="BW245">
        <v>0</v>
      </c>
      <c r="BX245">
        <v>0</v>
      </c>
      <c r="BY245">
        <v>0</v>
      </c>
      <c r="BZ245">
        <v>1</v>
      </c>
      <c r="CA245">
        <v>0</v>
      </c>
      <c r="CB245">
        <v>0</v>
      </c>
      <c r="CC245">
        <v>1</v>
      </c>
      <c r="CD245">
        <v>0</v>
      </c>
      <c r="CE245" s="16">
        <v>0</v>
      </c>
      <c r="CF245">
        <v>0</v>
      </c>
      <c r="CG245">
        <v>17</v>
      </c>
      <c r="CH245">
        <v>0</v>
      </c>
      <c r="CI245">
        <v>1</v>
      </c>
      <c r="CJ245">
        <v>5</v>
      </c>
      <c r="CK245" t="s">
        <v>46</v>
      </c>
    </row>
    <row r="246" spans="1:89" x14ac:dyDescent="0.25">
      <c r="A246">
        <v>245</v>
      </c>
      <c r="B246">
        <v>14</v>
      </c>
      <c r="C246" t="s">
        <v>369</v>
      </c>
      <c r="D246" s="79">
        <v>11.35</v>
      </c>
      <c r="E246" s="6">
        <f t="shared" si="39"/>
        <v>2.260956175298805</v>
      </c>
      <c r="F246" s="6">
        <v>5.0199999999999996</v>
      </c>
      <c r="G246" s="78">
        <v>0</v>
      </c>
      <c r="H246" s="70">
        <v>0</v>
      </c>
      <c r="I246" s="70">
        <v>0</v>
      </c>
      <c r="J246" s="70">
        <v>1</v>
      </c>
      <c r="K246" s="70">
        <v>0</v>
      </c>
      <c r="L246" s="78">
        <v>206</v>
      </c>
      <c r="M246" s="70">
        <v>7</v>
      </c>
      <c r="N246" s="70">
        <f t="shared" si="34"/>
        <v>198</v>
      </c>
      <c r="O246" s="60">
        <f t="shared" si="35"/>
        <v>21</v>
      </c>
      <c r="P246" s="6">
        <v>12.9</v>
      </c>
      <c r="Q246" s="6">
        <f t="shared" si="37"/>
        <v>19.100000000000001</v>
      </c>
      <c r="R246" s="78">
        <v>1</v>
      </c>
      <c r="S246" s="70">
        <v>0</v>
      </c>
      <c r="T246" s="78">
        <v>1</v>
      </c>
      <c r="U246" s="70">
        <v>0</v>
      </c>
      <c r="V246" s="70">
        <v>0</v>
      </c>
      <c r="W246" s="70">
        <v>0</v>
      </c>
      <c r="X246" s="78">
        <v>0</v>
      </c>
      <c r="Y246" s="70">
        <v>0</v>
      </c>
      <c r="Z246" s="70">
        <v>1</v>
      </c>
      <c r="AA246" s="78">
        <v>0</v>
      </c>
      <c r="AB246" s="70">
        <v>1</v>
      </c>
      <c r="AC246" s="69">
        <v>1981</v>
      </c>
      <c r="AD246" t="s">
        <v>57</v>
      </c>
      <c r="AE246" t="s">
        <v>57</v>
      </c>
      <c r="AF246" t="s">
        <v>57</v>
      </c>
      <c r="AG246" t="s">
        <v>57</v>
      </c>
      <c r="AH246" s="28">
        <f t="shared" si="40"/>
        <v>0.96199999999999997</v>
      </c>
      <c r="AI246">
        <v>3.7999999999999999E-2</v>
      </c>
      <c r="AJ246" s="28">
        <v>0.51400000000000001</v>
      </c>
      <c r="AK246">
        <f t="shared" si="38"/>
        <v>0.48599999999999999</v>
      </c>
      <c r="AL246" s="28">
        <f t="shared" si="41"/>
        <v>0.97899999999999998</v>
      </c>
      <c r="AM246">
        <v>2.1000000000000001E-2</v>
      </c>
      <c r="AN246">
        <v>0</v>
      </c>
      <c r="AO246">
        <v>1</v>
      </c>
      <c r="AP246" s="28">
        <f t="shared" si="42"/>
        <v>0.47199999999999998</v>
      </c>
      <c r="AQ246" s="12">
        <v>0.52800000000000002</v>
      </c>
      <c r="AR246">
        <v>0.30299999999999999</v>
      </c>
      <c r="AS246">
        <v>0.69699999999999995</v>
      </c>
      <c r="AT246">
        <v>0</v>
      </c>
      <c r="AU246" s="28" t="s">
        <v>87</v>
      </c>
      <c r="AV246">
        <v>1</v>
      </c>
      <c r="AW246">
        <v>0</v>
      </c>
      <c r="AX246">
        <v>0</v>
      </c>
      <c r="AY246">
        <v>0</v>
      </c>
      <c r="AZ246">
        <v>0</v>
      </c>
      <c r="BA246">
        <v>0</v>
      </c>
      <c r="BB246">
        <v>0</v>
      </c>
      <c r="BC246">
        <v>1</v>
      </c>
      <c r="BD246">
        <v>0</v>
      </c>
      <c r="BE246">
        <v>0</v>
      </c>
      <c r="BF246">
        <v>19368</v>
      </c>
      <c r="BG246">
        <v>1730</v>
      </c>
      <c r="BH246">
        <v>0.91900000000000004</v>
      </c>
      <c r="BI246" s="64">
        <v>38</v>
      </c>
      <c r="BJ246">
        <v>1</v>
      </c>
      <c r="BK246">
        <v>0</v>
      </c>
      <c r="BL246">
        <v>0</v>
      </c>
      <c r="BM246">
        <v>0</v>
      </c>
      <c r="BN246">
        <v>0</v>
      </c>
      <c r="BO246">
        <v>0</v>
      </c>
      <c r="BP246">
        <v>0</v>
      </c>
      <c r="BQ246" s="28">
        <v>0</v>
      </c>
      <c r="BR246">
        <v>0</v>
      </c>
      <c r="BS246">
        <v>0</v>
      </c>
      <c r="BT246" s="28">
        <v>0</v>
      </c>
      <c r="BU246">
        <v>0</v>
      </c>
      <c r="BV246">
        <v>0</v>
      </c>
      <c r="BW246">
        <v>0</v>
      </c>
      <c r="BX246">
        <v>0</v>
      </c>
      <c r="BY246">
        <v>0</v>
      </c>
      <c r="BZ246">
        <v>1</v>
      </c>
      <c r="CA246">
        <v>0</v>
      </c>
      <c r="CB246">
        <v>0</v>
      </c>
      <c r="CC246">
        <v>1</v>
      </c>
      <c r="CD246">
        <v>0</v>
      </c>
      <c r="CE246" s="16">
        <v>0</v>
      </c>
      <c r="CF246">
        <v>0</v>
      </c>
      <c r="CG246">
        <v>17</v>
      </c>
      <c r="CH246">
        <v>0</v>
      </c>
      <c r="CI246">
        <v>1</v>
      </c>
      <c r="CJ246">
        <v>5</v>
      </c>
      <c r="CK246" t="s">
        <v>46</v>
      </c>
    </row>
    <row r="247" spans="1:89" x14ac:dyDescent="0.25">
      <c r="A247">
        <v>246</v>
      </c>
      <c r="B247">
        <v>14</v>
      </c>
      <c r="C247" t="s">
        <v>369</v>
      </c>
      <c r="D247" s="79">
        <v>8.41</v>
      </c>
      <c r="E247" s="6">
        <f t="shared" si="39"/>
        <v>2.5562310030395139</v>
      </c>
      <c r="F247" s="6">
        <v>3.29</v>
      </c>
      <c r="G247" s="78">
        <v>0</v>
      </c>
      <c r="H247" s="70">
        <v>0</v>
      </c>
      <c r="I247" s="70">
        <v>0</v>
      </c>
      <c r="J247" s="70">
        <v>1</v>
      </c>
      <c r="K247" s="70">
        <v>0</v>
      </c>
      <c r="L247" s="78">
        <v>206</v>
      </c>
      <c r="M247" s="70">
        <v>8</v>
      </c>
      <c r="N247" s="70">
        <f t="shared" si="34"/>
        <v>197</v>
      </c>
      <c r="O247" s="60">
        <f t="shared" si="35"/>
        <v>21</v>
      </c>
      <c r="P247" s="6">
        <v>12.9</v>
      </c>
      <c r="Q247" s="6">
        <f t="shared" si="37"/>
        <v>19.100000000000001</v>
      </c>
      <c r="R247" s="78">
        <v>1</v>
      </c>
      <c r="S247" s="70">
        <v>0</v>
      </c>
      <c r="T247" s="78">
        <v>1</v>
      </c>
      <c r="U247" s="70">
        <v>0</v>
      </c>
      <c r="V247" s="70">
        <v>0</v>
      </c>
      <c r="W247" s="70">
        <v>0</v>
      </c>
      <c r="X247" s="78">
        <v>0</v>
      </c>
      <c r="Y247" s="70">
        <v>0</v>
      </c>
      <c r="Z247" s="70">
        <v>1</v>
      </c>
      <c r="AA247" s="78">
        <v>0</v>
      </c>
      <c r="AB247" s="70">
        <v>1</v>
      </c>
      <c r="AC247" s="69">
        <v>1981</v>
      </c>
      <c r="AD247" t="s">
        <v>57</v>
      </c>
      <c r="AE247" t="s">
        <v>57</v>
      </c>
      <c r="AF247" t="s">
        <v>57</v>
      </c>
      <c r="AG247" t="s">
        <v>57</v>
      </c>
      <c r="AH247" s="28">
        <f t="shared" si="40"/>
        <v>0.96199999999999997</v>
      </c>
      <c r="AI247">
        <v>3.7999999999999999E-2</v>
      </c>
      <c r="AJ247" s="28">
        <v>0.51400000000000001</v>
      </c>
      <c r="AK247">
        <f t="shared" si="38"/>
        <v>0.48599999999999999</v>
      </c>
      <c r="AL247" s="28">
        <f t="shared" si="41"/>
        <v>0.97899999999999998</v>
      </c>
      <c r="AM247">
        <v>2.1000000000000001E-2</v>
      </c>
      <c r="AN247">
        <v>0</v>
      </c>
      <c r="AO247">
        <v>1</v>
      </c>
      <c r="AP247" s="28">
        <f t="shared" si="42"/>
        <v>0.47199999999999998</v>
      </c>
      <c r="AQ247" s="12">
        <v>0.52800000000000002</v>
      </c>
      <c r="AR247">
        <v>0.30299999999999999</v>
      </c>
      <c r="AS247">
        <v>0.69699999999999995</v>
      </c>
      <c r="AT247">
        <v>0</v>
      </c>
      <c r="AU247" s="28" t="s">
        <v>87</v>
      </c>
      <c r="AV247">
        <v>1</v>
      </c>
      <c r="AW247">
        <v>0</v>
      </c>
      <c r="AX247">
        <v>0</v>
      </c>
      <c r="AY247">
        <v>0</v>
      </c>
      <c r="AZ247">
        <v>0</v>
      </c>
      <c r="BA247">
        <v>0</v>
      </c>
      <c r="BB247">
        <v>0</v>
      </c>
      <c r="BC247">
        <v>1</v>
      </c>
      <c r="BD247">
        <v>0</v>
      </c>
      <c r="BE247">
        <v>0</v>
      </c>
      <c r="BF247">
        <v>19368</v>
      </c>
      <c r="BG247">
        <v>1730</v>
      </c>
      <c r="BH247">
        <v>0.91900000000000004</v>
      </c>
      <c r="BI247" s="64">
        <v>38</v>
      </c>
      <c r="BJ247">
        <v>0</v>
      </c>
      <c r="BK247">
        <v>0</v>
      </c>
      <c r="BL247">
        <v>0</v>
      </c>
      <c r="BM247">
        <v>0</v>
      </c>
      <c r="BN247">
        <v>0</v>
      </c>
      <c r="BO247">
        <v>0</v>
      </c>
      <c r="BP247">
        <v>1</v>
      </c>
      <c r="BQ247" s="28">
        <v>0</v>
      </c>
      <c r="BR247">
        <v>0</v>
      </c>
      <c r="BS247">
        <v>1</v>
      </c>
      <c r="BT247" s="28">
        <v>0</v>
      </c>
      <c r="BU247">
        <v>0</v>
      </c>
      <c r="BV247">
        <v>0</v>
      </c>
      <c r="BW247">
        <v>0</v>
      </c>
      <c r="BX247">
        <v>0</v>
      </c>
      <c r="BY247">
        <v>0</v>
      </c>
      <c r="BZ247">
        <v>1</v>
      </c>
      <c r="CA247">
        <v>0</v>
      </c>
      <c r="CB247">
        <v>0</v>
      </c>
      <c r="CC247">
        <v>1</v>
      </c>
      <c r="CD247">
        <v>0</v>
      </c>
      <c r="CE247" s="16">
        <v>0</v>
      </c>
      <c r="CF247">
        <v>0</v>
      </c>
      <c r="CG247">
        <v>17</v>
      </c>
      <c r="CH247">
        <v>0</v>
      </c>
      <c r="CI247">
        <v>1</v>
      </c>
      <c r="CJ247">
        <v>5</v>
      </c>
      <c r="CK247" t="s">
        <v>46</v>
      </c>
    </row>
    <row r="248" spans="1:89" x14ac:dyDescent="0.25">
      <c r="A248">
        <v>247</v>
      </c>
      <c r="B248">
        <v>14</v>
      </c>
      <c r="C248" t="s">
        <v>369</v>
      </c>
      <c r="D248" s="79">
        <v>9.51</v>
      </c>
      <c r="E248" s="6">
        <f t="shared" si="39"/>
        <v>2.4830287206266317</v>
      </c>
      <c r="F248" s="6">
        <v>3.83</v>
      </c>
      <c r="G248" s="78">
        <v>0</v>
      </c>
      <c r="H248" s="70">
        <v>0</v>
      </c>
      <c r="I248" s="70">
        <v>0</v>
      </c>
      <c r="J248" s="70">
        <v>1</v>
      </c>
      <c r="K248" s="70">
        <v>0</v>
      </c>
      <c r="L248" s="78">
        <v>206</v>
      </c>
      <c r="M248" s="70">
        <v>8</v>
      </c>
      <c r="N248" s="70">
        <f t="shared" si="34"/>
        <v>197</v>
      </c>
      <c r="O248" s="60">
        <f t="shared" si="35"/>
        <v>21</v>
      </c>
      <c r="P248" s="6">
        <v>12.9</v>
      </c>
      <c r="Q248" s="6">
        <f t="shared" si="37"/>
        <v>19.100000000000001</v>
      </c>
      <c r="R248" s="78">
        <v>1</v>
      </c>
      <c r="S248" s="70">
        <v>0</v>
      </c>
      <c r="T248" s="78">
        <v>1</v>
      </c>
      <c r="U248" s="70">
        <v>0</v>
      </c>
      <c r="V248" s="70">
        <v>0</v>
      </c>
      <c r="W248" s="70">
        <v>0</v>
      </c>
      <c r="X248" s="78">
        <v>0</v>
      </c>
      <c r="Y248" s="70">
        <v>0</v>
      </c>
      <c r="Z248" s="70">
        <v>1</v>
      </c>
      <c r="AA248" s="78">
        <v>0</v>
      </c>
      <c r="AB248" s="70">
        <v>1</v>
      </c>
      <c r="AC248" s="69">
        <v>1981</v>
      </c>
      <c r="AD248" t="s">
        <v>57</v>
      </c>
      <c r="AE248" t="s">
        <v>57</v>
      </c>
      <c r="AF248" t="s">
        <v>57</v>
      </c>
      <c r="AG248" t="s">
        <v>57</v>
      </c>
      <c r="AH248" s="28">
        <f t="shared" si="40"/>
        <v>0.96199999999999997</v>
      </c>
      <c r="AI248">
        <v>3.7999999999999999E-2</v>
      </c>
      <c r="AJ248" s="28">
        <v>0.51400000000000001</v>
      </c>
      <c r="AK248">
        <f t="shared" si="38"/>
        <v>0.48599999999999999</v>
      </c>
      <c r="AL248" s="28">
        <f t="shared" si="41"/>
        <v>0.97899999999999998</v>
      </c>
      <c r="AM248">
        <v>2.1000000000000001E-2</v>
      </c>
      <c r="AN248">
        <v>0</v>
      </c>
      <c r="AO248">
        <v>1</v>
      </c>
      <c r="AP248" s="28">
        <f t="shared" si="42"/>
        <v>0.47199999999999998</v>
      </c>
      <c r="AQ248" s="12">
        <v>0.52800000000000002</v>
      </c>
      <c r="AR248">
        <v>0.30299999999999999</v>
      </c>
      <c r="AS248">
        <v>0.69699999999999995</v>
      </c>
      <c r="AT248">
        <v>0</v>
      </c>
      <c r="AU248" s="28" t="s">
        <v>87</v>
      </c>
      <c r="AV248">
        <v>1</v>
      </c>
      <c r="AW248">
        <v>0</v>
      </c>
      <c r="AX248">
        <v>0</v>
      </c>
      <c r="AY248">
        <v>0</v>
      </c>
      <c r="AZ248">
        <v>0</v>
      </c>
      <c r="BA248">
        <v>0</v>
      </c>
      <c r="BB248">
        <v>0</v>
      </c>
      <c r="BC248">
        <v>1</v>
      </c>
      <c r="BD248">
        <v>0</v>
      </c>
      <c r="BE248">
        <v>0</v>
      </c>
      <c r="BF248">
        <v>19368</v>
      </c>
      <c r="BG248">
        <v>1730</v>
      </c>
      <c r="BH248">
        <v>0.91900000000000004</v>
      </c>
      <c r="BI248" s="64">
        <v>38</v>
      </c>
      <c r="BJ248">
        <v>0</v>
      </c>
      <c r="BK248">
        <v>0</v>
      </c>
      <c r="BL248">
        <v>0</v>
      </c>
      <c r="BM248">
        <v>0</v>
      </c>
      <c r="BN248">
        <v>0</v>
      </c>
      <c r="BO248">
        <v>0</v>
      </c>
      <c r="BP248">
        <v>1</v>
      </c>
      <c r="BQ248" s="28">
        <v>0</v>
      </c>
      <c r="BR248">
        <v>0</v>
      </c>
      <c r="BS248">
        <v>1</v>
      </c>
      <c r="BT248" s="28">
        <v>0</v>
      </c>
      <c r="BU248">
        <v>0</v>
      </c>
      <c r="BV248">
        <v>0</v>
      </c>
      <c r="BW248">
        <v>0</v>
      </c>
      <c r="BX248">
        <v>0</v>
      </c>
      <c r="BY248">
        <v>0</v>
      </c>
      <c r="BZ248">
        <v>1</v>
      </c>
      <c r="CA248">
        <v>0</v>
      </c>
      <c r="CB248">
        <v>0</v>
      </c>
      <c r="CC248">
        <v>1</v>
      </c>
      <c r="CD248">
        <v>0</v>
      </c>
      <c r="CE248" s="16">
        <v>0</v>
      </c>
      <c r="CF248">
        <v>0</v>
      </c>
      <c r="CG248">
        <v>17</v>
      </c>
      <c r="CH248">
        <v>0</v>
      </c>
      <c r="CI248">
        <v>1</v>
      </c>
      <c r="CJ248">
        <v>5</v>
      </c>
      <c r="CK248" t="s">
        <v>46</v>
      </c>
    </row>
    <row r="249" spans="1:89" x14ac:dyDescent="0.25">
      <c r="A249">
        <v>248</v>
      </c>
      <c r="B249">
        <v>14</v>
      </c>
      <c r="C249" t="s">
        <v>369</v>
      </c>
      <c r="D249" s="79">
        <v>7.91</v>
      </c>
      <c r="E249" s="6">
        <f t="shared" si="39"/>
        <v>2.6722972972972974</v>
      </c>
      <c r="F249" s="6">
        <v>2.96</v>
      </c>
      <c r="G249" s="78">
        <v>0</v>
      </c>
      <c r="H249" s="70">
        <v>0</v>
      </c>
      <c r="I249" s="70">
        <v>0</v>
      </c>
      <c r="J249" s="70">
        <v>1</v>
      </c>
      <c r="K249" s="70">
        <v>0</v>
      </c>
      <c r="L249" s="78">
        <v>206</v>
      </c>
      <c r="M249" s="70">
        <v>8</v>
      </c>
      <c r="N249" s="70">
        <f t="shared" si="34"/>
        <v>197</v>
      </c>
      <c r="O249" s="60">
        <f t="shared" si="35"/>
        <v>21</v>
      </c>
      <c r="P249" s="6">
        <v>12.9</v>
      </c>
      <c r="Q249" s="6">
        <f t="shared" si="37"/>
        <v>19.100000000000001</v>
      </c>
      <c r="R249" s="78">
        <v>1</v>
      </c>
      <c r="S249" s="70">
        <v>0</v>
      </c>
      <c r="T249" s="78">
        <v>1</v>
      </c>
      <c r="U249" s="70">
        <v>0</v>
      </c>
      <c r="V249" s="70">
        <v>0</v>
      </c>
      <c r="W249" s="70">
        <v>0</v>
      </c>
      <c r="X249" s="78">
        <v>0</v>
      </c>
      <c r="Y249" s="70">
        <v>0</v>
      </c>
      <c r="Z249" s="70">
        <v>1</v>
      </c>
      <c r="AA249" s="78">
        <v>0</v>
      </c>
      <c r="AB249" s="70">
        <v>1</v>
      </c>
      <c r="AC249" s="69">
        <v>1981</v>
      </c>
      <c r="AD249" t="s">
        <v>57</v>
      </c>
      <c r="AE249" t="s">
        <v>57</v>
      </c>
      <c r="AF249" t="s">
        <v>57</v>
      </c>
      <c r="AG249" t="s">
        <v>57</v>
      </c>
      <c r="AH249" s="28">
        <f t="shared" si="40"/>
        <v>0.96199999999999997</v>
      </c>
      <c r="AI249">
        <v>3.7999999999999999E-2</v>
      </c>
      <c r="AJ249" s="28">
        <v>0.51400000000000001</v>
      </c>
      <c r="AK249">
        <f t="shared" si="38"/>
        <v>0.48599999999999999</v>
      </c>
      <c r="AL249" s="28">
        <f t="shared" si="41"/>
        <v>0.97899999999999998</v>
      </c>
      <c r="AM249">
        <v>2.1000000000000001E-2</v>
      </c>
      <c r="AN249">
        <v>0</v>
      </c>
      <c r="AO249">
        <v>1</v>
      </c>
      <c r="AP249" s="28">
        <f t="shared" si="42"/>
        <v>0.47199999999999998</v>
      </c>
      <c r="AQ249" s="12">
        <v>0.52800000000000002</v>
      </c>
      <c r="AR249">
        <v>0.30299999999999999</v>
      </c>
      <c r="AS249">
        <v>0.69699999999999995</v>
      </c>
      <c r="AT249">
        <v>0</v>
      </c>
      <c r="AU249" s="28" t="s">
        <v>87</v>
      </c>
      <c r="AV249">
        <v>1</v>
      </c>
      <c r="AW249">
        <v>0</v>
      </c>
      <c r="AX249">
        <v>0</v>
      </c>
      <c r="AY249">
        <v>0</v>
      </c>
      <c r="AZ249">
        <v>0</v>
      </c>
      <c r="BA249">
        <v>0</v>
      </c>
      <c r="BB249">
        <v>0</v>
      </c>
      <c r="BC249">
        <v>1</v>
      </c>
      <c r="BD249">
        <v>0</v>
      </c>
      <c r="BE249">
        <v>0</v>
      </c>
      <c r="BF249">
        <v>19368</v>
      </c>
      <c r="BG249">
        <v>1730</v>
      </c>
      <c r="BH249">
        <v>0.91900000000000004</v>
      </c>
      <c r="BI249" s="64">
        <v>38</v>
      </c>
      <c r="BJ249">
        <v>0</v>
      </c>
      <c r="BK249">
        <v>0</v>
      </c>
      <c r="BL249">
        <v>0</v>
      </c>
      <c r="BM249">
        <v>0</v>
      </c>
      <c r="BN249">
        <v>0</v>
      </c>
      <c r="BO249">
        <v>0</v>
      </c>
      <c r="BP249">
        <v>1</v>
      </c>
      <c r="BQ249" s="28">
        <v>0</v>
      </c>
      <c r="BR249">
        <v>0</v>
      </c>
      <c r="BS249">
        <v>1</v>
      </c>
      <c r="BT249" s="28">
        <v>0</v>
      </c>
      <c r="BU249">
        <v>0</v>
      </c>
      <c r="BV249">
        <v>0</v>
      </c>
      <c r="BW249">
        <v>0</v>
      </c>
      <c r="BX249">
        <v>0</v>
      </c>
      <c r="BY249">
        <v>0</v>
      </c>
      <c r="BZ249">
        <v>1</v>
      </c>
      <c r="CA249">
        <v>0</v>
      </c>
      <c r="CB249">
        <v>0</v>
      </c>
      <c r="CC249">
        <v>1</v>
      </c>
      <c r="CD249">
        <v>0</v>
      </c>
      <c r="CE249" s="16">
        <v>0</v>
      </c>
      <c r="CF249">
        <v>0</v>
      </c>
      <c r="CG249">
        <v>17</v>
      </c>
      <c r="CH249">
        <v>0</v>
      </c>
      <c r="CI249">
        <v>1</v>
      </c>
      <c r="CJ249">
        <v>5</v>
      </c>
      <c r="CK249" t="s">
        <v>46</v>
      </c>
    </row>
    <row r="250" spans="1:89" x14ac:dyDescent="0.25">
      <c r="A250">
        <v>249</v>
      </c>
      <c r="B250">
        <v>14</v>
      </c>
      <c r="C250" t="s">
        <v>369</v>
      </c>
      <c r="D250" s="79">
        <v>8.2200000000000006</v>
      </c>
      <c r="E250" s="6">
        <f t="shared" si="39"/>
        <v>2.6430868167202575</v>
      </c>
      <c r="F250" s="6">
        <v>3.11</v>
      </c>
      <c r="G250" s="78">
        <v>0</v>
      </c>
      <c r="H250" s="70">
        <v>0</v>
      </c>
      <c r="I250" s="70">
        <v>0</v>
      </c>
      <c r="J250" s="70">
        <v>1</v>
      </c>
      <c r="K250" s="70">
        <v>0</v>
      </c>
      <c r="L250" s="78">
        <v>197</v>
      </c>
      <c r="M250" s="70">
        <v>8</v>
      </c>
      <c r="N250" s="70">
        <f t="shared" si="34"/>
        <v>188</v>
      </c>
      <c r="O250" s="60">
        <f t="shared" si="35"/>
        <v>21</v>
      </c>
      <c r="P250" s="6">
        <v>12.9</v>
      </c>
      <c r="Q250" s="6">
        <f t="shared" si="37"/>
        <v>19.100000000000001</v>
      </c>
      <c r="R250" s="78">
        <v>1</v>
      </c>
      <c r="S250" s="70">
        <v>0</v>
      </c>
      <c r="T250" s="78">
        <v>1</v>
      </c>
      <c r="U250" s="70">
        <v>0</v>
      </c>
      <c r="V250" s="70">
        <v>0</v>
      </c>
      <c r="W250" s="70">
        <v>0</v>
      </c>
      <c r="X250" s="78">
        <v>0</v>
      </c>
      <c r="Y250" s="70">
        <v>0</v>
      </c>
      <c r="Z250" s="70">
        <v>1</v>
      </c>
      <c r="AA250" s="78">
        <v>0</v>
      </c>
      <c r="AB250" s="70">
        <v>1</v>
      </c>
      <c r="AC250" s="69">
        <v>1981</v>
      </c>
      <c r="AD250" t="s">
        <v>57</v>
      </c>
      <c r="AE250" t="s">
        <v>57</v>
      </c>
      <c r="AF250" t="s">
        <v>57</v>
      </c>
      <c r="AG250" t="s">
        <v>57</v>
      </c>
      <c r="AH250" s="28">
        <f t="shared" si="40"/>
        <v>0.96199999999999997</v>
      </c>
      <c r="AI250">
        <v>3.7999999999999999E-2</v>
      </c>
      <c r="AJ250" s="28">
        <v>0.51400000000000001</v>
      </c>
      <c r="AK250">
        <f t="shared" si="38"/>
        <v>0.48599999999999999</v>
      </c>
      <c r="AL250" s="28">
        <f t="shared" si="41"/>
        <v>0.97899999999999998</v>
      </c>
      <c r="AM250">
        <v>2.1000000000000001E-2</v>
      </c>
      <c r="AN250">
        <v>0</v>
      </c>
      <c r="AO250">
        <v>1</v>
      </c>
      <c r="AP250" s="28">
        <f t="shared" si="42"/>
        <v>0.47199999999999998</v>
      </c>
      <c r="AQ250" s="12">
        <v>0.52800000000000002</v>
      </c>
      <c r="AR250">
        <v>0.30299999999999999</v>
      </c>
      <c r="AS250">
        <v>0.69699999999999995</v>
      </c>
      <c r="AT250">
        <v>0</v>
      </c>
      <c r="AU250" s="28" t="s">
        <v>87</v>
      </c>
      <c r="AV250">
        <v>1</v>
      </c>
      <c r="AW250">
        <v>0</v>
      </c>
      <c r="AX250">
        <v>0</v>
      </c>
      <c r="AY250">
        <v>0</v>
      </c>
      <c r="AZ250">
        <v>0</v>
      </c>
      <c r="BA250">
        <v>0</v>
      </c>
      <c r="BB250">
        <v>0</v>
      </c>
      <c r="BC250">
        <v>1</v>
      </c>
      <c r="BD250">
        <v>0</v>
      </c>
      <c r="BE250">
        <v>0</v>
      </c>
      <c r="BF250">
        <v>19368</v>
      </c>
      <c r="BG250">
        <v>1730</v>
      </c>
      <c r="BH250">
        <v>0.91900000000000004</v>
      </c>
      <c r="BI250" s="64">
        <v>38</v>
      </c>
      <c r="BJ250">
        <v>0</v>
      </c>
      <c r="BK250">
        <v>0</v>
      </c>
      <c r="BL250">
        <v>0</v>
      </c>
      <c r="BM250">
        <v>0</v>
      </c>
      <c r="BN250">
        <v>0</v>
      </c>
      <c r="BO250">
        <v>0</v>
      </c>
      <c r="BP250">
        <v>1</v>
      </c>
      <c r="BQ250" s="28">
        <v>0</v>
      </c>
      <c r="BR250">
        <v>0</v>
      </c>
      <c r="BS250">
        <v>1</v>
      </c>
      <c r="BT250" s="28">
        <v>0</v>
      </c>
      <c r="BU250">
        <v>0</v>
      </c>
      <c r="BV250">
        <v>0</v>
      </c>
      <c r="BW250">
        <v>0</v>
      </c>
      <c r="BX250">
        <v>0</v>
      </c>
      <c r="BY250">
        <v>0</v>
      </c>
      <c r="BZ250">
        <v>1</v>
      </c>
      <c r="CA250">
        <v>0</v>
      </c>
      <c r="CB250">
        <v>0</v>
      </c>
      <c r="CC250">
        <v>1</v>
      </c>
      <c r="CD250">
        <v>0</v>
      </c>
      <c r="CE250" s="16">
        <v>0</v>
      </c>
      <c r="CF250">
        <v>0</v>
      </c>
      <c r="CG250">
        <v>17</v>
      </c>
      <c r="CH250">
        <v>0</v>
      </c>
      <c r="CI250">
        <v>1</v>
      </c>
      <c r="CJ250">
        <v>5</v>
      </c>
      <c r="CK250" t="s">
        <v>46</v>
      </c>
    </row>
    <row r="251" spans="1:89" x14ac:dyDescent="0.25">
      <c r="A251">
        <v>250</v>
      </c>
      <c r="B251">
        <v>14</v>
      </c>
      <c r="C251" t="s">
        <v>369</v>
      </c>
      <c r="D251" s="79">
        <v>8.66</v>
      </c>
      <c r="E251" s="6">
        <f t="shared" si="39"/>
        <v>2.6163141993957706</v>
      </c>
      <c r="F251" s="6">
        <v>3.31</v>
      </c>
      <c r="G251" s="78">
        <v>0</v>
      </c>
      <c r="H251" s="70">
        <v>0</v>
      </c>
      <c r="I251" s="70">
        <v>0</v>
      </c>
      <c r="J251" s="70">
        <v>1</v>
      </c>
      <c r="K251" s="70">
        <v>0</v>
      </c>
      <c r="L251" s="78">
        <v>197</v>
      </c>
      <c r="M251" s="70">
        <v>8</v>
      </c>
      <c r="N251" s="70">
        <f t="shared" si="34"/>
        <v>188</v>
      </c>
      <c r="O251" s="60">
        <f t="shared" si="35"/>
        <v>21</v>
      </c>
      <c r="P251" s="6">
        <v>12.9</v>
      </c>
      <c r="Q251" s="6">
        <f t="shared" si="37"/>
        <v>19.100000000000001</v>
      </c>
      <c r="R251" s="78">
        <v>1</v>
      </c>
      <c r="S251" s="70">
        <v>0</v>
      </c>
      <c r="T251" s="78">
        <v>1</v>
      </c>
      <c r="U251" s="70">
        <v>0</v>
      </c>
      <c r="V251" s="70">
        <v>0</v>
      </c>
      <c r="W251" s="70">
        <v>0</v>
      </c>
      <c r="X251" s="78">
        <v>0</v>
      </c>
      <c r="Y251" s="70">
        <v>0</v>
      </c>
      <c r="Z251" s="70">
        <v>1</v>
      </c>
      <c r="AA251" s="78">
        <v>0</v>
      </c>
      <c r="AB251" s="70">
        <v>1</v>
      </c>
      <c r="AC251" s="69">
        <v>1981</v>
      </c>
      <c r="AD251" t="s">
        <v>57</v>
      </c>
      <c r="AE251" t="s">
        <v>57</v>
      </c>
      <c r="AF251" t="s">
        <v>57</v>
      </c>
      <c r="AG251" t="s">
        <v>57</v>
      </c>
      <c r="AH251" s="28">
        <f t="shared" si="40"/>
        <v>0.96199999999999997</v>
      </c>
      <c r="AI251">
        <v>3.7999999999999999E-2</v>
      </c>
      <c r="AJ251" s="28">
        <v>0.51400000000000001</v>
      </c>
      <c r="AK251">
        <f t="shared" si="38"/>
        <v>0.48599999999999999</v>
      </c>
      <c r="AL251" s="28">
        <f t="shared" si="41"/>
        <v>0.97899999999999998</v>
      </c>
      <c r="AM251">
        <v>2.1000000000000001E-2</v>
      </c>
      <c r="AN251">
        <v>0</v>
      </c>
      <c r="AO251">
        <v>1</v>
      </c>
      <c r="AP251" s="28">
        <f t="shared" si="42"/>
        <v>0.47199999999999998</v>
      </c>
      <c r="AQ251" s="12">
        <v>0.52800000000000002</v>
      </c>
      <c r="AR251">
        <v>0.30299999999999999</v>
      </c>
      <c r="AS251">
        <v>0.69699999999999995</v>
      </c>
      <c r="AT251">
        <v>0</v>
      </c>
      <c r="AU251" s="28" t="s">
        <v>87</v>
      </c>
      <c r="AV251">
        <v>1</v>
      </c>
      <c r="AW251">
        <v>0</v>
      </c>
      <c r="AX251">
        <v>0</v>
      </c>
      <c r="AY251">
        <v>0</v>
      </c>
      <c r="AZ251">
        <v>0</v>
      </c>
      <c r="BA251">
        <v>0</v>
      </c>
      <c r="BB251">
        <v>0</v>
      </c>
      <c r="BC251">
        <v>1</v>
      </c>
      <c r="BD251">
        <v>0</v>
      </c>
      <c r="BE251">
        <v>0</v>
      </c>
      <c r="BF251">
        <v>19368</v>
      </c>
      <c r="BG251">
        <v>1730</v>
      </c>
      <c r="BH251">
        <v>0.91900000000000004</v>
      </c>
      <c r="BI251" s="64">
        <v>38</v>
      </c>
      <c r="BJ251">
        <v>0</v>
      </c>
      <c r="BK251">
        <v>0</v>
      </c>
      <c r="BL251">
        <v>0</v>
      </c>
      <c r="BM251">
        <v>0</v>
      </c>
      <c r="BN251">
        <v>0</v>
      </c>
      <c r="BO251">
        <v>0</v>
      </c>
      <c r="BP251">
        <v>1</v>
      </c>
      <c r="BQ251" s="28">
        <v>0</v>
      </c>
      <c r="BR251">
        <v>0</v>
      </c>
      <c r="BS251">
        <v>1</v>
      </c>
      <c r="BT251" s="28">
        <v>0</v>
      </c>
      <c r="BU251">
        <v>0</v>
      </c>
      <c r="BV251">
        <v>0</v>
      </c>
      <c r="BW251">
        <v>0</v>
      </c>
      <c r="BX251">
        <v>0</v>
      </c>
      <c r="BY251">
        <v>0</v>
      </c>
      <c r="BZ251">
        <v>1</v>
      </c>
      <c r="CA251">
        <v>0</v>
      </c>
      <c r="CB251">
        <v>0</v>
      </c>
      <c r="CC251">
        <v>1</v>
      </c>
      <c r="CD251">
        <v>0</v>
      </c>
      <c r="CE251" s="16">
        <v>0</v>
      </c>
      <c r="CF251">
        <v>0</v>
      </c>
      <c r="CG251">
        <v>17</v>
      </c>
      <c r="CH251">
        <v>0</v>
      </c>
      <c r="CI251">
        <v>1</v>
      </c>
      <c r="CJ251">
        <v>5</v>
      </c>
      <c r="CK251" t="s">
        <v>46</v>
      </c>
    </row>
    <row r="252" spans="1:89" x14ac:dyDescent="0.25">
      <c r="A252">
        <v>251</v>
      </c>
      <c r="B252">
        <v>14</v>
      </c>
      <c r="C252" t="s">
        <v>369</v>
      </c>
      <c r="D252" s="79">
        <v>7.77</v>
      </c>
      <c r="E252" s="6">
        <f t="shared" si="39"/>
        <v>2.6793103448275861</v>
      </c>
      <c r="F252" s="6">
        <v>2.9</v>
      </c>
      <c r="G252" s="78">
        <v>0</v>
      </c>
      <c r="H252" s="70">
        <v>0</v>
      </c>
      <c r="I252" s="70">
        <v>0</v>
      </c>
      <c r="J252" s="70">
        <v>1</v>
      </c>
      <c r="K252" s="70">
        <v>0</v>
      </c>
      <c r="L252" s="78">
        <v>197</v>
      </c>
      <c r="M252" s="70">
        <v>8</v>
      </c>
      <c r="N252" s="70">
        <f t="shared" si="34"/>
        <v>188</v>
      </c>
      <c r="O252" s="60">
        <f t="shared" si="35"/>
        <v>21</v>
      </c>
      <c r="P252" s="6">
        <v>12.9</v>
      </c>
      <c r="Q252" s="6">
        <f t="shared" si="37"/>
        <v>19.100000000000001</v>
      </c>
      <c r="R252" s="78">
        <v>1</v>
      </c>
      <c r="S252" s="70">
        <v>0</v>
      </c>
      <c r="T252" s="78">
        <v>1</v>
      </c>
      <c r="U252" s="70">
        <v>0</v>
      </c>
      <c r="V252" s="70">
        <v>0</v>
      </c>
      <c r="W252" s="70">
        <v>0</v>
      </c>
      <c r="X252" s="78">
        <v>0</v>
      </c>
      <c r="Y252" s="70">
        <v>0</v>
      </c>
      <c r="Z252" s="70">
        <v>1</v>
      </c>
      <c r="AA252" s="78">
        <v>0</v>
      </c>
      <c r="AB252" s="70">
        <v>1</v>
      </c>
      <c r="AC252" s="69">
        <v>1981</v>
      </c>
      <c r="AD252" t="s">
        <v>57</v>
      </c>
      <c r="AE252" t="s">
        <v>57</v>
      </c>
      <c r="AF252" t="s">
        <v>57</v>
      </c>
      <c r="AG252" t="s">
        <v>57</v>
      </c>
      <c r="AH252" s="28">
        <f t="shared" si="40"/>
        <v>0.96199999999999997</v>
      </c>
      <c r="AI252">
        <v>3.7999999999999999E-2</v>
      </c>
      <c r="AJ252" s="28">
        <v>0.51400000000000001</v>
      </c>
      <c r="AK252">
        <f t="shared" si="38"/>
        <v>0.48599999999999999</v>
      </c>
      <c r="AL252" s="28">
        <f t="shared" si="41"/>
        <v>0.97899999999999998</v>
      </c>
      <c r="AM252">
        <v>2.1000000000000001E-2</v>
      </c>
      <c r="AN252">
        <v>0</v>
      </c>
      <c r="AO252">
        <v>1</v>
      </c>
      <c r="AP252" s="28">
        <f t="shared" si="42"/>
        <v>0.47199999999999998</v>
      </c>
      <c r="AQ252" s="12">
        <v>0.52800000000000002</v>
      </c>
      <c r="AR252">
        <v>0.30299999999999999</v>
      </c>
      <c r="AS252">
        <v>0.69699999999999995</v>
      </c>
      <c r="AT252">
        <v>0</v>
      </c>
      <c r="AU252" s="28" t="s">
        <v>87</v>
      </c>
      <c r="AV252">
        <v>1</v>
      </c>
      <c r="AW252">
        <v>0</v>
      </c>
      <c r="AX252">
        <v>0</v>
      </c>
      <c r="AY252">
        <v>0</v>
      </c>
      <c r="AZ252">
        <v>0</v>
      </c>
      <c r="BA252">
        <v>0</v>
      </c>
      <c r="BB252">
        <v>0</v>
      </c>
      <c r="BC252">
        <v>1</v>
      </c>
      <c r="BD252">
        <v>0</v>
      </c>
      <c r="BE252">
        <v>0</v>
      </c>
      <c r="BF252">
        <v>19368</v>
      </c>
      <c r="BG252">
        <v>1730</v>
      </c>
      <c r="BH252">
        <v>0.91900000000000004</v>
      </c>
      <c r="BI252" s="64">
        <v>38</v>
      </c>
      <c r="BJ252">
        <v>0</v>
      </c>
      <c r="BK252">
        <v>0</v>
      </c>
      <c r="BL252">
        <v>0</v>
      </c>
      <c r="BM252">
        <v>0</v>
      </c>
      <c r="BN252">
        <v>0</v>
      </c>
      <c r="BO252">
        <v>0</v>
      </c>
      <c r="BP252">
        <v>1</v>
      </c>
      <c r="BQ252" s="28">
        <v>0</v>
      </c>
      <c r="BR252">
        <v>0</v>
      </c>
      <c r="BS252">
        <v>1</v>
      </c>
      <c r="BT252" s="28">
        <v>0</v>
      </c>
      <c r="BU252">
        <v>0</v>
      </c>
      <c r="BV252">
        <v>0</v>
      </c>
      <c r="BW252">
        <v>0</v>
      </c>
      <c r="BX252">
        <v>0</v>
      </c>
      <c r="BY252">
        <v>0</v>
      </c>
      <c r="BZ252">
        <v>1</v>
      </c>
      <c r="CA252">
        <v>0</v>
      </c>
      <c r="CB252">
        <v>0</v>
      </c>
      <c r="CC252">
        <v>1</v>
      </c>
      <c r="CD252">
        <v>0</v>
      </c>
      <c r="CE252" s="16">
        <v>0</v>
      </c>
      <c r="CF252">
        <v>0</v>
      </c>
      <c r="CG252">
        <v>17</v>
      </c>
      <c r="CH252">
        <v>0</v>
      </c>
      <c r="CI252">
        <v>1</v>
      </c>
      <c r="CJ252">
        <v>5</v>
      </c>
      <c r="CK252" t="s">
        <v>46</v>
      </c>
    </row>
    <row r="253" spans="1:89" x14ac:dyDescent="0.25">
      <c r="A253">
        <v>252</v>
      </c>
      <c r="B253">
        <v>14</v>
      </c>
      <c r="C253" t="s">
        <v>369</v>
      </c>
      <c r="D253" s="79">
        <v>5.99</v>
      </c>
      <c r="E253" s="6">
        <f t="shared" si="39"/>
        <v>0.36502132845825719</v>
      </c>
      <c r="F253" s="6">
        <v>16.41</v>
      </c>
      <c r="G253" s="78">
        <v>0</v>
      </c>
      <c r="H253" s="70">
        <v>0</v>
      </c>
      <c r="I253" s="70">
        <v>0</v>
      </c>
      <c r="J253" s="70">
        <v>1</v>
      </c>
      <c r="K253" s="70">
        <v>0</v>
      </c>
      <c r="L253" s="78">
        <v>7855</v>
      </c>
      <c r="M253" s="70">
        <v>8</v>
      </c>
      <c r="N253" s="70">
        <f t="shared" si="34"/>
        <v>7846</v>
      </c>
      <c r="O253" s="60">
        <f t="shared" si="35"/>
        <v>21</v>
      </c>
      <c r="P253" s="6">
        <v>12.9</v>
      </c>
      <c r="Q253" s="6">
        <f t="shared" si="37"/>
        <v>19.100000000000001</v>
      </c>
      <c r="R253" s="78">
        <v>1</v>
      </c>
      <c r="S253" s="70">
        <v>0</v>
      </c>
      <c r="T253" s="78">
        <v>1</v>
      </c>
      <c r="U253" s="70">
        <v>0</v>
      </c>
      <c r="V253" s="70">
        <v>0</v>
      </c>
      <c r="W253" s="70">
        <v>0</v>
      </c>
      <c r="X253" s="78">
        <v>0</v>
      </c>
      <c r="Y253" s="70">
        <v>0</v>
      </c>
      <c r="Z253" s="70">
        <v>1</v>
      </c>
      <c r="AA253" s="78">
        <v>0</v>
      </c>
      <c r="AB253" s="70">
        <v>1</v>
      </c>
      <c r="AC253" s="69">
        <v>1981</v>
      </c>
      <c r="AD253" t="s">
        <v>57</v>
      </c>
      <c r="AE253" t="s">
        <v>57</v>
      </c>
      <c r="AF253" t="s">
        <v>57</v>
      </c>
      <c r="AG253" t="s">
        <v>57</v>
      </c>
      <c r="AH253" s="28">
        <f t="shared" si="40"/>
        <v>0.94299999999999995</v>
      </c>
      <c r="AI253">
        <v>5.7000000000000002E-2</v>
      </c>
      <c r="AJ253" s="28">
        <v>0.51700000000000002</v>
      </c>
      <c r="AK253">
        <f t="shared" si="38"/>
        <v>0.48299999999999998</v>
      </c>
      <c r="AL253" s="28">
        <f t="shared" si="41"/>
        <v>0.96099999999999997</v>
      </c>
      <c r="AM253">
        <v>3.9E-2</v>
      </c>
      <c r="AN253">
        <v>0</v>
      </c>
      <c r="AO253">
        <v>1</v>
      </c>
      <c r="AP253" s="28">
        <f t="shared" si="42"/>
        <v>0.48299999999999998</v>
      </c>
      <c r="AQ253" s="12">
        <v>0.51700000000000002</v>
      </c>
      <c r="AR253">
        <v>4.4000000000000003E-3</v>
      </c>
      <c r="AS253">
        <f t="shared" ref="AS253:AS258" si="44">1-AT253-AR253</f>
        <v>1.0199999999999945E-2</v>
      </c>
      <c r="AT253">
        <v>0.98540000000000005</v>
      </c>
      <c r="AU253" s="28" t="s">
        <v>87</v>
      </c>
      <c r="AV253">
        <v>1</v>
      </c>
      <c r="AW253">
        <v>0</v>
      </c>
      <c r="AX253">
        <v>0</v>
      </c>
      <c r="AY253">
        <v>0</v>
      </c>
      <c r="AZ253">
        <v>0</v>
      </c>
      <c r="BA253">
        <v>0</v>
      </c>
      <c r="BB253">
        <v>0</v>
      </c>
      <c r="BC253">
        <v>1</v>
      </c>
      <c r="BD253">
        <v>0</v>
      </c>
      <c r="BE253">
        <v>0</v>
      </c>
      <c r="BF253">
        <v>19368</v>
      </c>
      <c r="BG253">
        <v>1730</v>
      </c>
      <c r="BH253">
        <v>0.91900000000000004</v>
      </c>
      <c r="BI253" s="64">
        <v>38</v>
      </c>
      <c r="BJ253">
        <v>1</v>
      </c>
      <c r="BK253">
        <v>0</v>
      </c>
      <c r="BL253">
        <v>0</v>
      </c>
      <c r="BM253">
        <v>0</v>
      </c>
      <c r="BN253">
        <v>0</v>
      </c>
      <c r="BO253">
        <v>0</v>
      </c>
      <c r="BP253">
        <v>0</v>
      </c>
      <c r="BQ253" s="28">
        <v>0</v>
      </c>
      <c r="BR253">
        <v>0</v>
      </c>
      <c r="BS253">
        <v>0</v>
      </c>
      <c r="BT253" s="28">
        <v>0</v>
      </c>
      <c r="BU253">
        <v>0</v>
      </c>
      <c r="BV253">
        <v>0</v>
      </c>
      <c r="BW253">
        <v>0</v>
      </c>
      <c r="BX253">
        <v>0</v>
      </c>
      <c r="BY253">
        <v>0</v>
      </c>
      <c r="BZ253">
        <v>1</v>
      </c>
      <c r="CA253">
        <v>0</v>
      </c>
      <c r="CB253">
        <v>0</v>
      </c>
      <c r="CC253">
        <v>1</v>
      </c>
      <c r="CD253">
        <v>0</v>
      </c>
      <c r="CE253" s="16">
        <v>0</v>
      </c>
      <c r="CF253">
        <v>0</v>
      </c>
      <c r="CG253">
        <v>17</v>
      </c>
      <c r="CH253">
        <v>0</v>
      </c>
      <c r="CI253">
        <v>1</v>
      </c>
      <c r="CJ253">
        <v>5</v>
      </c>
      <c r="CK253" t="s">
        <v>46</v>
      </c>
    </row>
    <row r="254" spans="1:89" x14ac:dyDescent="0.25">
      <c r="A254">
        <v>253</v>
      </c>
      <c r="B254">
        <v>14</v>
      </c>
      <c r="C254" t="s">
        <v>369</v>
      </c>
      <c r="D254" s="79">
        <v>8.9700000000000006</v>
      </c>
      <c r="E254" s="6">
        <f t="shared" si="39"/>
        <v>0.63707386363636365</v>
      </c>
      <c r="F254" s="6">
        <v>14.08</v>
      </c>
      <c r="G254" s="78">
        <v>0</v>
      </c>
      <c r="H254" s="70">
        <v>0</v>
      </c>
      <c r="I254" s="70">
        <v>0</v>
      </c>
      <c r="J254" s="70">
        <v>1</v>
      </c>
      <c r="K254" s="70">
        <v>0</v>
      </c>
      <c r="L254" s="78">
        <v>7855</v>
      </c>
      <c r="M254" s="70">
        <v>8</v>
      </c>
      <c r="N254" s="70">
        <f t="shared" si="34"/>
        <v>7846</v>
      </c>
      <c r="O254" s="60">
        <f t="shared" si="35"/>
        <v>21</v>
      </c>
      <c r="P254" s="6">
        <v>12.9</v>
      </c>
      <c r="Q254" s="6">
        <f t="shared" si="37"/>
        <v>19.100000000000001</v>
      </c>
      <c r="R254" s="78">
        <v>1</v>
      </c>
      <c r="S254" s="70">
        <v>0</v>
      </c>
      <c r="T254" s="78">
        <v>1</v>
      </c>
      <c r="U254" s="70">
        <v>0</v>
      </c>
      <c r="V254" s="70">
        <v>0</v>
      </c>
      <c r="W254" s="70">
        <v>0</v>
      </c>
      <c r="X254" s="78">
        <v>0</v>
      </c>
      <c r="Y254" s="70">
        <v>0</v>
      </c>
      <c r="Z254" s="70">
        <v>1</v>
      </c>
      <c r="AA254" s="78">
        <v>0</v>
      </c>
      <c r="AB254" s="70">
        <v>1</v>
      </c>
      <c r="AC254" s="69">
        <v>1981</v>
      </c>
      <c r="AD254" t="s">
        <v>57</v>
      </c>
      <c r="AE254" t="s">
        <v>57</v>
      </c>
      <c r="AF254" t="s">
        <v>57</v>
      </c>
      <c r="AG254" t="s">
        <v>57</v>
      </c>
      <c r="AH254" s="28">
        <f t="shared" si="40"/>
        <v>0.94299999999999995</v>
      </c>
      <c r="AI254">
        <v>5.7000000000000002E-2</v>
      </c>
      <c r="AJ254" s="28">
        <v>0.51700000000000002</v>
      </c>
      <c r="AK254">
        <f t="shared" si="38"/>
        <v>0.48299999999999998</v>
      </c>
      <c r="AL254" s="28">
        <f t="shared" si="41"/>
        <v>0.96099999999999997</v>
      </c>
      <c r="AM254">
        <v>3.9E-2</v>
      </c>
      <c r="AN254">
        <v>0</v>
      </c>
      <c r="AO254">
        <v>1</v>
      </c>
      <c r="AP254" s="28">
        <f t="shared" si="42"/>
        <v>0.48299999999999998</v>
      </c>
      <c r="AQ254" s="12">
        <v>0.51700000000000002</v>
      </c>
      <c r="AR254">
        <v>4.4000000000000003E-3</v>
      </c>
      <c r="AS254">
        <f t="shared" si="44"/>
        <v>1.0199999999999945E-2</v>
      </c>
      <c r="AT254">
        <v>0.98540000000000005</v>
      </c>
      <c r="AU254" s="28" t="s">
        <v>87</v>
      </c>
      <c r="AV254">
        <v>1</v>
      </c>
      <c r="AW254">
        <v>0</v>
      </c>
      <c r="AX254">
        <v>0</v>
      </c>
      <c r="AY254">
        <v>0</v>
      </c>
      <c r="AZ254">
        <v>0</v>
      </c>
      <c r="BA254">
        <v>0</v>
      </c>
      <c r="BB254">
        <v>0</v>
      </c>
      <c r="BC254">
        <v>1</v>
      </c>
      <c r="BD254">
        <v>0</v>
      </c>
      <c r="BE254">
        <v>0</v>
      </c>
      <c r="BF254">
        <v>19368</v>
      </c>
      <c r="BG254">
        <v>1730</v>
      </c>
      <c r="BH254">
        <v>0.91900000000000004</v>
      </c>
      <c r="BI254" s="64">
        <v>38</v>
      </c>
      <c r="BJ254">
        <v>0</v>
      </c>
      <c r="BK254">
        <v>0</v>
      </c>
      <c r="BL254">
        <v>0</v>
      </c>
      <c r="BM254">
        <v>0</v>
      </c>
      <c r="BN254">
        <v>0</v>
      </c>
      <c r="BO254">
        <v>0</v>
      </c>
      <c r="BP254">
        <v>1</v>
      </c>
      <c r="BQ254" s="28">
        <v>0</v>
      </c>
      <c r="BR254">
        <v>0</v>
      </c>
      <c r="BS254">
        <v>1</v>
      </c>
      <c r="BT254" s="28">
        <v>0</v>
      </c>
      <c r="BU254">
        <v>0</v>
      </c>
      <c r="BV254">
        <v>0</v>
      </c>
      <c r="BW254">
        <v>0</v>
      </c>
      <c r="BX254">
        <v>0</v>
      </c>
      <c r="BY254">
        <v>0</v>
      </c>
      <c r="BZ254">
        <v>1</v>
      </c>
      <c r="CA254">
        <v>0</v>
      </c>
      <c r="CB254">
        <v>0</v>
      </c>
      <c r="CC254">
        <v>1</v>
      </c>
      <c r="CD254">
        <v>0</v>
      </c>
      <c r="CE254" s="16">
        <v>0</v>
      </c>
      <c r="CF254">
        <v>0</v>
      </c>
      <c r="CG254">
        <v>17</v>
      </c>
      <c r="CH254">
        <v>0</v>
      </c>
      <c r="CI254">
        <v>1</v>
      </c>
      <c r="CJ254">
        <v>5</v>
      </c>
      <c r="CK254" t="s">
        <v>46</v>
      </c>
    </row>
    <row r="255" spans="1:89" x14ac:dyDescent="0.25">
      <c r="A255">
        <v>254</v>
      </c>
      <c r="B255">
        <v>14</v>
      </c>
      <c r="C255" t="s">
        <v>369</v>
      </c>
      <c r="D255" s="79">
        <v>4.5</v>
      </c>
      <c r="E255" s="6">
        <f t="shared" si="39"/>
        <v>0.76791808873720135</v>
      </c>
      <c r="F255" s="6">
        <v>5.86</v>
      </c>
      <c r="G255" s="78">
        <v>0</v>
      </c>
      <c r="H255" s="70">
        <v>0</v>
      </c>
      <c r="I255" s="70">
        <v>0</v>
      </c>
      <c r="J255" s="70">
        <v>1</v>
      </c>
      <c r="K255" s="70">
        <v>0</v>
      </c>
      <c r="L255" s="78">
        <v>7855</v>
      </c>
      <c r="M255" s="70">
        <v>9</v>
      </c>
      <c r="N255" s="70">
        <f t="shared" si="34"/>
        <v>7845</v>
      </c>
      <c r="O255" s="60">
        <f t="shared" si="35"/>
        <v>21</v>
      </c>
      <c r="P255" s="6">
        <v>12.9</v>
      </c>
      <c r="Q255" s="6">
        <f t="shared" si="37"/>
        <v>19.100000000000001</v>
      </c>
      <c r="R255" s="78">
        <v>1</v>
      </c>
      <c r="S255" s="70">
        <v>0</v>
      </c>
      <c r="T255" s="78">
        <v>1</v>
      </c>
      <c r="U255" s="70">
        <v>0</v>
      </c>
      <c r="V255" s="70">
        <v>0</v>
      </c>
      <c r="W255" s="70">
        <v>0</v>
      </c>
      <c r="X255" s="78">
        <v>0</v>
      </c>
      <c r="Y255" s="70">
        <v>0</v>
      </c>
      <c r="Z255" s="70">
        <v>1</v>
      </c>
      <c r="AA255" s="78">
        <v>0</v>
      </c>
      <c r="AB255" s="70">
        <v>1</v>
      </c>
      <c r="AC255" s="69">
        <v>1981</v>
      </c>
      <c r="AD255" t="s">
        <v>57</v>
      </c>
      <c r="AE255" t="s">
        <v>57</v>
      </c>
      <c r="AF255" t="s">
        <v>57</v>
      </c>
      <c r="AG255" t="s">
        <v>57</v>
      </c>
      <c r="AH255" s="28">
        <f t="shared" si="40"/>
        <v>0.94299999999999995</v>
      </c>
      <c r="AI255">
        <v>5.7000000000000002E-2</v>
      </c>
      <c r="AJ255" s="28">
        <v>0.51700000000000002</v>
      </c>
      <c r="AK255">
        <f t="shared" si="38"/>
        <v>0.48299999999999998</v>
      </c>
      <c r="AL255" s="28">
        <f t="shared" si="41"/>
        <v>0.96099999999999997</v>
      </c>
      <c r="AM255">
        <v>3.9E-2</v>
      </c>
      <c r="AN255">
        <v>0</v>
      </c>
      <c r="AO255">
        <v>1</v>
      </c>
      <c r="AP255" s="28">
        <f t="shared" si="42"/>
        <v>0.48299999999999998</v>
      </c>
      <c r="AQ255" s="12">
        <v>0.51700000000000002</v>
      </c>
      <c r="AR255">
        <v>4.4000000000000003E-3</v>
      </c>
      <c r="AS255">
        <f t="shared" si="44"/>
        <v>1.0199999999999945E-2</v>
      </c>
      <c r="AT255">
        <v>0.98540000000000005</v>
      </c>
      <c r="AU255" s="28" t="s">
        <v>87</v>
      </c>
      <c r="AV255">
        <v>1</v>
      </c>
      <c r="AW255">
        <v>0</v>
      </c>
      <c r="AX255">
        <v>0</v>
      </c>
      <c r="AY255">
        <v>0</v>
      </c>
      <c r="AZ255">
        <v>0</v>
      </c>
      <c r="BA255">
        <v>0</v>
      </c>
      <c r="BB255">
        <v>0</v>
      </c>
      <c r="BC255">
        <v>1</v>
      </c>
      <c r="BD255">
        <v>0</v>
      </c>
      <c r="BE255">
        <v>0</v>
      </c>
      <c r="BF255">
        <v>19368</v>
      </c>
      <c r="BG255">
        <v>1730</v>
      </c>
      <c r="BH255">
        <v>0.91900000000000004</v>
      </c>
      <c r="BI255" s="64">
        <v>38</v>
      </c>
      <c r="BJ255">
        <v>0</v>
      </c>
      <c r="BK255">
        <v>0</v>
      </c>
      <c r="BL255">
        <v>0</v>
      </c>
      <c r="BM255">
        <v>0</v>
      </c>
      <c r="BN255">
        <v>0</v>
      </c>
      <c r="BO255">
        <v>0</v>
      </c>
      <c r="BP255">
        <v>1</v>
      </c>
      <c r="BQ255" s="28">
        <v>0</v>
      </c>
      <c r="BR255">
        <v>0</v>
      </c>
      <c r="BS255">
        <v>1</v>
      </c>
      <c r="BT255" s="28">
        <v>0</v>
      </c>
      <c r="BU255">
        <v>0</v>
      </c>
      <c r="BV255">
        <v>0</v>
      </c>
      <c r="BW255">
        <v>0</v>
      </c>
      <c r="BX255">
        <v>0</v>
      </c>
      <c r="BY255">
        <v>0</v>
      </c>
      <c r="BZ255">
        <v>1</v>
      </c>
      <c r="CA255">
        <v>0</v>
      </c>
      <c r="CB255">
        <v>0</v>
      </c>
      <c r="CC255">
        <v>1</v>
      </c>
      <c r="CD255">
        <v>0</v>
      </c>
      <c r="CE255" s="16">
        <v>0</v>
      </c>
      <c r="CF255">
        <v>0</v>
      </c>
      <c r="CG255">
        <v>17</v>
      </c>
      <c r="CH255">
        <v>0</v>
      </c>
      <c r="CI255">
        <v>1</v>
      </c>
      <c r="CJ255">
        <v>5</v>
      </c>
      <c r="CK255" t="s">
        <v>46</v>
      </c>
    </row>
    <row r="256" spans="1:89" x14ac:dyDescent="0.25">
      <c r="A256">
        <v>255</v>
      </c>
      <c r="B256">
        <v>14</v>
      </c>
      <c r="C256" t="s">
        <v>369</v>
      </c>
      <c r="D256" s="79">
        <v>7.13</v>
      </c>
      <c r="E256" s="6">
        <f t="shared" si="39"/>
        <v>0.68295019157088122</v>
      </c>
      <c r="F256" s="6">
        <v>10.44</v>
      </c>
      <c r="G256" s="78">
        <v>0</v>
      </c>
      <c r="H256" s="70">
        <v>0</v>
      </c>
      <c r="I256" s="70">
        <v>0</v>
      </c>
      <c r="J256" s="70">
        <v>1</v>
      </c>
      <c r="K256" s="70">
        <v>0</v>
      </c>
      <c r="L256" s="78">
        <v>7855</v>
      </c>
      <c r="M256" s="70">
        <v>9</v>
      </c>
      <c r="N256" s="70">
        <f t="shared" si="34"/>
        <v>7845</v>
      </c>
      <c r="O256" s="60">
        <f t="shared" si="35"/>
        <v>21</v>
      </c>
      <c r="P256" s="6">
        <v>12.9</v>
      </c>
      <c r="Q256" s="6">
        <f t="shared" si="37"/>
        <v>19.100000000000001</v>
      </c>
      <c r="R256" s="78">
        <v>1</v>
      </c>
      <c r="S256" s="70">
        <v>0</v>
      </c>
      <c r="T256" s="78">
        <v>1</v>
      </c>
      <c r="U256" s="70">
        <v>0</v>
      </c>
      <c r="V256" s="70">
        <v>0</v>
      </c>
      <c r="W256" s="70">
        <v>0</v>
      </c>
      <c r="X256" s="78">
        <v>0</v>
      </c>
      <c r="Y256" s="70">
        <v>0</v>
      </c>
      <c r="Z256" s="70">
        <v>1</v>
      </c>
      <c r="AA256" s="78">
        <v>0</v>
      </c>
      <c r="AB256" s="70">
        <v>1</v>
      </c>
      <c r="AC256" s="69">
        <v>1981</v>
      </c>
      <c r="AD256" t="s">
        <v>57</v>
      </c>
      <c r="AE256" t="s">
        <v>57</v>
      </c>
      <c r="AF256" t="s">
        <v>57</v>
      </c>
      <c r="AG256" t="s">
        <v>57</v>
      </c>
      <c r="AH256" s="28">
        <f t="shared" si="40"/>
        <v>0.94299999999999995</v>
      </c>
      <c r="AI256">
        <v>5.7000000000000002E-2</v>
      </c>
      <c r="AJ256" s="28">
        <v>0.51700000000000002</v>
      </c>
      <c r="AK256">
        <f t="shared" si="38"/>
        <v>0.48299999999999998</v>
      </c>
      <c r="AL256" s="28">
        <f t="shared" si="41"/>
        <v>0.96099999999999997</v>
      </c>
      <c r="AM256">
        <v>3.9E-2</v>
      </c>
      <c r="AN256">
        <v>0</v>
      </c>
      <c r="AO256">
        <v>1</v>
      </c>
      <c r="AP256" s="28">
        <f t="shared" si="42"/>
        <v>0.48299999999999998</v>
      </c>
      <c r="AQ256" s="12">
        <v>0.51700000000000002</v>
      </c>
      <c r="AR256">
        <v>4.4000000000000003E-3</v>
      </c>
      <c r="AS256">
        <f t="shared" si="44"/>
        <v>1.0199999999999945E-2</v>
      </c>
      <c r="AT256">
        <v>0.98540000000000005</v>
      </c>
      <c r="AU256" s="28" t="s">
        <v>87</v>
      </c>
      <c r="AV256">
        <v>1</v>
      </c>
      <c r="AW256">
        <v>0</v>
      </c>
      <c r="AX256">
        <v>0</v>
      </c>
      <c r="AY256">
        <v>0</v>
      </c>
      <c r="AZ256">
        <v>0</v>
      </c>
      <c r="BA256">
        <v>0</v>
      </c>
      <c r="BB256">
        <v>0</v>
      </c>
      <c r="BC256">
        <v>1</v>
      </c>
      <c r="BD256">
        <v>0</v>
      </c>
      <c r="BE256">
        <v>0</v>
      </c>
      <c r="BF256">
        <v>19368</v>
      </c>
      <c r="BG256">
        <v>1730</v>
      </c>
      <c r="BH256">
        <v>0.91900000000000004</v>
      </c>
      <c r="BI256" s="64">
        <v>38</v>
      </c>
      <c r="BJ256">
        <v>0</v>
      </c>
      <c r="BK256">
        <v>0</v>
      </c>
      <c r="BL256">
        <v>0</v>
      </c>
      <c r="BM256">
        <v>0</v>
      </c>
      <c r="BN256">
        <v>0</v>
      </c>
      <c r="BO256">
        <v>0</v>
      </c>
      <c r="BP256">
        <v>1</v>
      </c>
      <c r="BQ256" s="28">
        <v>0</v>
      </c>
      <c r="BR256">
        <v>0</v>
      </c>
      <c r="BS256">
        <v>1</v>
      </c>
      <c r="BT256" s="28">
        <v>0</v>
      </c>
      <c r="BU256">
        <v>0</v>
      </c>
      <c r="BV256">
        <v>0</v>
      </c>
      <c r="BW256">
        <v>0</v>
      </c>
      <c r="BX256">
        <v>0</v>
      </c>
      <c r="BY256">
        <v>0</v>
      </c>
      <c r="BZ256">
        <v>1</v>
      </c>
      <c r="CA256">
        <v>0</v>
      </c>
      <c r="CB256">
        <v>0</v>
      </c>
      <c r="CC256">
        <v>1</v>
      </c>
      <c r="CD256">
        <v>0</v>
      </c>
      <c r="CE256" s="16">
        <v>0</v>
      </c>
      <c r="CF256">
        <v>0</v>
      </c>
      <c r="CG256">
        <v>17</v>
      </c>
      <c r="CH256">
        <v>0</v>
      </c>
      <c r="CI256">
        <v>1</v>
      </c>
      <c r="CJ256">
        <v>5</v>
      </c>
      <c r="CK256" t="s">
        <v>46</v>
      </c>
    </row>
    <row r="257" spans="1:89" x14ac:dyDescent="0.25">
      <c r="A257">
        <v>256</v>
      </c>
      <c r="B257">
        <v>14</v>
      </c>
      <c r="C257" t="s">
        <v>369</v>
      </c>
      <c r="D257" s="79">
        <v>7.13</v>
      </c>
      <c r="E257" s="6">
        <f t="shared" si="39"/>
        <v>0.64995442114858704</v>
      </c>
      <c r="F257" s="6">
        <v>10.97</v>
      </c>
      <c r="G257" s="78">
        <v>0</v>
      </c>
      <c r="H257" s="70">
        <v>0</v>
      </c>
      <c r="I257" s="70">
        <v>0</v>
      </c>
      <c r="J257" s="70">
        <v>1</v>
      </c>
      <c r="K257" s="70">
        <v>0</v>
      </c>
      <c r="L257" s="78">
        <v>7855</v>
      </c>
      <c r="M257" s="70">
        <v>9</v>
      </c>
      <c r="N257" s="70">
        <f t="shared" si="34"/>
        <v>7845</v>
      </c>
      <c r="O257" s="60">
        <f t="shared" si="35"/>
        <v>21</v>
      </c>
      <c r="P257" s="6">
        <v>12.9</v>
      </c>
      <c r="Q257" s="6">
        <f t="shared" si="37"/>
        <v>19.100000000000001</v>
      </c>
      <c r="R257" s="78">
        <v>1</v>
      </c>
      <c r="S257" s="70">
        <v>0</v>
      </c>
      <c r="T257" s="78">
        <v>1</v>
      </c>
      <c r="U257" s="70">
        <v>0</v>
      </c>
      <c r="V257" s="70">
        <v>0</v>
      </c>
      <c r="W257" s="70">
        <v>0</v>
      </c>
      <c r="X257" s="78">
        <v>0</v>
      </c>
      <c r="Y257" s="70">
        <v>0</v>
      </c>
      <c r="Z257" s="70">
        <v>1</v>
      </c>
      <c r="AA257" s="78">
        <v>0</v>
      </c>
      <c r="AB257" s="70">
        <v>1</v>
      </c>
      <c r="AC257" s="69">
        <v>1981</v>
      </c>
      <c r="AD257" t="s">
        <v>57</v>
      </c>
      <c r="AE257" t="s">
        <v>57</v>
      </c>
      <c r="AF257" t="s">
        <v>57</v>
      </c>
      <c r="AG257" t="s">
        <v>57</v>
      </c>
      <c r="AH257" s="28">
        <f t="shared" si="40"/>
        <v>0.94299999999999995</v>
      </c>
      <c r="AI257">
        <v>5.7000000000000002E-2</v>
      </c>
      <c r="AJ257" s="28">
        <v>0.51700000000000002</v>
      </c>
      <c r="AK257">
        <f t="shared" si="38"/>
        <v>0.48299999999999998</v>
      </c>
      <c r="AL257" s="28">
        <f t="shared" si="41"/>
        <v>0.96099999999999997</v>
      </c>
      <c r="AM257">
        <v>3.9E-2</v>
      </c>
      <c r="AN257">
        <v>0</v>
      </c>
      <c r="AO257">
        <v>1</v>
      </c>
      <c r="AP257" s="28">
        <f t="shared" si="42"/>
        <v>0.48299999999999998</v>
      </c>
      <c r="AQ257" s="12">
        <v>0.51700000000000002</v>
      </c>
      <c r="AR257">
        <v>4.4000000000000003E-3</v>
      </c>
      <c r="AS257">
        <f t="shared" si="44"/>
        <v>1.0199999999999945E-2</v>
      </c>
      <c r="AT257">
        <v>0.98540000000000005</v>
      </c>
      <c r="AU257" s="28" t="s">
        <v>87</v>
      </c>
      <c r="AV257">
        <v>1</v>
      </c>
      <c r="AW257">
        <v>0</v>
      </c>
      <c r="AX257">
        <v>0</v>
      </c>
      <c r="AY257">
        <v>0</v>
      </c>
      <c r="AZ257">
        <v>0</v>
      </c>
      <c r="BA257">
        <v>0</v>
      </c>
      <c r="BB257">
        <v>0</v>
      </c>
      <c r="BC257">
        <v>1</v>
      </c>
      <c r="BD257">
        <v>0</v>
      </c>
      <c r="BE257">
        <v>0</v>
      </c>
      <c r="BF257">
        <v>19368</v>
      </c>
      <c r="BG257">
        <v>1730</v>
      </c>
      <c r="BH257">
        <v>0.91900000000000004</v>
      </c>
      <c r="BI257" s="64">
        <v>38</v>
      </c>
      <c r="BJ257">
        <v>0</v>
      </c>
      <c r="BK257">
        <v>0</v>
      </c>
      <c r="BL257">
        <v>0</v>
      </c>
      <c r="BM257">
        <v>0</v>
      </c>
      <c r="BN257">
        <v>0</v>
      </c>
      <c r="BO257">
        <v>0</v>
      </c>
      <c r="BP257">
        <v>1</v>
      </c>
      <c r="BQ257" s="28">
        <v>0</v>
      </c>
      <c r="BR257">
        <v>0</v>
      </c>
      <c r="BS257">
        <v>1</v>
      </c>
      <c r="BT257" s="28">
        <v>0</v>
      </c>
      <c r="BU257">
        <v>0</v>
      </c>
      <c r="BV257">
        <v>0</v>
      </c>
      <c r="BW257">
        <v>0</v>
      </c>
      <c r="BX257">
        <v>0</v>
      </c>
      <c r="BY257">
        <v>0</v>
      </c>
      <c r="BZ257">
        <v>1</v>
      </c>
      <c r="CA257">
        <v>0</v>
      </c>
      <c r="CB257">
        <v>0</v>
      </c>
      <c r="CC257">
        <v>1</v>
      </c>
      <c r="CD257">
        <v>0</v>
      </c>
      <c r="CE257" s="16">
        <v>0</v>
      </c>
      <c r="CF257">
        <v>0</v>
      </c>
      <c r="CG257">
        <v>17</v>
      </c>
      <c r="CH257">
        <v>0</v>
      </c>
      <c r="CI257">
        <v>1</v>
      </c>
      <c r="CJ257">
        <v>5</v>
      </c>
      <c r="CK257" t="s">
        <v>46</v>
      </c>
    </row>
    <row r="258" spans="1:89" x14ac:dyDescent="0.25">
      <c r="A258">
        <v>257</v>
      </c>
      <c r="B258">
        <v>14</v>
      </c>
      <c r="C258" t="s">
        <v>369</v>
      </c>
      <c r="D258" s="79">
        <v>5.25</v>
      </c>
      <c r="E258" s="6">
        <f t="shared" si="39"/>
        <v>0.75</v>
      </c>
      <c r="F258" s="6">
        <v>7</v>
      </c>
      <c r="G258" s="78">
        <v>0</v>
      </c>
      <c r="H258" s="70">
        <v>0</v>
      </c>
      <c r="I258" s="70">
        <v>0</v>
      </c>
      <c r="J258" s="70">
        <v>1</v>
      </c>
      <c r="K258" s="70">
        <v>0</v>
      </c>
      <c r="L258" s="78">
        <v>7855</v>
      </c>
      <c r="M258" s="70">
        <v>9</v>
      </c>
      <c r="N258" s="70">
        <f t="shared" ref="N258:N294" si="45">L258-M258-1</f>
        <v>7845</v>
      </c>
      <c r="O258" s="60">
        <f t="shared" ref="O258:O294" si="46">COUNTIF(B:B,B258)</f>
        <v>21</v>
      </c>
      <c r="P258" s="6">
        <v>12.9</v>
      </c>
      <c r="Q258" s="6">
        <f t="shared" si="37"/>
        <v>19.100000000000001</v>
      </c>
      <c r="R258" s="78">
        <v>1</v>
      </c>
      <c r="S258" s="70">
        <v>0</v>
      </c>
      <c r="T258" s="78">
        <v>1</v>
      </c>
      <c r="U258" s="70">
        <v>0</v>
      </c>
      <c r="V258" s="70">
        <v>0</v>
      </c>
      <c r="W258" s="70">
        <v>0</v>
      </c>
      <c r="X258" s="78">
        <v>0</v>
      </c>
      <c r="Y258" s="70">
        <v>0</v>
      </c>
      <c r="Z258" s="70">
        <v>1</v>
      </c>
      <c r="AA258" s="78">
        <v>0</v>
      </c>
      <c r="AB258" s="70">
        <v>1</v>
      </c>
      <c r="AC258" s="69">
        <v>1981</v>
      </c>
      <c r="AD258" t="s">
        <v>57</v>
      </c>
      <c r="AE258" t="s">
        <v>57</v>
      </c>
      <c r="AF258" t="s">
        <v>57</v>
      </c>
      <c r="AG258" t="s">
        <v>57</v>
      </c>
      <c r="AH258" s="28">
        <f t="shared" si="40"/>
        <v>0.94299999999999995</v>
      </c>
      <c r="AI258">
        <v>5.7000000000000002E-2</v>
      </c>
      <c r="AJ258" s="28">
        <v>0.51700000000000002</v>
      </c>
      <c r="AK258">
        <f t="shared" si="38"/>
        <v>0.48299999999999998</v>
      </c>
      <c r="AL258" s="28">
        <f t="shared" si="41"/>
        <v>0.96099999999999997</v>
      </c>
      <c r="AM258">
        <v>3.9E-2</v>
      </c>
      <c r="AN258">
        <v>0</v>
      </c>
      <c r="AO258">
        <v>1</v>
      </c>
      <c r="AP258" s="28">
        <f t="shared" si="42"/>
        <v>0.48299999999999998</v>
      </c>
      <c r="AQ258" s="12">
        <v>0.51700000000000002</v>
      </c>
      <c r="AR258">
        <v>4.4000000000000003E-3</v>
      </c>
      <c r="AS258">
        <f t="shared" si="44"/>
        <v>1.0199999999999945E-2</v>
      </c>
      <c r="AT258">
        <v>0.98540000000000005</v>
      </c>
      <c r="AU258" s="28" t="s">
        <v>87</v>
      </c>
      <c r="AV258">
        <v>1</v>
      </c>
      <c r="AW258">
        <v>0</v>
      </c>
      <c r="AX258">
        <v>0</v>
      </c>
      <c r="AY258">
        <v>0</v>
      </c>
      <c r="AZ258">
        <v>0</v>
      </c>
      <c r="BA258">
        <v>0</v>
      </c>
      <c r="BB258">
        <v>0</v>
      </c>
      <c r="BC258">
        <v>1</v>
      </c>
      <c r="BD258">
        <v>0</v>
      </c>
      <c r="BE258">
        <v>0</v>
      </c>
      <c r="BF258">
        <v>19368</v>
      </c>
      <c r="BG258">
        <v>1730</v>
      </c>
      <c r="BH258">
        <v>0.91900000000000004</v>
      </c>
      <c r="BI258" s="64">
        <v>38</v>
      </c>
      <c r="BJ258">
        <v>0</v>
      </c>
      <c r="BK258">
        <v>0</v>
      </c>
      <c r="BL258">
        <v>0</v>
      </c>
      <c r="BM258">
        <v>0</v>
      </c>
      <c r="BN258">
        <v>0</v>
      </c>
      <c r="BO258">
        <v>0</v>
      </c>
      <c r="BP258">
        <v>1</v>
      </c>
      <c r="BQ258" s="28">
        <v>0</v>
      </c>
      <c r="BR258">
        <v>0</v>
      </c>
      <c r="BS258">
        <v>1</v>
      </c>
      <c r="BT258" s="28">
        <v>0</v>
      </c>
      <c r="BU258">
        <v>0</v>
      </c>
      <c r="BV258">
        <v>0</v>
      </c>
      <c r="BW258">
        <v>0</v>
      </c>
      <c r="BX258">
        <v>0</v>
      </c>
      <c r="BY258">
        <v>0</v>
      </c>
      <c r="BZ258">
        <v>1</v>
      </c>
      <c r="CA258">
        <v>0</v>
      </c>
      <c r="CB258">
        <v>0</v>
      </c>
      <c r="CC258">
        <v>1</v>
      </c>
      <c r="CD258">
        <v>0</v>
      </c>
      <c r="CE258" s="16">
        <v>0</v>
      </c>
      <c r="CF258">
        <v>0</v>
      </c>
      <c r="CG258">
        <v>17</v>
      </c>
      <c r="CH258">
        <v>0</v>
      </c>
      <c r="CI258">
        <v>1</v>
      </c>
      <c r="CJ258">
        <v>5</v>
      </c>
      <c r="CK258" t="s">
        <v>46</v>
      </c>
    </row>
    <row r="259" spans="1:89" x14ac:dyDescent="0.25">
      <c r="A259">
        <v>258</v>
      </c>
      <c r="B259">
        <v>15</v>
      </c>
      <c r="C259" t="s">
        <v>375</v>
      </c>
      <c r="D259" s="79">
        <v>2.98</v>
      </c>
      <c r="E259" s="6">
        <v>0.05</v>
      </c>
      <c r="F259" s="6">
        <f t="shared" ref="F259:F294" si="47">D259/E259</f>
        <v>59.599999999999994</v>
      </c>
      <c r="G259" s="78">
        <v>0</v>
      </c>
      <c r="H259" s="70">
        <v>0</v>
      </c>
      <c r="I259" s="70">
        <v>0</v>
      </c>
      <c r="J259" s="70">
        <v>1</v>
      </c>
      <c r="K259" s="70">
        <v>0</v>
      </c>
      <c r="L259" s="78">
        <v>8740</v>
      </c>
      <c r="M259" s="70">
        <v>4</v>
      </c>
      <c r="N259" s="70">
        <f t="shared" si="45"/>
        <v>8735</v>
      </c>
      <c r="O259" s="60">
        <f t="shared" si="46"/>
        <v>16</v>
      </c>
      <c r="P259" s="6">
        <v>12.62</v>
      </c>
      <c r="Q259" s="6">
        <f t="shared" si="37"/>
        <v>19.75</v>
      </c>
      <c r="R259" s="78">
        <v>1</v>
      </c>
      <c r="S259" s="70">
        <v>0</v>
      </c>
      <c r="T259" s="78">
        <v>0</v>
      </c>
      <c r="U259" s="70">
        <v>0</v>
      </c>
      <c r="V259" s="70">
        <v>0</v>
      </c>
      <c r="W259" s="70">
        <v>1</v>
      </c>
      <c r="X259" s="78">
        <v>0</v>
      </c>
      <c r="Y259" s="70">
        <v>0</v>
      </c>
      <c r="Z259" s="70">
        <v>1</v>
      </c>
      <c r="AA259" s="78">
        <v>0</v>
      </c>
      <c r="AB259" s="70">
        <v>1</v>
      </c>
      <c r="AC259" s="69">
        <v>1991</v>
      </c>
      <c r="AD259" t="s">
        <v>57</v>
      </c>
      <c r="AE259" t="s">
        <v>57</v>
      </c>
      <c r="AF259" t="s">
        <v>57</v>
      </c>
      <c r="AG259" t="s">
        <v>57</v>
      </c>
      <c r="AH259" s="28">
        <v>1</v>
      </c>
      <c r="AI259">
        <v>0</v>
      </c>
      <c r="AJ259" s="28">
        <v>0.6</v>
      </c>
      <c r="AK259">
        <v>0.4</v>
      </c>
      <c r="AL259" s="28">
        <v>1</v>
      </c>
      <c r="AM259">
        <v>0</v>
      </c>
      <c r="AN259">
        <v>1</v>
      </c>
      <c r="AO259">
        <v>0</v>
      </c>
      <c r="AP259" s="28">
        <v>1</v>
      </c>
      <c r="AQ259" s="12">
        <v>0</v>
      </c>
      <c r="AR259">
        <v>1</v>
      </c>
      <c r="AS259">
        <v>0</v>
      </c>
      <c r="AT259">
        <v>0</v>
      </c>
      <c r="AU259" s="28" t="s">
        <v>387</v>
      </c>
      <c r="AV259">
        <v>1</v>
      </c>
      <c r="AW259">
        <v>0</v>
      </c>
      <c r="AX259">
        <v>0</v>
      </c>
      <c r="AY259">
        <v>0</v>
      </c>
      <c r="AZ259">
        <v>0</v>
      </c>
      <c r="BA259">
        <v>0</v>
      </c>
      <c r="BB259">
        <v>0</v>
      </c>
      <c r="BC259">
        <v>1</v>
      </c>
      <c r="BD259">
        <v>0</v>
      </c>
      <c r="BE259">
        <v>0</v>
      </c>
      <c r="BF259">
        <v>19392</v>
      </c>
      <c r="BG259">
        <v>856</v>
      </c>
      <c r="BH259">
        <v>0.96899999999999997</v>
      </c>
      <c r="BI259" s="64">
        <v>38.369999999999997</v>
      </c>
      <c r="BJ259">
        <v>1</v>
      </c>
      <c r="BK259">
        <v>0</v>
      </c>
      <c r="BL259">
        <v>0</v>
      </c>
      <c r="BM259">
        <v>0</v>
      </c>
      <c r="BN259">
        <v>0</v>
      </c>
      <c r="BO259">
        <v>0</v>
      </c>
      <c r="BP259">
        <v>0</v>
      </c>
      <c r="BQ259" s="28">
        <v>0</v>
      </c>
      <c r="BR259">
        <v>0</v>
      </c>
      <c r="BS259">
        <v>0</v>
      </c>
      <c r="BT259" s="28">
        <v>1</v>
      </c>
      <c r="BU259">
        <v>1</v>
      </c>
      <c r="BV259">
        <v>0</v>
      </c>
      <c r="BW259">
        <v>0</v>
      </c>
      <c r="BX259">
        <v>0</v>
      </c>
      <c r="BY259">
        <v>0</v>
      </c>
      <c r="BZ259">
        <v>0</v>
      </c>
      <c r="CA259">
        <v>0</v>
      </c>
      <c r="CB259">
        <v>0</v>
      </c>
      <c r="CC259">
        <v>0</v>
      </c>
      <c r="CD259">
        <v>1</v>
      </c>
      <c r="CE259" s="16">
        <v>0</v>
      </c>
      <c r="CF259">
        <v>0</v>
      </c>
      <c r="CG259">
        <v>8</v>
      </c>
      <c r="CH259">
        <v>0</v>
      </c>
      <c r="CI259">
        <v>1</v>
      </c>
      <c r="CJ259">
        <v>15</v>
      </c>
      <c r="CK259" t="s">
        <v>46</v>
      </c>
    </row>
    <row r="260" spans="1:89" x14ac:dyDescent="0.25">
      <c r="A260">
        <v>259</v>
      </c>
      <c r="B260">
        <v>15</v>
      </c>
      <c r="C260" t="s">
        <v>375</v>
      </c>
      <c r="D260" s="79">
        <v>3.31</v>
      </c>
      <c r="E260" s="6">
        <v>0.04</v>
      </c>
      <c r="F260" s="6">
        <f t="shared" si="47"/>
        <v>82.75</v>
      </c>
      <c r="G260" s="78">
        <v>0</v>
      </c>
      <c r="H260" s="70">
        <v>0</v>
      </c>
      <c r="I260" s="70">
        <v>0</v>
      </c>
      <c r="J260" s="70">
        <v>1</v>
      </c>
      <c r="K260" s="70">
        <v>0</v>
      </c>
      <c r="L260" s="78">
        <v>14136</v>
      </c>
      <c r="M260" s="70">
        <v>4</v>
      </c>
      <c r="N260" s="70">
        <f t="shared" si="45"/>
        <v>14131</v>
      </c>
      <c r="O260" s="60">
        <f t="shared" si="46"/>
        <v>16</v>
      </c>
      <c r="P260" s="6">
        <v>12.41</v>
      </c>
      <c r="Q260" s="6">
        <f t="shared" si="37"/>
        <v>20.930000000000003</v>
      </c>
      <c r="R260" s="78">
        <v>1</v>
      </c>
      <c r="S260" s="70">
        <v>0</v>
      </c>
      <c r="T260" s="78">
        <v>0</v>
      </c>
      <c r="U260" s="70">
        <v>0</v>
      </c>
      <c r="V260" s="70">
        <v>0</v>
      </c>
      <c r="W260" s="70">
        <v>1</v>
      </c>
      <c r="X260" s="78">
        <v>0</v>
      </c>
      <c r="Y260" s="70">
        <v>0</v>
      </c>
      <c r="Z260" s="70">
        <v>1</v>
      </c>
      <c r="AA260" s="78">
        <v>0</v>
      </c>
      <c r="AB260" s="70">
        <v>1</v>
      </c>
      <c r="AC260" s="69">
        <v>1991</v>
      </c>
      <c r="AD260" t="s">
        <v>57</v>
      </c>
      <c r="AE260" t="s">
        <v>57</v>
      </c>
      <c r="AF260" t="s">
        <v>57</v>
      </c>
      <c r="AG260" t="s">
        <v>57</v>
      </c>
      <c r="AH260" s="28">
        <v>1</v>
      </c>
      <c r="AI260">
        <v>0</v>
      </c>
      <c r="AJ260" s="28">
        <v>0.6</v>
      </c>
      <c r="AK260">
        <v>0.4</v>
      </c>
      <c r="AL260" s="28">
        <v>1</v>
      </c>
      <c r="AM260">
        <v>0</v>
      </c>
      <c r="AN260">
        <v>1</v>
      </c>
      <c r="AO260">
        <v>0</v>
      </c>
      <c r="AP260" s="28">
        <v>1</v>
      </c>
      <c r="AQ260" s="12">
        <v>0</v>
      </c>
      <c r="AR260">
        <v>0</v>
      </c>
      <c r="AS260">
        <v>1</v>
      </c>
      <c r="AT260">
        <v>0</v>
      </c>
      <c r="AU260" s="28" t="s">
        <v>387</v>
      </c>
      <c r="AV260">
        <v>1</v>
      </c>
      <c r="AW260">
        <v>0</v>
      </c>
      <c r="AX260">
        <v>0</v>
      </c>
      <c r="AY260">
        <v>0</v>
      </c>
      <c r="AZ260">
        <v>0</v>
      </c>
      <c r="BA260">
        <v>0</v>
      </c>
      <c r="BB260">
        <v>0</v>
      </c>
      <c r="BC260">
        <v>1</v>
      </c>
      <c r="BD260">
        <v>0</v>
      </c>
      <c r="BE260">
        <v>0</v>
      </c>
      <c r="BF260">
        <v>19392</v>
      </c>
      <c r="BG260">
        <v>856</v>
      </c>
      <c r="BH260">
        <v>0.96899999999999997</v>
      </c>
      <c r="BI260" s="64">
        <v>39.340000000000003</v>
      </c>
      <c r="BJ260">
        <v>1</v>
      </c>
      <c r="BK260">
        <v>0</v>
      </c>
      <c r="BL260">
        <v>0</v>
      </c>
      <c r="BM260">
        <v>0</v>
      </c>
      <c r="BN260">
        <v>0</v>
      </c>
      <c r="BO260">
        <v>0</v>
      </c>
      <c r="BP260">
        <v>0</v>
      </c>
      <c r="BQ260" s="28">
        <v>0</v>
      </c>
      <c r="BR260">
        <v>0</v>
      </c>
      <c r="BS260">
        <v>0</v>
      </c>
      <c r="BT260" s="28">
        <v>1</v>
      </c>
      <c r="BU260">
        <v>1</v>
      </c>
      <c r="BV260">
        <v>0</v>
      </c>
      <c r="BW260">
        <v>0</v>
      </c>
      <c r="BX260">
        <v>0</v>
      </c>
      <c r="BY260">
        <v>0</v>
      </c>
      <c r="BZ260">
        <v>0</v>
      </c>
      <c r="CA260">
        <v>0</v>
      </c>
      <c r="CB260">
        <v>0</v>
      </c>
      <c r="CC260">
        <v>0</v>
      </c>
      <c r="CD260">
        <v>1</v>
      </c>
      <c r="CE260" s="16">
        <v>0</v>
      </c>
      <c r="CF260">
        <v>0</v>
      </c>
      <c r="CG260">
        <v>8</v>
      </c>
      <c r="CH260">
        <v>0</v>
      </c>
      <c r="CI260">
        <v>1</v>
      </c>
      <c r="CJ260">
        <v>15</v>
      </c>
      <c r="CK260" t="s">
        <v>46</v>
      </c>
    </row>
    <row r="261" spans="1:89" x14ac:dyDescent="0.25">
      <c r="A261">
        <v>260</v>
      </c>
      <c r="B261">
        <v>15</v>
      </c>
      <c r="C261" t="s">
        <v>375</v>
      </c>
      <c r="D261" s="79">
        <v>3.73</v>
      </c>
      <c r="E261" s="6">
        <v>0.06</v>
      </c>
      <c r="F261" s="6">
        <f t="shared" si="47"/>
        <v>62.166666666666671</v>
      </c>
      <c r="G261" s="78">
        <v>0</v>
      </c>
      <c r="H261" s="70">
        <v>0</v>
      </c>
      <c r="I261" s="70">
        <v>0</v>
      </c>
      <c r="J261" s="70">
        <v>1</v>
      </c>
      <c r="K261" s="70">
        <v>0</v>
      </c>
      <c r="L261" s="78">
        <v>8000</v>
      </c>
      <c r="M261" s="70">
        <v>4</v>
      </c>
      <c r="N261" s="70">
        <f t="shared" si="45"/>
        <v>7995</v>
      </c>
      <c r="O261" s="60">
        <f t="shared" si="46"/>
        <v>16</v>
      </c>
      <c r="P261" s="6">
        <v>12.5</v>
      </c>
      <c r="Q261" s="6">
        <f t="shared" si="37"/>
        <v>19.189999999999998</v>
      </c>
      <c r="R261" s="78">
        <v>1</v>
      </c>
      <c r="S261" s="70">
        <v>0</v>
      </c>
      <c r="T261" s="78">
        <v>0</v>
      </c>
      <c r="U261" s="70">
        <v>0</v>
      </c>
      <c r="V261" s="70">
        <v>0</v>
      </c>
      <c r="W261" s="70">
        <v>1</v>
      </c>
      <c r="X261" s="78">
        <v>0</v>
      </c>
      <c r="Y261" s="70">
        <v>0</v>
      </c>
      <c r="Z261" s="70">
        <v>1</v>
      </c>
      <c r="AA261" s="78">
        <v>0</v>
      </c>
      <c r="AB261" s="70">
        <v>1</v>
      </c>
      <c r="AC261" s="69">
        <v>1991</v>
      </c>
      <c r="AD261" t="s">
        <v>57</v>
      </c>
      <c r="AE261" t="s">
        <v>57</v>
      </c>
      <c r="AF261" t="s">
        <v>57</v>
      </c>
      <c r="AG261" t="s">
        <v>57</v>
      </c>
      <c r="AH261" s="28">
        <v>1</v>
      </c>
      <c r="AI261">
        <v>0</v>
      </c>
      <c r="AJ261" s="28">
        <v>0.6</v>
      </c>
      <c r="AK261">
        <v>0.4</v>
      </c>
      <c r="AL261" s="28">
        <v>1</v>
      </c>
      <c r="AM261">
        <v>0</v>
      </c>
      <c r="AN261">
        <v>1</v>
      </c>
      <c r="AO261">
        <v>0</v>
      </c>
      <c r="AP261" s="28">
        <v>1</v>
      </c>
      <c r="AQ261" s="12">
        <v>0</v>
      </c>
      <c r="AR261">
        <v>1</v>
      </c>
      <c r="AS261">
        <v>0</v>
      </c>
      <c r="AT261">
        <v>0</v>
      </c>
      <c r="AU261" s="28" t="s">
        <v>387</v>
      </c>
      <c r="AV261">
        <v>1</v>
      </c>
      <c r="AW261">
        <v>0</v>
      </c>
      <c r="AX261">
        <v>0</v>
      </c>
      <c r="AY261">
        <v>0</v>
      </c>
      <c r="AZ261">
        <v>0</v>
      </c>
      <c r="BA261">
        <v>0</v>
      </c>
      <c r="BB261">
        <v>0</v>
      </c>
      <c r="BC261">
        <v>1</v>
      </c>
      <c r="BD261">
        <v>0</v>
      </c>
      <c r="BE261">
        <v>0</v>
      </c>
      <c r="BF261">
        <v>19392</v>
      </c>
      <c r="BG261">
        <v>856</v>
      </c>
      <c r="BH261">
        <v>0.96899999999999997</v>
      </c>
      <c r="BI261" s="64">
        <v>37.69</v>
      </c>
      <c r="BJ261">
        <v>1</v>
      </c>
      <c r="BK261">
        <v>0</v>
      </c>
      <c r="BL261">
        <v>0</v>
      </c>
      <c r="BM261">
        <v>0</v>
      </c>
      <c r="BN261">
        <v>0</v>
      </c>
      <c r="BO261">
        <v>0</v>
      </c>
      <c r="BP261">
        <v>0</v>
      </c>
      <c r="BQ261" s="28">
        <v>0</v>
      </c>
      <c r="BR261">
        <v>0</v>
      </c>
      <c r="BS261">
        <v>0</v>
      </c>
      <c r="BT261" s="28">
        <v>1</v>
      </c>
      <c r="BU261">
        <v>1</v>
      </c>
      <c r="BV261">
        <v>0</v>
      </c>
      <c r="BW261">
        <v>0</v>
      </c>
      <c r="BX261">
        <v>0</v>
      </c>
      <c r="BY261">
        <v>0</v>
      </c>
      <c r="BZ261">
        <v>0</v>
      </c>
      <c r="CA261">
        <v>0</v>
      </c>
      <c r="CB261">
        <v>0</v>
      </c>
      <c r="CC261">
        <v>0</v>
      </c>
      <c r="CD261">
        <v>1</v>
      </c>
      <c r="CE261" s="16">
        <v>0</v>
      </c>
      <c r="CF261">
        <v>0</v>
      </c>
      <c r="CG261">
        <v>8</v>
      </c>
      <c r="CH261">
        <v>0</v>
      </c>
      <c r="CI261">
        <v>1</v>
      </c>
      <c r="CJ261">
        <v>15</v>
      </c>
      <c r="CK261" t="s">
        <v>46</v>
      </c>
    </row>
    <row r="262" spans="1:89" x14ac:dyDescent="0.25">
      <c r="A262">
        <v>261</v>
      </c>
      <c r="B262">
        <v>15</v>
      </c>
      <c r="C262" t="s">
        <v>375</v>
      </c>
      <c r="D262" s="79">
        <v>3.7</v>
      </c>
      <c r="E262" s="6">
        <v>0.05</v>
      </c>
      <c r="F262" s="6">
        <f t="shared" si="47"/>
        <v>74</v>
      </c>
      <c r="G262" s="78">
        <v>0</v>
      </c>
      <c r="H262" s="70">
        <v>0</v>
      </c>
      <c r="I262" s="70">
        <v>0</v>
      </c>
      <c r="J262" s="70">
        <v>1</v>
      </c>
      <c r="K262" s="70">
        <v>0</v>
      </c>
      <c r="L262" s="78">
        <v>11236</v>
      </c>
      <c r="M262" s="70">
        <v>4</v>
      </c>
      <c r="N262" s="70">
        <f t="shared" si="45"/>
        <v>11231</v>
      </c>
      <c r="O262" s="60">
        <f t="shared" si="46"/>
        <v>16</v>
      </c>
      <c r="P262" s="6">
        <v>12.16</v>
      </c>
      <c r="Q262" s="6">
        <f t="shared" si="37"/>
        <v>20.69</v>
      </c>
      <c r="R262" s="78">
        <v>1</v>
      </c>
      <c r="S262" s="70">
        <v>0</v>
      </c>
      <c r="T262" s="78">
        <v>0</v>
      </c>
      <c r="U262" s="70">
        <v>0</v>
      </c>
      <c r="V262" s="70">
        <v>0</v>
      </c>
      <c r="W262" s="70">
        <v>1</v>
      </c>
      <c r="X262" s="78">
        <v>0</v>
      </c>
      <c r="Y262" s="70">
        <v>0</v>
      </c>
      <c r="Z262" s="70">
        <v>1</v>
      </c>
      <c r="AA262" s="78">
        <v>0</v>
      </c>
      <c r="AB262" s="70">
        <v>1</v>
      </c>
      <c r="AC262" s="69">
        <v>1991</v>
      </c>
      <c r="AD262" t="s">
        <v>57</v>
      </c>
      <c r="AE262" t="s">
        <v>57</v>
      </c>
      <c r="AF262" t="s">
        <v>57</v>
      </c>
      <c r="AG262" t="s">
        <v>57</v>
      </c>
      <c r="AH262" s="28">
        <v>1</v>
      </c>
      <c r="AI262">
        <v>0</v>
      </c>
      <c r="AJ262" s="28">
        <v>0.6</v>
      </c>
      <c r="AK262">
        <v>0.4</v>
      </c>
      <c r="AL262" s="28">
        <v>1</v>
      </c>
      <c r="AM262">
        <v>0</v>
      </c>
      <c r="AN262">
        <v>1</v>
      </c>
      <c r="AO262">
        <v>0</v>
      </c>
      <c r="AP262" s="28">
        <v>1</v>
      </c>
      <c r="AQ262" s="12">
        <v>0</v>
      </c>
      <c r="AR262">
        <v>0</v>
      </c>
      <c r="AS262">
        <v>1</v>
      </c>
      <c r="AT262">
        <v>0</v>
      </c>
      <c r="AU262" s="28" t="s">
        <v>387</v>
      </c>
      <c r="AV262">
        <v>1</v>
      </c>
      <c r="AW262">
        <v>0</v>
      </c>
      <c r="AX262">
        <v>0</v>
      </c>
      <c r="AY262">
        <v>0</v>
      </c>
      <c r="AZ262">
        <v>0</v>
      </c>
      <c r="BA262">
        <v>0</v>
      </c>
      <c r="BB262">
        <v>0</v>
      </c>
      <c r="BC262">
        <v>1</v>
      </c>
      <c r="BD262">
        <v>0</v>
      </c>
      <c r="BE262">
        <v>0</v>
      </c>
      <c r="BF262">
        <v>19392</v>
      </c>
      <c r="BG262">
        <v>856</v>
      </c>
      <c r="BH262">
        <v>0.96899999999999997</v>
      </c>
      <c r="BI262" s="64">
        <v>38.85</v>
      </c>
      <c r="BJ262">
        <v>1</v>
      </c>
      <c r="BK262">
        <v>0</v>
      </c>
      <c r="BL262">
        <v>0</v>
      </c>
      <c r="BM262">
        <v>0</v>
      </c>
      <c r="BN262">
        <v>0</v>
      </c>
      <c r="BO262">
        <v>0</v>
      </c>
      <c r="BP262">
        <v>0</v>
      </c>
      <c r="BQ262" s="28">
        <v>0</v>
      </c>
      <c r="BR262">
        <v>0</v>
      </c>
      <c r="BS262">
        <v>0</v>
      </c>
      <c r="BT262" s="28">
        <v>1</v>
      </c>
      <c r="BU262">
        <v>1</v>
      </c>
      <c r="BV262">
        <v>0</v>
      </c>
      <c r="BW262">
        <v>0</v>
      </c>
      <c r="BX262">
        <v>0</v>
      </c>
      <c r="BY262">
        <v>0</v>
      </c>
      <c r="BZ262">
        <v>0</v>
      </c>
      <c r="CA262">
        <v>0</v>
      </c>
      <c r="CB262">
        <v>0</v>
      </c>
      <c r="CC262">
        <v>0</v>
      </c>
      <c r="CD262">
        <v>1</v>
      </c>
      <c r="CE262" s="16">
        <v>0</v>
      </c>
      <c r="CF262">
        <v>0</v>
      </c>
      <c r="CG262">
        <v>8</v>
      </c>
      <c r="CH262">
        <v>0</v>
      </c>
      <c r="CI262">
        <v>1</v>
      </c>
      <c r="CJ262">
        <v>15</v>
      </c>
      <c r="CK262" t="s">
        <v>46</v>
      </c>
    </row>
    <row r="263" spans="1:89" x14ac:dyDescent="0.25">
      <c r="A263">
        <v>262</v>
      </c>
      <c r="B263">
        <v>15</v>
      </c>
      <c r="C263" t="s">
        <v>375</v>
      </c>
      <c r="D263" s="79">
        <v>3.17</v>
      </c>
      <c r="E263" s="6">
        <v>0.03</v>
      </c>
      <c r="F263" s="6">
        <f t="shared" si="47"/>
        <v>105.66666666666667</v>
      </c>
      <c r="G263" s="78">
        <v>0</v>
      </c>
      <c r="H263" s="70">
        <v>0</v>
      </c>
      <c r="I263" s="70">
        <v>0</v>
      </c>
      <c r="J263" s="70">
        <v>1</v>
      </c>
      <c r="K263" s="70">
        <v>0</v>
      </c>
      <c r="L263" s="78">
        <v>22876</v>
      </c>
      <c r="M263" s="70">
        <v>4</v>
      </c>
      <c r="N263" s="70">
        <f t="shared" si="45"/>
        <v>22871</v>
      </c>
      <c r="O263" s="60">
        <f t="shared" si="46"/>
        <v>16</v>
      </c>
      <c r="P263" s="6">
        <v>12.49</v>
      </c>
      <c r="Q263" s="6">
        <f t="shared" si="37"/>
        <v>20.479999999999997</v>
      </c>
      <c r="R263" s="78">
        <v>1</v>
      </c>
      <c r="S263" s="70">
        <v>0</v>
      </c>
      <c r="T263" s="78">
        <v>0</v>
      </c>
      <c r="U263" s="70">
        <v>0</v>
      </c>
      <c r="V263" s="70">
        <v>0</v>
      </c>
      <c r="W263" s="70">
        <v>1</v>
      </c>
      <c r="X263" s="78">
        <v>0</v>
      </c>
      <c r="Y263" s="70">
        <v>0</v>
      </c>
      <c r="Z263" s="70">
        <v>1</v>
      </c>
      <c r="AA263" s="78">
        <v>0</v>
      </c>
      <c r="AB263" s="70">
        <v>1</v>
      </c>
      <c r="AC263" s="69">
        <v>1991</v>
      </c>
      <c r="AD263" t="s">
        <v>57</v>
      </c>
      <c r="AE263" t="s">
        <v>57</v>
      </c>
      <c r="AF263" t="s">
        <v>57</v>
      </c>
      <c r="AG263" t="s">
        <v>57</v>
      </c>
      <c r="AH263" s="28">
        <v>1</v>
      </c>
      <c r="AI263">
        <v>0</v>
      </c>
      <c r="AJ263" s="28">
        <v>0.6</v>
      </c>
      <c r="AK263">
        <v>0.4</v>
      </c>
      <c r="AL263" s="28">
        <v>1</v>
      </c>
      <c r="AM263">
        <v>0</v>
      </c>
      <c r="AN263">
        <v>1</v>
      </c>
      <c r="AO263">
        <v>0</v>
      </c>
      <c r="AP263" s="28">
        <v>1</v>
      </c>
      <c r="AQ263" s="12">
        <v>0</v>
      </c>
      <c r="AR263">
        <v>0.6179</v>
      </c>
      <c r="AS263">
        <v>0.3821</v>
      </c>
      <c r="AT263">
        <v>0</v>
      </c>
      <c r="AU263" s="28" t="s">
        <v>387</v>
      </c>
      <c r="AV263">
        <v>1</v>
      </c>
      <c r="AW263">
        <v>0</v>
      </c>
      <c r="AX263">
        <v>0</v>
      </c>
      <c r="AY263">
        <v>0</v>
      </c>
      <c r="AZ263">
        <v>0</v>
      </c>
      <c r="BA263">
        <v>0</v>
      </c>
      <c r="BB263">
        <v>0</v>
      </c>
      <c r="BC263">
        <v>1</v>
      </c>
      <c r="BD263">
        <v>0</v>
      </c>
      <c r="BE263">
        <v>0</v>
      </c>
      <c r="BF263">
        <v>19392</v>
      </c>
      <c r="BG263">
        <v>856</v>
      </c>
      <c r="BH263">
        <v>0.96899999999999997</v>
      </c>
      <c r="BI263" s="64">
        <v>38.97</v>
      </c>
      <c r="BJ263">
        <v>1</v>
      </c>
      <c r="BK263">
        <v>0</v>
      </c>
      <c r="BL263">
        <v>0</v>
      </c>
      <c r="BM263">
        <v>0</v>
      </c>
      <c r="BN263">
        <v>0</v>
      </c>
      <c r="BO263">
        <v>0</v>
      </c>
      <c r="BP263">
        <v>0</v>
      </c>
      <c r="BQ263" s="28">
        <v>0</v>
      </c>
      <c r="BR263">
        <v>0</v>
      </c>
      <c r="BS263">
        <v>0</v>
      </c>
      <c r="BT263" s="28">
        <v>1</v>
      </c>
      <c r="BU263">
        <v>1</v>
      </c>
      <c r="BV263">
        <v>0</v>
      </c>
      <c r="BW263">
        <v>0</v>
      </c>
      <c r="BX263">
        <v>0</v>
      </c>
      <c r="BY263">
        <v>0</v>
      </c>
      <c r="BZ263">
        <v>0</v>
      </c>
      <c r="CA263">
        <v>0</v>
      </c>
      <c r="CB263">
        <v>0</v>
      </c>
      <c r="CC263">
        <v>0</v>
      </c>
      <c r="CD263">
        <v>1</v>
      </c>
      <c r="CE263" s="16">
        <v>0</v>
      </c>
      <c r="CF263">
        <v>0</v>
      </c>
      <c r="CG263">
        <v>8</v>
      </c>
      <c r="CH263">
        <v>0</v>
      </c>
      <c r="CI263">
        <v>1</v>
      </c>
      <c r="CJ263">
        <v>15</v>
      </c>
      <c r="CK263" t="s">
        <v>46</v>
      </c>
    </row>
    <row r="264" spans="1:89" x14ac:dyDescent="0.25">
      <c r="A264">
        <v>263</v>
      </c>
      <c r="B264">
        <v>15</v>
      </c>
      <c r="C264" t="s">
        <v>375</v>
      </c>
      <c r="D264" s="79">
        <v>3.73</v>
      </c>
      <c r="E264" s="6">
        <v>0.03</v>
      </c>
      <c r="F264" s="6">
        <f t="shared" si="47"/>
        <v>124.33333333333334</v>
      </c>
      <c r="G264" s="78">
        <v>0</v>
      </c>
      <c r="H264" s="70">
        <v>0</v>
      </c>
      <c r="I264" s="70">
        <v>0</v>
      </c>
      <c r="J264" s="70">
        <v>1</v>
      </c>
      <c r="K264" s="70">
        <v>0</v>
      </c>
      <c r="L264" s="78">
        <v>19236</v>
      </c>
      <c r="M264" s="70">
        <v>4</v>
      </c>
      <c r="N264" s="70">
        <f t="shared" si="45"/>
        <v>19231</v>
      </c>
      <c r="O264" s="60">
        <f t="shared" si="46"/>
        <v>16</v>
      </c>
      <c r="P264" s="6">
        <v>12.3</v>
      </c>
      <c r="Q264" s="6">
        <f t="shared" si="37"/>
        <v>20.080000000000002</v>
      </c>
      <c r="R264" s="78">
        <v>1</v>
      </c>
      <c r="S264" s="70">
        <v>0</v>
      </c>
      <c r="T264" s="78">
        <v>0</v>
      </c>
      <c r="U264" s="70">
        <v>0</v>
      </c>
      <c r="V264" s="70">
        <v>0</v>
      </c>
      <c r="W264" s="70">
        <v>1</v>
      </c>
      <c r="X264" s="78">
        <v>0</v>
      </c>
      <c r="Y264" s="70">
        <v>0</v>
      </c>
      <c r="Z264" s="70">
        <v>1</v>
      </c>
      <c r="AA264" s="78">
        <v>0</v>
      </c>
      <c r="AB264" s="70">
        <v>1</v>
      </c>
      <c r="AC264" s="69">
        <v>1991</v>
      </c>
      <c r="AD264" t="s">
        <v>57</v>
      </c>
      <c r="AE264" t="s">
        <v>57</v>
      </c>
      <c r="AF264" t="s">
        <v>57</v>
      </c>
      <c r="AG264" t="s">
        <v>57</v>
      </c>
      <c r="AH264" s="28">
        <v>1</v>
      </c>
      <c r="AI264">
        <v>0</v>
      </c>
      <c r="AJ264" s="28">
        <v>0.6</v>
      </c>
      <c r="AK264">
        <v>0.4</v>
      </c>
      <c r="AL264" s="28">
        <v>1</v>
      </c>
      <c r="AM264">
        <v>0</v>
      </c>
      <c r="AN264">
        <v>1</v>
      </c>
      <c r="AO264">
        <v>0</v>
      </c>
      <c r="AP264" s="28">
        <v>1</v>
      </c>
      <c r="AQ264" s="12">
        <v>0</v>
      </c>
      <c r="AR264">
        <v>0.58409999999999995</v>
      </c>
      <c r="AS264">
        <v>0.41589999999999999</v>
      </c>
      <c r="AT264">
        <v>0</v>
      </c>
      <c r="AU264" s="28" t="s">
        <v>387</v>
      </c>
      <c r="AV264">
        <v>1</v>
      </c>
      <c r="AW264">
        <v>0</v>
      </c>
      <c r="AX264">
        <v>0</v>
      </c>
      <c r="AY264">
        <v>0</v>
      </c>
      <c r="AZ264">
        <v>0</v>
      </c>
      <c r="BA264">
        <v>0</v>
      </c>
      <c r="BB264">
        <v>0</v>
      </c>
      <c r="BC264">
        <v>1</v>
      </c>
      <c r="BD264">
        <v>0</v>
      </c>
      <c r="BE264">
        <v>0</v>
      </c>
      <c r="BF264">
        <v>19392</v>
      </c>
      <c r="BG264">
        <v>856</v>
      </c>
      <c r="BH264">
        <v>0.96899999999999997</v>
      </c>
      <c r="BI264" s="64">
        <v>38.380000000000003</v>
      </c>
      <c r="BJ264">
        <v>1</v>
      </c>
      <c r="BK264">
        <v>0</v>
      </c>
      <c r="BL264">
        <v>0</v>
      </c>
      <c r="BM264">
        <v>0</v>
      </c>
      <c r="BN264">
        <v>0</v>
      </c>
      <c r="BO264">
        <v>0</v>
      </c>
      <c r="BP264">
        <v>0</v>
      </c>
      <c r="BQ264" s="28">
        <v>0</v>
      </c>
      <c r="BR264">
        <v>0</v>
      </c>
      <c r="BS264">
        <v>0</v>
      </c>
      <c r="BT264" s="28">
        <v>1</v>
      </c>
      <c r="BU264">
        <v>1</v>
      </c>
      <c r="BV264">
        <v>0</v>
      </c>
      <c r="BW264">
        <v>0</v>
      </c>
      <c r="BX264">
        <v>0</v>
      </c>
      <c r="BY264">
        <v>0</v>
      </c>
      <c r="BZ264">
        <v>0</v>
      </c>
      <c r="CA264">
        <v>0</v>
      </c>
      <c r="CB264">
        <v>0</v>
      </c>
      <c r="CC264">
        <v>0</v>
      </c>
      <c r="CD264">
        <v>1</v>
      </c>
      <c r="CE264" s="16">
        <v>0</v>
      </c>
      <c r="CF264">
        <v>0</v>
      </c>
      <c r="CG264">
        <v>8</v>
      </c>
      <c r="CH264">
        <v>0</v>
      </c>
      <c r="CI264">
        <v>1</v>
      </c>
      <c r="CJ264">
        <v>15</v>
      </c>
      <c r="CK264" t="s">
        <v>46</v>
      </c>
    </row>
    <row r="265" spans="1:89" x14ac:dyDescent="0.25">
      <c r="A265">
        <v>264</v>
      </c>
      <c r="B265">
        <v>15</v>
      </c>
      <c r="C265" t="s">
        <v>375</v>
      </c>
      <c r="D265" s="79">
        <v>6.52</v>
      </c>
      <c r="E265" s="6">
        <v>0.11</v>
      </c>
      <c r="F265" s="6">
        <f t="shared" si="47"/>
        <v>59.272727272727266</v>
      </c>
      <c r="G265" s="78">
        <v>0</v>
      </c>
      <c r="H265" s="70">
        <v>0</v>
      </c>
      <c r="I265" s="70">
        <v>0</v>
      </c>
      <c r="J265" s="70">
        <v>1</v>
      </c>
      <c r="K265" s="70">
        <v>0</v>
      </c>
      <c r="L265" s="78">
        <v>22876</v>
      </c>
      <c r="M265" s="70">
        <v>4</v>
      </c>
      <c r="N265" s="70">
        <f t="shared" si="45"/>
        <v>22871</v>
      </c>
      <c r="O265" s="60">
        <f t="shared" si="46"/>
        <v>16</v>
      </c>
      <c r="P265" s="6">
        <v>12.49</v>
      </c>
      <c r="Q265" s="6">
        <f t="shared" si="37"/>
        <v>20.479999999999997</v>
      </c>
      <c r="R265" s="78">
        <v>1</v>
      </c>
      <c r="S265" s="70">
        <v>0</v>
      </c>
      <c r="T265" s="78">
        <v>0</v>
      </c>
      <c r="U265" s="70">
        <v>0</v>
      </c>
      <c r="V265" s="70">
        <v>0</v>
      </c>
      <c r="W265" s="70">
        <v>1</v>
      </c>
      <c r="X265" s="78">
        <v>0</v>
      </c>
      <c r="Y265" s="70">
        <v>0</v>
      </c>
      <c r="Z265" s="70">
        <v>1</v>
      </c>
      <c r="AA265" s="78">
        <v>0</v>
      </c>
      <c r="AB265" s="70">
        <v>1</v>
      </c>
      <c r="AC265" s="69">
        <v>1991</v>
      </c>
      <c r="AD265" t="s">
        <v>57</v>
      </c>
      <c r="AE265" t="s">
        <v>57</v>
      </c>
      <c r="AF265" t="s">
        <v>57</v>
      </c>
      <c r="AG265" t="s">
        <v>57</v>
      </c>
      <c r="AH265" s="28">
        <v>1</v>
      </c>
      <c r="AI265">
        <v>0</v>
      </c>
      <c r="AJ265" s="28">
        <v>0.6</v>
      </c>
      <c r="AK265">
        <v>0.4</v>
      </c>
      <c r="AL265" s="28">
        <v>1</v>
      </c>
      <c r="AM265">
        <v>0</v>
      </c>
      <c r="AN265">
        <v>1</v>
      </c>
      <c r="AO265">
        <v>0</v>
      </c>
      <c r="AP265" s="28">
        <v>1</v>
      </c>
      <c r="AQ265" s="12">
        <v>0</v>
      </c>
      <c r="AR265">
        <v>0.6179</v>
      </c>
      <c r="AS265">
        <v>0.3821</v>
      </c>
      <c r="AT265">
        <v>0</v>
      </c>
      <c r="AU265" s="28" t="s">
        <v>387</v>
      </c>
      <c r="AV265">
        <v>1</v>
      </c>
      <c r="AW265">
        <v>0</v>
      </c>
      <c r="AX265">
        <v>0</v>
      </c>
      <c r="AY265">
        <v>0</v>
      </c>
      <c r="AZ265">
        <v>0</v>
      </c>
      <c r="BA265">
        <v>0</v>
      </c>
      <c r="BB265">
        <v>0</v>
      </c>
      <c r="BC265">
        <v>1</v>
      </c>
      <c r="BD265">
        <v>0</v>
      </c>
      <c r="BE265">
        <v>0</v>
      </c>
      <c r="BF265">
        <v>19392</v>
      </c>
      <c r="BG265">
        <v>856</v>
      </c>
      <c r="BH265">
        <v>0.96899999999999997</v>
      </c>
      <c r="BI265" s="64">
        <v>38.97</v>
      </c>
      <c r="BJ265">
        <v>0</v>
      </c>
      <c r="BK265">
        <v>0</v>
      </c>
      <c r="BL265">
        <v>0</v>
      </c>
      <c r="BM265">
        <v>0</v>
      </c>
      <c r="BN265">
        <v>0</v>
      </c>
      <c r="BO265">
        <v>0</v>
      </c>
      <c r="BP265">
        <v>1</v>
      </c>
      <c r="BQ265" s="28">
        <v>1</v>
      </c>
      <c r="BR265">
        <v>0</v>
      </c>
      <c r="BS265">
        <v>0</v>
      </c>
      <c r="BT265" s="28">
        <v>1</v>
      </c>
      <c r="BU265">
        <v>1</v>
      </c>
      <c r="BV265">
        <v>0</v>
      </c>
      <c r="BW265">
        <v>0</v>
      </c>
      <c r="BX265">
        <v>0</v>
      </c>
      <c r="BY265">
        <v>0</v>
      </c>
      <c r="BZ265">
        <v>0</v>
      </c>
      <c r="CA265">
        <v>0</v>
      </c>
      <c r="CB265">
        <v>0</v>
      </c>
      <c r="CC265">
        <v>0</v>
      </c>
      <c r="CD265">
        <v>1</v>
      </c>
      <c r="CE265" s="16">
        <v>0</v>
      </c>
      <c r="CF265">
        <v>0</v>
      </c>
      <c r="CG265">
        <v>8</v>
      </c>
      <c r="CH265">
        <v>0</v>
      </c>
      <c r="CI265">
        <v>1</v>
      </c>
      <c r="CJ265">
        <v>15</v>
      </c>
      <c r="CK265" t="s">
        <v>46</v>
      </c>
    </row>
    <row r="266" spans="1:89" x14ac:dyDescent="0.25">
      <c r="A266">
        <v>265</v>
      </c>
      <c r="B266">
        <v>15</v>
      </c>
      <c r="C266" t="s">
        <v>375</v>
      </c>
      <c r="D266" s="79">
        <v>5.42</v>
      </c>
      <c r="E266" s="6">
        <v>0.14000000000000001</v>
      </c>
      <c r="F266" s="6">
        <f t="shared" si="47"/>
        <v>38.714285714285708</v>
      </c>
      <c r="G266" s="78">
        <v>0</v>
      </c>
      <c r="H266" s="70">
        <v>0</v>
      </c>
      <c r="I266" s="70">
        <v>0</v>
      </c>
      <c r="J266" s="70">
        <v>1</v>
      </c>
      <c r="K266" s="70">
        <v>0</v>
      </c>
      <c r="L266" s="78">
        <v>19236</v>
      </c>
      <c r="M266" s="70">
        <v>4</v>
      </c>
      <c r="N266" s="70">
        <f t="shared" si="45"/>
        <v>19231</v>
      </c>
      <c r="O266" s="60">
        <f t="shared" si="46"/>
        <v>16</v>
      </c>
      <c r="P266" s="6">
        <v>12.3</v>
      </c>
      <c r="Q266" s="6">
        <f t="shared" si="37"/>
        <v>20.080000000000002</v>
      </c>
      <c r="R266" s="78">
        <v>1</v>
      </c>
      <c r="S266" s="70">
        <v>0</v>
      </c>
      <c r="T266" s="78">
        <v>0</v>
      </c>
      <c r="U266" s="70">
        <v>0</v>
      </c>
      <c r="V266" s="70">
        <v>0</v>
      </c>
      <c r="W266" s="70">
        <v>1</v>
      </c>
      <c r="X266" s="78">
        <v>0</v>
      </c>
      <c r="Y266" s="70">
        <v>0</v>
      </c>
      <c r="Z266" s="70">
        <v>1</v>
      </c>
      <c r="AA266" s="78">
        <v>0</v>
      </c>
      <c r="AB266" s="70">
        <v>1</v>
      </c>
      <c r="AC266" s="69">
        <v>1991</v>
      </c>
      <c r="AD266" t="s">
        <v>57</v>
      </c>
      <c r="AE266" t="s">
        <v>57</v>
      </c>
      <c r="AF266" t="s">
        <v>57</v>
      </c>
      <c r="AG266" t="s">
        <v>57</v>
      </c>
      <c r="AH266" s="28">
        <v>1</v>
      </c>
      <c r="AI266">
        <v>0</v>
      </c>
      <c r="AJ266" s="28">
        <v>0.6</v>
      </c>
      <c r="AK266">
        <v>0.4</v>
      </c>
      <c r="AL266" s="28">
        <v>1</v>
      </c>
      <c r="AM266">
        <v>0</v>
      </c>
      <c r="AN266">
        <v>1</v>
      </c>
      <c r="AO266">
        <v>0</v>
      </c>
      <c r="AP266" s="28">
        <v>1</v>
      </c>
      <c r="AQ266" s="12">
        <v>0</v>
      </c>
      <c r="AR266">
        <v>0.58409999999999995</v>
      </c>
      <c r="AS266">
        <v>0.41589999999999999</v>
      </c>
      <c r="AT266">
        <v>0</v>
      </c>
      <c r="AU266" s="28" t="s">
        <v>387</v>
      </c>
      <c r="AV266">
        <v>1</v>
      </c>
      <c r="AW266">
        <v>0</v>
      </c>
      <c r="AX266">
        <v>0</v>
      </c>
      <c r="AY266">
        <v>0</v>
      </c>
      <c r="AZ266">
        <v>0</v>
      </c>
      <c r="BA266">
        <v>0</v>
      </c>
      <c r="BB266">
        <v>0</v>
      </c>
      <c r="BC266">
        <v>1</v>
      </c>
      <c r="BD266">
        <v>0</v>
      </c>
      <c r="BE266">
        <v>0</v>
      </c>
      <c r="BF266">
        <v>19392</v>
      </c>
      <c r="BG266">
        <v>856</v>
      </c>
      <c r="BH266">
        <v>0.96899999999999997</v>
      </c>
      <c r="BI266" s="64">
        <v>38.380000000000003</v>
      </c>
      <c r="BJ266">
        <v>0</v>
      </c>
      <c r="BK266">
        <v>0</v>
      </c>
      <c r="BL266">
        <v>0</v>
      </c>
      <c r="BM266">
        <v>0</v>
      </c>
      <c r="BN266">
        <v>0</v>
      </c>
      <c r="BO266">
        <v>0</v>
      </c>
      <c r="BP266">
        <v>1</v>
      </c>
      <c r="BQ266" s="28">
        <v>1</v>
      </c>
      <c r="BR266">
        <v>0</v>
      </c>
      <c r="BS266">
        <v>0</v>
      </c>
      <c r="BT266" s="28">
        <v>1</v>
      </c>
      <c r="BU266">
        <v>1</v>
      </c>
      <c r="BV266">
        <v>0</v>
      </c>
      <c r="BW266">
        <v>0</v>
      </c>
      <c r="BX266">
        <v>0</v>
      </c>
      <c r="BY266">
        <v>0</v>
      </c>
      <c r="BZ266">
        <v>0</v>
      </c>
      <c r="CA266">
        <v>0</v>
      </c>
      <c r="CB266">
        <v>0</v>
      </c>
      <c r="CC266">
        <v>0</v>
      </c>
      <c r="CD266">
        <v>1</v>
      </c>
      <c r="CE266" s="16">
        <v>0</v>
      </c>
      <c r="CF266">
        <v>0</v>
      </c>
      <c r="CG266">
        <v>8</v>
      </c>
      <c r="CH266">
        <v>0</v>
      </c>
      <c r="CI266">
        <v>1</v>
      </c>
      <c r="CJ266">
        <v>15</v>
      </c>
      <c r="CK266" t="s">
        <v>46</v>
      </c>
    </row>
    <row r="267" spans="1:89" x14ac:dyDescent="0.25">
      <c r="A267">
        <v>266</v>
      </c>
      <c r="B267">
        <v>15</v>
      </c>
      <c r="C267" t="s">
        <v>375</v>
      </c>
      <c r="D267" s="79">
        <v>4.9000000000000004</v>
      </c>
      <c r="E267" s="6">
        <v>0.09</v>
      </c>
      <c r="F267" s="6">
        <f t="shared" si="47"/>
        <v>54.44444444444445</v>
      </c>
      <c r="G267" s="78">
        <v>0</v>
      </c>
      <c r="H267" s="70">
        <v>0</v>
      </c>
      <c r="I267" s="70">
        <v>0</v>
      </c>
      <c r="J267" s="70">
        <v>1</v>
      </c>
      <c r="K267" s="70">
        <v>0</v>
      </c>
      <c r="L267" s="78">
        <v>8740</v>
      </c>
      <c r="M267" s="70">
        <v>4</v>
      </c>
      <c r="N267" s="70">
        <f t="shared" si="45"/>
        <v>8735</v>
      </c>
      <c r="O267" s="60">
        <f t="shared" si="46"/>
        <v>16</v>
      </c>
      <c r="P267" s="6">
        <v>12.62</v>
      </c>
      <c r="Q267" s="6">
        <f t="shared" ref="Q267:Q294" si="48">BI267-P267-6</f>
        <v>19.75</v>
      </c>
      <c r="R267" s="78">
        <v>1</v>
      </c>
      <c r="S267" s="70">
        <v>0</v>
      </c>
      <c r="T267" s="78">
        <v>0</v>
      </c>
      <c r="U267" s="70">
        <v>0</v>
      </c>
      <c r="V267" s="70">
        <v>0</v>
      </c>
      <c r="W267" s="70">
        <v>1</v>
      </c>
      <c r="X267" s="78">
        <v>0</v>
      </c>
      <c r="Y267" s="70">
        <v>0</v>
      </c>
      <c r="Z267" s="70">
        <v>1</v>
      </c>
      <c r="AA267" s="78">
        <v>0</v>
      </c>
      <c r="AB267" s="70">
        <v>1</v>
      </c>
      <c r="AC267" s="69">
        <v>1991</v>
      </c>
      <c r="AD267" t="s">
        <v>57</v>
      </c>
      <c r="AE267" t="s">
        <v>57</v>
      </c>
      <c r="AF267" t="s">
        <v>57</v>
      </c>
      <c r="AG267" t="s">
        <v>57</v>
      </c>
      <c r="AH267" s="28">
        <v>1</v>
      </c>
      <c r="AI267">
        <v>0</v>
      </c>
      <c r="AJ267" s="28">
        <v>0.6</v>
      </c>
      <c r="AK267">
        <v>0.4</v>
      </c>
      <c r="AL267" s="28">
        <v>1</v>
      </c>
      <c r="AM267">
        <v>0</v>
      </c>
      <c r="AN267">
        <v>1</v>
      </c>
      <c r="AO267">
        <v>0</v>
      </c>
      <c r="AP267" s="28">
        <v>1</v>
      </c>
      <c r="AQ267" s="12">
        <v>0</v>
      </c>
      <c r="AR267">
        <v>1</v>
      </c>
      <c r="AS267">
        <v>0</v>
      </c>
      <c r="AT267">
        <v>0</v>
      </c>
      <c r="AU267" s="28" t="s">
        <v>387</v>
      </c>
      <c r="AV267">
        <v>1</v>
      </c>
      <c r="AW267">
        <v>0</v>
      </c>
      <c r="AX267">
        <v>0</v>
      </c>
      <c r="AY267">
        <v>0</v>
      </c>
      <c r="AZ267">
        <v>0</v>
      </c>
      <c r="BA267">
        <v>0</v>
      </c>
      <c r="BB267">
        <v>0</v>
      </c>
      <c r="BC267">
        <v>1</v>
      </c>
      <c r="BD267">
        <v>0</v>
      </c>
      <c r="BE267">
        <v>0</v>
      </c>
      <c r="BF267">
        <v>19392</v>
      </c>
      <c r="BG267">
        <v>856</v>
      </c>
      <c r="BH267">
        <v>0.96899999999999997</v>
      </c>
      <c r="BI267" s="64">
        <v>38.369999999999997</v>
      </c>
      <c r="BJ267">
        <v>1</v>
      </c>
      <c r="BK267">
        <v>0</v>
      </c>
      <c r="BL267">
        <v>0</v>
      </c>
      <c r="BM267">
        <v>0</v>
      </c>
      <c r="BN267">
        <v>0</v>
      </c>
      <c r="BO267">
        <v>0</v>
      </c>
      <c r="BP267">
        <v>0</v>
      </c>
      <c r="BQ267" s="28">
        <v>0</v>
      </c>
      <c r="BR267">
        <v>0</v>
      </c>
      <c r="BS267">
        <v>0</v>
      </c>
      <c r="BT267" s="28">
        <v>1</v>
      </c>
      <c r="BU267">
        <v>1</v>
      </c>
      <c r="BV267">
        <v>0</v>
      </c>
      <c r="BW267">
        <v>0</v>
      </c>
      <c r="BX267">
        <v>0</v>
      </c>
      <c r="BY267">
        <v>0</v>
      </c>
      <c r="BZ267">
        <v>0</v>
      </c>
      <c r="CA267">
        <v>0</v>
      </c>
      <c r="CB267">
        <v>0</v>
      </c>
      <c r="CC267">
        <v>0</v>
      </c>
      <c r="CD267">
        <v>1</v>
      </c>
      <c r="CE267" s="16">
        <v>0</v>
      </c>
      <c r="CF267">
        <v>0</v>
      </c>
      <c r="CG267">
        <v>8</v>
      </c>
      <c r="CH267">
        <v>0</v>
      </c>
      <c r="CI267">
        <v>1</v>
      </c>
      <c r="CJ267">
        <v>15</v>
      </c>
      <c r="CK267" t="s">
        <v>46</v>
      </c>
    </row>
    <row r="268" spans="1:89" x14ac:dyDescent="0.25">
      <c r="A268">
        <v>267</v>
      </c>
      <c r="B268">
        <v>15</v>
      </c>
      <c r="C268" t="s">
        <v>375</v>
      </c>
      <c r="D268" s="79">
        <v>1.83</v>
      </c>
      <c r="E268" s="6">
        <v>7.0000000000000007E-2</v>
      </c>
      <c r="F268" s="6">
        <f t="shared" si="47"/>
        <v>26.142857142857142</v>
      </c>
      <c r="G268" s="78">
        <v>0</v>
      </c>
      <c r="H268" s="70">
        <v>0</v>
      </c>
      <c r="I268" s="70">
        <v>0</v>
      </c>
      <c r="J268" s="70">
        <v>1</v>
      </c>
      <c r="K268" s="70">
        <v>0</v>
      </c>
      <c r="L268" s="78">
        <v>14136</v>
      </c>
      <c r="M268" s="70">
        <v>4</v>
      </c>
      <c r="N268" s="70">
        <f t="shared" si="45"/>
        <v>14131</v>
      </c>
      <c r="O268" s="60">
        <f t="shared" si="46"/>
        <v>16</v>
      </c>
      <c r="P268" s="6">
        <v>12.41</v>
      </c>
      <c r="Q268" s="6">
        <f t="shared" si="48"/>
        <v>20.930000000000003</v>
      </c>
      <c r="R268" s="78">
        <v>1</v>
      </c>
      <c r="S268" s="70">
        <v>0</v>
      </c>
      <c r="T268" s="78">
        <v>0</v>
      </c>
      <c r="U268" s="70">
        <v>0</v>
      </c>
      <c r="V268" s="70">
        <v>0</v>
      </c>
      <c r="W268" s="70">
        <v>1</v>
      </c>
      <c r="X268" s="78">
        <v>0</v>
      </c>
      <c r="Y268" s="70">
        <v>0</v>
      </c>
      <c r="Z268" s="70">
        <v>1</v>
      </c>
      <c r="AA268" s="78">
        <v>0</v>
      </c>
      <c r="AB268" s="70">
        <v>1</v>
      </c>
      <c r="AC268" s="69">
        <v>1991</v>
      </c>
      <c r="AD268" t="s">
        <v>57</v>
      </c>
      <c r="AE268" t="s">
        <v>57</v>
      </c>
      <c r="AF268" t="s">
        <v>57</v>
      </c>
      <c r="AG268" t="s">
        <v>57</v>
      </c>
      <c r="AH268" s="28">
        <v>1</v>
      </c>
      <c r="AI268">
        <v>0</v>
      </c>
      <c r="AJ268" s="28">
        <v>0.6</v>
      </c>
      <c r="AK268">
        <v>0.4</v>
      </c>
      <c r="AL268" s="28">
        <v>1</v>
      </c>
      <c r="AM268">
        <v>0</v>
      </c>
      <c r="AN268">
        <v>1</v>
      </c>
      <c r="AO268">
        <v>0</v>
      </c>
      <c r="AP268" s="28">
        <v>1</v>
      </c>
      <c r="AQ268" s="12">
        <v>0</v>
      </c>
      <c r="AR268">
        <v>0</v>
      </c>
      <c r="AS268">
        <v>1</v>
      </c>
      <c r="AT268">
        <v>0</v>
      </c>
      <c r="AU268" s="28" t="s">
        <v>387</v>
      </c>
      <c r="AV268">
        <v>1</v>
      </c>
      <c r="AW268">
        <v>0</v>
      </c>
      <c r="AX268">
        <v>0</v>
      </c>
      <c r="AY268">
        <v>0</v>
      </c>
      <c r="AZ268">
        <v>0</v>
      </c>
      <c r="BA268">
        <v>0</v>
      </c>
      <c r="BB268">
        <v>0</v>
      </c>
      <c r="BC268">
        <v>1</v>
      </c>
      <c r="BD268">
        <v>0</v>
      </c>
      <c r="BE268">
        <v>0</v>
      </c>
      <c r="BF268">
        <v>19392</v>
      </c>
      <c r="BG268">
        <v>856</v>
      </c>
      <c r="BH268">
        <v>0.96899999999999997</v>
      </c>
      <c r="BI268" s="64">
        <v>39.340000000000003</v>
      </c>
      <c r="BJ268">
        <v>1</v>
      </c>
      <c r="BK268">
        <v>0</v>
      </c>
      <c r="BL268">
        <v>0</v>
      </c>
      <c r="BM268">
        <v>0</v>
      </c>
      <c r="BN268">
        <v>0</v>
      </c>
      <c r="BO268">
        <v>0</v>
      </c>
      <c r="BP268">
        <v>0</v>
      </c>
      <c r="BQ268" s="28">
        <v>0</v>
      </c>
      <c r="BR268">
        <v>0</v>
      </c>
      <c r="BS268">
        <v>0</v>
      </c>
      <c r="BT268" s="28">
        <v>1</v>
      </c>
      <c r="BU268">
        <v>1</v>
      </c>
      <c r="BV268">
        <v>0</v>
      </c>
      <c r="BW268">
        <v>0</v>
      </c>
      <c r="BX268">
        <v>0</v>
      </c>
      <c r="BY268">
        <v>0</v>
      </c>
      <c r="BZ268">
        <v>0</v>
      </c>
      <c r="CA268">
        <v>0</v>
      </c>
      <c r="CB268">
        <v>0</v>
      </c>
      <c r="CC268">
        <v>0</v>
      </c>
      <c r="CD268">
        <v>1</v>
      </c>
      <c r="CE268" s="16">
        <v>0</v>
      </c>
      <c r="CF268">
        <v>0</v>
      </c>
      <c r="CG268">
        <v>8</v>
      </c>
      <c r="CH268">
        <v>0</v>
      </c>
      <c r="CI268">
        <v>1</v>
      </c>
      <c r="CJ268">
        <v>15</v>
      </c>
      <c r="CK268" t="s">
        <v>46</v>
      </c>
    </row>
    <row r="269" spans="1:89" x14ac:dyDescent="0.25">
      <c r="A269">
        <v>268</v>
      </c>
      <c r="B269">
        <v>15</v>
      </c>
      <c r="C269" t="s">
        <v>375</v>
      </c>
      <c r="D269" s="79">
        <v>0.93</v>
      </c>
      <c r="E269" s="6">
        <v>0.12</v>
      </c>
      <c r="F269" s="6">
        <f t="shared" si="47"/>
        <v>7.7500000000000009</v>
      </c>
      <c r="G269" s="78">
        <v>0</v>
      </c>
      <c r="H269" s="70">
        <v>0</v>
      </c>
      <c r="I269" s="70">
        <v>0</v>
      </c>
      <c r="J269" s="70">
        <v>1</v>
      </c>
      <c r="K269" s="70">
        <v>0</v>
      </c>
      <c r="L269" s="78">
        <v>8000</v>
      </c>
      <c r="M269" s="70">
        <v>4</v>
      </c>
      <c r="N269" s="70">
        <f t="shared" si="45"/>
        <v>7995</v>
      </c>
      <c r="O269" s="60">
        <f t="shared" si="46"/>
        <v>16</v>
      </c>
      <c r="P269" s="6">
        <v>12.5</v>
      </c>
      <c r="Q269" s="6">
        <f t="shared" si="48"/>
        <v>19.189999999999998</v>
      </c>
      <c r="R269" s="78">
        <v>1</v>
      </c>
      <c r="S269" s="70">
        <v>0</v>
      </c>
      <c r="T269" s="78">
        <v>0</v>
      </c>
      <c r="U269" s="70">
        <v>0</v>
      </c>
      <c r="V269" s="70">
        <v>0</v>
      </c>
      <c r="W269" s="70">
        <v>1</v>
      </c>
      <c r="X269" s="78">
        <v>0</v>
      </c>
      <c r="Y269" s="70">
        <v>0</v>
      </c>
      <c r="Z269" s="70">
        <v>1</v>
      </c>
      <c r="AA269" s="78">
        <v>0</v>
      </c>
      <c r="AB269" s="70">
        <v>1</v>
      </c>
      <c r="AC269" s="69">
        <v>1991</v>
      </c>
      <c r="AD269" t="s">
        <v>57</v>
      </c>
      <c r="AE269" t="s">
        <v>57</v>
      </c>
      <c r="AF269" t="s">
        <v>57</v>
      </c>
      <c r="AG269" t="s">
        <v>57</v>
      </c>
      <c r="AH269" s="28">
        <v>1</v>
      </c>
      <c r="AI269">
        <v>0</v>
      </c>
      <c r="AJ269" s="28">
        <v>0.6</v>
      </c>
      <c r="AK269">
        <v>0.4</v>
      </c>
      <c r="AL269" s="28">
        <v>1</v>
      </c>
      <c r="AM269">
        <v>0</v>
      </c>
      <c r="AN269">
        <v>1</v>
      </c>
      <c r="AO269">
        <v>0</v>
      </c>
      <c r="AP269" s="28">
        <v>1</v>
      </c>
      <c r="AQ269" s="12">
        <v>0</v>
      </c>
      <c r="AR269">
        <v>1</v>
      </c>
      <c r="AS269">
        <v>0</v>
      </c>
      <c r="AT269">
        <v>0</v>
      </c>
      <c r="AU269" s="28" t="s">
        <v>387</v>
      </c>
      <c r="AV269">
        <v>1</v>
      </c>
      <c r="AW269">
        <v>0</v>
      </c>
      <c r="AX269">
        <v>0</v>
      </c>
      <c r="AY269">
        <v>0</v>
      </c>
      <c r="AZ269">
        <v>0</v>
      </c>
      <c r="BA269">
        <v>0</v>
      </c>
      <c r="BB269">
        <v>0</v>
      </c>
      <c r="BC269">
        <v>1</v>
      </c>
      <c r="BD269">
        <v>0</v>
      </c>
      <c r="BE269">
        <v>0</v>
      </c>
      <c r="BF269">
        <v>19392</v>
      </c>
      <c r="BG269">
        <v>856</v>
      </c>
      <c r="BH269">
        <v>0.96899999999999997</v>
      </c>
      <c r="BI269" s="64">
        <v>37.69</v>
      </c>
      <c r="BJ269">
        <v>1</v>
      </c>
      <c r="BK269">
        <v>0</v>
      </c>
      <c r="BL269">
        <v>0</v>
      </c>
      <c r="BM269">
        <v>0</v>
      </c>
      <c r="BN269">
        <v>0</v>
      </c>
      <c r="BO269">
        <v>0</v>
      </c>
      <c r="BP269">
        <v>0</v>
      </c>
      <c r="BQ269" s="28">
        <v>0</v>
      </c>
      <c r="BR269">
        <v>0</v>
      </c>
      <c r="BS269">
        <v>0</v>
      </c>
      <c r="BT269" s="28">
        <v>1</v>
      </c>
      <c r="BU269">
        <v>1</v>
      </c>
      <c r="BV269">
        <v>0</v>
      </c>
      <c r="BW269">
        <v>0</v>
      </c>
      <c r="BX269">
        <v>0</v>
      </c>
      <c r="BY269">
        <v>0</v>
      </c>
      <c r="BZ269">
        <v>0</v>
      </c>
      <c r="CA269">
        <v>0</v>
      </c>
      <c r="CB269">
        <v>0</v>
      </c>
      <c r="CC269">
        <v>0</v>
      </c>
      <c r="CD269">
        <v>1</v>
      </c>
      <c r="CE269" s="16">
        <v>0</v>
      </c>
      <c r="CF269">
        <v>0</v>
      </c>
      <c r="CG269">
        <v>8</v>
      </c>
      <c r="CH269">
        <v>0</v>
      </c>
      <c r="CI269">
        <v>1</v>
      </c>
      <c r="CJ269">
        <v>15</v>
      </c>
      <c r="CK269" t="s">
        <v>46</v>
      </c>
    </row>
    <row r="270" spans="1:89" x14ac:dyDescent="0.25">
      <c r="A270">
        <v>269</v>
      </c>
      <c r="B270">
        <v>15</v>
      </c>
      <c r="C270" t="s">
        <v>375</v>
      </c>
      <c r="D270" s="79">
        <v>2.5</v>
      </c>
      <c r="E270" s="6">
        <v>0.09</v>
      </c>
      <c r="F270" s="6">
        <f t="shared" si="47"/>
        <v>27.777777777777779</v>
      </c>
      <c r="G270" s="78">
        <v>0</v>
      </c>
      <c r="H270" s="70">
        <v>0</v>
      </c>
      <c r="I270" s="70">
        <v>0</v>
      </c>
      <c r="J270" s="70">
        <v>1</v>
      </c>
      <c r="K270" s="70">
        <v>0</v>
      </c>
      <c r="L270" s="78">
        <v>11236</v>
      </c>
      <c r="M270" s="70">
        <v>4</v>
      </c>
      <c r="N270" s="70">
        <f t="shared" si="45"/>
        <v>11231</v>
      </c>
      <c r="O270" s="60">
        <f t="shared" si="46"/>
        <v>16</v>
      </c>
      <c r="P270" s="6">
        <v>12.16</v>
      </c>
      <c r="Q270" s="6">
        <f t="shared" si="48"/>
        <v>20.69</v>
      </c>
      <c r="R270" s="78">
        <v>1</v>
      </c>
      <c r="S270" s="70">
        <v>0</v>
      </c>
      <c r="T270" s="78">
        <v>0</v>
      </c>
      <c r="U270" s="70">
        <v>0</v>
      </c>
      <c r="V270" s="70">
        <v>0</v>
      </c>
      <c r="W270" s="70">
        <v>1</v>
      </c>
      <c r="X270" s="78">
        <v>0</v>
      </c>
      <c r="Y270" s="70">
        <v>0</v>
      </c>
      <c r="Z270" s="70">
        <v>1</v>
      </c>
      <c r="AA270" s="78">
        <v>0</v>
      </c>
      <c r="AB270" s="70">
        <v>1</v>
      </c>
      <c r="AC270" s="69">
        <v>1991</v>
      </c>
      <c r="AD270" t="s">
        <v>57</v>
      </c>
      <c r="AE270" t="s">
        <v>57</v>
      </c>
      <c r="AF270" t="s">
        <v>57</v>
      </c>
      <c r="AG270" t="s">
        <v>57</v>
      </c>
      <c r="AH270" s="28">
        <v>1</v>
      </c>
      <c r="AI270">
        <v>0</v>
      </c>
      <c r="AJ270" s="28">
        <v>0.6</v>
      </c>
      <c r="AK270">
        <v>0.4</v>
      </c>
      <c r="AL270" s="28">
        <v>1</v>
      </c>
      <c r="AM270">
        <v>0</v>
      </c>
      <c r="AN270">
        <v>1</v>
      </c>
      <c r="AO270">
        <v>0</v>
      </c>
      <c r="AP270" s="28">
        <v>1</v>
      </c>
      <c r="AQ270" s="12">
        <v>0</v>
      </c>
      <c r="AR270">
        <v>0</v>
      </c>
      <c r="AS270">
        <v>1</v>
      </c>
      <c r="AT270">
        <v>0</v>
      </c>
      <c r="AU270" s="28" t="s">
        <v>387</v>
      </c>
      <c r="AV270">
        <v>1</v>
      </c>
      <c r="AW270">
        <v>0</v>
      </c>
      <c r="AX270">
        <v>0</v>
      </c>
      <c r="AY270">
        <v>0</v>
      </c>
      <c r="AZ270">
        <v>0</v>
      </c>
      <c r="BA270">
        <v>0</v>
      </c>
      <c r="BB270">
        <v>0</v>
      </c>
      <c r="BC270">
        <v>1</v>
      </c>
      <c r="BD270">
        <v>0</v>
      </c>
      <c r="BE270">
        <v>0</v>
      </c>
      <c r="BF270">
        <v>19392</v>
      </c>
      <c r="BG270">
        <v>856</v>
      </c>
      <c r="BH270">
        <v>0.96899999999999997</v>
      </c>
      <c r="BI270" s="64">
        <v>38.85</v>
      </c>
      <c r="BJ270">
        <v>1</v>
      </c>
      <c r="BK270">
        <v>0</v>
      </c>
      <c r="BL270">
        <v>0</v>
      </c>
      <c r="BM270">
        <v>0</v>
      </c>
      <c r="BN270">
        <v>0</v>
      </c>
      <c r="BO270">
        <v>0</v>
      </c>
      <c r="BP270">
        <v>0</v>
      </c>
      <c r="BQ270" s="28">
        <v>0</v>
      </c>
      <c r="BR270">
        <v>0</v>
      </c>
      <c r="BS270">
        <v>0</v>
      </c>
      <c r="BT270" s="28">
        <v>1</v>
      </c>
      <c r="BU270">
        <v>1</v>
      </c>
      <c r="BV270">
        <v>0</v>
      </c>
      <c r="BW270">
        <v>0</v>
      </c>
      <c r="BX270">
        <v>0</v>
      </c>
      <c r="BY270">
        <v>0</v>
      </c>
      <c r="BZ270">
        <v>0</v>
      </c>
      <c r="CA270">
        <v>0</v>
      </c>
      <c r="CB270">
        <v>0</v>
      </c>
      <c r="CC270">
        <v>0</v>
      </c>
      <c r="CD270">
        <v>1</v>
      </c>
      <c r="CE270" s="16">
        <v>0</v>
      </c>
      <c r="CF270">
        <v>0</v>
      </c>
      <c r="CG270">
        <v>8</v>
      </c>
      <c r="CH270">
        <v>0</v>
      </c>
      <c r="CI270">
        <v>1</v>
      </c>
      <c r="CJ270">
        <v>15</v>
      </c>
      <c r="CK270" t="s">
        <v>46</v>
      </c>
    </row>
    <row r="271" spans="1:89" x14ac:dyDescent="0.25">
      <c r="A271">
        <v>270</v>
      </c>
      <c r="B271">
        <v>15</v>
      </c>
      <c r="C271" t="s">
        <v>375</v>
      </c>
      <c r="D271" s="79">
        <v>4.51</v>
      </c>
      <c r="E271" s="6">
        <v>0.99</v>
      </c>
      <c r="F271" s="6">
        <f t="shared" si="47"/>
        <v>4.5555555555555554</v>
      </c>
      <c r="G271" s="78">
        <v>0</v>
      </c>
      <c r="H271" s="70">
        <v>0</v>
      </c>
      <c r="I271" s="70">
        <v>0</v>
      </c>
      <c r="J271" s="70">
        <v>1</v>
      </c>
      <c r="K271" s="70">
        <v>0</v>
      </c>
      <c r="L271" s="78">
        <v>8740</v>
      </c>
      <c r="M271" s="70">
        <v>4</v>
      </c>
      <c r="N271" s="70">
        <f t="shared" si="45"/>
        <v>8735</v>
      </c>
      <c r="O271" s="60">
        <f t="shared" si="46"/>
        <v>16</v>
      </c>
      <c r="P271" s="6">
        <v>12.62</v>
      </c>
      <c r="Q271" s="6">
        <f t="shared" si="48"/>
        <v>19.75</v>
      </c>
      <c r="R271" s="78">
        <v>1</v>
      </c>
      <c r="S271" s="70">
        <v>0</v>
      </c>
      <c r="T271" s="78">
        <v>0</v>
      </c>
      <c r="U271" s="70">
        <v>0</v>
      </c>
      <c r="V271" s="70">
        <v>0</v>
      </c>
      <c r="W271" s="70">
        <v>1</v>
      </c>
      <c r="X271" s="78">
        <v>0</v>
      </c>
      <c r="Y271" s="70">
        <v>0</v>
      </c>
      <c r="Z271" s="70">
        <v>1</v>
      </c>
      <c r="AA271" s="78">
        <v>0</v>
      </c>
      <c r="AB271" s="70">
        <v>1</v>
      </c>
      <c r="AC271" s="69">
        <v>1991</v>
      </c>
      <c r="AD271" t="s">
        <v>57</v>
      </c>
      <c r="AE271" t="s">
        <v>57</v>
      </c>
      <c r="AF271" t="s">
        <v>57</v>
      </c>
      <c r="AG271" t="s">
        <v>57</v>
      </c>
      <c r="AH271" s="28">
        <v>1</v>
      </c>
      <c r="AI271">
        <v>0</v>
      </c>
      <c r="AJ271" s="28">
        <v>0.6</v>
      </c>
      <c r="AK271">
        <v>0.4</v>
      </c>
      <c r="AL271" s="28">
        <v>1</v>
      </c>
      <c r="AM271">
        <v>0</v>
      </c>
      <c r="AN271">
        <v>1</v>
      </c>
      <c r="AO271">
        <v>0</v>
      </c>
      <c r="AP271" s="28">
        <v>1</v>
      </c>
      <c r="AQ271" s="12">
        <v>0</v>
      </c>
      <c r="AR271">
        <v>1</v>
      </c>
      <c r="AS271">
        <v>0</v>
      </c>
      <c r="AT271">
        <v>0</v>
      </c>
      <c r="AU271" s="28" t="s">
        <v>387</v>
      </c>
      <c r="AV271">
        <v>1</v>
      </c>
      <c r="AW271">
        <v>0</v>
      </c>
      <c r="AX271">
        <v>0</v>
      </c>
      <c r="AY271">
        <v>0</v>
      </c>
      <c r="AZ271">
        <v>0</v>
      </c>
      <c r="BA271">
        <v>0</v>
      </c>
      <c r="BB271">
        <v>0</v>
      </c>
      <c r="BC271">
        <v>1</v>
      </c>
      <c r="BD271">
        <v>0</v>
      </c>
      <c r="BE271">
        <v>0</v>
      </c>
      <c r="BF271">
        <v>19392</v>
      </c>
      <c r="BG271">
        <v>856</v>
      </c>
      <c r="BH271">
        <v>0.96899999999999997</v>
      </c>
      <c r="BI271" s="64">
        <v>38.369999999999997</v>
      </c>
      <c r="BJ271">
        <v>0</v>
      </c>
      <c r="BK271">
        <v>0</v>
      </c>
      <c r="BL271">
        <v>0</v>
      </c>
      <c r="BM271">
        <v>0</v>
      </c>
      <c r="BN271">
        <v>0</v>
      </c>
      <c r="BO271">
        <v>0</v>
      </c>
      <c r="BP271">
        <v>1</v>
      </c>
      <c r="BQ271" s="28">
        <v>1</v>
      </c>
      <c r="BR271">
        <v>0</v>
      </c>
      <c r="BS271">
        <v>0</v>
      </c>
      <c r="BT271" s="28">
        <v>1</v>
      </c>
      <c r="BU271">
        <v>1</v>
      </c>
      <c r="BV271">
        <v>0</v>
      </c>
      <c r="BW271">
        <v>0</v>
      </c>
      <c r="BX271">
        <v>0</v>
      </c>
      <c r="BY271">
        <v>0</v>
      </c>
      <c r="BZ271">
        <v>0</v>
      </c>
      <c r="CA271">
        <v>0</v>
      </c>
      <c r="CB271">
        <v>0</v>
      </c>
      <c r="CC271">
        <v>0</v>
      </c>
      <c r="CD271">
        <v>1</v>
      </c>
      <c r="CE271" s="16">
        <v>0</v>
      </c>
      <c r="CF271">
        <v>0</v>
      </c>
      <c r="CG271">
        <v>8</v>
      </c>
      <c r="CH271">
        <v>0</v>
      </c>
      <c r="CI271">
        <v>1</v>
      </c>
      <c r="CJ271">
        <v>15</v>
      </c>
      <c r="CK271" t="s">
        <v>46</v>
      </c>
    </row>
    <row r="272" spans="1:89" x14ac:dyDescent="0.25">
      <c r="A272">
        <v>271</v>
      </c>
      <c r="B272">
        <v>15</v>
      </c>
      <c r="C272" t="s">
        <v>375</v>
      </c>
      <c r="D272" s="79">
        <v>9.4600000000000009</v>
      </c>
      <c r="E272" s="6">
        <v>0.63</v>
      </c>
      <c r="F272" s="6">
        <f t="shared" si="47"/>
        <v>15.015873015873018</v>
      </c>
      <c r="G272" s="78">
        <v>0</v>
      </c>
      <c r="H272" s="70">
        <v>0</v>
      </c>
      <c r="I272" s="70">
        <v>0</v>
      </c>
      <c r="J272" s="70">
        <v>1</v>
      </c>
      <c r="K272" s="70">
        <v>0</v>
      </c>
      <c r="L272" s="78">
        <v>14136</v>
      </c>
      <c r="M272" s="70">
        <v>4</v>
      </c>
      <c r="N272" s="70">
        <f t="shared" si="45"/>
        <v>14131</v>
      </c>
      <c r="O272" s="60">
        <f t="shared" si="46"/>
        <v>16</v>
      </c>
      <c r="P272" s="6">
        <v>12.41</v>
      </c>
      <c r="Q272" s="6">
        <f t="shared" si="48"/>
        <v>20.930000000000003</v>
      </c>
      <c r="R272" s="78">
        <v>1</v>
      </c>
      <c r="S272" s="70">
        <v>0</v>
      </c>
      <c r="T272" s="78">
        <v>0</v>
      </c>
      <c r="U272" s="70">
        <v>0</v>
      </c>
      <c r="V272" s="70">
        <v>0</v>
      </c>
      <c r="W272" s="70">
        <v>1</v>
      </c>
      <c r="X272" s="78">
        <v>0</v>
      </c>
      <c r="Y272" s="70">
        <v>0</v>
      </c>
      <c r="Z272" s="70">
        <v>1</v>
      </c>
      <c r="AA272" s="78">
        <v>0</v>
      </c>
      <c r="AB272" s="70">
        <v>1</v>
      </c>
      <c r="AC272" s="69">
        <v>1991</v>
      </c>
      <c r="AD272" t="s">
        <v>57</v>
      </c>
      <c r="AE272" t="s">
        <v>57</v>
      </c>
      <c r="AF272" t="s">
        <v>57</v>
      </c>
      <c r="AG272" t="s">
        <v>57</v>
      </c>
      <c r="AH272" s="28">
        <v>1</v>
      </c>
      <c r="AI272">
        <v>0</v>
      </c>
      <c r="AJ272" s="28">
        <v>0.6</v>
      </c>
      <c r="AK272">
        <v>0.4</v>
      </c>
      <c r="AL272" s="28">
        <v>1</v>
      </c>
      <c r="AM272">
        <v>0</v>
      </c>
      <c r="AN272">
        <v>1</v>
      </c>
      <c r="AO272">
        <v>0</v>
      </c>
      <c r="AP272" s="28">
        <v>1</v>
      </c>
      <c r="AQ272" s="12">
        <v>0</v>
      </c>
      <c r="AR272">
        <v>0</v>
      </c>
      <c r="AS272">
        <v>1</v>
      </c>
      <c r="AT272">
        <v>0</v>
      </c>
      <c r="AU272" s="28" t="s">
        <v>387</v>
      </c>
      <c r="AV272">
        <v>1</v>
      </c>
      <c r="AW272">
        <v>0</v>
      </c>
      <c r="AX272">
        <v>0</v>
      </c>
      <c r="AY272">
        <v>0</v>
      </c>
      <c r="AZ272">
        <v>0</v>
      </c>
      <c r="BA272">
        <v>0</v>
      </c>
      <c r="BB272">
        <v>0</v>
      </c>
      <c r="BC272">
        <v>1</v>
      </c>
      <c r="BD272">
        <v>0</v>
      </c>
      <c r="BE272">
        <v>0</v>
      </c>
      <c r="BF272">
        <v>19392</v>
      </c>
      <c r="BG272">
        <v>856</v>
      </c>
      <c r="BH272">
        <v>0.96899999999999997</v>
      </c>
      <c r="BI272" s="64">
        <v>39.340000000000003</v>
      </c>
      <c r="BJ272">
        <v>0</v>
      </c>
      <c r="BK272">
        <v>0</v>
      </c>
      <c r="BL272">
        <v>0</v>
      </c>
      <c r="BM272">
        <v>0</v>
      </c>
      <c r="BN272">
        <v>0</v>
      </c>
      <c r="BO272">
        <v>0</v>
      </c>
      <c r="BP272">
        <v>1</v>
      </c>
      <c r="BQ272" s="28">
        <v>1</v>
      </c>
      <c r="BR272">
        <v>0</v>
      </c>
      <c r="BS272">
        <v>0</v>
      </c>
      <c r="BT272" s="28">
        <v>1</v>
      </c>
      <c r="BU272">
        <v>1</v>
      </c>
      <c r="BV272">
        <v>0</v>
      </c>
      <c r="BW272">
        <v>0</v>
      </c>
      <c r="BX272">
        <v>0</v>
      </c>
      <c r="BY272">
        <v>0</v>
      </c>
      <c r="BZ272">
        <v>0</v>
      </c>
      <c r="CA272">
        <v>0</v>
      </c>
      <c r="CB272">
        <v>0</v>
      </c>
      <c r="CC272">
        <v>0</v>
      </c>
      <c r="CD272">
        <v>1</v>
      </c>
      <c r="CE272" s="16">
        <v>0</v>
      </c>
      <c r="CF272">
        <v>0</v>
      </c>
      <c r="CG272">
        <v>8</v>
      </c>
      <c r="CH272">
        <v>0</v>
      </c>
      <c r="CI272">
        <v>1</v>
      </c>
      <c r="CJ272">
        <v>15</v>
      </c>
      <c r="CK272" t="s">
        <v>46</v>
      </c>
    </row>
    <row r="273" spans="1:89" x14ac:dyDescent="0.25">
      <c r="A273">
        <v>272</v>
      </c>
      <c r="B273">
        <v>15</v>
      </c>
      <c r="C273" t="s">
        <v>375</v>
      </c>
      <c r="D273" s="79">
        <v>4.41</v>
      </c>
      <c r="E273" s="6">
        <v>0.83</v>
      </c>
      <c r="F273" s="6">
        <f t="shared" si="47"/>
        <v>5.3132530120481931</v>
      </c>
      <c r="G273" s="78">
        <v>0</v>
      </c>
      <c r="H273" s="70">
        <v>0</v>
      </c>
      <c r="I273" s="70">
        <v>0</v>
      </c>
      <c r="J273" s="70">
        <v>1</v>
      </c>
      <c r="K273" s="70">
        <v>0</v>
      </c>
      <c r="L273" s="78">
        <v>8000</v>
      </c>
      <c r="M273" s="70">
        <v>4</v>
      </c>
      <c r="N273" s="70">
        <f t="shared" si="45"/>
        <v>7995</v>
      </c>
      <c r="O273" s="60">
        <f t="shared" si="46"/>
        <v>16</v>
      </c>
      <c r="P273" s="6">
        <v>12.5</v>
      </c>
      <c r="Q273" s="6">
        <f t="shared" si="48"/>
        <v>19.189999999999998</v>
      </c>
      <c r="R273" s="78">
        <v>1</v>
      </c>
      <c r="S273" s="70">
        <v>0</v>
      </c>
      <c r="T273" s="78">
        <v>0</v>
      </c>
      <c r="U273" s="70">
        <v>0</v>
      </c>
      <c r="V273" s="70">
        <v>0</v>
      </c>
      <c r="W273" s="70">
        <v>1</v>
      </c>
      <c r="X273" s="78">
        <v>0</v>
      </c>
      <c r="Y273" s="70">
        <v>0</v>
      </c>
      <c r="Z273" s="70">
        <v>1</v>
      </c>
      <c r="AA273" s="78">
        <v>0</v>
      </c>
      <c r="AB273" s="70">
        <v>1</v>
      </c>
      <c r="AC273" s="69">
        <v>1991</v>
      </c>
      <c r="AD273" t="s">
        <v>57</v>
      </c>
      <c r="AE273" t="s">
        <v>57</v>
      </c>
      <c r="AF273" t="s">
        <v>57</v>
      </c>
      <c r="AG273" t="s">
        <v>57</v>
      </c>
      <c r="AH273" s="28">
        <v>1</v>
      </c>
      <c r="AI273">
        <v>0</v>
      </c>
      <c r="AJ273" s="28">
        <v>0.6</v>
      </c>
      <c r="AK273">
        <v>0.4</v>
      </c>
      <c r="AL273" s="28">
        <v>1</v>
      </c>
      <c r="AM273">
        <v>0</v>
      </c>
      <c r="AN273">
        <v>1</v>
      </c>
      <c r="AO273">
        <v>0</v>
      </c>
      <c r="AP273" s="28">
        <v>1</v>
      </c>
      <c r="AQ273" s="12">
        <v>0</v>
      </c>
      <c r="AR273">
        <v>1</v>
      </c>
      <c r="AS273">
        <v>0</v>
      </c>
      <c r="AT273">
        <v>0</v>
      </c>
      <c r="AU273" s="28" t="s">
        <v>387</v>
      </c>
      <c r="AV273">
        <v>1</v>
      </c>
      <c r="AW273">
        <v>0</v>
      </c>
      <c r="AX273">
        <v>0</v>
      </c>
      <c r="AY273">
        <v>0</v>
      </c>
      <c r="AZ273">
        <v>0</v>
      </c>
      <c r="BA273">
        <v>0</v>
      </c>
      <c r="BB273">
        <v>0</v>
      </c>
      <c r="BC273">
        <v>1</v>
      </c>
      <c r="BD273">
        <v>0</v>
      </c>
      <c r="BE273">
        <v>0</v>
      </c>
      <c r="BF273">
        <v>19392</v>
      </c>
      <c r="BG273">
        <v>856</v>
      </c>
      <c r="BH273">
        <v>0.96899999999999997</v>
      </c>
      <c r="BI273" s="64">
        <v>37.69</v>
      </c>
      <c r="BJ273">
        <v>0</v>
      </c>
      <c r="BK273">
        <v>0</v>
      </c>
      <c r="BL273">
        <v>0</v>
      </c>
      <c r="BM273">
        <v>0</v>
      </c>
      <c r="BN273">
        <v>0</v>
      </c>
      <c r="BO273">
        <v>0</v>
      </c>
      <c r="BP273">
        <v>1</v>
      </c>
      <c r="BQ273" s="28">
        <v>1</v>
      </c>
      <c r="BR273">
        <v>0</v>
      </c>
      <c r="BS273">
        <v>0</v>
      </c>
      <c r="BT273" s="28">
        <v>1</v>
      </c>
      <c r="BU273">
        <v>1</v>
      </c>
      <c r="BV273">
        <v>0</v>
      </c>
      <c r="BW273">
        <v>0</v>
      </c>
      <c r="BX273">
        <v>0</v>
      </c>
      <c r="BY273">
        <v>0</v>
      </c>
      <c r="BZ273">
        <v>0</v>
      </c>
      <c r="CA273">
        <v>0</v>
      </c>
      <c r="CB273">
        <v>0</v>
      </c>
      <c r="CC273">
        <v>0</v>
      </c>
      <c r="CD273">
        <v>1</v>
      </c>
      <c r="CE273" s="16">
        <v>0</v>
      </c>
      <c r="CF273">
        <v>0</v>
      </c>
      <c r="CG273">
        <v>8</v>
      </c>
      <c r="CH273">
        <v>0</v>
      </c>
      <c r="CI273">
        <v>1</v>
      </c>
      <c r="CJ273">
        <v>15</v>
      </c>
      <c r="CK273" t="s">
        <v>46</v>
      </c>
    </row>
    <row r="274" spans="1:89" x14ac:dyDescent="0.25">
      <c r="A274">
        <v>273</v>
      </c>
      <c r="B274">
        <v>15</v>
      </c>
      <c r="C274" t="s">
        <v>375</v>
      </c>
      <c r="D274" s="79">
        <v>5.35</v>
      </c>
      <c r="E274" s="6">
        <v>0.61</v>
      </c>
      <c r="F274" s="6">
        <f t="shared" si="47"/>
        <v>8.7704918032786878</v>
      </c>
      <c r="G274" s="78">
        <v>0</v>
      </c>
      <c r="H274" s="70">
        <v>0</v>
      </c>
      <c r="I274" s="70">
        <v>0</v>
      </c>
      <c r="J274" s="70">
        <v>1</v>
      </c>
      <c r="K274" s="70">
        <v>0</v>
      </c>
      <c r="L274" s="78">
        <v>11236</v>
      </c>
      <c r="M274" s="70">
        <v>4</v>
      </c>
      <c r="N274" s="70">
        <f t="shared" si="45"/>
        <v>11231</v>
      </c>
      <c r="O274" s="60">
        <f t="shared" si="46"/>
        <v>16</v>
      </c>
      <c r="P274" s="6">
        <v>12.16</v>
      </c>
      <c r="Q274" s="6">
        <f t="shared" si="48"/>
        <v>20.69</v>
      </c>
      <c r="R274" s="78">
        <v>1</v>
      </c>
      <c r="S274" s="70">
        <v>0</v>
      </c>
      <c r="T274" s="78">
        <v>0</v>
      </c>
      <c r="U274" s="70">
        <v>0</v>
      </c>
      <c r="V274" s="70">
        <v>0</v>
      </c>
      <c r="W274" s="70">
        <v>1</v>
      </c>
      <c r="X274" s="78">
        <v>0</v>
      </c>
      <c r="Y274" s="70">
        <v>0</v>
      </c>
      <c r="Z274" s="70">
        <v>1</v>
      </c>
      <c r="AA274" s="78">
        <v>0</v>
      </c>
      <c r="AB274" s="70">
        <v>1</v>
      </c>
      <c r="AC274" s="69">
        <v>1991</v>
      </c>
      <c r="AD274" t="s">
        <v>57</v>
      </c>
      <c r="AE274" t="s">
        <v>57</v>
      </c>
      <c r="AF274" t="s">
        <v>57</v>
      </c>
      <c r="AG274" t="s">
        <v>57</v>
      </c>
      <c r="AH274" s="28">
        <v>1</v>
      </c>
      <c r="AI274">
        <v>0</v>
      </c>
      <c r="AJ274" s="28">
        <v>0.6</v>
      </c>
      <c r="AK274">
        <v>0.4</v>
      </c>
      <c r="AL274" s="28">
        <v>1</v>
      </c>
      <c r="AM274">
        <v>0</v>
      </c>
      <c r="AN274">
        <v>1</v>
      </c>
      <c r="AO274">
        <v>0</v>
      </c>
      <c r="AP274" s="28">
        <v>1</v>
      </c>
      <c r="AQ274" s="12">
        <v>0</v>
      </c>
      <c r="AR274">
        <v>0</v>
      </c>
      <c r="AS274">
        <v>1</v>
      </c>
      <c r="AT274">
        <v>0</v>
      </c>
      <c r="AU274" s="28" t="s">
        <v>387</v>
      </c>
      <c r="AV274">
        <v>1</v>
      </c>
      <c r="AW274">
        <v>0</v>
      </c>
      <c r="AX274">
        <v>0</v>
      </c>
      <c r="AY274">
        <v>0</v>
      </c>
      <c r="AZ274">
        <v>0</v>
      </c>
      <c r="BA274">
        <v>0</v>
      </c>
      <c r="BB274">
        <v>0</v>
      </c>
      <c r="BC274">
        <v>1</v>
      </c>
      <c r="BD274">
        <v>0</v>
      </c>
      <c r="BE274">
        <v>0</v>
      </c>
      <c r="BF274">
        <v>19392</v>
      </c>
      <c r="BG274">
        <v>856</v>
      </c>
      <c r="BH274">
        <v>0.96899999999999997</v>
      </c>
      <c r="BI274" s="64">
        <v>38.85</v>
      </c>
      <c r="BJ274">
        <v>0</v>
      </c>
      <c r="BK274">
        <v>0</v>
      </c>
      <c r="BL274">
        <v>0</v>
      </c>
      <c r="BM274">
        <v>0</v>
      </c>
      <c r="BN274">
        <v>0</v>
      </c>
      <c r="BO274">
        <v>0</v>
      </c>
      <c r="BP274">
        <v>1</v>
      </c>
      <c r="BQ274" s="28">
        <v>1</v>
      </c>
      <c r="BR274">
        <v>0</v>
      </c>
      <c r="BS274">
        <v>0</v>
      </c>
      <c r="BT274" s="28">
        <v>1</v>
      </c>
      <c r="BU274">
        <v>1</v>
      </c>
      <c r="BV274">
        <v>0</v>
      </c>
      <c r="BW274">
        <v>0</v>
      </c>
      <c r="BX274">
        <v>0</v>
      </c>
      <c r="BY274">
        <v>0</v>
      </c>
      <c r="BZ274">
        <v>0</v>
      </c>
      <c r="CA274">
        <v>0</v>
      </c>
      <c r="CB274">
        <v>0</v>
      </c>
      <c r="CC274">
        <v>0</v>
      </c>
      <c r="CD274">
        <v>1</v>
      </c>
      <c r="CE274" s="16">
        <v>0</v>
      </c>
      <c r="CF274">
        <v>0</v>
      </c>
      <c r="CG274">
        <v>8</v>
      </c>
      <c r="CH274">
        <v>0</v>
      </c>
      <c r="CI274">
        <v>1</v>
      </c>
      <c r="CJ274">
        <v>15</v>
      </c>
      <c r="CK274" t="s">
        <v>46</v>
      </c>
    </row>
    <row r="275" spans="1:89" x14ac:dyDescent="0.25">
      <c r="A275">
        <v>274</v>
      </c>
      <c r="B275">
        <v>16</v>
      </c>
      <c r="C275" t="s">
        <v>380</v>
      </c>
      <c r="D275" s="79">
        <v>5.2</v>
      </c>
      <c r="E275" s="6">
        <v>0.3</v>
      </c>
      <c r="F275" s="6">
        <f t="shared" si="47"/>
        <v>17.333333333333336</v>
      </c>
      <c r="G275" s="78">
        <v>0</v>
      </c>
      <c r="H275" s="70">
        <v>0</v>
      </c>
      <c r="I275" s="70">
        <v>0</v>
      </c>
      <c r="J275" s="70">
        <v>1</v>
      </c>
      <c r="K275" s="70">
        <v>0</v>
      </c>
      <c r="L275" s="78">
        <v>1964</v>
      </c>
      <c r="M275" s="70">
        <v>4</v>
      </c>
      <c r="N275" s="70">
        <f t="shared" si="45"/>
        <v>1959</v>
      </c>
      <c r="O275" s="60">
        <f t="shared" si="46"/>
        <v>20</v>
      </c>
      <c r="P275" s="6">
        <v>11.3</v>
      </c>
      <c r="Q275" s="6">
        <f t="shared" si="48"/>
        <v>28.400000000000006</v>
      </c>
      <c r="R275" s="78">
        <v>1</v>
      </c>
      <c r="S275" s="70">
        <v>0</v>
      </c>
      <c r="T275" s="78">
        <v>0</v>
      </c>
      <c r="U275" s="70">
        <v>0</v>
      </c>
      <c r="V275" s="70">
        <v>0</v>
      </c>
      <c r="W275" s="70">
        <v>1</v>
      </c>
      <c r="X275" s="78">
        <v>0</v>
      </c>
      <c r="Y275" s="70">
        <v>1</v>
      </c>
      <c r="Z275" s="70">
        <v>0</v>
      </c>
      <c r="AA275" s="78">
        <v>0</v>
      </c>
      <c r="AB275" s="70">
        <v>1</v>
      </c>
      <c r="AC275" s="69">
        <v>1990</v>
      </c>
      <c r="AD275" t="s">
        <v>57</v>
      </c>
      <c r="AE275" t="s">
        <v>57</v>
      </c>
      <c r="AF275" t="s">
        <v>57</v>
      </c>
      <c r="AG275" t="s">
        <v>57</v>
      </c>
      <c r="AH275" s="28" t="s">
        <v>57</v>
      </c>
      <c r="AI275" t="s">
        <v>57</v>
      </c>
      <c r="AJ275" s="28">
        <v>0.52400000000000002</v>
      </c>
      <c r="AK275">
        <f t="shared" ref="AK275:AK294" si="49">1-AJ275</f>
        <v>0.47599999999999998</v>
      </c>
      <c r="AL275" s="28">
        <v>1</v>
      </c>
      <c r="AM275">
        <v>0</v>
      </c>
      <c r="AN275">
        <v>1</v>
      </c>
      <c r="AO275">
        <v>0</v>
      </c>
      <c r="AP275" s="28" t="s">
        <v>57</v>
      </c>
      <c r="AQ275" s="12" t="s">
        <v>57</v>
      </c>
      <c r="AR275">
        <v>0</v>
      </c>
      <c r="AS275">
        <v>0</v>
      </c>
      <c r="AT275">
        <v>1</v>
      </c>
      <c r="AU275" s="28" t="s">
        <v>368</v>
      </c>
      <c r="AV275">
        <v>1</v>
      </c>
      <c r="AW275">
        <v>0</v>
      </c>
      <c r="AX275">
        <v>0</v>
      </c>
      <c r="AY275">
        <v>0</v>
      </c>
      <c r="AZ275">
        <v>0</v>
      </c>
      <c r="BA275">
        <v>0</v>
      </c>
      <c r="BB275">
        <v>0</v>
      </c>
      <c r="BC275">
        <v>1</v>
      </c>
      <c r="BD275">
        <v>0</v>
      </c>
      <c r="BE275">
        <v>0</v>
      </c>
      <c r="BF275">
        <v>16476</v>
      </c>
      <c r="BG275">
        <v>1012</v>
      </c>
      <c r="BH275">
        <v>0.95099999999999996</v>
      </c>
      <c r="BI275" s="64">
        <v>45.7</v>
      </c>
      <c r="BJ275">
        <v>1</v>
      </c>
      <c r="BK275">
        <v>0</v>
      </c>
      <c r="BL275">
        <v>0</v>
      </c>
      <c r="BM275">
        <v>0</v>
      </c>
      <c r="BN275">
        <v>0</v>
      </c>
      <c r="BO275">
        <v>0</v>
      </c>
      <c r="BP275">
        <v>0</v>
      </c>
      <c r="BQ275" s="28">
        <v>0</v>
      </c>
      <c r="BR275">
        <v>0</v>
      </c>
      <c r="BS275">
        <v>0</v>
      </c>
      <c r="BT275" s="28">
        <v>1</v>
      </c>
      <c r="BU275">
        <v>1</v>
      </c>
      <c r="BV275">
        <v>0</v>
      </c>
      <c r="BW275">
        <v>0</v>
      </c>
      <c r="BX275">
        <v>0</v>
      </c>
      <c r="BY275">
        <v>0</v>
      </c>
      <c r="BZ275">
        <v>1</v>
      </c>
      <c r="CA275">
        <v>0</v>
      </c>
      <c r="CB275">
        <v>0</v>
      </c>
      <c r="CC275">
        <v>0</v>
      </c>
      <c r="CD275">
        <v>0</v>
      </c>
      <c r="CE275" s="16">
        <v>0</v>
      </c>
      <c r="CF275">
        <v>0.96399999999999997</v>
      </c>
      <c r="CG275">
        <v>85</v>
      </c>
      <c r="CH275">
        <v>1</v>
      </c>
      <c r="CI275">
        <v>0</v>
      </c>
      <c r="CJ275">
        <v>10</v>
      </c>
      <c r="CK275" t="s">
        <v>46</v>
      </c>
    </row>
    <row r="276" spans="1:89" x14ac:dyDescent="0.25">
      <c r="A276">
        <v>275</v>
      </c>
      <c r="B276">
        <v>16</v>
      </c>
      <c r="C276" t="s">
        <v>380</v>
      </c>
      <c r="D276" s="79">
        <v>5.3</v>
      </c>
      <c r="E276" s="6">
        <v>0.2</v>
      </c>
      <c r="F276" s="6">
        <f t="shared" si="47"/>
        <v>26.499999999999996</v>
      </c>
      <c r="G276" s="78">
        <v>0</v>
      </c>
      <c r="H276" s="70">
        <v>0</v>
      </c>
      <c r="I276" s="70">
        <v>0</v>
      </c>
      <c r="J276" s="70">
        <v>1</v>
      </c>
      <c r="K276" s="70">
        <v>0</v>
      </c>
      <c r="L276" s="78">
        <v>1964</v>
      </c>
      <c r="M276" s="70">
        <v>4</v>
      </c>
      <c r="N276" s="70">
        <f t="shared" si="45"/>
        <v>1959</v>
      </c>
      <c r="O276" s="60">
        <f t="shared" si="46"/>
        <v>20</v>
      </c>
      <c r="P276" s="6">
        <v>11.3</v>
      </c>
      <c r="Q276" s="6">
        <f t="shared" si="48"/>
        <v>28.400000000000006</v>
      </c>
      <c r="R276" s="78">
        <v>1</v>
      </c>
      <c r="S276" s="70">
        <v>0</v>
      </c>
      <c r="T276" s="78">
        <v>0</v>
      </c>
      <c r="U276" s="70">
        <v>0</v>
      </c>
      <c r="V276" s="70">
        <v>0</v>
      </c>
      <c r="W276" s="70">
        <v>1</v>
      </c>
      <c r="X276" s="78">
        <v>0</v>
      </c>
      <c r="Y276" s="70">
        <v>1</v>
      </c>
      <c r="Z276" s="70">
        <v>0</v>
      </c>
      <c r="AA276" s="78">
        <v>0</v>
      </c>
      <c r="AB276" s="70">
        <v>1</v>
      </c>
      <c r="AC276" s="69">
        <v>1990</v>
      </c>
      <c r="AD276" t="s">
        <v>57</v>
      </c>
      <c r="AE276" t="s">
        <v>57</v>
      </c>
      <c r="AF276" t="s">
        <v>57</v>
      </c>
      <c r="AG276" t="s">
        <v>57</v>
      </c>
      <c r="AH276" s="28" t="s">
        <v>57</v>
      </c>
      <c r="AI276" t="s">
        <v>57</v>
      </c>
      <c r="AJ276" s="28">
        <v>0.52400000000000002</v>
      </c>
      <c r="AK276">
        <f t="shared" si="49"/>
        <v>0.47599999999999998</v>
      </c>
      <c r="AL276" s="28">
        <v>1</v>
      </c>
      <c r="AM276">
        <v>0</v>
      </c>
      <c r="AN276">
        <v>1</v>
      </c>
      <c r="AO276">
        <v>0</v>
      </c>
      <c r="AP276" s="28" t="s">
        <v>57</v>
      </c>
      <c r="AQ276" s="12" t="s">
        <v>57</v>
      </c>
      <c r="AR276">
        <v>0</v>
      </c>
      <c r="AS276">
        <v>0</v>
      </c>
      <c r="AT276">
        <v>1</v>
      </c>
      <c r="AU276" s="28" t="s">
        <v>368</v>
      </c>
      <c r="AV276">
        <v>1</v>
      </c>
      <c r="AW276">
        <v>0</v>
      </c>
      <c r="AX276">
        <v>0</v>
      </c>
      <c r="AY276">
        <v>0</v>
      </c>
      <c r="AZ276">
        <v>0</v>
      </c>
      <c r="BA276">
        <v>0</v>
      </c>
      <c r="BB276">
        <v>0</v>
      </c>
      <c r="BC276">
        <v>1</v>
      </c>
      <c r="BD276">
        <v>0</v>
      </c>
      <c r="BE276">
        <v>0</v>
      </c>
      <c r="BF276">
        <v>16476</v>
      </c>
      <c r="BG276">
        <v>1012</v>
      </c>
      <c r="BH276">
        <v>0.95099999999999996</v>
      </c>
      <c r="BI276" s="64">
        <v>45.7</v>
      </c>
      <c r="BJ276">
        <v>1</v>
      </c>
      <c r="BK276">
        <v>0</v>
      </c>
      <c r="BL276">
        <v>0</v>
      </c>
      <c r="BM276">
        <v>0</v>
      </c>
      <c r="BN276">
        <v>0</v>
      </c>
      <c r="BO276">
        <v>0</v>
      </c>
      <c r="BP276">
        <v>0</v>
      </c>
      <c r="BQ276" s="28">
        <v>0</v>
      </c>
      <c r="BR276">
        <v>0</v>
      </c>
      <c r="BS276">
        <v>0</v>
      </c>
      <c r="BT276" s="28">
        <v>1</v>
      </c>
      <c r="BU276">
        <v>1</v>
      </c>
      <c r="BV276">
        <v>0</v>
      </c>
      <c r="BW276">
        <v>0</v>
      </c>
      <c r="BX276">
        <v>0</v>
      </c>
      <c r="BY276">
        <v>0</v>
      </c>
      <c r="BZ276">
        <v>1</v>
      </c>
      <c r="CA276">
        <v>0</v>
      </c>
      <c r="CB276">
        <v>0</v>
      </c>
      <c r="CC276">
        <v>0</v>
      </c>
      <c r="CD276">
        <v>0</v>
      </c>
      <c r="CE276" s="16">
        <v>0</v>
      </c>
      <c r="CF276">
        <v>0.96399999999999997</v>
      </c>
      <c r="CG276">
        <v>85</v>
      </c>
      <c r="CH276">
        <v>1</v>
      </c>
      <c r="CI276">
        <v>0</v>
      </c>
      <c r="CJ276">
        <v>10</v>
      </c>
      <c r="CK276" t="s">
        <v>46</v>
      </c>
    </row>
    <row r="277" spans="1:89" x14ac:dyDescent="0.25">
      <c r="A277">
        <v>276</v>
      </c>
      <c r="B277">
        <v>16</v>
      </c>
      <c r="C277" t="s">
        <v>380</v>
      </c>
      <c r="D277" s="79">
        <v>5.2</v>
      </c>
      <c r="E277" s="6">
        <v>0.4</v>
      </c>
      <c r="F277" s="6">
        <f t="shared" si="47"/>
        <v>13</v>
      </c>
      <c r="G277" s="78">
        <v>0</v>
      </c>
      <c r="H277" s="70">
        <v>0</v>
      </c>
      <c r="I277" s="70">
        <v>0</v>
      </c>
      <c r="J277" s="70">
        <v>1</v>
      </c>
      <c r="K277" s="70">
        <v>0</v>
      </c>
      <c r="L277" s="78">
        <v>1964</v>
      </c>
      <c r="M277" s="70">
        <v>4</v>
      </c>
      <c r="N277" s="70">
        <f t="shared" si="45"/>
        <v>1959</v>
      </c>
      <c r="O277" s="60">
        <f t="shared" si="46"/>
        <v>20</v>
      </c>
      <c r="P277" s="6">
        <v>11.3</v>
      </c>
      <c r="Q277" s="6">
        <f t="shared" si="48"/>
        <v>28.400000000000006</v>
      </c>
      <c r="R277" s="78">
        <v>1</v>
      </c>
      <c r="S277" s="70">
        <v>0</v>
      </c>
      <c r="T277" s="78">
        <v>0</v>
      </c>
      <c r="U277" s="70">
        <v>0</v>
      </c>
      <c r="V277" s="70">
        <v>0</v>
      </c>
      <c r="W277" s="70">
        <v>1</v>
      </c>
      <c r="X277" s="78">
        <v>0</v>
      </c>
      <c r="Y277" s="70">
        <v>1</v>
      </c>
      <c r="Z277" s="70">
        <v>0</v>
      </c>
      <c r="AA277" s="78">
        <v>0</v>
      </c>
      <c r="AB277" s="70">
        <v>1</v>
      </c>
      <c r="AC277" s="69">
        <v>1990</v>
      </c>
      <c r="AD277" t="s">
        <v>57</v>
      </c>
      <c r="AE277" t="s">
        <v>57</v>
      </c>
      <c r="AF277" t="s">
        <v>57</v>
      </c>
      <c r="AG277" t="s">
        <v>57</v>
      </c>
      <c r="AH277" s="28" t="s">
        <v>57</v>
      </c>
      <c r="AI277" t="s">
        <v>57</v>
      </c>
      <c r="AJ277" s="28">
        <v>0.52400000000000002</v>
      </c>
      <c r="AK277">
        <f t="shared" si="49"/>
        <v>0.47599999999999998</v>
      </c>
      <c r="AL277" s="28">
        <v>1</v>
      </c>
      <c r="AM277">
        <v>0</v>
      </c>
      <c r="AN277">
        <v>1</v>
      </c>
      <c r="AO277">
        <v>0</v>
      </c>
      <c r="AP277" s="28" t="s">
        <v>57</v>
      </c>
      <c r="AQ277" s="12" t="s">
        <v>57</v>
      </c>
      <c r="AR277">
        <v>0</v>
      </c>
      <c r="AS277">
        <v>0</v>
      </c>
      <c r="AT277">
        <v>1</v>
      </c>
      <c r="AU277" s="28" t="s">
        <v>368</v>
      </c>
      <c r="AV277">
        <v>1</v>
      </c>
      <c r="AW277">
        <v>0</v>
      </c>
      <c r="AX277">
        <v>0</v>
      </c>
      <c r="AY277">
        <v>0</v>
      </c>
      <c r="AZ277">
        <v>0</v>
      </c>
      <c r="BA277">
        <v>0</v>
      </c>
      <c r="BB277">
        <v>0</v>
      </c>
      <c r="BC277">
        <v>1</v>
      </c>
      <c r="BD277">
        <v>0</v>
      </c>
      <c r="BE277">
        <v>0</v>
      </c>
      <c r="BF277">
        <v>16476</v>
      </c>
      <c r="BG277">
        <v>1012</v>
      </c>
      <c r="BH277">
        <v>0.95099999999999996</v>
      </c>
      <c r="BI277" s="64">
        <v>45.7</v>
      </c>
      <c r="BJ277">
        <v>1</v>
      </c>
      <c r="BK277">
        <v>0</v>
      </c>
      <c r="BL277">
        <v>0</v>
      </c>
      <c r="BM277">
        <v>0</v>
      </c>
      <c r="BN277">
        <v>0</v>
      </c>
      <c r="BO277">
        <v>0</v>
      </c>
      <c r="BP277">
        <v>0</v>
      </c>
      <c r="BQ277" s="28">
        <v>0</v>
      </c>
      <c r="BR277">
        <v>0</v>
      </c>
      <c r="BS277">
        <v>0</v>
      </c>
      <c r="BT277" s="28">
        <v>1</v>
      </c>
      <c r="BU277">
        <v>1</v>
      </c>
      <c r="BV277">
        <v>0</v>
      </c>
      <c r="BW277">
        <v>0</v>
      </c>
      <c r="BX277">
        <v>0</v>
      </c>
      <c r="BY277">
        <v>0</v>
      </c>
      <c r="BZ277">
        <v>1</v>
      </c>
      <c r="CA277">
        <v>0</v>
      </c>
      <c r="CB277">
        <v>0</v>
      </c>
      <c r="CC277">
        <v>0</v>
      </c>
      <c r="CD277">
        <v>0</v>
      </c>
      <c r="CE277" s="16">
        <v>0</v>
      </c>
      <c r="CF277">
        <v>0.96399999999999997</v>
      </c>
      <c r="CG277">
        <v>85</v>
      </c>
      <c r="CH277">
        <v>1</v>
      </c>
      <c r="CI277">
        <v>0</v>
      </c>
      <c r="CJ277">
        <v>10</v>
      </c>
      <c r="CK277" t="s">
        <v>46</v>
      </c>
    </row>
    <row r="278" spans="1:89" x14ac:dyDescent="0.25">
      <c r="A278">
        <v>277</v>
      </c>
      <c r="B278">
        <v>16</v>
      </c>
      <c r="C278" t="s">
        <v>380</v>
      </c>
      <c r="D278" s="79">
        <v>6.1</v>
      </c>
      <c r="E278" s="6">
        <v>0.3</v>
      </c>
      <c r="F278" s="6">
        <f t="shared" si="47"/>
        <v>20.333333333333332</v>
      </c>
      <c r="G278" s="78">
        <v>0</v>
      </c>
      <c r="H278" s="70">
        <v>0</v>
      </c>
      <c r="I278" s="70">
        <v>0</v>
      </c>
      <c r="J278" s="70">
        <v>1</v>
      </c>
      <c r="K278" s="70">
        <v>0</v>
      </c>
      <c r="L278" s="78">
        <v>1964</v>
      </c>
      <c r="M278" s="70">
        <v>4</v>
      </c>
      <c r="N278" s="70">
        <f t="shared" si="45"/>
        <v>1959</v>
      </c>
      <c r="O278" s="60">
        <f t="shared" si="46"/>
        <v>20</v>
      </c>
      <c r="P278" s="6">
        <v>11.3</v>
      </c>
      <c r="Q278" s="6">
        <f t="shared" si="48"/>
        <v>28.400000000000006</v>
      </c>
      <c r="R278" s="78">
        <v>1</v>
      </c>
      <c r="S278" s="70">
        <v>0</v>
      </c>
      <c r="T278" s="78">
        <v>0</v>
      </c>
      <c r="U278" s="70">
        <v>0</v>
      </c>
      <c r="V278" s="70">
        <v>0</v>
      </c>
      <c r="W278" s="70">
        <v>1</v>
      </c>
      <c r="X278" s="78">
        <v>0</v>
      </c>
      <c r="Y278" s="70">
        <v>1</v>
      </c>
      <c r="Z278" s="70">
        <v>0</v>
      </c>
      <c r="AA278" s="78">
        <v>0</v>
      </c>
      <c r="AB278" s="70">
        <v>1</v>
      </c>
      <c r="AC278" s="69">
        <v>1990</v>
      </c>
      <c r="AD278" t="s">
        <v>57</v>
      </c>
      <c r="AE278" t="s">
        <v>57</v>
      </c>
      <c r="AF278" t="s">
        <v>57</v>
      </c>
      <c r="AG278" t="s">
        <v>57</v>
      </c>
      <c r="AH278" s="28" t="s">
        <v>57</v>
      </c>
      <c r="AI278" t="s">
        <v>57</v>
      </c>
      <c r="AJ278" s="28">
        <v>0.52400000000000002</v>
      </c>
      <c r="AK278">
        <f t="shared" si="49"/>
        <v>0.47599999999999998</v>
      </c>
      <c r="AL278" s="28">
        <v>1</v>
      </c>
      <c r="AM278">
        <v>0</v>
      </c>
      <c r="AN278">
        <v>1</v>
      </c>
      <c r="AO278">
        <v>0</v>
      </c>
      <c r="AP278" s="28" t="s">
        <v>57</v>
      </c>
      <c r="AQ278" s="12" t="s">
        <v>57</v>
      </c>
      <c r="AR278">
        <v>0</v>
      </c>
      <c r="AS278">
        <v>0</v>
      </c>
      <c r="AT278">
        <v>1</v>
      </c>
      <c r="AU278" s="28" t="s">
        <v>368</v>
      </c>
      <c r="AV278">
        <v>1</v>
      </c>
      <c r="AW278">
        <v>0</v>
      </c>
      <c r="AX278">
        <v>0</v>
      </c>
      <c r="AY278">
        <v>0</v>
      </c>
      <c r="AZ278">
        <v>0</v>
      </c>
      <c r="BA278">
        <v>0</v>
      </c>
      <c r="BB278">
        <v>0</v>
      </c>
      <c r="BC278">
        <v>1</v>
      </c>
      <c r="BD278">
        <v>0</v>
      </c>
      <c r="BE278">
        <v>0</v>
      </c>
      <c r="BF278">
        <v>16476</v>
      </c>
      <c r="BG278">
        <v>1012</v>
      </c>
      <c r="BH278">
        <v>0.95099999999999996</v>
      </c>
      <c r="BI278" s="64">
        <v>45.7</v>
      </c>
      <c r="BJ278">
        <v>1</v>
      </c>
      <c r="BK278">
        <v>0</v>
      </c>
      <c r="BL278">
        <v>0</v>
      </c>
      <c r="BM278">
        <v>0</v>
      </c>
      <c r="BN278">
        <v>0</v>
      </c>
      <c r="BO278">
        <v>0</v>
      </c>
      <c r="BP278">
        <v>0</v>
      </c>
      <c r="BQ278" s="28">
        <v>0</v>
      </c>
      <c r="BR278">
        <v>0</v>
      </c>
      <c r="BS278">
        <v>0</v>
      </c>
      <c r="BT278" s="28">
        <v>1</v>
      </c>
      <c r="BU278">
        <v>1</v>
      </c>
      <c r="BV278">
        <v>0</v>
      </c>
      <c r="BW278">
        <v>0</v>
      </c>
      <c r="BX278">
        <v>0</v>
      </c>
      <c r="BY278">
        <v>0</v>
      </c>
      <c r="BZ278">
        <v>1</v>
      </c>
      <c r="CA278">
        <v>0</v>
      </c>
      <c r="CB278">
        <v>0</v>
      </c>
      <c r="CC278">
        <v>0</v>
      </c>
      <c r="CD278">
        <v>0</v>
      </c>
      <c r="CE278" s="16">
        <v>0</v>
      </c>
      <c r="CF278">
        <v>0.96399999999999997</v>
      </c>
      <c r="CG278">
        <v>85</v>
      </c>
      <c r="CH278">
        <v>1</v>
      </c>
      <c r="CI278">
        <v>0</v>
      </c>
      <c r="CJ278">
        <v>10</v>
      </c>
      <c r="CK278" t="s">
        <v>46</v>
      </c>
    </row>
    <row r="279" spans="1:89" x14ac:dyDescent="0.25">
      <c r="A279">
        <v>278</v>
      </c>
      <c r="B279">
        <v>16</v>
      </c>
      <c r="C279" t="s">
        <v>380</v>
      </c>
      <c r="D279" s="79">
        <v>5.2</v>
      </c>
      <c r="E279" s="6">
        <v>0.2</v>
      </c>
      <c r="F279" s="6">
        <f t="shared" si="47"/>
        <v>26</v>
      </c>
      <c r="G279" s="78">
        <v>0</v>
      </c>
      <c r="H279" s="70">
        <v>0</v>
      </c>
      <c r="I279" s="70">
        <v>0</v>
      </c>
      <c r="J279" s="70">
        <v>1</v>
      </c>
      <c r="K279" s="70">
        <v>0</v>
      </c>
      <c r="L279" s="78">
        <v>5218</v>
      </c>
      <c r="M279" s="70">
        <v>4</v>
      </c>
      <c r="N279" s="70">
        <f t="shared" si="45"/>
        <v>5213</v>
      </c>
      <c r="O279" s="60">
        <f t="shared" si="46"/>
        <v>20</v>
      </c>
      <c r="P279" s="6">
        <v>11.3</v>
      </c>
      <c r="Q279" s="6">
        <f t="shared" si="48"/>
        <v>26.700000000000003</v>
      </c>
      <c r="R279" s="78">
        <v>1</v>
      </c>
      <c r="S279" s="70">
        <v>0</v>
      </c>
      <c r="T279" s="78">
        <v>0</v>
      </c>
      <c r="U279" s="70">
        <v>0</v>
      </c>
      <c r="V279" s="70">
        <v>0</v>
      </c>
      <c r="W279" s="70">
        <v>1</v>
      </c>
      <c r="X279" s="78">
        <v>0</v>
      </c>
      <c r="Y279" s="70">
        <v>0</v>
      </c>
      <c r="Z279" s="70">
        <v>1</v>
      </c>
      <c r="AA279" s="78">
        <v>0</v>
      </c>
      <c r="AB279" s="70">
        <v>1</v>
      </c>
      <c r="AC279" s="69">
        <v>1990</v>
      </c>
      <c r="AD279" t="s">
        <v>57</v>
      </c>
      <c r="AE279" t="s">
        <v>57</v>
      </c>
      <c r="AF279" t="s">
        <v>57</v>
      </c>
      <c r="AG279" t="s">
        <v>57</v>
      </c>
      <c r="AH279" s="28" t="s">
        <v>57</v>
      </c>
      <c r="AI279" t="s">
        <v>57</v>
      </c>
      <c r="AJ279" s="28">
        <v>0.44</v>
      </c>
      <c r="AK279">
        <f t="shared" si="49"/>
        <v>0.56000000000000005</v>
      </c>
      <c r="AL279" s="28">
        <v>1</v>
      </c>
      <c r="AM279">
        <v>0</v>
      </c>
      <c r="AN279">
        <v>1</v>
      </c>
      <c r="AO279">
        <v>0</v>
      </c>
      <c r="AP279" s="28" t="s">
        <v>57</v>
      </c>
      <c r="AQ279" s="12" t="s">
        <v>57</v>
      </c>
      <c r="AR279">
        <v>1</v>
      </c>
      <c r="AS279">
        <v>0</v>
      </c>
      <c r="AT279">
        <v>0</v>
      </c>
      <c r="AU279" s="28" t="s">
        <v>368</v>
      </c>
      <c r="AV279">
        <v>1</v>
      </c>
      <c r="AW279">
        <v>0</v>
      </c>
      <c r="AX279">
        <v>0</v>
      </c>
      <c r="AY279">
        <v>0</v>
      </c>
      <c r="AZ279">
        <v>0</v>
      </c>
      <c r="BA279">
        <v>0</v>
      </c>
      <c r="BB279">
        <v>0</v>
      </c>
      <c r="BC279">
        <v>1</v>
      </c>
      <c r="BD279">
        <v>0</v>
      </c>
      <c r="BE279">
        <v>0</v>
      </c>
      <c r="BF279">
        <v>16476</v>
      </c>
      <c r="BG279">
        <v>1012</v>
      </c>
      <c r="BH279">
        <v>0.95099999999999996</v>
      </c>
      <c r="BI279" s="64">
        <v>44</v>
      </c>
      <c r="BJ279">
        <v>1</v>
      </c>
      <c r="BK279">
        <v>0</v>
      </c>
      <c r="BL279">
        <v>0</v>
      </c>
      <c r="BM279">
        <v>0</v>
      </c>
      <c r="BN279">
        <v>0</v>
      </c>
      <c r="BO279">
        <v>0</v>
      </c>
      <c r="BP279">
        <v>0</v>
      </c>
      <c r="BQ279" s="28">
        <v>0</v>
      </c>
      <c r="BR279">
        <v>0</v>
      </c>
      <c r="BS279">
        <v>0</v>
      </c>
      <c r="BT279" s="28">
        <v>1</v>
      </c>
      <c r="BU279">
        <v>1</v>
      </c>
      <c r="BV279">
        <v>0</v>
      </c>
      <c r="BW279">
        <v>0</v>
      </c>
      <c r="BX279">
        <v>0</v>
      </c>
      <c r="BY279">
        <v>0</v>
      </c>
      <c r="BZ279">
        <v>1</v>
      </c>
      <c r="CA279">
        <v>0</v>
      </c>
      <c r="CB279">
        <v>0</v>
      </c>
      <c r="CC279">
        <v>0</v>
      </c>
      <c r="CD279">
        <v>0</v>
      </c>
      <c r="CE279" s="16">
        <v>0</v>
      </c>
      <c r="CF279">
        <v>0.96399999999999997</v>
      </c>
      <c r="CG279">
        <v>85</v>
      </c>
      <c r="CH279">
        <v>1</v>
      </c>
      <c r="CI279">
        <v>0</v>
      </c>
      <c r="CJ279">
        <v>10</v>
      </c>
      <c r="CK279" t="s">
        <v>46</v>
      </c>
    </row>
    <row r="280" spans="1:89" x14ac:dyDescent="0.25">
      <c r="A280">
        <v>279</v>
      </c>
      <c r="B280">
        <v>16</v>
      </c>
      <c r="C280" t="s">
        <v>380</v>
      </c>
      <c r="D280" s="79">
        <v>5.2</v>
      </c>
      <c r="E280" s="6">
        <v>0.1</v>
      </c>
      <c r="F280" s="6">
        <f t="shared" si="47"/>
        <v>52</v>
      </c>
      <c r="G280" s="78">
        <v>0</v>
      </c>
      <c r="H280" s="70">
        <v>0</v>
      </c>
      <c r="I280" s="70">
        <v>0</v>
      </c>
      <c r="J280" s="70">
        <v>1</v>
      </c>
      <c r="K280" s="70">
        <v>0</v>
      </c>
      <c r="L280" s="78">
        <v>5218</v>
      </c>
      <c r="M280" s="70">
        <v>4</v>
      </c>
      <c r="N280" s="70">
        <f t="shared" si="45"/>
        <v>5213</v>
      </c>
      <c r="O280" s="60">
        <f t="shared" si="46"/>
        <v>20</v>
      </c>
      <c r="P280" s="6">
        <v>11.3</v>
      </c>
      <c r="Q280" s="6">
        <f t="shared" si="48"/>
        <v>26.700000000000003</v>
      </c>
      <c r="R280" s="78">
        <v>1</v>
      </c>
      <c r="S280" s="70">
        <v>0</v>
      </c>
      <c r="T280" s="78">
        <v>0</v>
      </c>
      <c r="U280" s="70">
        <v>0</v>
      </c>
      <c r="V280" s="70">
        <v>0</v>
      </c>
      <c r="W280" s="70">
        <v>1</v>
      </c>
      <c r="X280" s="78">
        <v>0</v>
      </c>
      <c r="Y280" s="70">
        <v>0</v>
      </c>
      <c r="Z280" s="70">
        <v>1</v>
      </c>
      <c r="AA280" s="78">
        <v>0</v>
      </c>
      <c r="AB280" s="70">
        <v>1</v>
      </c>
      <c r="AC280" s="69">
        <v>1990</v>
      </c>
      <c r="AD280" t="s">
        <v>57</v>
      </c>
      <c r="AE280" t="s">
        <v>57</v>
      </c>
      <c r="AF280" t="s">
        <v>57</v>
      </c>
      <c r="AG280" t="s">
        <v>57</v>
      </c>
      <c r="AH280" s="28" t="s">
        <v>57</v>
      </c>
      <c r="AI280" t="s">
        <v>57</v>
      </c>
      <c r="AJ280" s="28">
        <v>0.44</v>
      </c>
      <c r="AK280">
        <f t="shared" si="49"/>
        <v>0.56000000000000005</v>
      </c>
      <c r="AL280" s="28">
        <v>1</v>
      </c>
      <c r="AM280">
        <v>0</v>
      </c>
      <c r="AN280">
        <v>1</v>
      </c>
      <c r="AO280">
        <v>0</v>
      </c>
      <c r="AP280" s="28" t="s">
        <v>57</v>
      </c>
      <c r="AQ280" s="12" t="s">
        <v>57</v>
      </c>
      <c r="AR280">
        <v>1</v>
      </c>
      <c r="AS280">
        <v>0</v>
      </c>
      <c r="AT280">
        <v>0</v>
      </c>
      <c r="AU280" s="28" t="s">
        <v>368</v>
      </c>
      <c r="AV280">
        <v>1</v>
      </c>
      <c r="AW280">
        <v>0</v>
      </c>
      <c r="AX280">
        <v>0</v>
      </c>
      <c r="AY280">
        <v>0</v>
      </c>
      <c r="AZ280">
        <v>0</v>
      </c>
      <c r="BA280">
        <v>0</v>
      </c>
      <c r="BB280">
        <v>0</v>
      </c>
      <c r="BC280">
        <v>1</v>
      </c>
      <c r="BD280">
        <v>0</v>
      </c>
      <c r="BE280">
        <v>0</v>
      </c>
      <c r="BF280">
        <v>16476</v>
      </c>
      <c r="BG280">
        <v>1012</v>
      </c>
      <c r="BH280">
        <v>0.95099999999999996</v>
      </c>
      <c r="BI280" s="64">
        <v>44</v>
      </c>
      <c r="BJ280">
        <v>1</v>
      </c>
      <c r="BK280">
        <v>0</v>
      </c>
      <c r="BL280">
        <v>0</v>
      </c>
      <c r="BM280">
        <v>0</v>
      </c>
      <c r="BN280">
        <v>0</v>
      </c>
      <c r="BO280">
        <v>0</v>
      </c>
      <c r="BP280">
        <v>0</v>
      </c>
      <c r="BQ280" s="28">
        <v>0</v>
      </c>
      <c r="BR280">
        <v>0</v>
      </c>
      <c r="BS280">
        <v>0</v>
      </c>
      <c r="BT280" s="28">
        <v>1</v>
      </c>
      <c r="BU280">
        <v>1</v>
      </c>
      <c r="BV280">
        <v>0</v>
      </c>
      <c r="BW280">
        <v>0</v>
      </c>
      <c r="BX280">
        <v>0</v>
      </c>
      <c r="BY280">
        <v>0</v>
      </c>
      <c r="BZ280">
        <v>1</v>
      </c>
      <c r="CA280">
        <v>0</v>
      </c>
      <c r="CB280">
        <v>0</v>
      </c>
      <c r="CC280">
        <v>0</v>
      </c>
      <c r="CD280">
        <v>0</v>
      </c>
      <c r="CE280" s="16">
        <v>0</v>
      </c>
      <c r="CF280">
        <v>0.96399999999999997</v>
      </c>
      <c r="CG280">
        <v>85</v>
      </c>
      <c r="CH280">
        <v>1</v>
      </c>
      <c r="CI280">
        <v>0</v>
      </c>
      <c r="CJ280">
        <v>10</v>
      </c>
      <c r="CK280" t="s">
        <v>46</v>
      </c>
    </row>
    <row r="281" spans="1:89" x14ac:dyDescent="0.25">
      <c r="A281">
        <v>280</v>
      </c>
      <c r="B281">
        <v>16</v>
      </c>
      <c r="C281" t="s">
        <v>380</v>
      </c>
      <c r="D281" s="79">
        <v>5.2</v>
      </c>
      <c r="E281" s="6">
        <v>0.3</v>
      </c>
      <c r="F281" s="6">
        <f t="shared" si="47"/>
        <v>17.333333333333336</v>
      </c>
      <c r="G281" s="78">
        <v>0</v>
      </c>
      <c r="H281" s="70">
        <v>0</v>
      </c>
      <c r="I281" s="70">
        <v>0</v>
      </c>
      <c r="J281" s="70">
        <v>1</v>
      </c>
      <c r="K281" s="70">
        <v>0</v>
      </c>
      <c r="L281" s="78">
        <v>5218</v>
      </c>
      <c r="M281" s="70">
        <v>4</v>
      </c>
      <c r="N281" s="70">
        <f t="shared" si="45"/>
        <v>5213</v>
      </c>
      <c r="O281" s="60">
        <f t="shared" si="46"/>
        <v>20</v>
      </c>
      <c r="P281" s="6">
        <v>11.3</v>
      </c>
      <c r="Q281" s="6">
        <f t="shared" si="48"/>
        <v>26.700000000000003</v>
      </c>
      <c r="R281" s="78">
        <v>1</v>
      </c>
      <c r="S281" s="70">
        <v>0</v>
      </c>
      <c r="T281" s="78">
        <v>0</v>
      </c>
      <c r="U281" s="70">
        <v>0</v>
      </c>
      <c r="V281" s="70">
        <v>0</v>
      </c>
      <c r="W281" s="70">
        <v>1</v>
      </c>
      <c r="X281" s="78">
        <v>0</v>
      </c>
      <c r="Y281" s="70">
        <v>0</v>
      </c>
      <c r="Z281" s="70">
        <v>1</v>
      </c>
      <c r="AA281" s="78">
        <v>0</v>
      </c>
      <c r="AB281" s="70">
        <v>1</v>
      </c>
      <c r="AC281" s="69">
        <v>1990</v>
      </c>
      <c r="AD281" t="s">
        <v>57</v>
      </c>
      <c r="AE281" t="s">
        <v>57</v>
      </c>
      <c r="AF281" t="s">
        <v>57</v>
      </c>
      <c r="AG281" t="s">
        <v>57</v>
      </c>
      <c r="AH281" s="28" t="s">
        <v>57</v>
      </c>
      <c r="AI281" t="s">
        <v>57</v>
      </c>
      <c r="AJ281" s="28">
        <v>0.44</v>
      </c>
      <c r="AK281">
        <f t="shared" si="49"/>
        <v>0.56000000000000005</v>
      </c>
      <c r="AL281" s="28">
        <v>1</v>
      </c>
      <c r="AM281">
        <v>0</v>
      </c>
      <c r="AN281">
        <v>1</v>
      </c>
      <c r="AO281">
        <v>0</v>
      </c>
      <c r="AP281" s="28" t="s">
        <v>57</v>
      </c>
      <c r="AQ281" s="12" t="s">
        <v>57</v>
      </c>
      <c r="AR281">
        <v>1</v>
      </c>
      <c r="AS281">
        <v>0</v>
      </c>
      <c r="AT281">
        <v>0</v>
      </c>
      <c r="AU281" s="28" t="s">
        <v>368</v>
      </c>
      <c r="AV281">
        <v>1</v>
      </c>
      <c r="AW281">
        <v>0</v>
      </c>
      <c r="AX281">
        <v>0</v>
      </c>
      <c r="AY281">
        <v>0</v>
      </c>
      <c r="AZ281">
        <v>0</v>
      </c>
      <c r="BA281">
        <v>0</v>
      </c>
      <c r="BB281">
        <v>0</v>
      </c>
      <c r="BC281">
        <v>1</v>
      </c>
      <c r="BD281">
        <v>0</v>
      </c>
      <c r="BE281">
        <v>0</v>
      </c>
      <c r="BF281">
        <v>16476</v>
      </c>
      <c r="BG281">
        <v>1012</v>
      </c>
      <c r="BH281">
        <v>0.95099999999999996</v>
      </c>
      <c r="BI281" s="64">
        <v>44</v>
      </c>
      <c r="BJ281">
        <v>1</v>
      </c>
      <c r="BK281">
        <v>0</v>
      </c>
      <c r="BL281">
        <v>0</v>
      </c>
      <c r="BM281">
        <v>0</v>
      </c>
      <c r="BN281">
        <v>0</v>
      </c>
      <c r="BO281">
        <v>0</v>
      </c>
      <c r="BP281">
        <v>0</v>
      </c>
      <c r="BQ281" s="28">
        <v>0</v>
      </c>
      <c r="BR281">
        <v>0</v>
      </c>
      <c r="BS281">
        <v>0</v>
      </c>
      <c r="BT281" s="28">
        <v>1</v>
      </c>
      <c r="BU281">
        <v>1</v>
      </c>
      <c r="BV281">
        <v>0</v>
      </c>
      <c r="BW281">
        <v>0</v>
      </c>
      <c r="BX281">
        <v>0</v>
      </c>
      <c r="BY281">
        <v>0</v>
      </c>
      <c r="BZ281">
        <v>1</v>
      </c>
      <c r="CA281">
        <v>0</v>
      </c>
      <c r="CB281">
        <v>0</v>
      </c>
      <c r="CC281">
        <v>0</v>
      </c>
      <c r="CD281">
        <v>0</v>
      </c>
      <c r="CE281" s="16">
        <v>0</v>
      </c>
      <c r="CF281">
        <v>0.96399999999999997</v>
      </c>
      <c r="CG281">
        <v>85</v>
      </c>
      <c r="CH281">
        <v>1</v>
      </c>
      <c r="CI281">
        <v>0</v>
      </c>
      <c r="CJ281">
        <v>10</v>
      </c>
      <c r="CK281" t="s">
        <v>46</v>
      </c>
    </row>
    <row r="282" spans="1:89" x14ac:dyDescent="0.25">
      <c r="A282">
        <v>281</v>
      </c>
      <c r="B282">
        <v>16</v>
      </c>
      <c r="C282" t="s">
        <v>380</v>
      </c>
      <c r="D282" s="79">
        <v>6</v>
      </c>
      <c r="E282" s="6">
        <v>0.1</v>
      </c>
      <c r="F282" s="6">
        <f t="shared" si="47"/>
        <v>60</v>
      </c>
      <c r="G282" s="78">
        <v>0</v>
      </c>
      <c r="H282" s="70">
        <v>0</v>
      </c>
      <c r="I282" s="70">
        <v>0</v>
      </c>
      <c r="J282" s="70">
        <v>1</v>
      </c>
      <c r="K282" s="70">
        <v>0</v>
      </c>
      <c r="L282" s="78">
        <v>5218</v>
      </c>
      <c r="M282" s="70">
        <v>4</v>
      </c>
      <c r="N282" s="70">
        <f t="shared" si="45"/>
        <v>5213</v>
      </c>
      <c r="O282" s="60">
        <f t="shared" si="46"/>
        <v>20</v>
      </c>
      <c r="P282" s="6">
        <v>11.3</v>
      </c>
      <c r="Q282" s="6">
        <f t="shared" si="48"/>
        <v>26.700000000000003</v>
      </c>
      <c r="R282" s="78">
        <v>1</v>
      </c>
      <c r="S282" s="70">
        <v>0</v>
      </c>
      <c r="T282" s="78">
        <v>0</v>
      </c>
      <c r="U282" s="70">
        <v>0</v>
      </c>
      <c r="V282" s="70">
        <v>0</v>
      </c>
      <c r="W282" s="70">
        <v>1</v>
      </c>
      <c r="X282" s="78">
        <v>0</v>
      </c>
      <c r="Y282" s="70">
        <v>0</v>
      </c>
      <c r="Z282" s="70">
        <v>1</v>
      </c>
      <c r="AA282" s="78">
        <v>0</v>
      </c>
      <c r="AB282" s="70">
        <v>1</v>
      </c>
      <c r="AC282" s="69">
        <v>1990</v>
      </c>
      <c r="AD282" t="s">
        <v>57</v>
      </c>
      <c r="AE282" t="s">
        <v>57</v>
      </c>
      <c r="AF282" t="s">
        <v>57</v>
      </c>
      <c r="AG282" t="s">
        <v>57</v>
      </c>
      <c r="AH282" s="28" t="s">
        <v>57</v>
      </c>
      <c r="AI282" t="s">
        <v>57</v>
      </c>
      <c r="AJ282" s="28">
        <v>0.44</v>
      </c>
      <c r="AK282">
        <f t="shared" si="49"/>
        <v>0.56000000000000005</v>
      </c>
      <c r="AL282" s="28">
        <v>1</v>
      </c>
      <c r="AM282">
        <v>0</v>
      </c>
      <c r="AN282">
        <v>1</v>
      </c>
      <c r="AO282">
        <v>0</v>
      </c>
      <c r="AP282" s="28" t="s">
        <v>57</v>
      </c>
      <c r="AQ282" s="12" t="s">
        <v>57</v>
      </c>
      <c r="AR282">
        <v>1</v>
      </c>
      <c r="AS282">
        <v>0</v>
      </c>
      <c r="AT282">
        <v>0</v>
      </c>
      <c r="AU282" s="28" t="s">
        <v>368</v>
      </c>
      <c r="AV282">
        <v>1</v>
      </c>
      <c r="AW282">
        <v>0</v>
      </c>
      <c r="AX282">
        <v>0</v>
      </c>
      <c r="AY282">
        <v>0</v>
      </c>
      <c r="AZ282">
        <v>0</v>
      </c>
      <c r="BA282">
        <v>0</v>
      </c>
      <c r="BB282">
        <v>0</v>
      </c>
      <c r="BC282">
        <v>1</v>
      </c>
      <c r="BD282">
        <v>0</v>
      </c>
      <c r="BE282">
        <v>0</v>
      </c>
      <c r="BF282">
        <v>16476</v>
      </c>
      <c r="BG282">
        <v>1012</v>
      </c>
      <c r="BH282">
        <v>0.95099999999999996</v>
      </c>
      <c r="BI282" s="64">
        <v>44</v>
      </c>
      <c r="BJ282">
        <v>1</v>
      </c>
      <c r="BK282">
        <v>0</v>
      </c>
      <c r="BL282">
        <v>0</v>
      </c>
      <c r="BM282">
        <v>0</v>
      </c>
      <c r="BN282">
        <v>0</v>
      </c>
      <c r="BO282">
        <v>0</v>
      </c>
      <c r="BP282">
        <v>0</v>
      </c>
      <c r="BQ282" s="28">
        <v>0</v>
      </c>
      <c r="BR282">
        <v>0</v>
      </c>
      <c r="BS282">
        <v>0</v>
      </c>
      <c r="BT282" s="28">
        <v>1</v>
      </c>
      <c r="BU282">
        <v>1</v>
      </c>
      <c r="BV282">
        <v>0</v>
      </c>
      <c r="BW282">
        <v>0</v>
      </c>
      <c r="BX282">
        <v>0</v>
      </c>
      <c r="BY282">
        <v>0</v>
      </c>
      <c r="BZ282">
        <v>1</v>
      </c>
      <c r="CA282">
        <v>0</v>
      </c>
      <c r="CB282">
        <v>0</v>
      </c>
      <c r="CC282">
        <v>0</v>
      </c>
      <c r="CD282">
        <v>0</v>
      </c>
      <c r="CE282" s="16">
        <v>0</v>
      </c>
      <c r="CF282">
        <v>0.96399999999999997</v>
      </c>
      <c r="CG282">
        <v>85</v>
      </c>
      <c r="CH282">
        <v>1</v>
      </c>
      <c r="CI282">
        <v>0</v>
      </c>
      <c r="CJ282">
        <v>10</v>
      </c>
      <c r="CK282" t="s">
        <v>46</v>
      </c>
    </row>
    <row r="283" spans="1:89" x14ac:dyDescent="0.25">
      <c r="A283">
        <v>282</v>
      </c>
      <c r="B283">
        <v>16</v>
      </c>
      <c r="C283" t="s">
        <v>380</v>
      </c>
      <c r="D283" s="79">
        <v>2</v>
      </c>
      <c r="E283" s="6">
        <v>0.3</v>
      </c>
      <c r="F283" s="6">
        <f t="shared" si="47"/>
        <v>6.666666666666667</v>
      </c>
      <c r="G283" s="78">
        <v>0</v>
      </c>
      <c r="H283" s="70">
        <v>0</v>
      </c>
      <c r="I283" s="70">
        <v>0</v>
      </c>
      <c r="J283" s="70">
        <v>1</v>
      </c>
      <c r="K283" s="70">
        <v>0</v>
      </c>
      <c r="L283" s="78">
        <v>2609</v>
      </c>
      <c r="M283" s="70">
        <v>4</v>
      </c>
      <c r="N283" s="70">
        <f t="shared" si="45"/>
        <v>2604</v>
      </c>
      <c r="O283" s="60">
        <f t="shared" si="46"/>
        <v>20</v>
      </c>
      <c r="P283" s="6">
        <v>11.3</v>
      </c>
      <c r="Q283" s="6">
        <f t="shared" si="48"/>
        <v>26.700000000000003</v>
      </c>
      <c r="R283" s="78">
        <v>1</v>
      </c>
      <c r="S283" s="70">
        <v>0</v>
      </c>
      <c r="T283" s="78">
        <v>0</v>
      </c>
      <c r="U283" s="70">
        <v>0</v>
      </c>
      <c r="V283" s="70">
        <v>0</v>
      </c>
      <c r="W283" s="70">
        <v>1</v>
      </c>
      <c r="X283" s="78">
        <v>0</v>
      </c>
      <c r="Y283" s="70">
        <v>0</v>
      </c>
      <c r="Z283" s="70">
        <v>1</v>
      </c>
      <c r="AA283" s="78">
        <v>0</v>
      </c>
      <c r="AB283" s="70">
        <v>1</v>
      </c>
      <c r="AC283" s="69">
        <v>1990</v>
      </c>
      <c r="AD283" t="s">
        <v>57</v>
      </c>
      <c r="AE283" t="s">
        <v>57</v>
      </c>
      <c r="AF283" t="s">
        <v>57</v>
      </c>
      <c r="AG283" t="s">
        <v>57</v>
      </c>
      <c r="AH283" s="28" t="s">
        <v>57</v>
      </c>
      <c r="AI283" t="s">
        <v>57</v>
      </c>
      <c r="AJ283" s="28">
        <v>0.44</v>
      </c>
      <c r="AK283">
        <f t="shared" si="49"/>
        <v>0.56000000000000005</v>
      </c>
      <c r="AL283" s="28">
        <v>1</v>
      </c>
      <c r="AM283">
        <v>0</v>
      </c>
      <c r="AN283">
        <v>1</v>
      </c>
      <c r="AO283">
        <v>0</v>
      </c>
      <c r="AP283" s="28" t="s">
        <v>57</v>
      </c>
      <c r="AQ283" s="12" t="s">
        <v>57</v>
      </c>
      <c r="AR283">
        <v>1</v>
      </c>
      <c r="AS283">
        <v>0</v>
      </c>
      <c r="AT283">
        <v>0</v>
      </c>
      <c r="AU283" s="28" t="s">
        <v>368</v>
      </c>
      <c r="AV283">
        <v>1</v>
      </c>
      <c r="AW283">
        <v>0</v>
      </c>
      <c r="AX283">
        <v>0</v>
      </c>
      <c r="AY283">
        <v>0</v>
      </c>
      <c r="AZ283">
        <v>0</v>
      </c>
      <c r="BA283">
        <v>0</v>
      </c>
      <c r="BB283">
        <v>0</v>
      </c>
      <c r="BC283">
        <v>1</v>
      </c>
      <c r="BD283">
        <v>0</v>
      </c>
      <c r="BE283">
        <v>0</v>
      </c>
      <c r="BF283">
        <v>16476</v>
      </c>
      <c r="BG283">
        <v>1012</v>
      </c>
      <c r="BH283">
        <v>0.95099999999999996</v>
      </c>
      <c r="BI283" s="64">
        <v>44</v>
      </c>
      <c r="BJ283">
        <v>0</v>
      </c>
      <c r="BK283">
        <v>0</v>
      </c>
      <c r="BL283">
        <v>1</v>
      </c>
      <c r="BM283">
        <v>0</v>
      </c>
      <c r="BN283">
        <v>0</v>
      </c>
      <c r="BO283">
        <v>0</v>
      </c>
      <c r="BP283">
        <v>0</v>
      </c>
      <c r="BQ283" s="28">
        <v>0</v>
      </c>
      <c r="BR283">
        <v>0</v>
      </c>
      <c r="BS283">
        <v>0</v>
      </c>
      <c r="BT283" s="28">
        <v>1</v>
      </c>
      <c r="BU283">
        <v>1</v>
      </c>
      <c r="BV283">
        <v>0</v>
      </c>
      <c r="BW283">
        <v>0</v>
      </c>
      <c r="BX283">
        <v>0</v>
      </c>
      <c r="BY283">
        <v>0</v>
      </c>
      <c r="BZ283">
        <v>1</v>
      </c>
      <c r="CA283">
        <v>0</v>
      </c>
      <c r="CB283">
        <v>0</v>
      </c>
      <c r="CC283">
        <v>0</v>
      </c>
      <c r="CD283">
        <v>0</v>
      </c>
      <c r="CE283" s="16">
        <v>0</v>
      </c>
      <c r="CF283">
        <v>0.96399999999999997</v>
      </c>
      <c r="CG283">
        <v>85</v>
      </c>
      <c r="CH283">
        <v>1</v>
      </c>
      <c r="CI283">
        <v>0</v>
      </c>
      <c r="CJ283">
        <v>10</v>
      </c>
      <c r="CK283" t="s">
        <v>46</v>
      </c>
    </row>
    <row r="284" spans="1:89" x14ac:dyDescent="0.25">
      <c r="A284">
        <v>283</v>
      </c>
      <c r="B284">
        <v>16</v>
      </c>
      <c r="C284" t="s">
        <v>380</v>
      </c>
      <c r="D284" s="79">
        <v>2</v>
      </c>
      <c r="E284" s="6">
        <v>0.3</v>
      </c>
      <c r="F284" s="6">
        <f t="shared" si="47"/>
        <v>6.666666666666667</v>
      </c>
      <c r="G284" s="78">
        <v>0</v>
      </c>
      <c r="H284" s="70">
        <v>0</v>
      </c>
      <c r="I284" s="70">
        <v>0</v>
      </c>
      <c r="J284" s="70">
        <v>1</v>
      </c>
      <c r="K284" s="70">
        <v>0</v>
      </c>
      <c r="L284" s="78">
        <v>2609</v>
      </c>
      <c r="M284" s="70">
        <v>4</v>
      </c>
      <c r="N284" s="70">
        <f t="shared" si="45"/>
        <v>2604</v>
      </c>
      <c r="O284" s="60">
        <f t="shared" si="46"/>
        <v>20</v>
      </c>
      <c r="P284" s="6">
        <v>11.3</v>
      </c>
      <c r="Q284" s="6">
        <f t="shared" si="48"/>
        <v>26.700000000000003</v>
      </c>
      <c r="R284" s="78">
        <v>1</v>
      </c>
      <c r="S284" s="70">
        <v>0</v>
      </c>
      <c r="T284" s="78">
        <v>0</v>
      </c>
      <c r="U284" s="70">
        <v>0</v>
      </c>
      <c r="V284" s="70">
        <v>0</v>
      </c>
      <c r="W284" s="70">
        <v>1</v>
      </c>
      <c r="X284" s="78">
        <v>0</v>
      </c>
      <c r="Y284" s="70">
        <v>0</v>
      </c>
      <c r="Z284" s="70">
        <v>1</v>
      </c>
      <c r="AA284" s="78">
        <v>0</v>
      </c>
      <c r="AB284" s="70">
        <v>1</v>
      </c>
      <c r="AC284" s="69">
        <v>1990</v>
      </c>
      <c r="AD284" t="s">
        <v>57</v>
      </c>
      <c r="AE284" t="s">
        <v>57</v>
      </c>
      <c r="AF284" t="s">
        <v>57</v>
      </c>
      <c r="AG284" t="s">
        <v>57</v>
      </c>
      <c r="AH284" s="28" t="s">
        <v>57</v>
      </c>
      <c r="AI284" t="s">
        <v>57</v>
      </c>
      <c r="AJ284" s="28">
        <v>0.44</v>
      </c>
      <c r="AK284">
        <f t="shared" si="49"/>
        <v>0.56000000000000005</v>
      </c>
      <c r="AL284" s="28">
        <v>1</v>
      </c>
      <c r="AM284">
        <v>0</v>
      </c>
      <c r="AN284">
        <v>1</v>
      </c>
      <c r="AO284">
        <v>0</v>
      </c>
      <c r="AP284" s="28" t="s">
        <v>57</v>
      </c>
      <c r="AQ284" s="12" t="s">
        <v>57</v>
      </c>
      <c r="AR284">
        <v>1</v>
      </c>
      <c r="AS284">
        <v>0</v>
      </c>
      <c r="AT284">
        <v>0</v>
      </c>
      <c r="AU284" s="28" t="s">
        <v>368</v>
      </c>
      <c r="AV284">
        <v>1</v>
      </c>
      <c r="AW284">
        <v>0</v>
      </c>
      <c r="AX284">
        <v>0</v>
      </c>
      <c r="AY284">
        <v>0</v>
      </c>
      <c r="AZ284">
        <v>0</v>
      </c>
      <c r="BA284">
        <v>0</v>
      </c>
      <c r="BB284">
        <v>0</v>
      </c>
      <c r="BC284">
        <v>1</v>
      </c>
      <c r="BD284">
        <v>0</v>
      </c>
      <c r="BE284">
        <v>0</v>
      </c>
      <c r="BF284">
        <v>16476</v>
      </c>
      <c r="BG284">
        <v>1012</v>
      </c>
      <c r="BH284">
        <v>0.95099999999999996</v>
      </c>
      <c r="BI284" s="64">
        <v>44</v>
      </c>
      <c r="BJ284">
        <v>0</v>
      </c>
      <c r="BK284">
        <v>0</v>
      </c>
      <c r="BL284">
        <v>1</v>
      </c>
      <c r="BM284">
        <v>0</v>
      </c>
      <c r="BN284">
        <v>0</v>
      </c>
      <c r="BO284">
        <v>0</v>
      </c>
      <c r="BP284">
        <v>0</v>
      </c>
      <c r="BQ284" s="28">
        <v>0</v>
      </c>
      <c r="BR284">
        <v>0</v>
      </c>
      <c r="BS284">
        <v>0</v>
      </c>
      <c r="BT284" s="28">
        <v>1</v>
      </c>
      <c r="BU284">
        <v>1</v>
      </c>
      <c r="BV284">
        <v>0</v>
      </c>
      <c r="BW284">
        <v>0</v>
      </c>
      <c r="BX284">
        <v>0</v>
      </c>
      <c r="BY284">
        <v>0</v>
      </c>
      <c r="BZ284">
        <v>1</v>
      </c>
      <c r="CA284">
        <v>0</v>
      </c>
      <c r="CB284">
        <v>0</v>
      </c>
      <c r="CC284">
        <v>0</v>
      </c>
      <c r="CD284">
        <v>0</v>
      </c>
      <c r="CE284" s="16">
        <v>0</v>
      </c>
      <c r="CF284">
        <v>0.96399999999999997</v>
      </c>
      <c r="CG284">
        <v>85</v>
      </c>
      <c r="CH284">
        <v>1</v>
      </c>
      <c r="CI284">
        <v>0</v>
      </c>
      <c r="CJ284">
        <v>10</v>
      </c>
      <c r="CK284" t="s">
        <v>46</v>
      </c>
    </row>
    <row r="285" spans="1:89" x14ac:dyDescent="0.25">
      <c r="A285">
        <v>284</v>
      </c>
      <c r="B285">
        <v>16</v>
      </c>
      <c r="C285" t="s">
        <v>380</v>
      </c>
      <c r="D285" s="79">
        <v>3.1</v>
      </c>
      <c r="E285" s="6">
        <v>0.5</v>
      </c>
      <c r="F285" s="6">
        <f t="shared" si="47"/>
        <v>6.2</v>
      </c>
      <c r="G285" s="78">
        <v>0</v>
      </c>
      <c r="H285" s="70">
        <v>0</v>
      </c>
      <c r="I285" s="70">
        <v>0</v>
      </c>
      <c r="J285" s="70">
        <v>1</v>
      </c>
      <c r="K285" s="70">
        <v>0</v>
      </c>
      <c r="L285" s="78">
        <v>2609</v>
      </c>
      <c r="M285" s="70">
        <v>4</v>
      </c>
      <c r="N285" s="70">
        <f t="shared" si="45"/>
        <v>2604</v>
      </c>
      <c r="O285" s="60">
        <f t="shared" si="46"/>
        <v>20</v>
      </c>
      <c r="P285" s="6">
        <v>11.3</v>
      </c>
      <c r="Q285" s="6">
        <f t="shared" si="48"/>
        <v>26.700000000000003</v>
      </c>
      <c r="R285" s="78">
        <v>1</v>
      </c>
      <c r="S285" s="70">
        <v>0</v>
      </c>
      <c r="T285" s="78">
        <v>0</v>
      </c>
      <c r="U285" s="70">
        <v>0</v>
      </c>
      <c r="V285" s="70">
        <v>0</v>
      </c>
      <c r="W285" s="70">
        <v>1</v>
      </c>
      <c r="X285" s="78">
        <v>0</v>
      </c>
      <c r="Y285" s="70">
        <v>0</v>
      </c>
      <c r="Z285" s="70">
        <v>1</v>
      </c>
      <c r="AA285" s="78">
        <v>0</v>
      </c>
      <c r="AB285" s="70">
        <v>1</v>
      </c>
      <c r="AC285" s="69">
        <v>1990</v>
      </c>
      <c r="AD285" t="s">
        <v>57</v>
      </c>
      <c r="AE285" t="s">
        <v>57</v>
      </c>
      <c r="AF285" t="s">
        <v>57</v>
      </c>
      <c r="AG285" t="s">
        <v>57</v>
      </c>
      <c r="AH285" s="28" t="s">
        <v>57</v>
      </c>
      <c r="AI285" t="s">
        <v>57</v>
      </c>
      <c r="AJ285" s="28">
        <v>0.44</v>
      </c>
      <c r="AK285">
        <f t="shared" si="49"/>
        <v>0.56000000000000005</v>
      </c>
      <c r="AL285" s="28">
        <v>1</v>
      </c>
      <c r="AM285">
        <v>0</v>
      </c>
      <c r="AN285">
        <v>1</v>
      </c>
      <c r="AO285">
        <v>0</v>
      </c>
      <c r="AP285" s="28" t="s">
        <v>57</v>
      </c>
      <c r="AQ285" s="12" t="s">
        <v>57</v>
      </c>
      <c r="AR285">
        <v>1</v>
      </c>
      <c r="AS285">
        <v>0</v>
      </c>
      <c r="AT285">
        <v>0</v>
      </c>
      <c r="AU285" s="28" t="s">
        <v>368</v>
      </c>
      <c r="AV285">
        <v>1</v>
      </c>
      <c r="AW285">
        <v>0</v>
      </c>
      <c r="AX285">
        <v>0</v>
      </c>
      <c r="AY285">
        <v>0</v>
      </c>
      <c r="AZ285">
        <v>0</v>
      </c>
      <c r="BA285">
        <v>0</v>
      </c>
      <c r="BB285">
        <v>0</v>
      </c>
      <c r="BC285">
        <v>1</v>
      </c>
      <c r="BD285">
        <v>0</v>
      </c>
      <c r="BE285">
        <v>0</v>
      </c>
      <c r="BF285">
        <v>16476</v>
      </c>
      <c r="BG285">
        <v>1012</v>
      </c>
      <c r="BH285">
        <v>0.95099999999999996</v>
      </c>
      <c r="BI285" s="64">
        <v>44</v>
      </c>
      <c r="BJ285">
        <v>0</v>
      </c>
      <c r="BK285">
        <v>0</v>
      </c>
      <c r="BL285">
        <v>1</v>
      </c>
      <c r="BM285">
        <v>0</v>
      </c>
      <c r="BN285">
        <v>0</v>
      </c>
      <c r="BO285">
        <v>0</v>
      </c>
      <c r="BP285">
        <v>0</v>
      </c>
      <c r="BQ285" s="28">
        <v>0</v>
      </c>
      <c r="BR285">
        <v>0</v>
      </c>
      <c r="BS285">
        <v>0</v>
      </c>
      <c r="BT285" s="28">
        <v>1</v>
      </c>
      <c r="BU285">
        <v>1</v>
      </c>
      <c r="BV285">
        <v>0</v>
      </c>
      <c r="BW285">
        <v>0</v>
      </c>
      <c r="BX285">
        <v>0</v>
      </c>
      <c r="BY285">
        <v>0</v>
      </c>
      <c r="BZ285">
        <v>1</v>
      </c>
      <c r="CA285">
        <v>0</v>
      </c>
      <c r="CB285">
        <v>0</v>
      </c>
      <c r="CC285">
        <v>0</v>
      </c>
      <c r="CD285">
        <v>0</v>
      </c>
      <c r="CE285" s="16">
        <v>0</v>
      </c>
      <c r="CF285">
        <v>0.96399999999999997</v>
      </c>
      <c r="CG285">
        <v>85</v>
      </c>
      <c r="CH285">
        <v>1</v>
      </c>
      <c r="CI285">
        <v>0</v>
      </c>
      <c r="CJ285">
        <v>10</v>
      </c>
      <c r="CK285" t="s">
        <v>46</v>
      </c>
    </row>
    <row r="286" spans="1:89" x14ac:dyDescent="0.25">
      <c r="A286">
        <v>285</v>
      </c>
      <c r="B286">
        <v>16</v>
      </c>
      <c r="C286" t="s">
        <v>380</v>
      </c>
      <c r="D286" s="79">
        <v>4</v>
      </c>
      <c r="E286" s="6">
        <v>0.5</v>
      </c>
      <c r="F286" s="6">
        <f t="shared" si="47"/>
        <v>8</v>
      </c>
      <c r="G286" s="78">
        <v>0</v>
      </c>
      <c r="H286" s="70">
        <v>0</v>
      </c>
      <c r="I286" s="70">
        <v>0</v>
      </c>
      <c r="J286" s="70">
        <v>1</v>
      </c>
      <c r="K286" s="70">
        <v>0</v>
      </c>
      <c r="L286" s="78">
        <v>2609</v>
      </c>
      <c r="M286" s="70">
        <v>4</v>
      </c>
      <c r="N286" s="70">
        <f t="shared" si="45"/>
        <v>2604</v>
      </c>
      <c r="O286" s="60">
        <f t="shared" si="46"/>
        <v>20</v>
      </c>
      <c r="P286" s="6">
        <v>11.3</v>
      </c>
      <c r="Q286" s="6">
        <f t="shared" si="48"/>
        <v>26.700000000000003</v>
      </c>
      <c r="R286" s="78">
        <v>1</v>
      </c>
      <c r="S286" s="70">
        <v>0</v>
      </c>
      <c r="T286" s="78">
        <v>0</v>
      </c>
      <c r="U286" s="70">
        <v>0</v>
      </c>
      <c r="V286" s="70">
        <v>0</v>
      </c>
      <c r="W286" s="70">
        <v>1</v>
      </c>
      <c r="X286" s="78">
        <v>0</v>
      </c>
      <c r="Y286" s="70">
        <v>0</v>
      </c>
      <c r="Z286" s="70">
        <v>1</v>
      </c>
      <c r="AA286" s="78">
        <v>0</v>
      </c>
      <c r="AB286" s="70">
        <v>1</v>
      </c>
      <c r="AC286" s="69">
        <v>1990</v>
      </c>
      <c r="AD286" t="s">
        <v>57</v>
      </c>
      <c r="AE286" t="s">
        <v>57</v>
      </c>
      <c r="AF286" t="s">
        <v>57</v>
      </c>
      <c r="AG286" t="s">
        <v>57</v>
      </c>
      <c r="AH286" s="28" t="s">
        <v>57</v>
      </c>
      <c r="AI286" t="s">
        <v>57</v>
      </c>
      <c r="AJ286" s="28">
        <v>0.44</v>
      </c>
      <c r="AK286">
        <f t="shared" si="49"/>
        <v>0.56000000000000005</v>
      </c>
      <c r="AL286" s="28">
        <v>1</v>
      </c>
      <c r="AM286">
        <v>0</v>
      </c>
      <c r="AN286">
        <v>1</v>
      </c>
      <c r="AO286">
        <v>0</v>
      </c>
      <c r="AP286" s="28" t="s">
        <v>57</v>
      </c>
      <c r="AQ286" s="12" t="s">
        <v>57</v>
      </c>
      <c r="AR286">
        <v>1</v>
      </c>
      <c r="AS286">
        <v>0</v>
      </c>
      <c r="AT286">
        <v>0</v>
      </c>
      <c r="AU286" s="28" t="s">
        <v>368</v>
      </c>
      <c r="AV286">
        <v>1</v>
      </c>
      <c r="AW286">
        <v>0</v>
      </c>
      <c r="AX286">
        <v>0</v>
      </c>
      <c r="AY286">
        <v>0</v>
      </c>
      <c r="AZ286">
        <v>0</v>
      </c>
      <c r="BA286">
        <v>0</v>
      </c>
      <c r="BB286">
        <v>0</v>
      </c>
      <c r="BC286">
        <v>1</v>
      </c>
      <c r="BD286">
        <v>0</v>
      </c>
      <c r="BE286">
        <v>0</v>
      </c>
      <c r="BF286">
        <v>16476</v>
      </c>
      <c r="BG286">
        <v>1012</v>
      </c>
      <c r="BH286">
        <v>0.95099999999999996</v>
      </c>
      <c r="BI286" s="64">
        <v>44</v>
      </c>
      <c r="BJ286">
        <v>0</v>
      </c>
      <c r="BK286">
        <v>0</v>
      </c>
      <c r="BL286">
        <v>1</v>
      </c>
      <c r="BM286">
        <v>0</v>
      </c>
      <c r="BN286">
        <v>0</v>
      </c>
      <c r="BO286">
        <v>0</v>
      </c>
      <c r="BP286">
        <v>0</v>
      </c>
      <c r="BQ286" s="28">
        <v>0</v>
      </c>
      <c r="BR286">
        <v>0</v>
      </c>
      <c r="BS286">
        <v>0</v>
      </c>
      <c r="BT286" s="28">
        <v>1</v>
      </c>
      <c r="BU286">
        <v>1</v>
      </c>
      <c r="BV286">
        <v>0</v>
      </c>
      <c r="BW286">
        <v>0</v>
      </c>
      <c r="BX286">
        <v>0</v>
      </c>
      <c r="BY286">
        <v>0</v>
      </c>
      <c r="BZ286">
        <v>1</v>
      </c>
      <c r="CA286">
        <v>0</v>
      </c>
      <c r="CB286">
        <v>0</v>
      </c>
      <c r="CC286">
        <v>0</v>
      </c>
      <c r="CD286">
        <v>0</v>
      </c>
      <c r="CE286" s="16">
        <v>0</v>
      </c>
      <c r="CF286">
        <v>0.96399999999999997</v>
      </c>
      <c r="CG286">
        <v>85</v>
      </c>
      <c r="CH286">
        <v>1</v>
      </c>
      <c r="CI286">
        <v>0</v>
      </c>
      <c r="CJ286">
        <v>10</v>
      </c>
      <c r="CK286" t="s">
        <v>46</v>
      </c>
    </row>
    <row r="287" spans="1:89" x14ac:dyDescent="0.25">
      <c r="A287">
        <v>286</v>
      </c>
      <c r="B287">
        <v>16</v>
      </c>
      <c r="C287" t="s">
        <v>380</v>
      </c>
      <c r="D287" s="79">
        <v>5.4</v>
      </c>
      <c r="E287" s="6">
        <v>0.2</v>
      </c>
      <c r="F287" s="6">
        <f t="shared" si="47"/>
        <v>27</v>
      </c>
      <c r="G287" s="78">
        <v>0</v>
      </c>
      <c r="H287" s="70">
        <v>0</v>
      </c>
      <c r="I287" s="70">
        <v>0</v>
      </c>
      <c r="J287" s="70">
        <v>1</v>
      </c>
      <c r="K287" s="70">
        <v>0</v>
      </c>
      <c r="L287" s="78">
        <v>7202</v>
      </c>
      <c r="M287" s="70">
        <v>4</v>
      </c>
      <c r="N287" s="70">
        <f t="shared" si="45"/>
        <v>7197</v>
      </c>
      <c r="O287" s="60">
        <f t="shared" si="46"/>
        <v>20</v>
      </c>
      <c r="P287" s="6">
        <v>11.3</v>
      </c>
      <c r="Q287" s="6">
        <f t="shared" si="48"/>
        <v>26.400000000000006</v>
      </c>
      <c r="R287" s="78">
        <v>1</v>
      </c>
      <c r="S287" s="70">
        <v>0</v>
      </c>
      <c r="T287" s="78">
        <v>0</v>
      </c>
      <c r="U287" s="70">
        <v>0</v>
      </c>
      <c r="V287" s="70">
        <v>0</v>
      </c>
      <c r="W287" s="70">
        <v>1</v>
      </c>
      <c r="X287" s="78">
        <v>0</v>
      </c>
      <c r="Y287" s="70">
        <v>0</v>
      </c>
      <c r="Z287" s="70">
        <v>1</v>
      </c>
      <c r="AA287" s="78">
        <v>0</v>
      </c>
      <c r="AB287" s="70">
        <v>1</v>
      </c>
      <c r="AC287" s="69">
        <v>1990</v>
      </c>
      <c r="AD287" t="s">
        <v>57</v>
      </c>
      <c r="AE287" t="s">
        <v>57</v>
      </c>
      <c r="AF287" t="s">
        <v>57</v>
      </c>
      <c r="AG287" t="s">
        <v>57</v>
      </c>
      <c r="AH287" s="28" t="s">
        <v>57</v>
      </c>
      <c r="AI287" t="s">
        <v>57</v>
      </c>
      <c r="AJ287" s="28">
        <v>0.437</v>
      </c>
      <c r="AK287">
        <f t="shared" si="49"/>
        <v>0.56299999999999994</v>
      </c>
      <c r="AL287" s="28">
        <v>1</v>
      </c>
      <c r="AM287">
        <v>0</v>
      </c>
      <c r="AN287">
        <v>1</v>
      </c>
      <c r="AO287">
        <v>0</v>
      </c>
      <c r="AP287" s="28" t="s">
        <v>57</v>
      </c>
      <c r="AQ287" s="12" t="s">
        <v>57</v>
      </c>
      <c r="AR287">
        <v>0</v>
      </c>
      <c r="AS287">
        <v>1</v>
      </c>
      <c r="AT287">
        <v>0</v>
      </c>
      <c r="AU287" s="28" t="s">
        <v>368</v>
      </c>
      <c r="AV287">
        <v>1</v>
      </c>
      <c r="AW287">
        <v>0</v>
      </c>
      <c r="AX287">
        <v>0</v>
      </c>
      <c r="AY287">
        <v>0</v>
      </c>
      <c r="AZ287">
        <v>0</v>
      </c>
      <c r="BA287">
        <v>0</v>
      </c>
      <c r="BB287">
        <v>0</v>
      </c>
      <c r="BC287">
        <v>1</v>
      </c>
      <c r="BD287">
        <v>0</v>
      </c>
      <c r="BE287">
        <v>0</v>
      </c>
      <c r="BF287">
        <v>16476</v>
      </c>
      <c r="BG287">
        <v>1012</v>
      </c>
      <c r="BH287">
        <v>0.95099999999999996</v>
      </c>
      <c r="BI287" s="64">
        <v>43.7</v>
      </c>
      <c r="BJ287">
        <v>1</v>
      </c>
      <c r="BK287">
        <v>0</v>
      </c>
      <c r="BL287">
        <v>0</v>
      </c>
      <c r="BM287">
        <v>0</v>
      </c>
      <c r="BN287">
        <v>0</v>
      </c>
      <c r="BO287">
        <v>0</v>
      </c>
      <c r="BP287">
        <v>0</v>
      </c>
      <c r="BQ287" s="28">
        <v>0</v>
      </c>
      <c r="BR287">
        <v>0</v>
      </c>
      <c r="BS287">
        <v>0</v>
      </c>
      <c r="BT287" s="28">
        <v>1</v>
      </c>
      <c r="BU287">
        <v>1</v>
      </c>
      <c r="BV287">
        <v>0</v>
      </c>
      <c r="BW287">
        <v>0</v>
      </c>
      <c r="BX287">
        <v>0</v>
      </c>
      <c r="BY287">
        <v>0</v>
      </c>
      <c r="BZ287">
        <v>1</v>
      </c>
      <c r="CA287">
        <v>0</v>
      </c>
      <c r="CB287">
        <v>0</v>
      </c>
      <c r="CC287">
        <v>0</v>
      </c>
      <c r="CD287">
        <v>0</v>
      </c>
      <c r="CE287" s="16">
        <v>0</v>
      </c>
      <c r="CF287">
        <v>0.96399999999999997</v>
      </c>
      <c r="CG287">
        <v>85</v>
      </c>
      <c r="CH287">
        <v>1</v>
      </c>
      <c r="CI287">
        <v>0</v>
      </c>
      <c r="CJ287">
        <v>10</v>
      </c>
      <c r="CK287" t="s">
        <v>46</v>
      </c>
    </row>
    <row r="288" spans="1:89" x14ac:dyDescent="0.25">
      <c r="A288">
        <v>287</v>
      </c>
      <c r="B288">
        <v>16</v>
      </c>
      <c r="C288" t="s">
        <v>380</v>
      </c>
      <c r="D288" s="79">
        <v>5.4</v>
      </c>
      <c r="E288" s="6">
        <v>0.1</v>
      </c>
      <c r="F288" s="6">
        <f t="shared" si="47"/>
        <v>54</v>
      </c>
      <c r="G288" s="78">
        <v>0</v>
      </c>
      <c r="H288" s="70">
        <v>0</v>
      </c>
      <c r="I288" s="70">
        <v>0</v>
      </c>
      <c r="J288" s="70">
        <v>1</v>
      </c>
      <c r="K288" s="70">
        <v>0</v>
      </c>
      <c r="L288" s="78">
        <v>7202</v>
      </c>
      <c r="M288" s="70">
        <v>4</v>
      </c>
      <c r="N288" s="70">
        <f t="shared" si="45"/>
        <v>7197</v>
      </c>
      <c r="O288" s="60">
        <f t="shared" si="46"/>
        <v>20</v>
      </c>
      <c r="P288" s="6">
        <v>11.3</v>
      </c>
      <c r="Q288" s="6">
        <f t="shared" si="48"/>
        <v>26.400000000000006</v>
      </c>
      <c r="R288" s="78">
        <v>1</v>
      </c>
      <c r="S288" s="70">
        <v>0</v>
      </c>
      <c r="T288" s="78">
        <v>0</v>
      </c>
      <c r="U288" s="70">
        <v>0</v>
      </c>
      <c r="V288" s="70">
        <v>0</v>
      </c>
      <c r="W288" s="70">
        <v>1</v>
      </c>
      <c r="X288" s="78">
        <v>0</v>
      </c>
      <c r="Y288" s="70">
        <v>0</v>
      </c>
      <c r="Z288" s="70">
        <v>1</v>
      </c>
      <c r="AA288" s="78">
        <v>0</v>
      </c>
      <c r="AB288" s="70">
        <v>1</v>
      </c>
      <c r="AC288" s="69">
        <v>1990</v>
      </c>
      <c r="AD288" t="s">
        <v>57</v>
      </c>
      <c r="AE288" t="s">
        <v>57</v>
      </c>
      <c r="AF288" t="s">
        <v>57</v>
      </c>
      <c r="AG288" t="s">
        <v>57</v>
      </c>
      <c r="AH288" s="28" t="s">
        <v>57</v>
      </c>
      <c r="AI288" t="s">
        <v>57</v>
      </c>
      <c r="AJ288" s="28">
        <v>0.437</v>
      </c>
      <c r="AK288">
        <f t="shared" si="49"/>
        <v>0.56299999999999994</v>
      </c>
      <c r="AL288" s="28">
        <v>1</v>
      </c>
      <c r="AM288">
        <v>0</v>
      </c>
      <c r="AN288">
        <v>1</v>
      </c>
      <c r="AO288">
        <v>0</v>
      </c>
      <c r="AP288" s="28" t="s">
        <v>57</v>
      </c>
      <c r="AQ288" s="12" t="s">
        <v>57</v>
      </c>
      <c r="AR288">
        <v>0</v>
      </c>
      <c r="AS288">
        <v>1</v>
      </c>
      <c r="AT288">
        <v>0</v>
      </c>
      <c r="AU288" s="28" t="s">
        <v>368</v>
      </c>
      <c r="AV288">
        <v>1</v>
      </c>
      <c r="AW288">
        <v>0</v>
      </c>
      <c r="AX288">
        <v>0</v>
      </c>
      <c r="AY288">
        <v>0</v>
      </c>
      <c r="AZ288">
        <v>0</v>
      </c>
      <c r="BA288">
        <v>0</v>
      </c>
      <c r="BB288">
        <v>0</v>
      </c>
      <c r="BC288">
        <v>1</v>
      </c>
      <c r="BD288">
        <v>0</v>
      </c>
      <c r="BE288">
        <v>0</v>
      </c>
      <c r="BF288">
        <v>16476</v>
      </c>
      <c r="BG288">
        <v>1012</v>
      </c>
      <c r="BH288">
        <v>0.95099999999999996</v>
      </c>
      <c r="BI288" s="64">
        <v>43.7</v>
      </c>
      <c r="BJ288">
        <v>1</v>
      </c>
      <c r="BK288">
        <v>0</v>
      </c>
      <c r="BL288">
        <v>0</v>
      </c>
      <c r="BM288">
        <v>0</v>
      </c>
      <c r="BN288">
        <v>0</v>
      </c>
      <c r="BO288">
        <v>0</v>
      </c>
      <c r="BP288">
        <v>0</v>
      </c>
      <c r="BQ288" s="28">
        <v>0</v>
      </c>
      <c r="BR288">
        <v>0</v>
      </c>
      <c r="BS288">
        <v>0</v>
      </c>
      <c r="BT288" s="28">
        <v>1</v>
      </c>
      <c r="BU288">
        <v>1</v>
      </c>
      <c r="BV288">
        <v>0</v>
      </c>
      <c r="BW288">
        <v>0</v>
      </c>
      <c r="BX288">
        <v>0</v>
      </c>
      <c r="BY288">
        <v>0</v>
      </c>
      <c r="BZ288">
        <v>1</v>
      </c>
      <c r="CA288">
        <v>0</v>
      </c>
      <c r="CB288">
        <v>0</v>
      </c>
      <c r="CC288">
        <v>0</v>
      </c>
      <c r="CD288">
        <v>0</v>
      </c>
      <c r="CE288" s="16">
        <v>0</v>
      </c>
      <c r="CF288">
        <v>0.96399999999999997</v>
      </c>
      <c r="CG288">
        <v>85</v>
      </c>
      <c r="CH288">
        <v>1</v>
      </c>
      <c r="CI288">
        <v>0</v>
      </c>
      <c r="CJ288">
        <v>10</v>
      </c>
      <c r="CK288" t="s">
        <v>46</v>
      </c>
    </row>
    <row r="289" spans="1:89" x14ac:dyDescent="0.25">
      <c r="A289">
        <v>288</v>
      </c>
      <c r="B289">
        <v>16</v>
      </c>
      <c r="C289" t="s">
        <v>380</v>
      </c>
      <c r="D289" s="79">
        <v>5.4</v>
      </c>
      <c r="E289" s="6">
        <v>0.3</v>
      </c>
      <c r="F289" s="6">
        <f t="shared" si="47"/>
        <v>18.000000000000004</v>
      </c>
      <c r="G289" s="78">
        <v>0</v>
      </c>
      <c r="H289" s="70">
        <v>0</v>
      </c>
      <c r="I289" s="70">
        <v>0</v>
      </c>
      <c r="J289" s="70">
        <v>1</v>
      </c>
      <c r="K289" s="70">
        <v>0</v>
      </c>
      <c r="L289" s="78">
        <v>7202</v>
      </c>
      <c r="M289" s="70">
        <v>4</v>
      </c>
      <c r="N289" s="70">
        <f t="shared" si="45"/>
        <v>7197</v>
      </c>
      <c r="O289" s="60">
        <f t="shared" si="46"/>
        <v>20</v>
      </c>
      <c r="P289" s="6">
        <v>11.3</v>
      </c>
      <c r="Q289" s="6">
        <f t="shared" si="48"/>
        <v>26.400000000000006</v>
      </c>
      <c r="R289" s="78">
        <v>1</v>
      </c>
      <c r="S289" s="70">
        <v>0</v>
      </c>
      <c r="T289" s="78">
        <v>0</v>
      </c>
      <c r="U289" s="70">
        <v>0</v>
      </c>
      <c r="V289" s="70">
        <v>0</v>
      </c>
      <c r="W289" s="70">
        <v>1</v>
      </c>
      <c r="X289" s="78">
        <v>0</v>
      </c>
      <c r="Y289" s="70">
        <v>0</v>
      </c>
      <c r="Z289" s="70">
        <v>1</v>
      </c>
      <c r="AA289" s="78">
        <v>0</v>
      </c>
      <c r="AB289" s="70">
        <v>1</v>
      </c>
      <c r="AC289" s="69">
        <v>1990</v>
      </c>
      <c r="AD289" t="s">
        <v>57</v>
      </c>
      <c r="AE289" t="s">
        <v>57</v>
      </c>
      <c r="AF289" t="s">
        <v>57</v>
      </c>
      <c r="AG289" t="s">
        <v>57</v>
      </c>
      <c r="AH289" s="28" t="s">
        <v>57</v>
      </c>
      <c r="AI289" t="s">
        <v>57</v>
      </c>
      <c r="AJ289" s="28">
        <v>0.437</v>
      </c>
      <c r="AK289">
        <f t="shared" si="49"/>
        <v>0.56299999999999994</v>
      </c>
      <c r="AL289" s="28">
        <v>1</v>
      </c>
      <c r="AM289">
        <v>0</v>
      </c>
      <c r="AN289">
        <v>1</v>
      </c>
      <c r="AO289">
        <v>0</v>
      </c>
      <c r="AP289" s="28" t="s">
        <v>57</v>
      </c>
      <c r="AQ289" s="12" t="s">
        <v>57</v>
      </c>
      <c r="AR289">
        <v>0</v>
      </c>
      <c r="AS289">
        <v>1</v>
      </c>
      <c r="AT289">
        <v>0</v>
      </c>
      <c r="AU289" s="28" t="s">
        <v>368</v>
      </c>
      <c r="AV289">
        <v>1</v>
      </c>
      <c r="AW289">
        <v>0</v>
      </c>
      <c r="AX289">
        <v>0</v>
      </c>
      <c r="AY289">
        <v>0</v>
      </c>
      <c r="AZ289">
        <v>0</v>
      </c>
      <c r="BA289">
        <v>0</v>
      </c>
      <c r="BB289">
        <v>0</v>
      </c>
      <c r="BC289">
        <v>1</v>
      </c>
      <c r="BD289">
        <v>0</v>
      </c>
      <c r="BE289">
        <v>0</v>
      </c>
      <c r="BF289">
        <v>16476</v>
      </c>
      <c r="BG289">
        <v>1012</v>
      </c>
      <c r="BH289">
        <v>0.95099999999999996</v>
      </c>
      <c r="BI289" s="64">
        <v>43.7</v>
      </c>
      <c r="BJ289">
        <v>1</v>
      </c>
      <c r="BK289">
        <v>0</v>
      </c>
      <c r="BL289">
        <v>0</v>
      </c>
      <c r="BM289">
        <v>0</v>
      </c>
      <c r="BN289">
        <v>0</v>
      </c>
      <c r="BO289">
        <v>0</v>
      </c>
      <c r="BP289">
        <v>0</v>
      </c>
      <c r="BQ289" s="28">
        <v>0</v>
      </c>
      <c r="BR289">
        <v>0</v>
      </c>
      <c r="BS289">
        <v>0</v>
      </c>
      <c r="BT289" s="28">
        <v>1</v>
      </c>
      <c r="BU289">
        <v>1</v>
      </c>
      <c r="BV289">
        <v>0</v>
      </c>
      <c r="BW289">
        <v>0</v>
      </c>
      <c r="BX289">
        <v>0</v>
      </c>
      <c r="BY289">
        <v>0</v>
      </c>
      <c r="BZ289">
        <v>1</v>
      </c>
      <c r="CA289">
        <v>0</v>
      </c>
      <c r="CB289">
        <v>0</v>
      </c>
      <c r="CC289">
        <v>0</v>
      </c>
      <c r="CD289">
        <v>0</v>
      </c>
      <c r="CE289" s="16">
        <v>0</v>
      </c>
      <c r="CF289">
        <v>0.96399999999999997</v>
      </c>
      <c r="CG289">
        <v>85</v>
      </c>
      <c r="CH289">
        <v>1</v>
      </c>
      <c r="CI289">
        <v>0</v>
      </c>
      <c r="CJ289">
        <v>10</v>
      </c>
      <c r="CK289" t="s">
        <v>46</v>
      </c>
    </row>
    <row r="290" spans="1:89" x14ac:dyDescent="0.25">
      <c r="A290">
        <v>289</v>
      </c>
      <c r="B290">
        <v>16</v>
      </c>
      <c r="C290" t="s">
        <v>380</v>
      </c>
      <c r="D290" s="79">
        <v>6.2</v>
      </c>
      <c r="E290" s="6">
        <v>0.1</v>
      </c>
      <c r="F290" s="6">
        <f t="shared" si="47"/>
        <v>62</v>
      </c>
      <c r="G290" s="78">
        <v>0</v>
      </c>
      <c r="H290" s="70">
        <v>0</v>
      </c>
      <c r="I290" s="70">
        <v>0</v>
      </c>
      <c r="J290" s="70">
        <v>1</v>
      </c>
      <c r="K290" s="70">
        <v>0</v>
      </c>
      <c r="L290" s="78">
        <v>7202</v>
      </c>
      <c r="M290" s="70">
        <v>4</v>
      </c>
      <c r="N290" s="70">
        <f t="shared" si="45"/>
        <v>7197</v>
      </c>
      <c r="O290" s="60">
        <f t="shared" si="46"/>
        <v>20</v>
      </c>
      <c r="P290" s="6">
        <v>11.3</v>
      </c>
      <c r="Q290" s="6">
        <f t="shared" si="48"/>
        <v>26.400000000000006</v>
      </c>
      <c r="R290" s="78">
        <v>1</v>
      </c>
      <c r="S290" s="70">
        <v>0</v>
      </c>
      <c r="T290" s="78">
        <v>0</v>
      </c>
      <c r="U290" s="70">
        <v>0</v>
      </c>
      <c r="V290" s="70">
        <v>0</v>
      </c>
      <c r="W290" s="70">
        <v>1</v>
      </c>
      <c r="X290" s="78">
        <v>0</v>
      </c>
      <c r="Y290" s="70">
        <v>0</v>
      </c>
      <c r="Z290" s="70">
        <v>1</v>
      </c>
      <c r="AA290" s="78">
        <v>0</v>
      </c>
      <c r="AB290" s="70">
        <v>1</v>
      </c>
      <c r="AC290" s="69">
        <v>1990</v>
      </c>
      <c r="AD290" t="s">
        <v>57</v>
      </c>
      <c r="AE290" t="s">
        <v>57</v>
      </c>
      <c r="AF290" t="s">
        <v>57</v>
      </c>
      <c r="AG290" t="s">
        <v>57</v>
      </c>
      <c r="AH290" s="28" t="s">
        <v>57</v>
      </c>
      <c r="AI290" t="s">
        <v>57</v>
      </c>
      <c r="AJ290" s="28">
        <v>0.437</v>
      </c>
      <c r="AK290">
        <f t="shared" si="49"/>
        <v>0.56299999999999994</v>
      </c>
      <c r="AL290" s="28">
        <v>1</v>
      </c>
      <c r="AM290">
        <v>0</v>
      </c>
      <c r="AN290">
        <v>1</v>
      </c>
      <c r="AO290">
        <v>0</v>
      </c>
      <c r="AP290" s="28" t="s">
        <v>57</v>
      </c>
      <c r="AQ290" s="12" t="s">
        <v>57</v>
      </c>
      <c r="AR290">
        <v>0</v>
      </c>
      <c r="AS290">
        <v>1</v>
      </c>
      <c r="AT290">
        <v>0</v>
      </c>
      <c r="AU290" s="28" t="s">
        <v>368</v>
      </c>
      <c r="AV290">
        <v>1</v>
      </c>
      <c r="AW290">
        <v>0</v>
      </c>
      <c r="AX290">
        <v>0</v>
      </c>
      <c r="AY290">
        <v>0</v>
      </c>
      <c r="AZ290">
        <v>0</v>
      </c>
      <c r="BA290">
        <v>0</v>
      </c>
      <c r="BB290">
        <v>0</v>
      </c>
      <c r="BC290">
        <v>1</v>
      </c>
      <c r="BD290">
        <v>0</v>
      </c>
      <c r="BE290">
        <v>0</v>
      </c>
      <c r="BF290">
        <v>16476</v>
      </c>
      <c r="BG290">
        <v>1012</v>
      </c>
      <c r="BH290">
        <v>0.95099999999999996</v>
      </c>
      <c r="BI290" s="64">
        <v>43.7</v>
      </c>
      <c r="BJ290">
        <v>1</v>
      </c>
      <c r="BK290">
        <v>0</v>
      </c>
      <c r="BL290">
        <v>0</v>
      </c>
      <c r="BM290">
        <v>0</v>
      </c>
      <c r="BN290">
        <v>0</v>
      </c>
      <c r="BO290">
        <v>0</v>
      </c>
      <c r="BP290">
        <v>0</v>
      </c>
      <c r="BQ290" s="28">
        <v>0</v>
      </c>
      <c r="BR290">
        <v>0</v>
      </c>
      <c r="BS290">
        <v>0</v>
      </c>
      <c r="BT290" s="28">
        <v>1</v>
      </c>
      <c r="BU290">
        <v>1</v>
      </c>
      <c r="BV290">
        <v>0</v>
      </c>
      <c r="BW290">
        <v>0</v>
      </c>
      <c r="BX290">
        <v>0</v>
      </c>
      <c r="BY290">
        <v>0</v>
      </c>
      <c r="BZ290">
        <v>1</v>
      </c>
      <c r="CA290">
        <v>0</v>
      </c>
      <c r="CB290">
        <v>0</v>
      </c>
      <c r="CC290">
        <v>0</v>
      </c>
      <c r="CD290">
        <v>0</v>
      </c>
      <c r="CE290" s="16">
        <v>0</v>
      </c>
      <c r="CF290">
        <v>0.96399999999999997</v>
      </c>
      <c r="CG290">
        <v>85</v>
      </c>
      <c r="CH290">
        <v>1</v>
      </c>
      <c r="CI290">
        <v>0</v>
      </c>
      <c r="CJ290">
        <v>10</v>
      </c>
      <c r="CK290" t="s">
        <v>46</v>
      </c>
    </row>
    <row r="291" spans="1:89" x14ac:dyDescent="0.25">
      <c r="A291">
        <v>290</v>
      </c>
      <c r="B291">
        <v>16</v>
      </c>
      <c r="C291" t="s">
        <v>380</v>
      </c>
      <c r="D291" s="79">
        <v>4.5</v>
      </c>
      <c r="E291" s="6">
        <v>0.3</v>
      </c>
      <c r="F291" s="6">
        <f t="shared" si="47"/>
        <v>15</v>
      </c>
      <c r="G291" s="78">
        <v>0</v>
      </c>
      <c r="H291" s="70">
        <v>0</v>
      </c>
      <c r="I291" s="70">
        <v>0</v>
      </c>
      <c r="J291" s="70">
        <v>1</v>
      </c>
      <c r="K291" s="70">
        <v>0</v>
      </c>
      <c r="L291" s="78">
        <v>3601</v>
      </c>
      <c r="M291" s="70">
        <v>4</v>
      </c>
      <c r="N291" s="70">
        <f t="shared" si="45"/>
        <v>3596</v>
      </c>
      <c r="O291" s="60">
        <f t="shared" si="46"/>
        <v>20</v>
      </c>
      <c r="P291" s="6">
        <v>11.3</v>
      </c>
      <c r="Q291" s="6">
        <f t="shared" si="48"/>
        <v>26.400000000000006</v>
      </c>
      <c r="R291" s="78">
        <v>1</v>
      </c>
      <c r="S291" s="70">
        <v>0</v>
      </c>
      <c r="T291" s="78">
        <v>0</v>
      </c>
      <c r="U291" s="70">
        <v>0</v>
      </c>
      <c r="V291" s="70">
        <v>0</v>
      </c>
      <c r="W291" s="70">
        <v>1</v>
      </c>
      <c r="X291" s="78">
        <v>0</v>
      </c>
      <c r="Y291" s="70">
        <v>0</v>
      </c>
      <c r="Z291" s="70">
        <v>1</v>
      </c>
      <c r="AA291" s="78">
        <v>0</v>
      </c>
      <c r="AB291" s="70">
        <v>1</v>
      </c>
      <c r="AC291" s="69">
        <v>1990</v>
      </c>
      <c r="AD291" t="s">
        <v>57</v>
      </c>
      <c r="AE291" t="s">
        <v>57</v>
      </c>
      <c r="AF291" t="s">
        <v>57</v>
      </c>
      <c r="AG291" t="s">
        <v>57</v>
      </c>
      <c r="AH291" s="28" t="s">
        <v>57</v>
      </c>
      <c r="AI291" t="s">
        <v>57</v>
      </c>
      <c r="AJ291" s="28">
        <v>0.437</v>
      </c>
      <c r="AK291">
        <f t="shared" si="49"/>
        <v>0.56299999999999994</v>
      </c>
      <c r="AL291" s="28">
        <v>1</v>
      </c>
      <c r="AM291">
        <v>0</v>
      </c>
      <c r="AN291">
        <v>1</v>
      </c>
      <c r="AO291">
        <v>0</v>
      </c>
      <c r="AP291" s="28" t="s">
        <v>57</v>
      </c>
      <c r="AQ291" s="12" t="s">
        <v>57</v>
      </c>
      <c r="AR291">
        <v>0</v>
      </c>
      <c r="AS291">
        <v>1</v>
      </c>
      <c r="AT291">
        <v>0</v>
      </c>
      <c r="AU291" s="28" t="s">
        <v>368</v>
      </c>
      <c r="AV291">
        <v>1</v>
      </c>
      <c r="AW291">
        <v>0</v>
      </c>
      <c r="AX291">
        <v>0</v>
      </c>
      <c r="AY291">
        <v>0</v>
      </c>
      <c r="AZ291">
        <v>0</v>
      </c>
      <c r="BA291">
        <v>0</v>
      </c>
      <c r="BB291">
        <v>0</v>
      </c>
      <c r="BC291">
        <v>1</v>
      </c>
      <c r="BD291">
        <v>0</v>
      </c>
      <c r="BE291">
        <v>0</v>
      </c>
      <c r="BF291">
        <v>16476</v>
      </c>
      <c r="BG291">
        <v>1012</v>
      </c>
      <c r="BH291">
        <v>0.95099999999999996</v>
      </c>
      <c r="BI291" s="64">
        <v>43.7</v>
      </c>
      <c r="BJ291">
        <v>0</v>
      </c>
      <c r="BK291">
        <v>0</v>
      </c>
      <c r="BL291">
        <v>1</v>
      </c>
      <c r="BM291">
        <v>0</v>
      </c>
      <c r="BN291">
        <v>0</v>
      </c>
      <c r="BO291">
        <v>0</v>
      </c>
      <c r="BP291">
        <v>0</v>
      </c>
      <c r="BQ291" s="28">
        <v>0</v>
      </c>
      <c r="BR291">
        <v>0</v>
      </c>
      <c r="BS291">
        <v>0</v>
      </c>
      <c r="BT291" s="28">
        <v>1</v>
      </c>
      <c r="BU291">
        <v>1</v>
      </c>
      <c r="BV291">
        <v>0</v>
      </c>
      <c r="BW291">
        <v>0</v>
      </c>
      <c r="BX291">
        <v>0</v>
      </c>
      <c r="BY291">
        <v>0</v>
      </c>
      <c r="BZ291">
        <v>1</v>
      </c>
      <c r="CA291">
        <v>0</v>
      </c>
      <c r="CB291">
        <v>0</v>
      </c>
      <c r="CC291">
        <v>0</v>
      </c>
      <c r="CD291">
        <v>0</v>
      </c>
      <c r="CE291" s="16">
        <v>0</v>
      </c>
      <c r="CF291">
        <v>0.96399999999999997</v>
      </c>
      <c r="CG291">
        <v>85</v>
      </c>
      <c r="CH291">
        <v>1</v>
      </c>
      <c r="CI291">
        <v>0</v>
      </c>
      <c r="CJ291">
        <v>10</v>
      </c>
      <c r="CK291" t="s">
        <v>46</v>
      </c>
    </row>
    <row r="292" spans="1:89" x14ac:dyDescent="0.25">
      <c r="A292">
        <v>291</v>
      </c>
      <c r="B292">
        <v>16</v>
      </c>
      <c r="C292" t="s">
        <v>380</v>
      </c>
      <c r="D292" s="79">
        <v>4.5</v>
      </c>
      <c r="E292" s="6">
        <v>0.2</v>
      </c>
      <c r="F292" s="6">
        <f t="shared" si="47"/>
        <v>22.5</v>
      </c>
      <c r="G292" s="78">
        <v>0</v>
      </c>
      <c r="H292" s="70">
        <v>0</v>
      </c>
      <c r="I292" s="70">
        <v>0</v>
      </c>
      <c r="J292" s="70">
        <v>1</v>
      </c>
      <c r="K292" s="70">
        <v>0</v>
      </c>
      <c r="L292" s="78">
        <v>3601</v>
      </c>
      <c r="M292" s="70">
        <v>4</v>
      </c>
      <c r="N292" s="70">
        <f t="shared" si="45"/>
        <v>3596</v>
      </c>
      <c r="O292" s="60">
        <f t="shared" si="46"/>
        <v>20</v>
      </c>
      <c r="P292" s="6">
        <v>11.3</v>
      </c>
      <c r="Q292" s="6">
        <f t="shared" si="48"/>
        <v>26.400000000000006</v>
      </c>
      <c r="R292" s="78">
        <v>1</v>
      </c>
      <c r="S292" s="70">
        <v>0</v>
      </c>
      <c r="T292" s="78">
        <v>0</v>
      </c>
      <c r="U292" s="70">
        <v>0</v>
      </c>
      <c r="V292" s="70">
        <v>0</v>
      </c>
      <c r="W292" s="70">
        <v>1</v>
      </c>
      <c r="X292" s="78">
        <v>0</v>
      </c>
      <c r="Y292" s="70">
        <v>0</v>
      </c>
      <c r="Z292" s="70">
        <v>1</v>
      </c>
      <c r="AA292" s="78">
        <v>0</v>
      </c>
      <c r="AB292" s="70">
        <v>1</v>
      </c>
      <c r="AC292" s="69">
        <v>1990</v>
      </c>
      <c r="AD292" t="s">
        <v>57</v>
      </c>
      <c r="AE292" t="s">
        <v>57</v>
      </c>
      <c r="AF292" t="s">
        <v>57</v>
      </c>
      <c r="AG292" t="s">
        <v>57</v>
      </c>
      <c r="AH292" s="28" t="s">
        <v>57</v>
      </c>
      <c r="AI292" t="s">
        <v>57</v>
      </c>
      <c r="AJ292" s="28">
        <v>0.437</v>
      </c>
      <c r="AK292">
        <f t="shared" si="49"/>
        <v>0.56299999999999994</v>
      </c>
      <c r="AL292" s="28">
        <v>1</v>
      </c>
      <c r="AM292">
        <v>0</v>
      </c>
      <c r="AN292">
        <v>1</v>
      </c>
      <c r="AO292">
        <v>0</v>
      </c>
      <c r="AP292" s="28" t="s">
        <v>57</v>
      </c>
      <c r="AQ292" s="12" t="s">
        <v>57</v>
      </c>
      <c r="AR292">
        <v>0</v>
      </c>
      <c r="AS292">
        <v>1</v>
      </c>
      <c r="AT292">
        <v>0</v>
      </c>
      <c r="AU292" s="28" t="s">
        <v>368</v>
      </c>
      <c r="AV292">
        <v>1</v>
      </c>
      <c r="AW292">
        <v>0</v>
      </c>
      <c r="AX292">
        <v>0</v>
      </c>
      <c r="AY292">
        <v>0</v>
      </c>
      <c r="AZ292">
        <v>0</v>
      </c>
      <c r="BA292">
        <v>0</v>
      </c>
      <c r="BB292">
        <v>0</v>
      </c>
      <c r="BC292">
        <v>1</v>
      </c>
      <c r="BD292">
        <v>0</v>
      </c>
      <c r="BE292">
        <v>0</v>
      </c>
      <c r="BF292">
        <v>16476</v>
      </c>
      <c r="BG292">
        <v>1012</v>
      </c>
      <c r="BH292">
        <v>0.95099999999999996</v>
      </c>
      <c r="BI292" s="64">
        <v>43.7</v>
      </c>
      <c r="BJ292">
        <v>0</v>
      </c>
      <c r="BK292">
        <v>0</v>
      </c>
      <c r="BL292">
        <v>1</v>
      </c>
      <c r="BM292">
        <v>0</v>
      </c>
      <c r="BN292">
        <v>0</v>
      </c>
      <c r="BO292">
        <v>0</v>
      </c>
      <c r="BP292">
        <v>0</v>
      </c>
      <c r="BQ292" s="28">
        <v>0</v>
      </c>
      <c r="BR292">
        <v>0</v>
      </c>
      <c r="BS292">
        <v>0</v>
      </c>
      <c r="BT292" s="28">
        <v>1</v>
      </c>
      <c r="BU292">
        <v>1</v>
      </c>
      <c r="BV292">
        <v>0</v>
      </c>
      <c r="BW292">
        <v>0</v>
      </c>
      <c r="BX292">
        <v>0</v>
      </c>
      <c r="BY292">
        <v>0</v>
      </c>
      <c r="BZ292">
        <v>1</v>
      </c>
      <c r="CA292">
        <v>0</v>
      </c>
      <c r="CB292">
        <v>0</v>
      </c>
      <c r="CC292">
        <v>0</v>
      </c>
      <c r="CD292">
        <v>0</v>
      </c>
      <c r="CE292" s="16">
        <v>0</v>
      </c>
      <c r="CF292">
        <v>0.96399999999999997</v>
      </c>
      <c r="CG292">
        <v>85</v>
      </c>
      <c r="CH292">
        <v>1</v>
      </c>
      <c r="CI292">
        <v>0</v>
      </c>
      <c r="CJ292">
        <v>10</v>
      </c>
      <c r="CK292" t="s">
        <v>46</v>
      </c>
    </row>
    <row r="293" spans="1:89" x14ac:dyDescent="0.25">
      <c r="A293">
        <v>292</v>
      </c>
      <c r="B293">
        <v>16</v>
      </c>
      <c r="C293" t="s">
        <v>380</v>
      </c>
      <c r="D293" s="79">
        <v>5.2</v>
      </c>
      <c r="E293" s="6">
        <v>0.4</v>
      </c>
      <c r="F293" s="6">
        <f t="shared" si="47"/>
        <v>13</v>
      </c>
      <c r="G293" s="78">
        <v>0</v>
      </c>
      <c r="H293" s="70">
        <v>0</v>
      </c>
      <c r="I293" s="70">
        <v>0</v>
      </c>
      <c r="J293" s="70">
        <v>1</v>
      </c>
      <c r="K293" s="70">
        <v>0</v>
      </c>
      <c r="L293" s="78">
        <v>3601</v>
      </c>
      <c r="M293" s="70">
        <v>4</v>
      </c>
      <c r="N293" s="70">
        <f t="shared" si="45"/>
        <v>3596</v>
      </c>
      <c r="O293" s="60">
        <f t="shared" si="46"/>
        <v>20</v>
      </c>
      <c r="P293" s="6">
        <v>11.3</v>
      </c>
      <c r="Q293" s="6">
        <f t="shared" si="48"/>
        <v>26.400000000000006</v>
      </c>
      <c r="R293" s="78">
        <v>1</v>
      </c>
      <c r="S293" s="70">
        <v>0</v>
      </c>
      <c r="T293" s="78">
        <v>0</v>
      </c>
      <c r="U293" s="70">
        <v>0</v>
      </c>
      <c r="V293" s="70">
        <v>0</v>
      </c>
      <c r="W293" s="70">
        <v>1</v>
      </c>
      <c r="X293" s="78">
        <v>0</v>
      </c>
      <c r="Y293" s="70">
        <v>0</v>
      </c>
      <c r="Z293" s="70">
        <v>1</v>
      </c>
      <c r="AA293" s="78">
        <v>0</v>
      </c>
      <c r="AB293" s="70">
        <v>1</v>
      </c>
      <c r="AC293" s="69">
        <v>1990</v>
      </c>
      <c r="AD293" t="s">
        <v>57</v>
      </c>
      <c r="AE293" t="s">
        <v>57</v>
      </c>
      <c r="AF293" t="s">
        <v>57</v>
      </c>
      <c r="AG293" t="s">
        <v>57</v>
      </c>
      <c r="AH293" s="28" t="s">
        <v>57</v>
      </c>
      <c r="AI293" t="s">
        <v>57</v>
      </c>
      <c r="AJ293" s="28">
        <v>0.437</v>
      </c>
      <c r="AK293">
        <f t="shared" si="49"/>
        <v>0.56299999999999994</v>
      </c>
      <c r="AL293" s="28">
        <v>1</v>
      </c>
      <c r="AM293">
        <v>0</v>
      </c>
      <c r="AN293">
        <v>1</v>
      </c>
      <c r="AO293">
        <v>0</v>
      </c>
      <c r="AP293" s="28" t="s">
        <v>57</v>
      </c>
      <c r="AQ293" s="12" t="s">
        <v>57</v>
      </c>
      <c r="AR293">
        <v>0</v>
      </c>
      <c r="AS293">
        <v>1</v>
      </c>
      <c r="AT293">
        <v>0</v>
      </c>
      <c r="AU293" s="28" t="s">
        <v>368</v>
      </c>
      <c r="AV293">
        <v>1</v>
      </c>
      <c r="AW293">
        <v>0</v>
      </c>
      <c r="AX293">
        <v>0</v>
      </c>
      <c r="AY293">
        <v>0</v>
      </c>
      <c r="AZ293">
        <v>0</v>
      </c>
      <c r="BA293">
        <v>0</v>
      </c>
      <c r="BB293">
        <v>0</v>
      </c>
      <c r="BC293">
        <v>1</v>
      </c>
      <c r="BD293">
        <v>0</v>
      </c>
      <c r="BE293">
        <v>0</v>
      </c>
      <c r="BF293">
        <v>16476</v>
      </c>
      <c r="BG293">
        <v>1012</v>
      </c>
      <c r="BH293">
        <v>0.95099999999999996</v>
      </c>
      <c r="BI293" s="64">
        <v>43.7</v>
      </c>
      <c r="BJ293">
        <v>0</v>
      </c>
      <c r="BK293">
        <v>0</v>
      </c>
      <c r="BL293">
        <v>1</v>
      </c>
      <c r="BM293">
        <v>0</v>
      </c>
      <c r="BN293">
        <v>0</v>
      </c>
      <c r="BO293">
        <v>0</v>
      </c>
      <c r="BP293">
        <v>0</v>
      </c>
      <c r="BQ293" s="28">
        <v>0</v>
      </c>
      <c r="BR293">
        <v>0</v>
      </c>
      <c r="BS293">
        <v>0</v>
      </c>
      <c r="BT293" s="28">
        <v>1</v>
      </c>
      <c r="BU293">
        <v>1</v>
      </c>
      <c r="BV293">
        <v>0</v>
      </c>
      <c r="BW293">
        <v>0</v>
      </c>
      <c r="BX293">
        <v>0</v>
      </c>
      <c r="BY293">
        <v>0</v>
      </c>
      <c r="BZ293">
        <v>1</v>
      </c>
      <c r="CA293">
        <v>0</v>
      </c>
      <c r="CB293">
        <v>0</v>
      </c>
      <c r="CC293">
        <v>0</v>
      </c>
      <c r="CD293">
        <v>0</v>
      </c>
      <c r="CE293" s="16">
        <v>0</v>
      </c>
      <c r="CF293">
        <v>0.96399999999999997</v>
      </c>
      <c r="CG293">
        <v>85</v>
      </c>
      <c r="CH293">
        <v>1</v>
      </c>
      <c r="CI293">
        <v>0</v>
      </c>
      <c r="CJ293">
        <v>10</v>
      </c>
      <c r="CK293" t="s">
        <v>46</v>
      </c>
    </row>
    <row r="294" spans="1:89" ht="15.75" customHeight="1" thickBot="1" x14ac:dyDescent="0.3">
      <c r="A294" s="86">
        <v>293</v>
      </c>
      <c r="B294" s="86">
        <v>16</v>
      </c>
      <c r="C294" s="86" t="s">
        <v>380</v>
      </c>
      <c r="D294" s="87">
        <v>6.2</v>
      </c>
      <c r="E294" s="88">
        <v>0.3</v>
      </c>
      <c r="F294" s="88">
        <f t="shared" si="47"/>
        <v>20.666666666666668</v>
      </c>
      <c r="G294" s="90">
        <v>0</v>
      </c>
      <c r="H294" s="91">
        <v>0</v>
      </c>
      <c r="I294" s="91">
        <v>0</v>
      </c>
      <c r="J294" s="91">
        <v>1</v>
      </c>
      <c r="K294" s="91">
        <v>0</v>
      </c>
      <c r="L294" s="90">
        <v>3601</v>
      </c>
      <c r="M294" s="91">
        <v>4</v>
      </c>
      <c r="N294" s="91">
        <f t="shared" si="45"/>
        <v>3596</v>
      </c>
      <c r="O294" s="60">
        <f t="shared" si="46"/>
        <v>20</v>
      </c>
      <c r="P294" s="88">
        <v>11.3</v>
      </c>
      <c r="Q294" s="88">
        <f t="shared" si="48"/>
        <v>26.400000000000006</v>
      </c>
      <c r="R294" s="90">
        <v>1</v>
      </c>
      <c r="S294" s="91">
        <v>0</v>
      </c>
      <c r="T294" s="90">
        <v>0</v>
      </c>
      <c r="U294" s="91">
        <v>0</v>
      </c>
      <c r="V294" s="91">
        <v>0</v>
      </c>
      <c r="W294" s="91">
        <v>1</v>
      </c>
      <c r="X294" s="90">
        <v>0</v>
      </c>
      <c r="Y294" s="91">
        <v>0</v>
      </c>
      <c r="Z294" s="91">
        <v>1</v>
      </c>
      <c r="AA294" s="90">
        <v>0</v>
      </c>
      <c r="AB294" s="91">
        <v>1</v>
      </c>
      <c r="AC294" s="92">
        <v>1990</v>
      </c>
      <c r="AD294" s="86" t="s">
        <v>57</v>
      </c>
      <c r="AE294" s="86" t="s">
        <v>57</v>
      </c>
      <c r="AF294" s="86" t="s">
        <v>57</v>
      </c>
      <c r="AG294" s="86" t="s">
        <v>57</v>
      </c>
      <c r="AH294" s="89" t="s">
        <v>57</v>
      </c>
      <c r="AI294" s="86" t="s">
        <v>57</v>
      </c>
      <c r="AJ294" s="89">
        <v>0.437</v>
      </c>
      <c r="AK294" s="86">
        <f t="shared" si="49"/>
        <v>0.56299999999999994</v>
      </c>
      <c r="AL294" s="89">
        <v>1</v>
      </c>
      <c r="AM294" s="86">
        <v>0</v>
      </c>
      <c r="AN294" s="89">
        <v>1</v>
      </c>
      <c r="AO294" s="86">
        <v>0</v>
      </c>
      <c r="AP294" s="89" t="s">
        <v>57</v>
      </c>
      <c r="AQ294" s="93" t="s">
        <v>57</v>
      </c>
      <c r="AR294" s="86">
        <v>0</v>
      </c>
      <c r="AS294" s="86">
        <v>1</v>
      </c>
      <c r="AT294" s="86">
        <v>0</v>
      </c>
      <c r="AU294" s="89" t="s">
        <v>368</v>
      </c>
      <c r="AV294" s="86">
        <v>1</v>
      </c>
      <c r="AW294" s="86">
        <v>0</v>
      </c>
      <c r="AX294" s="86">
        <v>0</v>
      </c>
      <c r="AY294" s="86">
        <v>0</v>
      </c>
      <c r="AZ294" s="86">
        <v>0</v>
      </c>
      <c r="BA294" s="86">
        <v>0</v>
      </c>
      <c r="BB294" s="86">
        <v>0</v>
      </c>
      <c r="BC294" s="89">
        <v>1</v>
      </c>
      <c r="BD294" s="86">
        <v>0</v>
      </c>
      <c r="BE294" s="86">
        <v>0</v>
      </c>
      <c r="BF294" s="89">
        <v>16476</v>
      </c>
      <c r="BG294" s="86">
        <v>1012</v>
      </c>
      <c r="BH294" s="86">
        <v>0.95099999999999996</v>
      </c>
      <c r="BI294" s="94">
        <v>43.7</v>
      </c>
      <c r="BJ294" s="86">
        <v>0</v>
      </c>
      <c r="BK294" s="86">
        <v>0</v>
      </c>
      <c r="BL294" s="86">
        <v>1</v>
      </c>
      <c r="BM294" s="86">
        <v>0</v>
      </c>
      <c r="BN294" s="86">
        <v>0</v>
      </c>
      <c r="BO294" s="86">
        <v>0</v>
      </c>
      <c r="BP294" s="86">
        <v>0</v>
      </c>
      <c r="BQ294" s="89">
        <v>0</v>
      </c>
      <c r="BR294" s="86">
        <v>0</v>
      </c>
      <c r="BS294" s="86">
        <v>0</v>
      </c>
      <c r="BT294" s="89">
        <v>1</v>
      </c>
      <c r="BU294" s="86">
        <v>1</v>
      </c>
      <c r="BV294" s="86">
        <v>0</v>
      </c>
      <c r="BW294" s="86">
        <v>0</v>
      </c>
      <c r="BX294" s="86">
        <v>0</v>
      </c>
      <c r="BY294" s="86">
        <v>0</v>
      </c>
      <c r="BZ294" s="86">
        <v>1</v>
      </c>
      <c r="CA294" s="86">
        <v>0</v>
      </c>
      <c r="CB294" s="86">
        <v>0</v>
      </c>
      <c r="CC294" s="86">
        <v>0</v>
      </c>
      <c r="CD294" s="86">
        <v>0</v>
      </c>
      <c r="CE294" s="95">
        <v>0</v>
      </c>
      <c r="CF294" s="86">
        <v>0.96399999999999997</v>
      </c>
      <c r="CG294" s="89">
        <v>85</v>
      </c>
      <c r="CH294" s="89">
        <v>1</v>
      </c>
      <c r="CI294" s="86">
        <v>0</v>
      </c>
      <c r="CJ294" s="94">
        <v>10</v>
      </c>
      <c r="CK294" s="86" t="s">
        <v>46</v>
      </c>
    </row>
    <row r="295" spans="1:89" x14ac:dyDescent="0.25">
      <c r="P295" s="6"/>
      <c r="Q295" s="6"/>
    </row>
    <row r="296" spans="1:89" x14ac:dyDescent="0.25">
      <c r="P296" s="6"/>
      <c r="Q296" s="6"/>
    </row>
    <row r="297" spans="1:89" x14ac:dyDescent="0.25">
      <c r="P297" s="6"/>
      <c r="Q297" s="6"/>
    </row>
    <row r="298" spans="1:89" x14ac:dyDescent="0.25">
      <c r="P298" s="6"/>
      <c r="Q298" s="6"/>
    </row>
    <row r="299" spans="1:89" x14ac:dyDescent="0.25">
      <c r="P299" s="6"/>
      <c r="Q299" s="6"/>
    </row>
    <row r="300" spans="1:89" x14ac:dyDescent="0.25">
      <c r="P300" s="6"/>
      <c r="Q300" s="6"/>
    </row>
    <row r="301" spans="1:89" x14ac:dyDescent="0.25">
      <c r="P301" s="6"/>
      <c r="Q301" s="6"/>
    </row>
  </sheetData>
  <conditionalFormatting sqref="A1:XFD20000">
    <cfRule type="containsBlanks" dxfId="2" priority="1">
      <formula>LEN(TRIM(A1))=0</formula>
    </cfRule>
    <cfRule type="expression" dxfId="1" priority="2">
      <formula>AND(NOT(ISBLANK($C1)),ISBLANK($C2))</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8"/>
  <sheetViews>
    <sheetView workbookViewId="0">
      <pane xSplit="1" ySplit="1" topLeftCell="B2" activePane="bottomRight" state="frozen"/>
      <selection pane="topRight" activeCell="B1" sqref="B1"/>
      <selection pane="bottomLeft" activeCell="A2" sqref="A2"/>
      <selection pane="bottomRight" activeCell="F17" sqref="F17"/>
    </sheetView>
  </sheetViews>
  <sheetFormatPr defaultRowHeight="15" x14ac:dyDescent="0.25"/>
  <cols>
    <col min="1" max="1" width="19.7109375" customWidth="1"/>
    <col min="2" max="2" width="27.28515625" customWidth="1"/>
    <col min="3" max="3" width="22.140625" style="38"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6" t="s">
        <v>91</v>
      </c>
      <c r="B1" s="36" t="s">
        <v>106</v>
      </c>
      <c r="C1" s="37" t="s">
        <v>224</v>
      </c>
      <c r="D1" s="36" t="s">
        <v>95</v>
      </c>
      <c r="E1" s="36" t="s">
        <v>99</v>
      </c>
      <c r="F1" s="36" t="s">
        <v>142</v>
      </c>
      <c r="G1" s="44" t="s">
        <v>102</v>
      </c>
      <c r="H1" s="54" t="s">
        <v>141</v>
      </c>
      <c r="I1" s="55" t="s">
        <v>103</v>
      </c>
      <c r="J1" s="56" t="s">
        <v>104</v>
      </c>
      <c r="K1" s="35" t="s">
        <v>92</v>
      </c>
      <c r="L1" s="35" t="s">
        <v>227</v>
      </c>
      <c r="M1" s="35" t="s">
        <v>134</v>
      </c>
      <c r="N1" s="57" t="s">
        <v>93</v>
      </c>
    </row>
    <row r="2" spans="1:14" x14ac:dyDescent="0.25">
      <c r="A2" s="19" t="s">
        <v>0</v>
      </c>
      <c r="B2" s="20" t="s">
        <v>109</v>
      </c>
      <c r="C2" s="46" t="s">
        <v>198</v>
      </c>
      <c r="D2" t="s">
        <v>97</v>
      </c>
      <c r="E2">
        <v>1</v>
      </c>
      <c r="F2" t="s">
        <v>143</v>
      </c>
      <c r="G2" s="28" t="b">
        <v>0</v>
      </c>
      <c r="H2" s="28" t="b">
        <v>0</v>
      </c>
      <c r="K2" t="b">
        <v>0</v>
      </c>
      <c r="L2" t="b">
        <v>0</v>
      </c>
      <c r="M2" t="b">
        <v>0</v>
      </c>
      <c r="N2" s="28" t="s">
        <v>143</v>
      </c>
    </row>
    <row r="3" spans="1:14" x14ac:dyDescent="0.25">
      <c r="A3" s="19" t="s">
        <v>1</v>
      </c>
      <c r="B3" s="20" t="s">
        <v>107</v>
      </c>
      <c r="C3" s="46" t="s">
        <v>197</v>
      </c>
      <c r="D3" t="s">
        <v>97</v>
      </c>
      <c r="E3">
        <v>2</v>
      </c>
      <c r="F3" t="s">
        <v>143</v>
      </c>
      <c r="G3" s="28" t="b">
        <v>0</v>
      </c>
      <c r="H3" s="28" t="b">
        <v>0</v>
      </c>
      <c r="K3" t="b">
        <v>0</v>
      </c>
      <c r="L3" t="b">
        <v>0</v>
      </c>
      <c r="M3" t="b">
        <v>0</v>
      </c>
      <c r="N3" s="28" t="s">
        <v>143</v>
      </c>
    </row>
    <row r="4" spans="1:14" x14ac:dyDescent="0.25">
      <c r="A4" s="19" t="s">
        <v>94</v>
      </c>
      <c r="B4" s="20" t="s">
        <v>108</v>
      </c>
      <c r="C4" s="46" t="s">
        <v>196</v>
      </c>
      <c r="D4" t="s">
        <v>105</v>
      </c>
      <c r="E4">
        <v>3</v>
      </c>
      <c r="F4" t="s">
        <v>143</v>
      </c>
      <c r="G4" s="28" t="b">
        <v>0</v>
      </c>
      <c r="H4" s="28" t="b">
        <v>0</v>
      </c>
      <c r="K4" t="b">
        <v>0</v>
      </c>
      <c r="L4" t="b">
        <v>0</v>
      </c>
      <c r="M4" t="b">
        <v>0</v>
      </c>
      <c r="N4" s="28" t="s">
        <v>143</v>
      </c>
    </row>
    <row r="5" spans="1:14" x14ac:dyDescent="0.25">
      <c r="A5" s="45" t="s">
        <v>140</v>
      </c>
      <c r="B5" s="45" t="s">
        <v>146</v>
      </c>
      <c r="C5" s="39" t="s">
        <v>199</v>
      </c>
      <c r="D5" t="s">
        <v>98</v>
      </c>
      <c r="E5">
        <v>4</v>
      </c>
      <c r="F5" t="s">
        <v>143</v>
      </c>
      <c r="G5" s="28" t="b">
        <v>1</v>
      </c>
      <c r="H5" s="28" t="b">
        <v>0</v>
      </c>
      <c r="K5" t="b">
        <v>1</v>
      </c>
      <c r="L5" t="b">
        <v>0</v>
      </c>
      <c r="M5" t="b">
        <v>0</v>
      </c>
      <c r="N5" s="28" t="s">
        <v>143</v>
      </c>
    </row>
    <row r="6" spans="1:14" x14ac:dyDescent="0.25">
      <c r="A6" s="19" t="s">
        <v>83</v>
      </c>
      <c r="B6" s="20" t="s">
        <v>240</v>
      </c>
      <c r="C6" s="46" t="s">
        <v>222</v>
      </c>
      <c r="D6" t="s">
        <v>98</v>
      </c>
      <c r="E6">
        <v>5</v>
      </c>
      <c r="F6" t="s">
        <v>143</v>
      </c>
      <c r="G6" s="28" t="b">
        <v>1</v>
      </c>
      <c r="H6" s="28" t="b">
        <v>0</v>
      </c>
      <c r="K6" t="b">
        <v>1</v>
      </c>
      <c r="L6" t="b">
        <v>0</v>
      </c>
      <c r="M6" t="b">
        <v>0</v>
      </c>
      <c r="N6" s="28">
        <v>0</v>
      </c>
    </row>
    <row r="7" spans="1:14" x14ac:dyDescent="0.25">
      <c r="A7" s="19" t="s">
        <v>47</v>
      </c>
      <c r="B7" s="20" t="s">
        <v>118</v>
      </c>
      <c r="C7" s="46" t="s">
        <v>223</v>
      </c>
      <c r="D7" t="s">
        <v>98</v>
      </c>
      <c r="E7">
        <v>6</v>
      </c>
      <c r="F7" t="s">
        <v>143</v>
      </c>
      <c r="G7" s="28" t="b">
        <v>1</v>
      </c>
      <c r="H7" s="28" t="b">
        <v>1</v>
      </c>
      <c r="J7" s="12" t="s">
        <v>145</v>
      </c>
      <c r="K7" t="b">
        <v>0</v>
      </c>
      <c r="L7" t="b">
        <v>0</v>
      </c>
      <c r="M7" t="b">
        <v>0</v>
      </c>
      <c r="N7" s="28" t="s">
        <v>143</v>
      </c>
    </row>
    <row r="8" spans="1:14" x14ac:dyDescent="0.25">
      <c r="A8" s="5" t="s">
        <v>7</v>
      </c>
      <c r="B8" s="5" t="s">
        <v>161</v>
      </c>
      <c r="C8" s="40" t="str">
        <f>"=1 if the estimates within the study can be aggregated on a city level."</f>
        <v>=1 if the estimates within the study can be aggregated on a city level.</v>
      </c>
      <c r="D8" t="s">
        <v>96</v>
      </c>
      <c r="E8">
        <v>7</v>
      </c>
      <c r="F8" t="s">
        <v>143</v>
      </c>
      <c r="G8" s="28" t="b">
        <v>1</v>
      </c>
      <c r="H8" s="28" t="b">
        <v>1</v>
      </c>
      <c r="I8">
        <v>1</v>
      </c>
      <c r="K8" t="b">
        <v>1</v>
      </c>
      <c r="L8" t="b">
        <v>0</v>
      </c>
      <c r="M8" t="b">
        <v>0</v>
      </c>
      <c r="N8" s="28" t="s">
        <v>144</v>
      </c>
    </row>
    <row r="9" spans="1:14" x14ac:dyDescent="0.25">
      <c r="A9" s="5" t="s">
        <v>9</v>
      </c>
      <c r="B9" s="5" t="s">
        <v>162</v>
      </c>
      <c r="C9" s="40" t="str">
        <f>"=1 if the estimates within the study can be aggregated on a subregional level."</f>
        <v>=1 if the estimates within the study can be aggregated on a subregional level.</v>
      </c>
      <c r="D9" t="s">
        <v>96</v>
      </c>
      <c r="E9">
        <v>7</v>
      </c>
      <c r="F9" t="s">
        <v>143</v>
      </c>
      <c r="G9" s="28" t="b">
        <v>1</v>
      </c>
      <c r="H9" s="28" t="b">
        <v>1</v>
      </c>
      <c r="I9">
        <v>1</v>
      </c>
      <c r="K9" t="b">
        <v>1</v>
      </c>
      <c r="L9" t="b">
        <v>0</v>
      </c>
      <c r="M9" t="b">
        <v>0</v>
      </c>
      <c r="N9" s="28" t="s">
        <v>144</v>
      </c>
    </row>
    <row r="10" spans="1:14" x14ac:dyDescent="0.25">
      <c r="A10" s="5" t="s">
        <v>6</v>
      </c>
      <c r="B10" s="5" t="s">
        <v>163</v>
      </c>
      <c r="C10" s="40" t="str">
        <f>"=1 if the estimates within the study can be aggregated on a regional level."</f>
        <v>=1 if the estimates within the study can be aggregated on a regional level.</v>
      </c>
      <c r="D10" t="s">
        <v>96</v>
      </c>
      <c r="E10">
        <v>7</v>
      </c>
      <c r="F10" t="s">
        <v>143</v>
      </c>
      <c r="G10" s="28" t="b">
        <v>1</v>
      </c>
      <c r="H10" s="28" t="b">
        <v>1</v>
      </c>
      <c r="I10">
        <v>1</v>
      </c>
      <c r="K10" t="b">
        <v>1</v>
      </c>
      <c r="L10" t="b">
        <v>0</v>
      </c>
      <c r="M10" t="b">
        <v>0</v>
      </c>
      <c r="N10" s="28" t="s">
        <v>144</v>
      </c>
    </row>
    <row r="11" spans="1:14" x14ac:dyDescent="0.25">
      <c r="A11" s="5" t="s">
        <v>8</v>
      </c>
      <c r="B11" s="5" t="s">
        <v>164</v>
      </c>
      <c r="C11" s="40" t="str">
        <f>"=1 if the estimates within the study can be aggregated on a country level."</f>
        <v>=1 if the estimates within the study can be aggregated on a country level.</v>
      </c>
      <c r="D11" t="s">
        <v>96</v>
      </c>
      <c r="E11">
        <v>7</v>
      </c>
      <c r="F11" t="s">
        <v>143</v>
      </c>
      <c r="G11" s="28" t="b">
        <v>1</v>
      </c>
      <c r="H11" s="28" t="b">
        <v>1</v>
      </c>
      <c r="I11">
        <v>1</v>
      </c>
      <c r="K11" t="b">
        <v>1</v>
      </c>
      <c r="L11" t="b">
        <v>0</v>
      </c>
      <c r="M11" t="b">
        <v>0</v>
      </c>
      <c r="N11" s="28" t="s">
        <v>144</v>
      </c>
    </row>
    <row r="12" spans="1:14" x14ac:dyDescent="0.25">
      <c r="A12" s="5" t="s">
        <v>88</v>
      </c>
      <c r="B12" s="5" t="s">
        <v>165</v>
      </c>
      <c r="C12" s="40" t="str">
        <f>"=1 if the estimates within the study can not be aggregated on a country level or smaller (reference category)."</f>
        <v>=1 if the estimates within the study can not be aggregated on a country level or smaller (reference category).</v>
      </c>
      <c r="D12" t="s">
        <v>96</v>
      </c>
      <c r="E12">
        <v>7</v>
      </c>
      <c r="F12" t="s">
        <v>143</v>
      </c>
      <c r="G12" s="28" t="b">
        <v>1</v>
      </c>
      <c r="H12" s="28" t="b">
        <v>1</v>
      </c>
      <c r="I12">
        <v>1</v>
      </c>
      <c r="K12" t="b">
        <v>0</v>
      </c>
      <c r="L12" t="b">
        <v>1</v>
      </c>
      <c r="M12" t="b">
        <v>0</v>
      </c>
      <c r="N12" s="28" t="s">
        <v>143</v>
      </c>
    </row>
    <row r="13" spans="1:14" x14ac:dyDescent="0.25">
      <c r="A13" s="5" t="s">
        <v>49</v>
      </c>
      <c r="B13" s="5" t="s">
        <v>155</v>
      </c>
      <c r="C13" s="40" t="s">
        <v>200</v>
      </c>
      <c r="D13" t="s">
        <v>97</v>
      </c>
      <c r="E13">
        <v>8</v>
      </c>
      <c r="F13" t="s">
        <v>143</v>
      </c>
      <c r="G13" s="28" t="b">
        <v>1</v>
      </c>
      <c r="H13" s="28" t="b">
        <v>1</v>
      </c>
      <c r="J13" s="12" t="s">
        <v>145</v>
      </c>
      <c r="K13" t="b">
        <v>0</v>
      </c>
      <c r="L13" t="b">
        <v>0</v>
      </c>
      <c r="M13" t="b">
        <v>0</v>
      </c>
      <c r="N13" s="28" t="s">
        <v>143</v>
      </c>
    </row>
    <row r="14" spans="1:14" x14ac:dyDescent="0.25">
      <c r="A14" s="5" t="s">
        <v>50</v>
      </c>
      <c r="B14" s="5" t="s">
        <v>110</v>
      </c>
      <c r="C14" s="40" t="s">
        <v>201</v>
      </c>
      <c r="D14" t="s">
        <v>97</v>
      </c>
      <c r="E14">
        <v>8</v>
      </c>
      <c r="F14" t="s">
        <v>143</v>
      </c>
      <c r="G14" s="28" t="b">
        <v>0</v>
      </c>
      <c r="H14" s="28" t="b">
        <v>0</v>
      </c>
      <c r="K14" t="b">
        <v>0</v>
      </c>
      <c r="L14" t="b">
        <v>0</v>
      </c>
      <c r="M14" t="b">
        <v>0</v>
      </c>
      <c r="N14" s="28" t="s">
        <v>143</v>
      </c>
    </row>
    <row r="15" spans="1:14" x14ac:dyDescent="0.25">
      <c r="A15" s="5" t="s">
        <v>48</v>
      </c>
      <c r="B15" s="5" t="s">
        <v>111</v>
      </c>
      <c r="C15" s="40" t="s">
        <v>202</v>
      </c>
      <c r="D15" t="s">
        <v>97</v>
      </c>
      <c r="E15">
        <v>8</v>
      </c>
      <c r="F15" t="s">
        <v>143</v>
      </c>
      <c r="G15" s="28" t="b">
        <v>0</v>
      </c>
      <c r="H15" s="28" t="b">
        <v>0</v>
      </c>
      <c r="K15" t="b">
        <v>0</v>
      </c>
      <c r="L15" t="b">
        <v>0</v>
      </c>
      <c r="M15" t="b">
        <v>0</v>
      </c>
      <c r="N15" s="28" t="s">
        <v>143</v>
      </c>
    </row>
    <row r="16" spans="1:14" x14ac:dyDescent="0.25">
      <c r="A16" s="2" t="s">
        <v>82</v>
      </c>
      <c r="B16" s="2" t="s">
        <v>112</v>
      </c>
      <c r="C16" s="41" t="s">
        <v>204</v>
      </c>
      <c r="D16" t="s">
        <v>97</v>
      </c>
      <c r="E16">
        <v>9</v>
      </c>
      <c r="F16" t="s">
        <v>143</v>
      </c>
      <c r="G16" s="28" t="b">
        <v>1</v>
      </c>
      <c r="H16" s="28" t="b">
        <v>1</v>
      </c>
      <c r="J16" s="12" t="s">
        <v>145</v>
      </c>
      <c r="K16" t="b">
        <v>1</v>
      </c>
      <c r="L16" t="b">
        <v>0</v>
      </c>
      <c r="M16" t="b">
        <v>1</v>
      </c>
      <c r="N16" s="28" t="s">
        <v>144</v>
      </c>
    </row>
    <row r="17" spans="1:14" x14ac:dyDescent="0.25">
      <c r="A17" s="2" t="s">
        <v>2</v>
      </c>
      <c r="B17" s="2" t="s">
        <v>156</v>
      </c>
      <c r="C17" s="41" t="s">
        <v>328</v>
      </c>
      <c r="D17" t="s">
        <v>98</v>
      </c>
      <c r="E17">
        <v>10</v>
      </c>
      <c r="F17" t="s">
        <v>145</v>
      </c>
      <c r="G17" s="28" t="b">
        <v>1</v>
      </c>
      <c r="H17" s="28" t="b">
        <v>1</v>
      </c>
      <c r="J17" s="12" t="s">
        <v>145</v>
      </c>
      <c r="K17" t="b">
        <v>1</v>
      </c>
      <c r="L17" t="b">
        <v>0</v>
      </c>
      <c r="M17" t="b">
        <v>0</v>
      </c>
      <c r="N17" s="28" t="s">
        <v>144</v>
      </c>
    </row>
    <row r="18" spans="1:14" x14ac:dyDescent="0.25">
      <c r="A18" s="2" t="s">
        <v>10</v>
      </c>
      <c r="B18" s="2" t="s">
        <v>157</v>
      </c>
      <c r="C18" s="41" t="s">
        <v>329</v>
      </c>
      <c r="D18" t="s">
        <v>98</v>
      </c>
      <c r="E18">
        <v>11</v>
      </c>
      <c r="F18" t="s">
        <v>145</v>
      </c>
      <c r="G18" s="28" t="b">
        <v>1</v>
      </c>
      <c r="H18" s="28" t="b">
        <v>1</v>
      </c>
      <c r="J18" s="12" t="s">
        <v>145</v>
      </c>
      <c r="K18" t="b">
        <v>1</v>
      </c>
      <c r="L18" t="b">
        <v>0</v>
      </c>
      <c r="M18" t="b">
        <v>0</v>
      </c>
      <c r="N18" s="28" t="s">
        <v>144</v>
      </c>
    </row>
    <row r="19" spans="1:14" x14ac:dyDescent="0.25">
      <c r="A19" s="2" t="s">
        <v>85</v>
      </c>
      <c r="B19" s="2" t="s">
        <v>225</v>
      </c>
      <c r="C19" s="41" t="str">
        <f>"=1 if authors report schooling in years."</f>
        <v>=1 if authors report schooling in years.</v>
      </c>
      <c r="D19" t="s">
        <v>96</v>
      </c>
      <c r="E19">
        <v>12</v>
      </c>
      <c r="F19" t="s">
        <v>143</v>
      </c>
      <c r="G19" s="28" t="b">
        <v>1</v>
      </c>
      <c r="H19" s="28" t="b">
        <v>1</v>
      </c>
      <c r="I19">
        <v>1</v>
      </c>
      <c r="K19" t="b">
        <v>1</v>
      </c>
      <c r="L19" t="b">
        <v>0</v>
      </c>
      <c r="M19" t="b">
        <v>0</v>
      </c>
      <c r="N19" s="28" t="s">
        <v>144</v>
      </c>
    </row>
    <row r="20" spans="1:14" x14ac:dyDescent="0.25">
      <c r="A20" s="2" t="s">
        <v>86</v>
      </c>
      <c r="B20" s="2" t="s">
        <v>226</v>
      </c>
      <c r="C20" s="41" t="str">
        <f>"=1 if the authors report schooling in levels (e.g., attained college degree) (reference category)."</f>
        <v>=1 if the authors report schooling in levels (e.g., attained college degree) (reference category).</v>
      </c>
      <c r="D20" t="s">
        <v>96</v>
      </c>
      <c r="E20">
        <v>12</v>
      </c>
      <c r="F20" t="s">
        <v>143</v>
      </c>
      <c r="G20" s="28" t="b">
        <v>1</v>
      </c>
      <c r="H20" s="28" t="b">
        <v>1</v>
      </c>
      <c r="I20">
        <v>1</v>
      </c>
      <c r="K20" t="b">
        <v>0</v>
      </c>
      <c r="L20" t="b">
        <v>1</v>
      </c>
      <c r="M20" t="b">
        <v>0</v>
      </c>
      <c r="N20" s="28" t="s">
        <v>143</v>
      </c>
    </row>
    <row r="21" spans="1:14" x14ac:dyDescent="0.25">
      <c r="A21" s="2" t="s">
        <v>76</v>
      </c>
      <c r="B21" s="2" t="s">
        <v>166</v>
      </c>
      <c r="C21" s="41" t="str">
        <f>"=1 if the dependent variable in the regression is log hourly wage."</f>
        <v>=1 if the dependent variable in the regression is log hourly wage.</v>
      </c>
      <c r="D21" t="s">
        <v>96</v>
      </c>
      <c r="E21">
        <v>13</v>
      </c>
      <c r="F21" t="s">
        <v>143</v>
      </c>
      <c r="G21" s="28" t="b">
        <v>1</v>
      </c>
      <c r="H21" s="28" t="b">
        <v>1</v>
      </c>
      <c r="I21">
        <v>1</v>
      </c>
      <c r="K21" t="b">
        <v>1</v>
      </c>
      <c r="L21" t="b">
        <v>0</v>
      </c>
      <c r="M21" t="b">
        <v>0</v>
      </c>
      <c r="N21" s="28" t="s">
        <v>144</v>
      </c>
    </row>
    <row r="22" spans="1:14" x14ac:dyDescent="0.25">
      <c r="A22" s="2" t="s">
        <v>81</v>
      </c>
      <c r="B22" s="2" t="s">
        <v>167</v>
      </c>
      <c r="C22" s="41" t="str">
        <f>"=1 if the dependent variable in the regression is log daily or weekly wage."</f>
        <v>=1 if the dependent variable in the regression is log daily or weekly wage.</v>
      </c>
      <c r="D22" t="s">
        <v>96</v>
      </c>
      <c r="E22">
        <v>13</v>
      </c>
      <c r="F22" t="s">
        <v>143</v>
      </c>
      <c r="G22" s="28" t="b">
        <v>1</v>
      </c>
      <c r="H22" s="28" t="b">
        <v>1</v>
      </c>
      <c r="I22">
        <v>1</v>
      </c>
      <c r="K22" t="b">
        <v>1</v>
      </c>
      <c r="L22" t="b">
        <v>0</v>
      </c>
      <c r="M22" t="b">
        <v>0</v>
      </c>
      <c r="N22" s="28" t="s">
        <v>144</v>
      </c>
    </row>
    <row r="23" spans="1:14" x14ac:dyDescent="0.25">
      <c r="A23" s="2" t="s">
        <v>79</v>
      </c>
      <c r="B23" s="2" t="s">
        <v>168</v>
      </c>
      <c r="C23" s="41" t="str">
        <f>"=1 if the dependent variable in the regression is log monthly wage."</f>
        <v>=1 if the dependent variable in the regression is log monthly wage.</v>
      </c>
      <c r="D23" t="s">
        <v>96</v>
      </c>
      <c r="E23">
        <v>13</v>
      </c>
      <c r="F23" t="s">
        <v>143</v>
      </c>
      <c r="G23" s="28" t="b">
        <v>1</v>
      </c>
      <c r="H23" s="28" t="b">
        <v>1</v>
      </c>
      <c r="I23">
        <v>1</v>
      </c>
      <c r="K23" t="b">
        <v>1</v>
      </c>
      <c r="L23" t="b">
        <v>0</v>
      </c>
      <c r="M23" t="b">
        <v>0</v>
      </c>
      <c r="N23" s="28" t="s">
        <v>144</v>
      </c>
    </row>
    <row r="24" spans="1:14" x14ac:dyDescent="0.25">
      <c r="A24" s="2" t="s">
        <v>77</v>
      </c>
      <c r="B24" s="2" t="s">
        <v>236</v>
      </c>
      <c r="C24" s="41" t="str">
        <f>"=1 if the dependent variable in the regression is log of mean annual earnings (reference category)."</f>
        <v>=1 if the dependent variable in the regression is log of mean annual earnings (reference category).</v>
      </c>
      <c r="D24" t="s">
        <v>96</v>
      </c>
      <c r="E24">
        <v>13</v>
      </c>
      <c r="F24" t="s">
        <v>143</v>
      </c>
      <c r="G24" s="28" t="b">
        <v>1</v>
      </c>
      <c r="H24" s="28" t="b">
        <v>1</v>
      </c>
      <c r="I24">
        <v>1</v>
      </c>
      <c r="K24" t="b">
        <v>0</v>
      </c>
      <c r="L24" t="b">
        <v>1</v>
      </c>
      <c r="M24" t="b">
        <v>0</v>
      </c>
      <c r="N24" s="28" t="s">
        <v>143</v>
      </c>
    </row>
    <row r="25" spans="1:14" x14ac:dyDescent="0.25">
      <c r="A25" s="2" t="s">
        <v>11</v>
      </c>
      <c r="B25" s="2" t="s">
        <v>194</v>
      </c>
      <c r="C25" s="41" t="str">
        <f>"=1 if the study uses micro data."</f>
        <v>=1 if the study uses micro data.</v>
      </c>
      <c r="D25" t="s">
        <v>96</v>
      </c>
      <c r="E25">
        <v>14</v>
      </c>
      <c r="F25" t="s">
        <v>143</v>
      </c>
      <c r="G25" s="28" t="b">
        <v>1</v>
      </c>
      <c r="H25" s="28" t="b">
        <v>1</v>
      </c>
      <c r="I25">
        <v>1</v>
      </c>
      <c r="K25" t="b">
        <v>1</v>
      </c>
      <c r="L25" t="b">
        <v>0</v>
      </c>
      <c r="M25" t="b">
        <v>0</v>
      </c>
      <c r="N25" s="28" t="s">
        <v>144</v>
      </c>
    </row>
    <row r="26" spans="1:14" x14ac:dyDescent="0.25">
      <c r="A26" s="2" t="s">
        <v>12</v>
      </c>
      <c r="B26" s="2" t="s">
        <v>193</v>
      </c>
      <c r="C26" s="41" t="str">
        <f>"=1 if the study uses data from a survey."</f>
        <v>=1 if the study uses data from a survey.</v>
      </c>
      <c r="D26" t="s">
        <v>96</v>
      </c>
      <c r="E26">
        <v>14</v>
      </c>
      <c r="F26" t="s">
        <v>143</v>
      </c>
      <c r="G26" s="28" t="b">
        <v>1</v>
      </c>
      <c r="H26" s="28" t="b">
        <v>1</v>
      </c>
      <c r="I26">
        <v>1</v>
      </c>
      <c r="K26" t="b">
        <v>1</v>
      </c>
      <c r="L26" t="b">
        <v>0</v>
      </c>
      <c r="M26" t="b">
        <v>0</v>
      </c>
      <c r="N26" s="28" t="s">
        <v>144</v>
      </c>
    </row>
    <row r="27" spans="1:14" x14ac:dyDescent="0.25">
      <c r="A27" s="2" t="s">
        <v>13</v>
      </c>
      <c r="B27" s="2" t="s">
        <v>192</v>
      </c>
      <c r="C27" s="41" t="str">
        <f>"=1 if the study uses data from a national register (reference category)."</f>
        <v>=1 if the study uses data from a national register (reference category).</v>
      </c>
      <c r="D27" t="s">
        <v>96</v>
      </c>
      <c r="E27">
        <v>14</v>
      </c>
      <c r="F27" t="s">
        <v>143</v>
      </c>
      <c r="G27" s="28" t="b">
        <v>1</v>
      </c>
      <c r="H27" s="28" t="b">
        <v>1</v>
      </c>
      <c r="I27">
        <v>1</v>
      </c>
      <c r="K27" t="b">
        <v>0</v>
      </c>
      <c r="L27" t="b">
        <v>1</v>
      </c>
      <c r="M27" t="b">
        <v>0</v>
      </c>
      <c r="N27" s="28" t="s">
        <v>143</v>
      </c>
    </row>
    <row r="28" spans="1:14" x14ac:dyDescent="0.25">
      <c r="A28" s="2" t="s">
        <v>14</v>
      </c>
      <c r="B28" s="2" t="s">
        <v>158</v>
      </c>
      <c r="C28" s="41" t="str">
        <f>"=1 if the study uses cross-sectional data."</f>
        <v>=1 if the study uses cross-sectional data.</v>
      </c>
      <c r="D28" t="s">
        <v>96</v>
      </c>
      <c r="E28">
        <v>15</v>
      </c>
      <c r="F28" t="s">
        <v>143</v>
      </c>
      <c r="G28" s="28" t="b">
        <v>1</v>
      </c>
      <c r="H28" s="28" t="b">
        <v>1</v>
      </c>
      <c r="I28">
        <v>1</v>
      </c>
      <c r="K28" t="b">
        <v>1</v>
      </c>
      <c r="L28" t="b">
        <v>0</v>
      </c>
      <c r="M28" t="b">
        <v>0</v>
      </c>
      <c r="N28" s="28" t="s">
        <v>144</v>
      </c>
    </row>
    <row r="29" spans="1:14" x14ac:dyDescent="0.25">
      <c r="A29" s="2" t="s">
        <v>15</v>
      </c>
      <c r="B29" s="2" t="s">
        <v>159</v>
      </c>
      <c r="C29" s="41" t="str">
        <f>"=1 if the study uses panel data (reference category)."</f>
        <v>=1 if the study uses panel data (reference category).</v>
      </c>
      <c r="D29" t="s">
        <v>96</v>
      </c>
      <c r="E29">
        <v>15</v>
      </c>
      <c r="F29" t="s">
        <v>143</v>
      </c>
      <c r="G29" s="28" t="b">
        <v>1</v>
      </c>
      <c r="H29" s="28" t="b">
        <v>1</v>
      </c>
      <c r="I29">
        <v>1</v>
      </c>
      <c r="K29" t="b">
        <v>0</v>
      </c>
      <c r="L29" t="b">
        <v>1</v>
      </c>
      <c r="M29" t="b">
        <v>0</v>
      </c>
      <c r="N29" s="28" t="s">
        <v>143</v>
      </c>
    </row>
    <row r="30" spans="1:14" x14ac:dyDescent="0.25">
      <c r="A30" s="2" t="s">
        <v>28</v>
      </c>
      <c r="B30" s="2" t="s">
        <v>195</v>
      </c>
      <c r="C30" s="41" t="s">
        <v>203</v>
      </c>
      <c r="D30" t="s">
        <v>98</v>
      </c>
      <c r="E30">
        <v>16</v>
      </c>
      <c r="F30" t="s">
        <v>145</v>
      </c>
      <c r="G30" s="28" t="b">
        <v>1</v>
      </c>
      <c r="H30" s="28" t="b">
        <v>1</v>
      </c>
      <c r="J30" s="12" t="s">
        <v>145</v>
      </c>
      <c r="K30" t="b">
        <v>1</v>
      </c>
      <c r="L30" t="b">
        <v>0</v>
      </c>
      <c r="M30" t="b">
        <v>1</v>
      </c>
      <c r="N30" s="28" t="s">
        <v>144</v>
      </c>
    </row>
    <row r="31" spans="1:14" x14ac:dyDescent="0.25">
      <c r="A31" s="26" t="s">
        <v>62</v>
      </c>
      <c r="B31" s="3" t="s">
        <v>189</v>
      </c>
      <c r="C31" s="47" t="s">
        <v>207</v>
      </c>
      <c r="D31" t="s">
        <v>100</v>
      </c>
      <c r="E31">
        <v>17</v>
      </c>
      <c r="F31" t="s">
        <v>144</v>
      </c>
      <c r="G31" s="28" t="b">
        <v>1</v>
      </c>
      <c r="H31" s="28" t="b">
        <v>0</v>
      </c>
      <c r="K31" t="b">
        <v>0</v>
      </c>
      <c r="L31" t="b">
        <v>1</v>
      </c>
      <c r="M31" t="b">
        <v>0</v>
      </c>
      <c r="N31" s="28" t="s">
        <v>143</v>
      </c>
    </row>
    <row r="32" spans="1:14" x14ac:dyDescent="0.25">
      <c r="A32" s="26" t="s">
        <v>58</v>
      </c>
      <c r="B32" s="3" t="s">
        <v>188</v>
      </c>
      <c r="C32" s="47" t="s">
        <v>205</v>
      </c>
      <c r="D32" t="s">
        <v>100</v>
      </c>
      <c r="E32">
        <v>17</v>
      </c>
      <c r="F32" t="s">
        <v>144</v>
      </c>
      <c r="G32" s="28" t="b">
        <v>1</v>
      </c>
      <c r="H32" s="28" t="b">
        <v>0</v>
      </c>
      <c r="K32" t="b">
        <v>1</v>
      </c>
      <c r="L32" t="b">
        <v>0</v>
      </c>
      <c r="M32" t="b">
        <v>0</v>
      </c>
      <c r="N32" s="28" t="s">
        <v>144</v>
      </c>
    </row>
    <row r="33" spans="1:14" x14ac:dyDescent="0.25">
      <c r="A33" s="26" t="s">
        <v>59</v>
      </c>
      <c r="B33" s="3" t="s">
        <v>160</v>
      </c>
      <c r="C33" s="47" t="s">
        <v>206</v>
      </c>
      <c r="D33" t="s">
        <v>100</v>
      </c>
      <c r="E33">
        <v>17</v>
      </c>
      <c r="F33" t="s">
        <v>144</v>
      </c>
      <c r="G33" s="28" t="b">
        <v>1</v>
      </c>
      <c r="H33" s="28" t="b">
        <v>0</v>
      </c>
      <c r="K33" t="b">
        <v>1</v>
      </c>
      <c r="L33" t="b">
        <v>0</v>
      </c>
      <c r="M33" t="b">
        <v>0</v>
      </c>
      <c r="N33" s="28" t="s">
        <v>144</v>
      </c>
    </row>
    <row r="34" spans="1:14" x14ac:dyDescent="0.25">
      <c r="A34" s="26" t="s">
        <v>60</v>
      </c>
      <c r="B34" s="3" t="s">
        <v>136</v>
      </c>
      <c r="C34" s="47" t="s">
        <v>208</v>
      </c>
      <c r="D34" t="s">
        <v>100</v>
      </c>
      <c r="E34">
        <v>17</v>
      </c>
      <c r="F34" t="s">
        <v>144</v>
      </c>
      <c r="G34" s="28" t="b">
        <v>1</v>
      </c>
      <c r="H34" s="28" t="b">
        <v>1</v>
      </c>
      <c r="J34" s="12">
        <v>0.5</v>
      </c>
      <c r="K34" t="b">
        <v>1</v>
      </c>
      <c r="L34" t="b">
        <v>0</v>
      </c>
      <c r="M34" t="b">
        <v>0</v>
      </c>
      <c r="N34" s="28" t="s">
        <v>144</v>
      </c>
    </row>
    <row r="35" spans="1:14" x14ac:dyDescent="0.25">
      <c r="A35" s="26" t="s">
        <v>52</v>
      </c>
      <c r="B35" s="3" t="s">
        <v>238</v>
      </c>
      <c r="C35" s="47" t="s">
        <v>212</v>
      </c>
      <c r="D35" t="s">
        <v>100</v>
      </c>
      <c r="E35">
        <v>19</v>
      </c>
      <c r="F35" t="s">
        <v>144</v>
      </c>
      <c r="G35" s="28" t="b">
        <v>1</v>
      </c>
      <c r="H35" s="28" t="b">
        <v>1</v>
      </c>
      <c r="J35" s="12">
        <v>0.5</v>
      </c>
      <c r="K35" t="b">
        <v>1</v>
      </c>
      <c r="L35" t="b">
        <v>0</v>
      </c>
      <c r="M35" t="b">
        <v>0</v>
      </c>
      <c r="N35" s="28" t="s">
        <v>144</v>
      </c>
    </row>
    <row r="36" spans="1:14" x14ac:dyDescent="0.25">
      <c r="A36" s="26" t="s">
        <v>51</v>
      </c>
      <c r="B36" s="3" t="s">
        <v>239</v>
      </c>
      <c r="C36" s="47" t="s">
        <v>211</v>
      </c>
      <c r="D36" t="s">
        <v>100</v>
      </c>
      <c r="E36">
        <v>19</v>
      </c>
      <c r="F36" t="s">
        <v>144</v>
      </c>
      <c r="G36" s="28" t="b">
        <v>0</v>
      </c>
      <c r="H36" s="28" t="b">
        <v>0</v>
      </c>
      <c r="K36" t="b">
        <v>0</v>
      </c>
      <c r="L36" t="b">
        <v>1</v>
      </c>
      <c r="M36" t="b">
        <v>0</v>
      </c>
      <c r="N36" s="28" t="s">
        <v>143</v>
      </c>
    </row>
    <row r="37" spans="1:14" x14ac:dyDescent="0.25">
      <c r="A37" s="26" t="s">
        <v>3</v>
      </c>
      <c r="B37" s="3" t="s">
        <v>169</v>
      </c>
      <c r="C37" s="47" t="s">
        <v>210</v>
      </c>
      <c r="D37" t="s">
        <v>100</v>
      </c>
      <c r="E37">
        <v>20</v>
      </c>
      <c r="F37" t="s">
        <v>144</v>
      </c>
      <c r="G37" s="28" t="b">
        <v>1</v>
      </c>
      <c r="H37" s="28" t="b">
        <v>1</v>
      </c>
      <c r="J37" s="12">
        <v>0.5</v>
      </c>
      <c r="K37" t="b">
        <v>1</v>
      </c>
      <c r="L37" t="b">
        <v>0</v>
      </c>
      <c r="M37" t="b">
        <v>0</v>
      </c>
      <c r="N37" s="28" t="s">
        <v>144</v>
      </c>
    </row>
    <row r="38" spans="1:14" x14ac:dyDescent="0.25">
      <c r="A38" s="26" t="s">
        <v>4</v>
      </c>
      <c r="B38" s="3" t="s">
        <v>170</v>
      </c>
      <c r="C38" s="47" t="s">
        <v>209</v>
      </c>
      <c r="D38" t="s">
        <v>100</v>
      </c>
      <c r="E38">
        <v>20</v>
      </c>
      <c r="F38" t="s">
        <v>144</v>
      </c>
      <c r="G38" s="28" t="b">
        <v>0</v>
      </c>
      <c r="H38" s="28" t="b">
        <v>0</v>
      </c>
      <c r="K38" t="b">
        <v>0</v>
      </c>
      <c r="L38" t="b">
        <v>1</v>
      </c>
      <c r="M38" t="b">
        <v>0</v>
      </c>
      <c r="N38" s="28" t="s">
        <v>143</v>
      </c>
    </row>
    <row r="39" spans="1:14" x14ac:dyDescent="0.25">
      <c r="A39" s="26" t="s">
        <v>339</v>
      </c>
      <c r="B39" s="3" t="s">
        <v>341</v>
      </c>
      <c r="C39" s="47" t="s">
        <v>346</v>
      </c>
      <c r="D39" t="s">
        <v>100</v>
      </c>
      <c r="E39">
        <v>21</v>
      </c>
      <c r="F39" t="s">
        <v>144</v>
      </c>
      <c r="G39" s="28" t="b">
        <v>1</v>
      </c>
      <c r="H39" s="28" t="b">
        <v>1</v>
      </c>
      <c r="J39" s="12">
        <v>0.5</v>
      </c>
      <c r="K39" t="b">
        <v>1</v>
      </c>
      <c r="L39" t="b">
        <v>0</v>
      </c>
      <c r="M39" t="b">
        <v>0</v>
      </c>
      <c r="N39" s="28" t="s">
        <v>144</v>
      </c>
    </row>
    <row r="40" spans="1:14" x14ac:dyDescent="0.25">
      <c r="A40" s="26" t="s">
        <v>340</v>
      </c>
      <c r="B40" s="3" t="s">
        <v>342</v>
      </c>
      <c r="C40" s="47" t="s">
        <v>347</v>
      </c>
      <c r="D40" t="s">
        <v>100</v>
      </c>
      <c r="E40">
        <v>21</v>
      </c>
      <c r="F40" t="s">
        <v>144</v>
      </c>
      <c r="G40" s="28" t="b">
        <v>0</v>
      </c>
      <c r="H40" s="28" t="b">
        <v>0</v>
      </c>
      <c r="K40" t="b">
        <v>0</v>
      </c>
      <c r="L40" t="b">
        <v>1</v>
      </c>
      <c r="M40" t="b">
        <v>0</v>
      </c>
      <c r="N40" s="28" t="s">
        <v>143</v>
      </c>
    </row>
    <row r="41" spans="1:14" x14ac:dyDescent="0.25">
      <c r="A41" s="26" t="s">
        <v>16</v>
      </c>
      <c r="B41" s="3" t="s">
        <v>171</v>
      </c>
      <c r="C41" s="47" t="s">
        <v>213</v>
      </c>
      <c r="D41" t="s">
        <v>100</v>
      </c>
      <c r="E41">
        <v>22</v>
      </c>
      <c r="F41" t="s">
        <v>144</v>
      </c>
      <c r="G41" s="28" t="b">
        <v>1</v>
      </c>
      <c r="H41" s="28" t="b">
        <v>1</v>
      </c>
      <c r="J41" s="12">
        <v>0.5</v>
      </c>
      <c r="K41" t="b">
        <v>1</v>
      </c>
      <c r="L41" t="b">
        <v>0</v>
      </c>
      <c r="M41" t="b">
        <v>0</v>
      </c>
      <c r="N41" s="28" t="s">
        <v>144</v>
      </c>
    </row>
    <row r="42" spans="1:14" x14ac:dyDescent="0.25">
      <c r="A42" s="26" t="s">
        <v>17</v>
      </c>
      <c r="B42" s="3" t="s">
        <v>172</v>
      </c>
      <c r="C42" s="47" t="s">
        <v>214</v>
      </c>
      <c r="D42" t="s">
        <v>100</v>
      </c>
      <c r="E42">
        <v>22</v>
      </c>
      <c r="F42" t="s">
        <v>144</v>
      </c>
      <c r="G42" s="28" t="b">
        <v>0</v>
      </c>
      <c r="H42" s="28" t="b">
        <v>0</v>
      </c>
      <c r="K42" t="b">
        <v>0</v>
      </c>
      <c r="L42" t="b">
        <v>1</v>
      </c>
      <c r="M42" t="b">
        <v>0</v>
      </c>
      <c r="N42" s="28" t="s">
        <v>143</v>
      </c>
    </row>
    <row r="43" spans="1:14" x14ac:dyDescent="0.25">
      <c r="A43" s="26" t="s">
        <v>335</v>
      </c>
      <c r="B43" s="3" t="s">
        <v>337</v>
      </c>
      <c r="C43" s="47" t="s">
        <v>348</v>
      </c>
      <c r="D43" t="s">
        <v>100</v>
      </c>
      <c r="E43">
        <v>23</v>
      </c>
      <c r="F43" t="s">
        <v>144</v>
      </c>
      <c r="G43" s="28" t="b">
        <v>1</v>
      </c>
      <c r="H43" s="28" t="b">
        <v>1</v>
      </c>
      <c r="J43" s="12">
        <v>0.5</v>
      </c>
      <c r="K43" t="b">
        <v>1</v>
      </c>
      <c r="L43" t="b">
        <v>0</v>
      </c>
      <c r="M43" t="b">
        <v>0</v>
      </c>
      <c r="N43" s="28" t="s">
        <v>144</v>
      </c>
    </row>
    <row r="44" spans="1:14" x14ac:dyDescent="0.25">
      <c r="A44" s="26" t="s">
        <v>336</v>
      </c>
      <c r="B44" s="3" t="s">
        <v>338</v>
      </c>
      <c r="C44" s="47" t="s">
        <v>349</v>
      </c>
      <c r="D44" t="s">
        <v>100</v>
      </c>
      <c r="E44">
        <v>23</v>
      </c>
      <c r="F44" t="s">
        <v>144</v>
      </c>
      <c r="G44" s="28" t="b">
        <v>1</v>
      </c>
      <c r="H44" s="28" t="b">
        <v>0</v>
      </c>
      <c r="K44" t="b">
        <v>0</v>
      </c>
      <c r="L44" t="b">
        <v>1</v>
      </c>
      <c r="M44" t="b">
        <v>0</v>
      </c>
      <c r="N44" s="28" t="s">
        <v>143</v>
      </c>
    </row>
    <row r="45" spans="1:14" x14ac:dyDescent="0.25">
      <c r="A45" s="26" t="s">
        <v>351</v>
      </c>
      <c r="B45" s="3" t="s">
        <v>344</v>
      </c>
      <c r="C45" s="47" t="s">
        <v>355</v>
      </c>
      <c r="D45" t="s">
        <v>100</v>
      </c>
      <c r="E45">
        <v>24</v>
      </c>
      <c r="F45" t="s">
        <v>144</v>
      </c>
      <c r="G45" s="28" t="b">
        <v>1</v>
      </c>
      <c r="H45" s="28" t="b">
        <v>1</v>
      </c>
      <c r="J45" s="12" t="s">
        <v>145</v>
      </c>
      <c r="K45" t="b">
        <v>1</v>
      </c>
      <c r="L45" t="b">
        <v>0</v>
      </c>
      <c r="M45" t="b">
        <v>0</v>
      </c>
      <c r="N45" s="28" t="s">
        <v>144</v>
      </c>
    </row>
    <row r="46" spans="1:14" x14ac:dyDescent="0.25">
      <c r="A46" s="26" t="s">
        <v>352</v>
      </c>
      <c r="B46" s="3" t="s">
        <v>345</v>
      </c>
      <c r="C46" s="47" t="s">
        <v>356</v>
      </c>
      <c r="D46" t="s">
        <v>100</v>
      </c>
      <c r="E46">
        <v>24</v>
      </c>
      <c r="F46" t="s">
        <v>144</v>
      </c>
      <c r="G46" s="28" t="b">
        <v>1</v>
      </c>
      <c r="H46" s="28" t="b">
        <v>1</v>
      </c>
      <c r="J46" s="12" t="s">
        <v>145</v>
      </c>
      <c r="K46" t="b">
        <v>1</v>
      </c>
      <c r="L46" t="b">
        <v>0</v>
      </c>
      <c r="M46" t="b">
        <v>0</v>
      </c>
      <c r="N46" s="28" t="s">
        <v>144</v>
      </c>
    </row>
    <row r="47" spans="1:14" x14ac:dyDescent="0.25">
      <c r="A47" s="26" t="s">
        <v>353</v>
      </c>
      <c r="B47" s="3" t="s">
        <v>354</v>
      </c>
      <c r="C47" s="47" t="s">
        <v>357</v>
      </c>
      <c r="D47" t="s">
        <v>100</v>
      </c>
      <c r="E47">
        <v>24</v>
      </c>
      <c r="F47" t="s">
        <v>144</v>
      </c>
      <c r="G47" s="28" t="b">
        <v>1</v>
      </c>
      <c r="H47" s="28" t="b">
        <v>1</v>
      </c>
      <c r="J47" s="12" t="s">
        <v>145</v>
      </c>
      <c r="K47" t="b">
        <v>0</v>
      </c>
      <c r="L47" t="b">
        <v>1</v>
      </c>
      <c r="M47" t="b">
        <v>0</v>
      </c>
      <c r="N47" s="28" t="s">
        <v>143</v>
      </c>
    </row>
    <row r="48" spans="1:14" x14ac:dyDescent="0.25">
      <c r="A48" s="26" t="s">
        <v>5</v>
      </c>
      <c r="B48" s="3" t="s">
        <v>89</v>
      </c>
      <c r="C48" s="47" t="s">
        <v>215</v>
      </c>
      <c r="D48" t="s">
        <v>105</v>
      </c>
      <c r="E48">
        <v>25</v>
      </c>
      <c r="F48" t="s">
        <v>143</v>
      </c>
      <c r="G48" s="28" t="b">
        <v>0</v>
      </c>
      <c r="H48" s="28" t="b">
        <v>0</v>
      </c>
      <c r="K48" t="b">
        <v>0</v>
      </c>
      <c r="L48" t="b">
        <v>0</v>
      </c>
      <c r="M48" t="b">
        <v>0</v>
      </c>
      <c r="N48" s="28" t="s">
        <v>143</v>
      </c>
    </row>
    <row r="49" spans="1:14" x14ac:dyDescent="0.25">
      <c r="A49" s="26" t="s">
        <v>21</v>
      </c>
      <c r="B49" s="3" t="s">
        <v>228</v>
      </c>
      <c r="C49" s="47" t="str">
        <f>"=1 if the study was conducted in a country with advanced economy. (reference group)"</f>
        <v>=1 if the study was conducted in a country with advanced economy. (reference group)</v>
      </c>
      <c r="D49" t="s">
        <v>96</v>
      </c>
      <c r="E49">
        <v>26</v>
      </c>
      <c r="F49" t="s">
        <v>143</v>
      </c>
      <c r="G49" s="28" t="b">
        <v>1</v>
      </c>
      <c r="H49" s="28" t="b">
        <v>1</v>
      </c>
      <c r="I49">
        <v>1</v>
      </c>
      <c r="K49" t="b">
        <v>0</v>
      </c>
      <c r="L49" t="b">
        <v>1</v>
      </c>
      <c r="M49" t="b">
        <v>0</v>
      </c>
      <c r="N49" s="28" t="s">
        <v>143</v>
      </c>
    </row>
    <row r="50" spans="1:14" x14ac:dyDescent="0.25">
      <c r="A50" s="26" t="s">
        <v>22</v>
      </c>
      <c r="B50" s="3" t="s">
        <v>229</v>
      </c>
      <c r="C50" s="47" t="str">
        <f>"=1 if the study was conducted in the East Asia and Pacific region."</f>
        <v>=1 if the study was conducted in the East Asia and Pacific region.</v>
      </c>
      <c r="D50" t="s">
        <v>96</v>
      </c>
      <c r="E50">
        <v>26</v>
      </c>
      <c r="F50" t="s">
        <v>143</v>
      </c>
      <c r="G50" s="28" t="b">
        <v>1</v>
      </c>
      <c r="H50" s="28" t="b">
        <v>1</v>
      </c>
      <c r="I50">
        <v>1</v>
      </c>
      <c r="K50" t="b">
        <v>0</v>
      </c>
      <c r="L50" t="b">
        <v>0</v>
      </c>
      <c r="M50" t="b">
        <v>0</v>
      </c>
      <c r="N50" s="28" t="s">
        <v>143</v>
      </c>
    </row>
    <row r="51" spans="1:14" x14ac:dyDescent="0.25">
      <c r="A51" s="26" t="s">
        <v>23</v>
      </c>
      <c r="B51" s="3" t="s">
        <v>230</v>
      </c>
      <c r="C51" s="47" t="str">
        <f>"=1 if the study was conducted in the Europe and Central Asia region."</f>
        <v>=1 if the study was conducted in the Europe and Central Asia region.</v>
      </c>
      <c r="D51" t="s">
        <v>96</v>
      </c>
      <c r="E51">
        <v>26</v>
      </c>
      <c r="F51" t="s">
        <v>143</v>
      </c>
      <c r="G51" s="28" t="b">
        <v>1</v>
      </c>
      <c r="H51" s="28" t="b">
        <v>1</v>
      </c>
      <c r="I51">
        <v>1</v>
      </c>
      <c r="K51" t="b">
        <v>0</v>
      </c>
      <c r="L51" t="b">
        <v>0</v>
      </c>
      <c r="M51" t="b">
        <v>0</v>
      </c>
      <c r="N51" s="28" t="s">
        <v>143</v>
      </c>
    </row>
    <row r="52" spans="1:14" x14ac:dyDescent="0.25">
      <c r="A52" s="26" t="s">
        <v>24</v>
      </c>
      <c r="B52" s="3" t="s">
        <v>231</v>
      </c>
      <c r="C52" s="47" t="str">
        <f>"=1 if the study was conducted in the Latin America and Caribbean region."</f>
        <v>=1 if the study was conducted in the Latin America and Caribbean region.</v>
      </c>
      <c r="D52" t="s">
        <v>96</v>
      </c>
      <c r="E52">
        <v>26</v>
      </c>
      <c r="F52" t="s">
        <v>143</v>
      </c>
      <c r="G52" s="28" t="b">
        <v>1</v>
      </c>
      <c r="H52" s="28" t="b">
        <v>1</v>
      </c>
      <c r="I52">
        <v>1</v>
      </c>
      <c r="K52" t="b">
        <v>0</v>
      </c>
      <c r="L52" t="b">
        <v>0</v>
      </c>
      <c r="M52" t="b">
        <v>0</v>
      </c>
      <c r="N52" s="28" t="s">
        <v>143</v>
      </c>
    </row>
    <row r="53" spans="1:14" x14ac:dyDescent="0.25">
      <c r="A53" s="26" t="s">
        <v>25</v>
      </c>
      <c r="B53" s="3" t="s">
        <v>232</v>
      </c>
      <c r="C53" s="47" t="str">
        <f>"=1 if the study was conducted in the Middle East and North Africa region."</f>
        <v>=1 if the study was conducted in the Middle East and North Africa region.</v>
      </c>
      <c r="D53" t="s">
        <v>96</v>
      </c>
      <c r="E53">
        <v>26</v>
      </c>
      <c r="F53" t="s">
        <v>143</v>
      </c>
      <c r="G53" s="28" t="b">
        <v>1</v>
      </c>
      <c r="H53" s="28" t="b">
        <v>1</v>
      </c>
      <c r="I53">
        <v>1</v>
      </c>
      <c r="K53" t="b">
        <v>0</v>
      </c>
      <c r="L53" t="b">
        <v>0</v>
      </c>
      <c r="M53" t="b">
        <v>0</v>
      </c>
      <c r="N53" s="28" t="s">
        <v>143</v>
      </c>
    </row>
    <row r="54" spans="1:14" x14ac:dyDescent="0.25">
      <c r="A54" s="26" t="s">
        <v>26</v>
      </c>
      <c r="B54" s="3" t="s">
        <v>233</v>
      </c>
      <c r="C54" s="47" t="str">
        <f>"=1 if the study was conducted in the South African region."</f>
        <v>=1 if the study was conducted in the South African region.</v>
      </c>
      <c r="D54" t="s">
        <v>96</v>
      </c>
      <c r="E54">
        <v>26</v>
      </c>
      <c r="F54" t="s">
        <v>143</v>
      </c>
      <c r="G54" s="28" t="b">
        <v>1</v>
      </c>
      <c r="H54" s="28" t="b">
        <v>1</v>
      </c>
      <c r="I54">
        <v>1</v>
      </c>
      <c r="K54" t="b">
        <v>0</v>
      </c>
      <c r="L54" t="b">
        <v>0</v>
      </c>
      <c r="M54" t="b">
        <v>0</v>
      </c>
      <c r="N54" s="28" t="s">
        <v>143</v>
      </c>
    </row>
    <row r="55" spans="1:14" x14ac:dyDescent="0.25">
      <c r="A55" s="26" t="s">
        <v>27</v>
      </c>
      <c r="B55" s="3" t="s">
        <v>234</v>
      </c>
      <c r="C55" s="47" t="str">
        <f>"=1 if the study was conducted in the region of Sub Saharan Africa."</f>
        <v>=1 if the study was conducted in the region of Sub Saharan Africa.</v>
      </c>
      <c r="D55" t="s">
        <v>96</v>
      </c>
      <c r="E55">
        <v>26</v>
      </c>
      <c r="F55" t="s">
        <v>143</v>
      </c>
      <c r="G55" s="28" t="b">
        <v>1</v>
      </c>
      <c r="H55" s="28" t="b">
        <v>1</v>
      </c>
      <c r="I55">
        <v>1</v>
      </c>
      <c r="K55" t="b">
        <v>0</v>
      </c>
      <c r="L55" t="b">
        <v>0</v>
      </c>
      <c r="M55" t="b">
        <v>0</v>
      </c>
      <c r="N55" s="28" t="s">
        <v>143</v>
      </c>
    </row>
    <row r="56" spans="1:14" x14ac:dyDescent="0.25">
      <c r="A56" s="26" t="s">
        <v>20</v>
      </c>
      <c r="B56" s="3" t="s">
        <v>173</v>
      </c>
      <c r="C56" s="47" t="str">
        <f>"=1 if the study was conducted in a high income country (reference category)"</f>
        <v>=1 if the study was conducted in a high income country (reference category)</v>
      </c>
      <c r="D56" t="s">
        <v>96</v>
      </c>
      <c r="E56">
        <v>27</v>
      </c>
      <c r="F56" t="s">
        <v>143</v>
      </c>
      <c r="G56" s="28" t="b">
        <v>1</v>
      </c>
      <c r="H56" s="28" t="b">
        <v>1</v>
      </c>
      <c r="I56">
        <v>1</v>
      </c>
      <c r="K56" t="b">
        <v>0</v>
      </c>
      <c r="L56" t="b">
        <v>1</v>
      </c>
      <c r="M56" t="b">
        <v>0</v>
      </c>
      <c r="N56" s="28" t="s">
        <v>143</v>
      </c>
    </row>
    <row r="57" spans="1:14" x14ac:dyDescent="0.25">
      <c r="A57" s="26" t="s">
        <v>19</v>
      </c>
      <c r="B57" s="3" t="s">
        <v>174</v>
      </c>
      <c r="C57" s="47" t="str">
        <f>"=1 if the study was conducted in a middle income country"</f>
        <v>=1 if the study was conducted in a middle income country</v>
      </c>
      <c r="D57" t="s">
        <v>96</v>
      </c>
      <c r="E57">
        <v>27</v>
      </c>
      <c r="F57" t="s">
        <v>143</v>
      </c>
      <c r="G57" s="28" t="b">
        <v>1</v>
      </c>
      <c r="H57" s="28" t="b">
        <v>1</v>
      </c>
      <c r="I57">
        <v>1</v>
      </c>
      <c r="K57" t="b">
        <v>0</v>
      </c>
      <c r="L57" t="b">
        <v>0</v>
      </c>
      <c r="M57" t="b">
        <v>0</v>
      </c>
      <c r="N57" s="28" t="s">
        <v>143</v>
      </c>
    </row>
    <row r="58" spans="1:14" x14ac:dyDescent="0.25">
      <c r="A58" s="26" t="s">
        <v>18</v>
      </c>
      <c r="B58" s="3" t="s">
        <v>175</v>
      </c>
      <c r="C58" s="47" t="str">
        <f>"=1 if the study was conducted in a low income country"</f>
        <v>=1 if the study was conducted in a low income country</v>
      </c>
      <c r="D58" t="s">
        <v>96</v>
      </c>
      <c r="E58">
        <v>27</v>
      </c>
      <c r="F58" t="s">
        <v>143</v>
      </c>
      <c r="G58" s="28" t="b">
        <v>1</v>
      </c>
      <c r="H58" s="28" t="b">
        <v>1</v>
      </c>
      <c r="I58">
        <v>1</v>
      </c>
      <c r="K58" t="b">
        <v>0</v>
      </c>
      <c r="L58" t="b">
        <v>0</v>
      </c>
      <c r="M58" t="b">
        <v>0</v>
      </c>
      <c r="N58" s="28" t="s">
        <v>143</v>
      </c>
    </row>
    <row r="59" spans="1:14" x14ac:dyDescent="0.25">
      <c r="A59" s="26" t="s">
        <v>29</v>
      </c>
      <c r="B59" s="3" t="s">
        <v>113</v>
      </c>
      <c r="C59" s="47" t="s">
        <v>216</v>
      </c>
      <c r="D59" t="s">
        <v>98</v>
      </c>
      <c r="E59">
        <v>28</v>
      </c>
      <c r="F59" t="s">
        <v>145</v>
      </c>
      <c r="G59" s="28" t="b">
        <v>1</v>
      </c>
      <c r="H59" s="28" t="b">
        <v>1</v>
      </c>
      <c r="J59" s="12" t="s">
        <v>145</v>
      </c>
      <c r="K59" t="b">
        <v>1</v>
      </c>
      <c r="L59" t="b">
        <v>0</v>
      </c>
      <c r="M59" t="b">
        <v>1</v>
      </c>
      <c r="N59" s="28" t="s">
        <v>144</v>
      </c>
    </row>
    <row r="60" spans="1:14" x14ac:dyDescent="0.25">
      <c r="A60" s="26" t="s">
        <v>30</v>
      </c>
      <c r="B60" s="3" t="s">
        <v>114</v>
      </c>
      <c r="C60" s="47" t="s">
        <v>217</v>
      </c>
      <c r="D60" t="s">
        <v>98</v>
      </c>
      <c r="E60">
        <v>29</v>
      </c>
      <c r="F60" t="s">
        <v>145</v>
      </c>
      <c r="G60" s="28" t="b">
        <v>1</v>
      </c>
      <c r="H60" s="28" t="b">
        <v>1</v>
      </c>
      <c r="J60" s="12" t="s">
        <v>145</v>
      </c>
      <c r="K60" t="b">
        <v>1</v>
      </c>
      <c r="L60" t="b">
        <v>0</v>
      </c>
      <c r="M60" t="b">
        <v>1</v>
      </c>
      <c r="N60" s="28" t="s">
        <v>144</v>
      </c>
    </row>
    <row r="61" spans="1:14" x14ac:dyDescent="0.25">
      <c r="A61" s="26" t="s">
        <v>151</v>
      </c>
      <c r="B61" s="3" t="s">
        <v>152</v>
      </c>
      <c r="C61" s="47" t="s">
        <v>218</v>
      </c>
      <c r="D61" t="s">
        <v>98</v>
      </c>
      <c r="E61">
        <v>30</v>
      </c>
      <c r="F61" t="s">
        <v>145</v>
      </c>
      <c r="G61" s="28" t="b">
        <v>1</v>
      </c>
      <c r="H61" s="28" t="b">
        <v>1</v>
      </c>
      <c r="J61" s="12" t="s">
        <v>145</v>
      </c>
      <c r="K61" t="b">
        <v>1</v>
      </c>
      <c r="L61" t="b">
        <v>0</v>
      </c>
      <c r="M61" t="b">
        <v>0</v>
      </c>
      <c r="N61" s="28" t="s">
        <v>144</v>
      </c>
    </row>
    <row r="62" spans="1:14" x14ac:dyDescent="0.25">
      <c r="A62" s="26" t="s">
        <v>31</v>
      </c>
      <c r="B62" s="3" t="s">
        <v>154</v>
      </c>
      <c r="C62" s="47" t="s">
        <v>219</v>
      </c>
      <c r="D62" t="s">
        <v>98</v>
      </c>
      <c r="E62">
        <v>31</v>
      </c>
      <c r="F62" t="s">
        <v>145</v>
      </c>
      <c r="G62" s="28" t="b">
        <v>1</v>
      </c>
      <c r="H62" s="28" t="b">
        <v>1</v>
      </c>
      <c r="J62" s="12" t="s">
        <v>145</v>
      </c>
      <c r="K62" t="b">
        <v>1</v>
      </c>
      <c r="L62" t="b">
        <v>0</v>
      </c>
      <c r="M62" t="b">
        <v>1</v>
      </c>
      <c r="N62" s="28" t="s">
        <v>144</v>
      </c>
    </row>
    <row r="63" spans="1:14" x14ac:dyDescent="0.25">
      <c r="A63" s="4" t="s">
        <v>32</v>
      </c>
      <c r="B63" s="4" t="s">
        <v>176</v>
      </c>
      <c r="C63" s="42" t="str">
        <f>"=1 if the authors use Ordinary least squares  (reference category)."</f>
        <v>=1 if the authors use Ordinary least squares  (reference category).</v>
      </c>
      <c r="D63" t="s">
        <v>96</v>
      </c>
      <c r="E63">
        <v>32</v>
      </c>
      <c r="F63" t="s">
        <v>143</v>
      </c>
      <c r="G63" s="28" t="b">
        <v>1</v>
      </c>
      <c r="H63" s="28" t="b">
        <v>1</v>
      </c>
      <c r="I63">
        <v>1</v>
      </c>
      <c r="K63" t="b">
        <v>0</v>
      </c>
      <c r="L63" t="b">
        <v>1</v>
      </c>
      <c r="M63" t="b">
        <v>0</v>
      </c>
      <c r="N63" s="28" t="s">
        <v>143</v>
      </c>
    </row>
    <row r="64" spans="1:14" x14ac:dyDescent="0.25">
      <c r="A64" s="4" t="s">
        <v>360</v>
      </c>
      <c r="B64" s="4" t="s">
        <v>362</v>
      </c>
      <c r="C64" s="42" t="str">
        <f>"=1 if the authors use Generalized Least Squares."</f>
        <v>=1 if the authors use Generalized Least Squares.</v>
      </c>
      <c r="D64" t="s">
        <v>96</v>
      </c>
      <c r="E64">
        <v>32</v>
      </c>
      <c r="F64" t="s">
        <v>143</v>
      </c>
      <c r="G64" s="28" t="b">
        <v>1</v>
      </c>
      <c r="H64" s="28" t="b">
        <v>1</v>
      </c>
      <c r="I64">
        <v>1</v>
      </c>
      <c r="K64" t="b">
        <v>1</v>
      </c>
      <c r="L64" t="b">
        <v>0</v>
      </c>
      <c r="M64" t="b">
        <v>0</v>
      </c>
      <c r="N64" s="28" t="s">
        <v>144</v>
      </c>
    </row>
    <row r="65" spans="1:14" x14ac:dyDescent="0.25">
      <c r="A65" s="4" t="s">
        <v>358</v>
      </c>
      <c r="B65" s="4" t="s">
        <v>359</v>
      </c>
      <c r="C65" s="42" t="str">
        <f>"=1 if the authors use  Selection-effects or Fixed-effects estimation."</f>
        <v>=1 if the authors use  Selection-effects or Fixed-effects estimation.</v>
      </c>
      <c r="D65" t="s">
        <v>96</v>
      </c>
      <c r="E65">
        <v>32</v>
      </c>
      <c r="F65" t="s">
        <v>143</v>
      </c>
      <c r="G65" s="28" t="b">
        <v>1</v>
      </c>
      <c r="H65" s="28" t="b">
        <v>1</v>
      </c>
      <c r="I65">
        <v>1</v>
      </c>
      <c r="K65" t="b">
        <v>1</v>
      </c>
      <c r="L65" t="b">
        <v>0</v>
      </c>
      <c r="M65" t="b">
        <v>0</v>
      </c>
      <c r="N65" s="28" t="s">
        <v>144</v>
      </c>
    </row>
    <row r="66" spans="1:14" x14ac:dyDescent="0.25">
      <c r="A66" s="4" t="s">
        <v>78</v>
      </c>
      <c r="B66" s="4" t="s">
        <v>177</v>
      </c>
      <c r="C66" s="42" t="str">
        <f>"=1 if the authors use Two-Stage or Three-Stage least squares estimation."</f>
        <v>=1 if the authors use Two-Stage or Three-Stage least squares estimation.</v>
      </c>
      <c r="D66" t="s">
        <v>96</v>
      </c>
      <c r="E66">
        <v>32</v>
      </c>
      <c r="F66" t="s">
        <v>143</v>
      </c>
      <c r="G66" s="28" t="b">
        <v>1</v>
      </c>
      <c r="H66" s="28" t="b">
        <v>1</v>
      </c>
      <c r="I66">
        <v>1</v>
      </c>
      <c r="K66" t="b">
        <v>1</v>
      </c>
      <c r="L66" t="b">
        <v>0</v>
      </c>
      <c r="M66" t="b">
        <v>0</v>
      </c>
      <c r="N66" s="28" t="s">
        <v>144</v>
      </c>
    </row>
    <row r="67" spans="1:14" x14ac:dyDescent="0.25">
      <c r="A67" s="4" t="s">
        <v>332</v>
      </c>
      <c r="B67" s="4" t="s">
        <v>333</v>
      </c>
      <c r="C67" s="42" t="str">
        <f>"=1 if the authors use First Differences."</f>
        <v>=1 if the authors use First Differences.</v>
      </c>
      <c r="D67" t="s">
        <v>96</v>
      </c>
      <c r="E67">
        <v>32</v>
      </c>
      <c r="F67" t="s">
        <v>143</v>
      </c>
      <c r="G67" s="28" t="b">
        <v>1</v>
      </c>
      <c r="H67" s="28" t="b">
        <v>1</v>
      </c>
      <c r="I67">
        <v>1</v>
      </c>
      <c r="K67" t="b">
        <v>1</v>
      </c>
      <c r="L67" t="b">
        <v>0</v>
      </c>
      <c r="M67" t="b">
        <v>0</v>
      </c>
      <c r="N67" s="28" t="s">
        <v>144</v>
      </c>
    </row>
    <row r="68" spans="1:14" x14ac:dyDescent="0.25">
      <c r="A68" s="4" t="s">
        <v>361</v>
      </c>
      <c r="B68" s="4" t="s">
        <v>363</v>
      </c>
      <c r="C68" s="42" t="str">
        <f>"=1 if the authors use First-Differenced IV estimation."</f>
        <v>=1 if the authors use First-Differenced IV estimation.</v>
      </c>
      <c r="D68" t="s">
        <v>96</v>
      </c>
      <c r="E68">
        <v>32</v>
      </c>
      <c r="F68" t="s">
        <v>143</v>
      </c>
      <c r="G68" s="28" t="b">
        <v>1</v>
      </c>
      <c r="H68" s="28" t="b">
        <v>1</v>
      </c>
      <c r="I68">
        <v>1</v>
      </c>
      <c r="K68" t="b">
        <v>1</v>
      </c>
      <c r="L68" t="b">
        <v>0</v>
      </c>
      <c r="M68" t="b">
        <v>0</v>
      </c>
      <c r="N68" s="28" t="s">
        <v>144</v>
      </c>
    </row>
    <row r="69" spans="1:14" x14ac:dyDescent="0.25">
      <c r="A69" s="4" t="s">
        <v>330</v>
      </c>
      <c r="B69" s="4" t="s">
        <v>331</v>
      </c>
      <c r="C69" s="42" t="str">
        <f>"=1 if the authors use sibling's education as an instrument in the regression."</f>
        <v>=1 if the authors use sibling's education as an instrument in the regression.</v>
      </c>
      <c r="D69" t="s">
        <v>97</v>
      </c>
      <c r="E69">
        <v>33</v>
      </c>
      <c r="F69" t="s">
        <v>143</v>
      </c>
      <c r="G69" s="28" t="b">
        <v>1</v>
      </c>
      <c r="H69" s="28" t="b">
        <v>1</v>
      </c>
      <c r="I69">
        <v>1</v>
      </c>
      <c r="K69" t="b">
        <v>0</v>
      </c>
      <c r="L69" t="b">
        <v>0</v>
      </c>
      <c r="M69" t="b">
        <v>0</v>
      </c>
      <c r="N69" s="28" t="s">
        <v>143</v>
      </c>
    </row>
    <row r="70" spans="1:14" x14ac:dyDescent="0.25">
      <c r="A70" s="4" t="s">
        <v>366</v>
      </c>
      <c r="B70" s="4" t="s">
        <v>367</v>
      </c>
      <c r="C70" s="42" t="str">
        <f>"=1 if the authors smoking as an instrument in the regression."</f>
        <v>=1 if the authors smoking as an instrument in the regression.</v>
      </c>
      <c r="D70" t="s">
        <v>97</v>
      </c>
      <c r="E70">
        <v>33</v>
      </c>
      <c r="F70" t="s">
        <v>143</v>
      </c>
      <c r="G70" s="28" t="b">
        <v>1</v>
      </c>
      <c r="H70" s="28" t="b">
        <v>1</v>
      </c>
      <c r="I70">
        <v>1</v>
      </c>
      <c r="K70" t="b">
        <v>0</v>
      </c>
      <c r="L70" t="b">
        <v>0</v>
      </c>
      <c r="M70" t="b">
        <v>0</v>
      </c>
      <c r="N70" s="28" t="s">
        <v>143</v>
      </c>
    </row>
    <row r="71" spans="1:14" x14ac:dyDescent="0.25">
      <c r="A71" s="4" t="s">
        <v>385</v>
      </c>
      <c r="B71" s="4" t="s">
        <v>386</v>
      </c>
      <c r="C71" s="42" t="str">
        <f>"=1 if the authors use another instrument in the regression."</f>
        <v>=1 if the authors use another instrument in the regression.</v>
      </c>
      <c r="D71" t="s">
        <v>97</v>
      </c>
      <c r="E71">
        <v>33</v>
      </c>
      <c r="F71" t="s">
        <v>143</v>
      </c>
      <c r="G71" s="28" t="b">
        <v>1</v>
      </c>
      <c r="H71" s="28" t="b">
        <v>1</v>
      </c>
      <c r="I71">
        <v>1</v>
      </c>
      <c r="K71" t="b">
        <v>0</v>
      </c>
      <c r="L71" t="b">
        <v>0</v>
      </c>
      <c r="M71" t="b">
        <v>0</v>
      </c>
      <c r="N71" s="28" t="s">
        <v>143</v>
      </c>
    </row>
    <row r="72" spans="1:14" x14ac:dyDescent="0.25">
      <c r="A72" s="4" t="s">
        <v>33</v>
      </c>
      <c r="B72" s="4" t="s">
        <v>178</v>
      </c>
      <c r="C72" s="42" t="str">
        <f>"=1 if the authors control for age in the regression."</f>
        <v>=1 if the authors control for age in the regression.</v>
      </c>
      <c r="D72" t="s">
        <v>97</v>
      </c>
      <c r="E72">
        <v>34</v>
      </c>
      <c r="F72" t="s">
        <v>143</v>
      </c>
      <c r="G72" s="28" t="b">
        <v>1</v>
      </c>
      <c r="H72" s="28" t="b">
        <v>1</v>
      </c>
      <c r="I72">
        <v>1</v>
      </c>
      <c r="K72" t="b">
        <v>1</v>
      </c>
      <c r="L72" t="b">
        <v>0</v>
      </c>
      <c r="M72" t="b">
        <v>0</v>
      </c>
      <c r="N72" s="28" t="s">
        <v>144</v>
      </c>
    </row>
    <row r="73" spans="1:14" x14ac:dyDescent="0.25">
      <c r="A73" s="4" t="s">
        <v>34</v>
      </c>
      <c r="B73" s="4" t="s">
        <v>191</v>
      </c>
      <c r="C73" s="42" t="str">
        <f>"=1 if the authors control for age in quadratic form in the regression."</f>
        <v>=1 if the authors control for age in quadratic form in the regression.</v>
      </c>
      <c r="D73" t="s">
        <v>97</v>
      </c>
      <c r="E73">
        <v>34</v>
      </c>
      <c r="F73" t="s">
        <v>143</v>
      </c>
      <c r="G73" s="28" t="b">
        <v>1</v>
      </c>
      <c r="H73" s="28" t="b">
        <v>1</v>
      </c>
      <c r="I73">
        <v>1</v>
      </c>
      <c r="K73" t="b">
        <v>1</v>
      </c>
      <c r="L73" t="b">
        <v>0</v>
      </c>
      <c r="M73" t="b">
        <v>0</v>
      </c>
      <c r="N73" s="28" t="s">
        <v>144</v>
      </c>
    </row>
    <row r="74" spans="1:14" x14ac:dyDescent="0.25">
      <c r="A74" s="4" t="s">
        <v>35</v>
      </c>
      <c r="B74" s="4" t="s">
        <v>179</v>
      </c>
      <c r="C74" s="42" t="str">
        <f>"=1 if the authors control for experience in the regression."</f>
        <v>=1 if the authors control for experience in the regression.</v>
      </c>
      <c r="D74" t="s">
        <v>97</v>
      </c>
      <c r="E74">
        <v>34</v>
      </c>
      <c r="F74" t="s">
        <v>143</v>
      </c>
      <c r="G74" s="28" t="b">
        <v>1</v>
      </c>
      <c r="H74" s="28" t="b">
        <v>1</v>
      </c>
      <c r="I74">
        <v>1</v>
      </c>
      <c r="K74" t="b">
        <v>1</v>
      </c>
      <c r="L74" t="b">
        <v>0</v>
      </c>
      <c r="M74" t="b">
        <v>0</v>
      </c>
      <c r="N74" s="28" t="s">
        <v>144</v>
      </c>
    </row>
    <row r="75" spans="1:14" x14ac:dyDescent="0.25">
      <c r="A75" s="4" t="s">
        <v>61</v>
      </c>
      <c r="B75" s="4" t="s">
        <v>190</v>
      </c>
      <c r="C75" s="42" t="str">
        <f>"=1 if the authors control for experience in quadratic form in the regression."</f>
        <v>=1 if the authors control for experience in quadratic form in the regression.</v>
      </c>
      <c r="D75" t="s">
        <v>97</v>
      </c>
      <c r="E75">
        <v>34</v>
      </c>
      <c r="F75" t="s">
        <v>143</v>
      </c>
      <c r="G75" s="28" t="b">
        <v>1</v>
      </c>
      <c r="H75" s="28" t="b">
        <v>1</v>
      </c>
      <c r="I75">
        <v>1</v>
      </c>
      <c r="K75" t="b">
        <v>1</v>
      </c>
      <c r="L75" t="b">
        <v>0</v>
      </c>
      <c r="M75" t="b">
        <v>0</v>
      </c>
      <c r="N75" s="28" t="s">
        <v>144</v>
      </c>
    </row>
    <row r="76" spans="1:14" x14ac:dyDescent="0.25">
      <c r="A76" s="4" t="s">
        <v>36</v>
      </c>
      <c r="B76" s="4" t="s">
        <v>180</v>
      </c>
      <c r="C76" s="42" t="str">
        <f>"=1 if the authors control for ethnicity in the regression."</f>
        <v>=1 if the authors control for ethnicity in the regression.</v>
      </c>
      <c r="D76" t="s">
        <v>97</v>
      </c>
      <c r="E76">
        <v>34</v>
      </c>
      <c r="F76" t="s">
        <v>143</v>
      </c>
      <c r="G76" s="28" t="b">
        <v>1</v>
      </c>
      <c r="H76" s="28" t="b">
        <v>1</v>
      </c>
      <c r="I76">
        <v>1</v>
      </c>
      <c r="K76" t="b">
        <v>1</v>
      </c>
      <c r="L76" t="b">
        <v>0</v>
      </c>
      <c r="M76" t="b">
        <v>0</v>
      </c>
      <c r="N76" s="28" t="s">
        <v>144</v>
      </c>
    </row>
    <row r="77" spans="1:14" x14ac:dyDescent="0.25">
      <c r="A77" s="4" t="s">
        <v>37</v>
      </c>
      <c r="B77" s="4" t="s">
        <v>181</v>
      </c>
      <c r="C77" s="42" t="str">
        <f>"=1 if the authors control for health in the regression."</f>
        <v>=1 if the authors control for health in the regression.</v>
      </c>
      <c r="D77" t="s">
        <v>97</v>
      </c>
      <c r="E77">
        <v>34</v>
      </c>
      <c r="F77" t="s">
        <v>143</v>
      </c>
      <c r="G77" s="28" t="b">
        <v>1</v>
      </c>
      <c r="H77" s="28" t="b">
        <v>1</v>
      </c>
      <c r="I77">
        <v>1</v>
      </c>
      <c r="K77" t="b">
        <v>1</v>
      </c>
      <c r="L77" t="b">
        <v>0</v>
      </c>
      <c r="M77" t="b">
        <v>0</v>
      </c>
      <c r="N77" s="28" t="s">
        <v>144</v>
      </c>
    </row>
    <row r="78" spans="1:14" x14ac:dyDescent="0.25">
      <c r="A78" s="4" t="s">
        <v>38</v>
      </c>
      <c r="B78" s="4" t="s">
        <v>182</v>
      </c>
      <c r="C78" s="42" t="str">
        <f>"=1 if the authors control for gender in the regression."</f>
        <v>=1 if the authors control for gender in the regression.</v>
      </c>
      <c r="D78" t="s">
        <v>97</v>
      </c>
      <c r="E78">
        <v>34</v>
      </c>
      <c r="F78" t="s">
        <v>143</v>
      </c>
      <c r="G78" s="28" t="b">
        <v>1</v>
      </c>
      <c r="H78" s="28" t="b">
        <v>1</v>
      </c>
      <c r="I78">
        <v>1</v>
      </c>
      <c r="K78" t="b">
        <v>1</v>
      </c>
      <c r="L78" t="b">
        <v>0</v>
      </c>
      <c r="M78" t="b">
        <v>0</v>
      </c>
      <c r="N78" s="28" t="s">
        <v>144</v>
      </c>
    </row>
    <row r="79" spans="1:14" x14ac:dyDescent="0.25">
      <c r="A79" s="4" t="s">
        <v>150</v>
      </c>
      <c r="B79" s="4" t="s">
        <v>183</v>
      </c>
      <c r="C79" s="42" t="str">
        <f>"=1 if the authors control for marriage in the regression."</f>
        <v>=1 if the authors control for marriage in the regression.</v>
      </c>
      <c r="D79" t="s">
        <v>97</v>
      </c>
      <c r="E79">
        <v>34</v>
      </c>
      <c r="F79" t="s">
        <v>143</v>
      </c>
      <c r="G79" s="28" t="b">
        <v>1</v>
      </c>
      <c r="H79" s="28" t="b">
        <v>1</v>
      </c>
      <c r="I79">
        <v>1</v>
      </c>
      <c r="K79" t="b">
        <v>1</v>
      </c>
      <c r="L79" t="b">
        <v>0</v>
      </c>
      <c r="M79" t="b">
        <v>0</v>
      </c>
      <c r="N79" s="28" t="s">
        <v>144</v>
      </c>
    </row>
    <row r="80" spans="1:14" x14ac:dyDescent="0.25">
      <c r="A80" s="4" t="s">
        <v>39</v>
      </c>
      <c r="B80" s="4" t="s">
        <v>184</v>
      </c>
      <c r="C80" s="42" t="str">
        <f>"=1 if the authors control for occupation of the subjects in the regression."</f>
        <v>=1 if the authors control for occupation of the subjects in the regression.</v>
      </c>
      <c r="D80" t="s">
        <v>97</v>
      </c>
      <c r="E80">
        <v>34</v>
      </c>
      <c r="F80" t="s">
        <v>143</v>
      </c>
      <c r="G80" s="28" t="b">
        <v>1</v>
      </c>
      <c r="H80" s="28" t="b">
        <v>1</v>
      </c>
      <c r="I80">
        <v>1</v>
      </c>
      <c r="K80" t="b">
        <v>1</v>
      </c>
      <c r="L80" t="b">
        <v>0</v>
      </c>
      <c r="M80" t="b">
        <v>0</v>
      </c>
      <c r="N80" s="28" t="s">
        <v>144</v>
      </c>
    </row>
    <row r="81" spans="1:14" x14ac:dyDescent="0.25">
      <c r="A81" s="4" t="s">
        <v>41</v>
      </c>
      <c r="B81" s="4" t="s">
        <v>235</v>
      </c>
      <c r="C81" s="42" t="str">
        <f>"=1 if the authors control for firm characteristics in the regression."</f>
        <v>=1 if the authors control for firm characteristics in the regression.</v>
      </c>
      <c r="D81" t="s">
        <v>97</v>
      </c>
      <c r="E81">
        <v>34</v>
      </c>
      <c r="F81" t="s">
        <v>143</v>
      </c>
      <c r="G81" s="28" t="b">
        <v>1</v>
      </c>
      <c r="H81" s="28" t="b">
        <v>1</v>
      </c>
      <c r="I81">
        <v>1</v>
      </c>
      <c r="K81" t="b">
        <v>1</v>
      </c>
      <c r="L81" t="b">
        <v>0</v>
      </c>
      <c r="M81" t="b">
        <v>0</v>
      </c>
      <c r="N81" s="28" t="s">
        <v>144</v>
      </c>
    </row>
    <row r="82" spans="1:14" x14ac:dyDescent="0.25">
      <c r="A82" s="4" t="s">
        <v>80</v>
      </c>
      <c r="B82" s="4" t="s">
        <v>185</v>
      </c>
      <c r="C82" s="42" t="str">
        <f>"=1 if the authors control for area type in the regression (e.g., urban, rural)."</f>
        <v>=1 if the authors control for area type in the regression (e.g., urban, rural).</v>
      </c>
      <c r="D82" t="s">
        <v>97</v>
      </c>
      <c r="E82">
        <v>34</v>
      </c>
      <c r="F82" t="s">
        <v>143</v>
      </c>
      <c r="G82" s="28" t="b">
        <v>1</v>
      </c>
      <c r="H82" s="28" t="b">
        <v>1</v>
      </c>
      <c r="I82">
        <v>1</v>
      </c>
      <c r="K82" t="b">
        <v>1</v>
      </c>
      <c r="L82" t="b">
        <v>0</v>
      </c>
      <c r="M82" t="b">
        <v>0</v>
      </c>
      <c r="N82" s="28" t="s">
        <v>144</v>
      </c>
    </row>
    <row r="83" spans="1:14" x14ac:dyDescent="0.25">
      <c r="A83" s="4" t="s">
        <v>40</v>
      </c>
      <c r="B83" s="4" t="s">
        <v>237</v>
      </c>
      <c r="C83" s="42" t="str">
        <f>"=1 if the authors control for macroeconomic variables in the regression."</f>
        <v>=1 if the authors control for macroeconomic variables in the regression.</v>
      </c>
      <c r="D83" t="s">
        <v>97</v>
      </c>
      <c r="E83">
        <v>34</v>
      </c>
      <c r="F83" t="s">
        <v>143</v>
      </c>
      <c r="G83" s="28" t="b">
        <v>1</v>
      </c>
      <c r="H83" s="28" t="b">
        <v>1</v>
      </c>
      <c r="I83">
        <v>1</v>
      </c>
      <c r="K83" t="b">
        <v>1</v>
      </c>
      <c r="L83" t="b">
        <v>0</v>
      </c>
      <c r="M83" t="b">
        <v>0</v>
      </c>
      <c r="N83" s="28" t="s">
        <v>144</v>
      </c>
    </row>
    <row r="84" spans="1:14" x14ac:dyDescent="0.25">
      <c r="A84" s="29" t="s">
        <v>42</v>
      </c>
      <c r="B84" s="29" t="s">
        <v>115</v>
      </c>
      <c r="C84" s="43" t="s">
        <v>220</v>
      </c>
      <c r="D84" t="s">
        <v>98</v>
      </c>
      <c r="E84">
        <v>35</v>
      </c>
      <c r="F84" t="s">
        <v>143</v>
      </c>
      <c r="G84" s="28" t="b">
        <v>1</v>
      </c>
      <c r="H84" s="28" t="b">
        <v>1</v>
      </c>
      <c r="J84" s="12" t="s">
        <v>145</v>
      </c>
      <c r="K84" t="b">
        <v>1</v>
      </c>
      <c r="L84" t="b">
        <v>0</v>
      </c>
      <c r="M84" t="b">
        <v>1</v>
      </c>
      <c r="N84" s="28" t="s">
        <v>153</v>
      </c>
    </row>
    <row r="85" spans="1:14" x14ac:dyDescent="0.25">
      <c r="A85" s="29" t="s">
        <v>43</v>
      </c>
      <c r="B85" s="29" t="s">
        <v>116</v>
      </c>
      <c r="C85" s="43" t="s">
        <v>221</v>
      </c>
      <c r="D85" t="s">
        <v>97</v>
      </c>
      <c r="E85">
        <v>36</v>
      </c>
      <c r="F85" t="s">
        <v>143</v>
      </c>
      <c r="G85" s="28" t="b">
        <v>1</v>
      </c>
      <c r="H85" s="28" t="b">
        <v>1</v>
      </c>
      <c r="J85" s="12" t="s">
        <v>145</v>
      </c>
      <c r="K85" t="b">
        <v>1</v>
      </c>
      <c r="L85" t="b">
        <v>0</v>
      </c>
      <c r="M85" t="b">
        <v>1</v>
      </c>
      <c r="N85" s="28" t="s">
        <v>153</v>
      </c>
    </row>
    <row r="86" spans="1:14" x14ac:dyDescent="0.25">
      <c r="A86" s="29" t="s">
        <v>44</v>
      </c>
      <c r="B86" s="29" t="s">
        <v>186</v>
      </c>
      <c r="C86" s="43" t="str">
        <f>"=1 if the study was published in a journal."</f>
        <v>=1 if the study was published in a journal.</v>
      </c>
      <c r="D86" t="s">
        <v>96</v>
      </c>
      <c r="E86">
        <v>37</v>
      </c>
      <c r="F86" t="s">
        <v>143</v>
      </c>
      <c r="G86" s="28" t="b">
        <v>1</v>
      </c>
      <c r="H86" s="28" t="b">
        <v>1</v>
      </c>
      <c r="I86">
        <v>1</v>
      </c>
      <c r="K86" t="b">
        <v>1</v>
      </c>
      <c r="L86" t="b">
        <v>0</v>
      </c>
      <c r="M86" t="b">
        <v>0</v>
      </c>
      <c r="N86" s="28" t="s">
        <v>144</v>
      </c>
    </row>
    <row r="87" spans="1:14" x14ac:dyDescent="0.25">
      <c r="A87" s="29" t="s">
        <v>101</v>
      </c>
      <c r="B87" s="29" t="s">
        <v>187</v>
      </c>
      <c r="C87" s="43" t="str">
        <f>"=1 if the study was not published in a journal (reference category)."</f>
        <v>=1 if the study was not published in a journal (reference category).</v>
      </c>
      <c r="D87" t="s">
        <v>96</v>
      </c>
      <c r="E87">
        <v>37</v>
      </c>
      <c r="F87" t="s">
        <v>143</v>
      </c>
      <c r="G87" s="28" t="b">
        <v>1</v>
      </c>
      <c r="H87" s="28" t="b">
        <v>1</v>
      </c>
      <c r="I87">
        <v>1</v>
      </c>
      <c r="K87" t="b">
        <v>0</v>
      </c>
      <c r="L87" t="b">
        <v>1</v>
      </c>
      <c r="M87" t="b">
        <v>0</v>
      </c>
      <c r="N87" s="28" t="s">
        <v>143</v>
      </c>
    </row>
    <row r="88" spans="1:14" x14ac:dyDescent="0.25">
      <c r="A88" s="29" t="s">
        <v>45</v>
      </c>
      <c r="B88" s="29" t="s">
        <v>117</v>
      </c>
      <c r="C88" s="43" t="s">
        <v>327</v>
      </c>
      <c r="D88" t="s">
        <v>97</v>
      </c>
      <c r="E88">
        <v>38</v>
      </c>
      <c r="F88" t="s">
        <v>143</v>
      </c>
      <c r="G88" s="28" t="b">
        <v>1</v>
      </c>
      <c r="H88" s="28" t="b">
        <v>1</v>
      </c>
      <c r="J88" s="12" t="s">
        <v>145</v>
      </c>
      <c r="K88" t="b">
        <v>1</v>
      </c>
      <c r="L88" t="b">
        <v>0</v>
      </c>
      <c r="M88" t="b">
        <v>1</v>
      </c>
      <c r="N88" s="28" t="s">
        <v>144</v>
      </c>
    </row>
  </sheetData>
  <conditionalFormatting sqref="A2:C88">
    <cfRule type="containsBlanks" dxfId="80" priority="7">
      <formula>LEN(TRIM(A2))=0</formula>
    </cfRule>
  </conditionalFormatting>
  <conditionalFormatting sqref="N2:N1983">
    <cfRule type="notContainsText" dxfId="79" priority="2" operator="notContains" text="stop">
      <formula>ISERROR(SEARCH("stop",N2))</formula>
    </cfRule>
    <cfRule type="containsText" dxfId="78" priority="3" operator="containsText" text="stop">
      <formula>NOT(ISERROR(SEARCH("stop",N2)))</formula>
    </cfRule>
  </conditionalFormatting>
  <conditionalFormatting sqref="G2:H1983 K2:M1983">
    <cfRule type="containsText" dxfId="77" priority="4" operator="containsText" text="FALSE">
      <formula>NOT(ISERROR(SEARCH("FALSE",G2)))</formula>
    </cfRule>
    <cfRule type="containsText" dxfId="76"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K5" sqref="K5"/>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49" t="s">
        <v>119</v>
      </c>
      <c r="B1" s="50" t="s">
        <v>120</v>
      </c>
      <c r="C1" s="51" t="s">
        <v>121</v>
      </c>
      <c r="D1" s="50" t="s">
        <v>90</v>
      </c>
      <c r="E1" s="50" t="s">
        <v>122</v>
      </c>
      <c r="F1" s="50" t="s">
        <v>123</v>
      </c>
      <c r="G1" s="50" t="s">
        <v>135</v>
      </c>
      <c r="H1" s="50" t="s">
        <v>132</v>
      </c>
      <c r="I1" s="50" t="s">
        <v>133</v>
      </c>
      <c r="J1" s="50" t="s">
        <v>131</v>
      </c>
      <c r="K1" s="50" t="s">
        <v>124</v>
      </c>
      <c r="L1" s="50" t="s">
        <v>125</v>
      </c>
      <c r="M1" s="50" t="s">
        <v>126</v>
      </c>
      <c r="N1" s="50" t="s">
        <v>127</v>
      </c>
      <c r="O1" s="52"/>
      <c r="P1" s="52" t="s">
        <v>128</v>
      </c>
      <c r="Q1" s="52" t="s">
        <v>129</v>
      </c>
      <c r="R1" s="50" t="s">
        <v>130</v>
      </c>
      <c r="S1" s="85" t="s">
        <v>320</v>
      </c>
    </row>
    <row r="2" spans="1:19" x14ac:dyDescent="0.25">
      <c r="A2">
        <v>1</v>
      </c>
      <c r="B2" t="s">
        <v>241</v>
      </c>
      <c r="C2" t="s">
        <v>242</v>
      </c>
      <c r="D2">
        <v>1998</v>
      </c>
      <c r="E2" t="s">
        <v>243</v>
      </c>
      <c r="F2" t="s">
        <v>244</v>
      </c>
      <c r="G2" t="s">
        <v>147</v>
      </c>
      <c r="H2" t="b">
        <v>1</v>
      </c>
      <c r="I2">
        <f>D2-MIN($D$2:$D$139)</f>
        <v>4</v>
      </c>
      <c r="J2">
        <v>3.0920000000000001</v>
      </c>
      <c r="K2">
        <v>908</v>
      </c>
      <c r="L2" t="s">
        <v>245</v>
      </c>
      <c r="M2" t="s">
        <v>246</v>
      </c>
      <c r="N2" s="53" t="s">
        <v>246</v>
      </c>
      <c r="O2" s="53" t="s">
        <v>241</v>
      </c>
      <c r="P2" t="s">
        <v>84</v>
      </c>
      <c r="Q2" t="s">
        <v>84</v>
      </c>
      <c r="R2" s="16" t="s">
        <v>84</v>
      </c>
    </row>
    <row r="3" spans="1:19" x14ac:dyDescent="0.25">
      <c r="A3">
        <v>2</v>
      </c>
      <c r="B3" t="s">
        <v>247</v>
      </c>
      <c r="C3" t="s">
        <v>248</v>
      </c>
      <c r="D3">
        <v>1994</v>
      </c>
      <c r="E3" t="s">
        <v>249</v>
      </c>
      <c r="F3" t="s">
        <v>250</v>
      </c>
      <c r="G3" t="s">
        <v>324</v>
      </c>
      <c r="H3" t="b">
        <v>1</v>
      </c>
      <c r="I3">
        <f>D3-MIN($D$2:$D$139)</f>
        <v>0</v>
      </c>
      <c r="J3">
        <v>3.0070000000000001</v>
      </c>
      <c r="K3">
        <v>1812</v>
      </c>
      <c r="L3" t="s">
        <v>251</v>
      </c>
      <c r="M3" t="s">
        <v>252</v>
      </c>
      <c r="N3" t="s">
        <v>252</v>
      </c>
      <c r="O3" t="s">
        <v>247</v>
      </c>
      <c r="P3" t="s">
        <v>84</v>
      </c>
      <c r="Q3" t="s">
        <v>84</v>
      </c>
      <c r="R3" s="16" t="s">
        <v>84</v>
      </c>
    </row>
    <row r="4" spans="1:19" x14ac:dyDescent="0.25">
      <c r="A4">
        <v>3</v>
      </c>
      <c r="B4" t="s">
        <v>253</v>
      </c>
      <c r="C4" t="s">
        <v>254</v>
      </c>
      <c r="D4">
        <v>1999</v>
      </c>
      <c r="E4" t="s">
        <v>255</v>
      </c>
      <c r="F4" t="s">
        <v>256</v>
      </c>
      <c r="G4" t="s">
        <v>137</v>
      </c>
      <c r="H4" t="b">
        <v>1</v>
      </c>
      <c r="I4">
        <f>D4-MIN($D$2:$D$139)</f>
        <v>5</v>
      </c>
      <c r="J4">
        <v>0.29799999999999999</v>
      </c>
      <c r="K4">
        <v>188</v>
      </c>
      <c r="L4" t="s">
        <v>257</v>
      </c>
      <c r="M4" t="s">
        <v>258</v>
      </c>
      <c r="N4" t="s">
        <v>259</v>
      </c>
      <c r="O4" t="s">
        <v>253</v>
      </c>
      <c r="P4" t="s">
        <v>84</v>
      </c>
      <c r="Q4" t="s">
        <v>84</v>
      </c>
      <c r="R4" s="16" t="s">
        <v>84</v>
      </c>
    </row>
    <row r="5" spans="1:19" x14ac:dyDescent="0.25">
      <c r="A5">
        <v>4</v>
      </c>
      <c r="B5" t="s">
        <v>260</v>
      </c>
      <c r="C5" t="s">
        <v>261</v>
      </c>
      <c r="D5">
        <v>2003</v>
      </c>
      <c r="E5" t="s">
        <v>262</v>
      </c>
      <c r="F5" t="s">
        <v>263</v>
      </c>
      <c r="G5" t="s">
        <v>138</v>
      </c>
      <c r="H5" t="b">
        <v>1</v>
      </c>
      <c r="I5">
        <f>D5-MIN($D$2:$D$139)</f>
        <v>9</v>
      </c>
      <c r="J5">
        <v>3.0070000000000001</v>
      </c>
      <c r="K5">
        <v>158</v>
      </c>
      <c r="L5" t="s">
        <v>264</v>
      </c>
      <c r="M5" t="s">
        <v>265</v>
      </c>
      <c r="N5" t="s">
        <v>265</v>
      </c>
      <c r="O5" t="s">
        <v>260</v>
      </c>
      <c r="P5" t="s">
        <v>84</v>
      </c>
      <c r="Q5" t="s">
        <v>84</v>
      </c>
      <c r="R5" s="16" t="s">
        <v>84</v>
      </c>
    </row>
    <row r="6" spans="1:19" x14ac:dyDescent="0.25">
      <c r="A6">
        <v>5</v>
      </c>
      <c r="B6" t="s">
        <v>266</v>
      </c>
      <c r="C6" t="s">
        <v>267</v>
      </c>
      <c r="D6">
        <v>2012</v>
      </c>
      <c r="E6" t="s">
        <v>268</v>
      </c>
      <c r="F6" t="s">
        <v>269</v>
      </c>
      <c r="G6" t="s">
        <v>149</v>
      </c>
      <c r="H6" t="b">
        <v>1</v>
      </c>
      <c r="I6">
        <f>D6-MIN($D$2:$D$139)</f>
        <v>18</v>
      </c>
      <c r="J6">
        <v>0.76700000000000002</v>
      </c>
      <c r="K6">
        <v>176</v>
      </c>
      <c r="L6" t="s">
        <v>270</v>
      </c>
      <c r="M6" t="s">
        <v>271</v>
      </c>
      <c r="N6" t="s">
        <v>271</v>
      </c>
      <c r="O6" t="s">
        <v>266</v>
      </c>
      <c r="P6" t="s">
        <v>84</v>
      </c>
      <c r="Q6" t="s">
        <v>84</v>
      </c>
      <c r="R6" s="16" t="s">
        <v>84</v>
      </c>
    </row>
    <row r="7" spans="1:19" x14ac:dyDescent="0.25">
      <c r="A7">
        <v>6</v>
      </c>
      <c r="B7" t="s">
        <v>272</v>
      </c>
      <c r="C7" t="s">
        <v>273</v>
      </c>
      <c r="D7">
        <v>1995</v>
      </c>
      <c r="E7" t="s">
        <v>274</v>
      </c>
      <c r="F7" t="s">
        <v>275</v>
      </c>
      <c r="G7" t="s">
        <v>138</v>
      </c>
      <c r="H7" t="b">
        <v>1</v>
      </c>
      <c r="I7">
        <f>D7-MIN($D$2:$D$139)</f>
        <v>1</v>
      </c>
      <c r="J7">
        <v>3.0070000000000001</v>
      </c>
      <c r="K7">
        <v>372</v>
      </c>
      <c r="L7" t="s">
        <v>276</v>
      </c>
      <c r="M7" t="s">
        <v>277</v>
      </c>
      <c r="N7" t="s">
        <v>277</v>
      </c>
      <c r="O7" t="s">
        <v>272</v>
      </c>
      <c r="P7" t="s">
        <v>84</v>
      </c>
      <c r="Q7" t="s">
        <v>84</v>
      </c>
      <c r="R7" s="16" t="s">
        <v>84</v>
      </c>
    </row>
    <row r="8" spans="1:19" x14ac:dyDescent="0.25">
      <c r="A8">
        <v>7</v>
      </c>
      <c r="B8" t="s">
        <v>278</v>
      </c>
      <c r="C8" t="s">
        <v>279</v>
      </c>
      <c r="D8">
        <v>1994</v>
      </c>
      <c r="E8" t="s">
        <v>280</v>
      </c>
      <c r="F8" t="s">
        <v>281</v>
      </c>
      <c r="G8" t="s">
        <v>321</v>
      </c>
      <c r="H8" t="b">
        <v>1</v>
      </c>
      <c r="I8">
        <f>D8-MIN($D$2:$D$139)</f>
        <v>0</v>
      </c>
      <c r="J8">
        <v>1.8520000000000001</v>
      </c>
      <c r="K8">
        <v>616</v>
      </c>
      <c r="L8" t="s">
        <v>282</v>
      </c>
      <c r="M8" t="s">
        <v>283</v>
      </c>
      <c r="O8" t="s">
        <v>278</v>
      </c>
      <c r="P8" t="s">
        <v>84</v>
      </c>
      <c r="Q8" t="s">
        <v>84</v>
      </c>
      <c r="R8" s="16" t="s">
        <v>84</v>
      </c>
    </row>
    <row r="9" spans="1:19" x14ac:dyDescent="0.25">
      <c r="A9">
        <v>8</v>
      </c>
      <c r="B9" t="s">
        <v>284</v>
      </c>
      <c r="C9" t="s">
        <v>285</v>
      </c>
      <c r="D9">
        <v>1999</v>
      </c>
      <c r="E9" t="s">
        <v>286</v>
      </c>
      <c r="F9" t="s">
        <v>287</v>
      </c>
      <c r="G9" t="s">
        <v>322</v>
      </c>
      <c r="H9" t="b">
        <v>1</v>
      </c>
      <c r="I9">
        <f>D9-MIN($D$2:$D$139)</f>
        <v>5</v>
      </c>
      <c r="J9">
        <v>0.29799999999999999</v>
      </c>
      <c r="K9">
        <v>196</v>
      </c>
      <c r="L9" t="s">
        <v>288</v>
      </c>
      <c r="M9" t="s">
        <v>289</v>
      </c>
      <c r="N9" t="s">
        <v>289</v>
      </c>
      <c r="O9" t="s">
        <v>284</v>
      </c>
      <c r="P9" t="s">
        <v>84</v>
      </c>
      <c r="Q9" t="s">
        <v>84</v>
      </c>
      <c r="R9" s="16" t="s">
        <v>84</v>
      </c>
    </row>
    <row r="10" spans="1:19" x14ac:dyDescent="0.25">
      <c r="A10">
        <v>9</v>
      </c>
      <c r="B10" t="s">
        <v>290</v>
      </c>
      <c r="C10" t="s">
        <v>291</v>
      </c>
      <c r="D10">
        <v>2012</v>
      </c>
      <c r="E10" t="s">
        <v>292</v>
      </c>
      <c r="F10" t="s">
        <v>293</v>
      </c>
      <c r="G10" t="s">
        <v>139</v>
      </c>
      <c r="H10" t="b">
        <v>0</v>
      </c>
      <c r="I10">
        <f>D10-MIN($D$2:$D$139)</f>
        <v>18</v>
      </c>
      <c r="J10">
        <v>0</v>
      </c>
      <c r="K10">
        <v>18</v>
      </c>
      <c r="L10" t="s">
        <v>294</v>
      </c>
      <c r="M10" t="s">
        <v>295</v>
      </c>
      <c r="N10" t="s">
        <v>295</v>
      </c>
      <c r="O10" t="s">
        <v>290</v>
      </c>
      <c r="P10" t="s">
        <v>84</v>
      </c>
      <c r="Q10" t="s">
        <v>84</v>
      </c>
      <c r="R10" s="16" t="s">
        <v>84</v>
      </c>
    </row>
    <row r="11" spans="1:19" x14ac:dyDescent="0.25">
      <c r="A11">
        <v>10</v>
      </c>
      <c r="B11" t="s">
        <v>296</v>
      </c>
      <c r="C11" t="s">
        <v>297</v>
      </c>
      <c r="D11">
        <v>2020</v>
      </c>
      <c r="E11" t="s">
        <v>298</v>
      </c>
      <c r="F11" t="s">
        <v>299</v>
      </c>
      <c r="G11" t="s">
        <v>323</v>
      </c>
      <c r="H11" t="b">
        <v>1</v>
      </c>
      <c r="I11">
        <f>D11-MIN($D$2:$D$139)</f>
        <v>26</v>
      </c>
      <c r="J11">
        <v>8.1000000000000003E-2</v>
      </c>
      <c r="K11">
        <v>11</v>
      </c>
      <c r="L11" t="s">
        <v>300</v>
      </c>
      <c r="M11" t="s">
        <v>301</v>
      </c>
      <c r="N11" t="s">
        <v>301</v>
      </c>
      <c r="O11" t="s">
        <v>296</v>
      </c>
      <c r="P11" t="s">
        <v>84</v>
      </c>
      <c r="Q11" t="s">
        <v>84</v>
      </c>
      <c r="R11" s="16" t="s">
        <v>84</v>
      </c>
    </row>
    <row r="12" spans="1:19" x14ac:dyDescent="0.25">
      <c r="A12">
        <v>11</v>
      </c>
      <c r="B12" t="s">
        <v>302</v>
      </c>
      <c r="C12" t="s">
        <v>303</v>
      </c>
      <c r="D12">
        <v>2005</v>
      </c>
      <c r="E12" t="s">
        <v>304</v>
      </c>
      <c r="F12" t="s">
        <v>305</v>
      </c>
      <c r="G12" t="s">
        <v>139</v>
      </c>
      <c r="H12" t="b">
        <v>0</v>
      </c>
      <c r="I12">
        <f>D12-MIN($D$2:$D$139)</f>
        <v>11</v>
      </c>
      <c r="J12">
        <v>0</v>
      </c>
      <c r="K12">
        <v>1</v>
      </c>
      <c r="L12" t="s">
        <v>306</v>
      </c>
      <c r="M12" t="s">
        <v>307</v>
      </c>
      <c r="N12" t="s">
        <v>307</v>
      </c>
      <c r="O12" t="s">
        <v>302</v>
      </c>
      <c r="P12" t="s">
        <v>84</v>
      </c>
      <c r="Q12" t="s">
        <v>84</v>
      </c>
      <c r="R12" s="16" t="s">
        <v>84</v>
      </c>
      <c r="S12" t="s">
        <v>308</v>
      </c>
    </row>
    <row r="13" spans="1:19" x14ac:dyDescent="0.25">
      <c r="A13">
        <v>12</v>
      </c>
      <c r="B13" t="s">
        <v>309</v>
      </c>
      <c r="C13" t="s">
        <v>273</v>
      </c>
      <c r="D13">
        <v>2004</v>
      </c>
      <c r="E13" t="s">
        <v>310</v>
      </c>
      <c r="F13" t="s">
        <v>311</v>
      </c>
      <c r="G13" t="s">
        <v>137</v>
      </c>
      <c r="H13" t="b">
        <v>1</v>
      </c>
      <c r="I13">
        <f>D13-MIN($D$2:$D$139)</f>
        <v>10</v>
      </c>
      <c r="J13">
        <v>0.29799999999999999</v>
      </c>
      <c r="K13">
        <v>19</v>
      </c>
      <c r="L13" t="s">
        <v>312</v>
      </c>
      <c r="M13" t="s">
        <v>313</v>
      </c>
      <c r="N13" t="s">
        <v>314</v>
      </c>
      <c r="O13" t="s">
        <v>309</v>
      </c>
      <c r="P13" t="s">
        <v>84</v>
      </c>
      <c r="Q13" t="s">
        <v>84</v>
      </c>
      <c r="R13" s="16" t="s">
        <v>84</v>
      </c>
      <c r="S13" t="s">
        <v>308</v>
      </c>
    </row>
    <row r="14" spans="1:19" x14ac:dyDescent="0.25">
      <c r="A14">
        <v>13</v>
      </c>
      <c r="B14" t="s">
        <v>315</v>
      </c>
      <c r="C14" t="s">
        <v>316</v>
      </c>
      <c r="D14">
        <v>1999</v>
      </c>
      <c r="E14" t="s">
        <v>317</v>
      </c>
      <c r="F14" t="s">
        <v>318</v>
      </c>
      <c r="G14" t="s">
        <v>148</v>
      </c>
      <c r="H14" t="b">
        <v>1</v>
      </c>
      <c r="I14">
        <f>D14-MIN($D$2:$D$139)</f>
        <v>5</v>
      </c>
      <c r="J14">
        <v>0.52800000000000002</v>
      </c>
      <c r="K14">
        <v>177</v>
      </c>
      <c r="L14" t="s">
        <v>46</v>
      </c>
      <c r="M14" t="s">
        <v>325</v>
      </c>
      <c r="N14" t="s">
        <v>326</v>
      </c>
      <c r="O14" t="s">
        <v>315</v>
      </c>
      <c r="P14" t="s">
        <v>84</v>
      </c>
      <c r="Q14" t="s">
        <v>84</v>
      </c>
      <c r="R14" s="16" t="s">
        <v>84</v>
      </c>
      <c r="S14" t="s">
        <v>319</v>
      </c>
    </row>
    <row r="15" spans="1:19" x14ac:dyDescent="0.25">
      <c r="A15">
        <v>14</v>
      </c>
      <c r="B15" t="s">
        <v>369</v>
      </c>
      <c r="C15" t="s">
        <v>370</v>
      </c>
      <c r="D15">
        <v>1999</v>
      </c>
      <c r="E15" t="s">
        <v>371</v>
      </c>
      <c r="F15" t="s">
        <v>372</v>
      </c>
      <c r="G15" t="s">
        <v>139</v>
      </c>
      <c r="H15" t="b">
        <v>0</v>
      </c>
      <c r="I15">
        <f>D15-MIN($D$2:$D$139)</f>
        <v>5</v>
      </c>
      <c r="J15">
        <v>0</v>
      </c>
      <c r="K15">
        <v>17</v>
      </c>
      <c r="L15" t="s">
        <v>46</v>
      </c>
      <c r="M15" t="s">
        <v>373</v>
      </c>
      <c r="N15" t="s">
        <v>373</v>
      </c>
      <c r="O15" t="s">
        <v>369</v>
      </c>
      <c r="P15" t="s">
        <v>84</v>
      </c>
      <c r="Q15" t="s">
        <v>84</v>
      </c>
      <c r="R15" s="16" t="s">
        <v>84</v>
      </c>
    </row>
    <row r="16" spans="1:19" x14ac:dyDescent="0.25">
      <c r="A16">
        <v>15</v>
      </c>
      <c r="B16" t="s">
        <v>375</v>
      </c>
      <c r="C16" t="s">
        <v>376</v>
      </c>
      <c r="D16">
        <v>2009</v>
      </c>
      <c r="E16" t="s">
        <v>377</v>
      </c>
      <c r="F16" t="s">
        <v>378</v>
      </c>
      <c r="G16" t="s">
        <v>139</v>
      </c>
      <c r="H16" t="b">
        <v>0</v>
      </c>
      <c r="I16">
        <f>D16-MIN($D$2:$D$139)</f>
        <v>15</v>
      </c>
      <c r="J16">
        <v>0</v>
      </c>
      <c r="K16">
        <v>8</v>
      </c>
      <c r="L16" t="s">
        <v>46</v>
      </c>
      <c r="M16" t="s">
        <v>379</v>
      </c>
      <c r="N16" t="s">
        <v>374</v>
      </c>
      <c r="O16" t="s">
        <v>375</v>
      </c>
      <c r="P16" t="s">
        <v>84</v>
      </c>
      <c r="Q16" t="s">
        <v>84</v>
      </c>
      <c r="R16" s="16" t="s">
        <v>84</v>
      </c>
    </row>
    <row r="17" spans="1:18" ht="15.75" thickBot="1" x14ac:dyDescent="0.3">
      <c r="A17" s="86">
        <v>16</v>
      </c>
      <c r="B17" s="86" t="s">
        <v>380</v>
      </c>
      <c r="C17" s="86" t="s">
        <v>316</v>
      </c>
      <c r="D17" s="86">
        <v>2004</v>
      </c>
      <c r="E17" s="86" t="s">
        <v>381</v>
      </c>
      <c r="F17" s="86" t="s">
        <v>382</v>
      </c>
      <c r="G17" s="86" t="s">
        <v>384</v>
      </c>
      <c r="H17" s="86" t="b">
        <v>1</v>
      </c>
      <c r="I17" s="86">
        <f>D17-MIN($D$2:$D$139)</f>
        <v>10</v>
      </c>
      <c r="J17" s="86">
        <v>0.96399999999999997</v>
      </c>
      <c r="K17" s="86">
        <v>85</v>
      </c>
      <c r="L17" s="86" t="s">
        <v>46</v>
      </c>
      <c r="M17" s="86" t="s">
        <v>383</v>
      </c>
      <c r="N17" s="86" t="s">
        <v>383</v>
      </c>
      <c r="O17" s="86" t="s">
        <v>380</v>
      </c>
      <c r="P17" s="86" t="s">
        <v>84</v>
      </c>
      <c r="Q17" s="86" t="s">
        <v>84</v>
      </c>
      <c r="R17" s="95" t="s">
        <v>84</v>
      </c>
    </row>
  </sheetData>
  <conditionalFormatting sqref="F1">
    <cfRule type="containsBlanks" dxfId="75" priority="814">
      <formula>LEN(TRIM(F1))=0</formula>
    </cfRule>
  </conditionalFormatting>
  <conditionalFormatting sqref="P2:R2 R3:R17">
    <cfRule type="containsText" dxfId="74" priority="201" operator="containsText" text="PRIMARY STUDY">
      <formula>NOT(ISERROR(SEARCH("PRIMARY STUDY",P2)))</formula>
    </cfRule>
    <cfRule type="notContainsText" dxfId="73" priority="202" operator="notContains" text="YES">
      <formula>ISERROR(SEARCH("YES",P2))</formula>
    </cfRule>
    <cfRule type="containsText" dxfId="72" priority="203" operator="containsText" text="YES">
      <formula>NOT(ISERROR(SEARCH("YES",P2)))</formula>
    </cfRule>
  </conditionalFormatting>
  <conditionalFormatting sqref="P3:Q3">
    <cfRule type="containsText" dxfId="71" priority="195" operator="containsText" text="PRIMARY STUDY">
      <formula>NOT(ISERROR(SEARCH("PRIMARY STUDY",P3)))</formula>
    </cfRule>
    <cfRule type="notContainsText" dxfId="70" priority="196" operator="notContains" text="YES">
      <formula>ISERROR(SEARCH("YES",P3))</formula>
    </cfRule>
    <cfRule type="containsText" dxfId="69" priority="197" operator="containsText" text="YES">
      <formula>NOT(ISERROR(SEARCH("YES",P3)))</formula>
    </cfRule>
  </conditionalFormatting>
  <conditionalFormatting sqref="P4:Q4">
    <cfRule type="containsText" dxfId="68" priority="189" operator="containsText" text="PRIMARY STUDY">
      <formula>NOT(ISERROR(SEARCH("PRIMARY STUDY",P4)))</formula>
    </cfRule>
    <cfRule type="notContainsText" dxfId="67" priority="190" operator="notContains" text="YES">
      <formula>ISERROR(SEARCH("YES",P4))</formula>
    </cfRule>
    <cfRule type="containsText" dxfId="66" priority="191" operator="containsText" text="YES">
      <formula>NOT(ISERROR(SEARCH("YES",P4)))</formula>
    </cfRule>
  </conditionalFormatting>
  <conditionalFormatting sqref="P6:Q6">
    <cfRule type="containsText" dxfId="65" priority="183" operator="containsText" text="PRIMARY STUDY">
      <formula>NOT(ISERROR(SEARCH("PRIMARY STUDY",P6)))</formula>
    </cfRule>
    <cfRule type="notContainsText" dxfId="64" priority="184" operator="notContains" text="YES">
      <formula>ISERROR(SEARCH("YES",P6))</formula>
    </cfRule>
    <cfRule type="containsText" dxfId="63" priority="185" operator="containsText" text="YES">
      <formula>NOT(ISERROR(SEARCH("YES",P6)))</formula>
    </cfRule>
  </conditionalFormatting>
  <conditionalFormatting sqref="P7:Q7">
    <cfRule type="containsText" dxfId="62" priority="177" operator="containsText" text="PRIMARY STUDY">
      <formula>NOT(ISERROR(SEARCH("PRIMARY STUDY",P7)))</formula>
    </cfRule>
    <cfRule type="notContainsText" dxfId="61" priority="178" operator="notContains" text="YES">
      <formula>ISERROR(SEARCH("YES",P7))</formula>
    </cfRule>
    <cfRule type="containsText" dxfId="60" priority="179" operator="containsText" text="YES">
      <formula>NOT(ISERROR(SEARCH("YES",P7)))</formula>
    </cfRule>
  </conditionalFormatting>
  <conditionalFormatting sqref="P8:Q8">
    <cfRule type="containsText" dxfId="59" priority="165" operator="containsText" text="PRIMARY STUDY">
      <formula>NOT(ISERROR(SEARCH("PRIMARY STUDY",P8)))</formula>
    </cfRule>
    <cfRule type="notContainsText" dxfId="58" priority="166" operator="notContains" text="YES">
      <formula>ISERROR(SEARCH("YES",P8))</formula>
    </cfRule>
    <cfRule type="containsText" dxfId="57" priority="167" operator="containsText" text="YES">
      <formula>NOT(ISERROR(SEARCH("YES",P8)))</formula>
    </cfRule>
  </conditionalFormatting>
  <conditionalFormatting sqref="P9:Q9">
    <cfRule type="containsText" dxfId="56" priority="159" operator="containsText" text="PRIMARY STUDY">
      <formula>NOT(ISERROR(SEARCH("PRIMARY STUDY",P9)))</formula>
    </cfRule>
    <cfRule type="notContainsText" dxfId="55" priority="160" operator="notContains" text="YES">
      <formula>ISERROR(SEARCH("YES",P9))</formula>
    </cfRule>
    <cfRule type="containsText" dxfId="54" priority="161" operator="containsText" text="YES">
      <formula>NOT(ISERROR(SEARCH("YES",P9)))</formula>
    </cfRule>
  </conditionalFormatting>
  <conditionalFormatting sqref="P10:Q10">
    <cfRule type="containsText" dxfId="53" priority="135" operator="containsText" text="PRIMARY STUDY">
      <formula>NOT(ISERROR(SEARCH("PRIMARY STUDY",P10)))</formula>
    </cfRule>
    <cfRule type="notContainsText" dxfId="52" priority="136" operator="notContains" text="YES">
      <formula>ISERROR(SEARCH("YES",P10))</formula>
    </cfRule>
    <cfRule type="containsText" dxfId="51" priority="137" operator="containsText" text="YES">
      <formula>NOT(ISERROR(SEARCH("YES",P10)))</formula>
    </cfRule>
  </conditionalFormatting>
  <conditionalFormatting sqref="P6:Q6">
    <cfRule type="containsText" dxfId="50" priority="129" operator="containsText" text="PRIMARY STUDY">
      <formula>NOT(ISERROR(SEARCH("PRIMARY STUDY",P6)))</formula>
    </cfRule>
    <cfRule type="notContainsText" dxfId="49" priority="130" operator="notContains" text="YES">
      <formula>ISERROR(SEARCH("YES",P6))</formula>
    </cfRule>
    <cfRule type="containsText" dxfId="48" priority="131" operator="containsText" text="YES">
      <formula>NOT(ISERROR(SEARCH("YES",P6)))</formula>
    </cfRule>
  </conditionalFormatting>
  <conditionalFormatting sqref="P7:Q7">
    <cfRule type="containsText" dxfId="47" priority="123" operator="containsText" text="PRIMARY STUDY">
      <formula>NOT(ISERROR(SEARCH("PRIMARY STUDY",P7)))</formula>
    </cfRule>
    <cfRule type="notContainsText" dxfId="46" priority="124" operator="notContains" text="YES">
      <formula>ISERROR(SEARCH("YES",P7))</formula>
    </cfRule>
    <cfRule type="containsText" dxfId="45" priority="125" operator="containsText" text="YES">
      <formula>NOT(ISERROR(SEARCH("YES",P7)))</formula>
    </cfRule>
  </conditionalFormatting>
  <conditionalFormatting sqref="P8:Q8">
    <cfRule type="containsText" dxfId="44" priority="111" operator="containsText" text="PRIMARY STUDY">
      <formula>NOT(ISERROR(SEARCH("PRIMARY STUDY",P8)))</formula>
    </cfRule>
    <cfRule type="notContainsText" dxfId="43" priority="112" operator="notContains" text="YES">
      <formula>ISERROR(SEARCH("YES",P8))</formula>
    </cfRule>
    <cfRule type="containsText" dxfId="42" priority="113" operator="containsText" text="YES">
      <formula>NOT(ISERROR(SEARCH("YES",P8)))</formula>
    </cfRule>
  </conditionalFormatting>
  <conditionalFormatting sqref="P9:Q9">
    <cfRule type="containsText" dxfId="41" priority="105" operator="containsText" text="PRIMARY STUDY">
      <formula>NOT(ISERROR(SEARCH("PRIMARY STUDY",P9)))</formula>
    </cfRule>
    <cfRule type="notContainsText" dxfId="40" priority="106" operator="notContains" text="YES">
      <formula>ISERROR(SEARCH("YES",P9))</formula>
    </cfRule>
    <cfRule type="containsText" dxfId="39" priority="107" operator="containsText" text="YES">
      <formula>NOT(ISERROR(SEARCH("YES",P9)))</formula>
    </cfRule>
  </conditionalFormatting>
  <conditionalFormatting sqref="P10:Q10">
    <cfRule type="containsText" dxfId="38" priority="81" operator="containsText" text="PRIMARY STUDY">
      <formula>NOT(ISERROR(SEARCH("PRIMARY STUDY",P10)))</formula>
    </cfRule>
    <cfRule type="notContainsText" dxfId="37" priority="82" operator="notContains" text="YES">
      <formula>ISERROR(SEARCH("YES",P10))</formula>
    </cfRule>
    <cfRule type="containsText" dxfId="36" priority="83" operator="containsText" text="YES">
      <formula>NOT(ISERROR(SEARCH("YES",P10)))</formula>
    </cfRule>
  </conditionalFormatting>
  <conditionalFormatting sqref="P11:Q11">
    <cfRule type="containsText" dxfId="35" priority="75" operator="containsText" text="PRIMARY STUDY">
      <formula>NOT(ISERROR(SEARCH("PRIMARY STUDY",P11)))</formula>
    </cfRule>
    <cfRule type="notContainsText" dxfId="34" priority="76" operator="notContains" text="YES">
      <formula>ISERROR(SEARCH("YES",P11))</formula>
    </cfRule>
    <cfRule type="containsText" dxfId="33" priority="77" operator="containsText" text="YES">
      <formula>NOT(ISERROR(SEARCH("YES",P11)))</formula>
    </cfRule>
  </conditionalFormatting>
  <conditionalFormatting sqref="P5:Q5">
    <cfRule type="containsText" dxfId="32" priority="69" operator="containsText" text="PRIMARY STUDY">
      <formula>NOT(ISERROR(SEARCH("PRIMARY STUDY",P5)))</formula>
    </cfRule>
    <cfRule type="notContainsText" dxfId="31" priority="70" operator="notContains" text="YES">
      <formula>ISERROR(SEARCH("YES",P5))</formula>
    </cfRule>
    <cfRule type="containsText" dxfId="30" priority="71" operator="containsText" text="YES">
      <formula>NOT(ISERROR(SEARCH("YES",P5)))</formula>
    </cfRule>
  </conditionalFormatting>
  <conditionalFormatting sqref="P12:Q12">
    <cfRule type="containsText" dxfId="29" priority="63" operator="containsText" text="PRIMARY STUDY">
      <formula>NOT(ISERROR(SEARCH("PRIMARY STUDY",P12)))</formula>
    </cfRule>
    <cfRule type="notContainsText" dxfId="28" priority="64" operator="notContains" text="YES">
      <formula>ISERROR(SEARCH("YES",P12))</formula>
    </cfRule>
    <cfRule type="containsText" dxfId="27" priority="65" operator="containsText" text="YES">
      <formula>NOT(ISERROR(SEARCH("YES",P12)))</formula>
    </cfRule>
  </conditionalFormatting>
  <conditionalFormatting sqref="P12:Q12">
    <cfRule type="containsText" dxfId="26" priority="57" operator="containsText" text="PRIMARY STUDY">
      <formula>NOT(ISERROR(SEARCH("PRIMARY STUDY",P12)))</formula>
    </cfRule>
    <cfRule type="notContainsText" dxfId="25" priority="58" operator="notContains" text="YES">
      <formula>ISERROR(SEARCH("YES",P12))</formula>
    </cfRule>
    <cfRule type="containsText" dxfId="24" priority="59" operator="containsText" text="YES">
      <formula>NOT(ISERROR(SEARCH("YES",P12)))</formula>
    </cfRule>
  </conditionalFormatting>
  <conditionalFormatting sqref="P13:Q13">
    <cfRule type="containsText" dxfId="23" priority="45" operator="containsText" text="PRIMARY STUDY">
      <formula>NOT(ISERROR(SEARCH("PRIMARY STUDY",P13)))</formula>
    </cfRule>
    <cfRule type="notContainsText" dxfId="22" priority="46" operator="notContains" text="YES">
      <formula>ISERROR(SEARCH("YES",P13))</formula>
    </cfRule>
    <cfRule type="containsText" dxfId="21" priority="47" operator="containsText" text="YES">
      <formula>NOT(ISERROR(SEARCH("YES",P13)))</formula>
    </cfRule>
  </conditionalFormatting>
  <conditionalFormatting sqref="P12:Q12">
    <cfRule type="containsText" dxfId="20" priority="39" operator="containsText" text="PRIMARY STUDY">
      <formula>NOT(ISERROR(SEARCH("PRIMARY STUDY",P12)))</formula>
    </cfRule>
    <cfRule type="notContainsText" dxfId="19" priority="40" operator="notContains" text="YES">
      <formula>ISERROR(SEARCH("YES",P12))</formula>
    </cfRule>
    <cfRule type="containsText" dxfId="18" priority="41" operator="containsText" text="YES">
      <formula>NOT(ISERROR(SEARCH("YES",P12)))</formula>
    </cfRule>
  </conditionalFormatting>
  <conditionalFormatting sqref="P13:Q13">
    <cfRule type="containsText" dxfId="17" priority="27" operator="containsText" text="PRIMARY STUDY">
      <formula>NOT(ISERROR(SEARCH("PRIMARY STUDY",P13)))</formula>
    </cfRule>
    <cfRule type="notContainsText" dxfId="16" priority="28" operator="notContains" text="YES">
      <formula>ISERROR(SEARCH("YES",P13))</formula>
    </cfRule>
    <cfRule type="containsText" dxfId="15" priority="29" operator="containsText" text="YES">
      <formula>NOT(ISERROR(SEARCH("YES",P13)))</formula>
    </cfRule>
  </conditionalFormatting>
  <conditionalFormatting sqref="P14:Q14">
    <cfRule type="containsText" dxfId="14" priority="21" operator="containsText" text="PRIMARY STUDY">
      <formula>NOT(ISERROR(SEARCH("PRIMARY STUDY",P14)))</formula>
    </cfRule>
    <cfRule type="notContainsText" dxfId="13" priority="22" operator="notContains" text="YES">
      <formula>ISERROR(SEARCH("YES",P14))</formula>
    </cfRule>
    <cfRule type="containsText" dxfId="12" priority="23" operator="containsText" text="YES">
      <formula>NOT(ISERROR(SEARCH("YES",P14)))</formula>
    </cfRule>
  </conditionalFormatting>
  <conditionalFormatting sqref="B1">
    <cfRule type="duplicateValues" dxfId="11" priority="858"/>
  </conditionalFormatting>
  <conditionalFormatting sqref="K15">
    <cfRule type="containsBlanks" dxfId="10" priority="12">
      <formula>LEN(TRIM(K15))=0</formula>
    </cfRule>
  </conditionalFormatting>
  <conditionalFormatting sqref="P15:Q15">
    <cfRule type="containsText" dxfId="9" priority="9" operator="containsText" text="PRIMARY STUDY">
      <formula>NOT(ISERROR(SEARCH("PRIMARY STUDY",P15)))</formula>
    </cfRule>
    <cfRule type="notContainsText" dxfId="8" priority="10" operator="notContains" text="YES">
      <formula>ISERROR(SEARCH("YES",P15))</formula>
    </cfRule>
    <cfRule type="containsText" dxfId="7" priority="11" operator="containsText" text="YES">
      <formula>NOT(ISERROR(SEARCH("YES",P15)))</formula>
    </cfRule>
  </conditionalFormatting>
  <conditionalFormatting sqref="K16:L17">
    <cfRule type="containsBlanks" dxfId="6" priority="4">
      <formula>LEN(TRIM(K16))=0</formula>
    </cfRule>
  </conditionalFormatting>
  <conditionalFormatting sqref="P16:Q17">
    <cfRule type="containsText" dxfId="5" priority="1" operator="containsText" text="PRIMARY STUDY">
      <formula>NOT(ISERROR(SEARCH("PRIMARY STUDY",P16)))</formula>
    </cfRule>
    <cfRule type="notContainsText" dxfId="4" priority="2" operator="notContains" text="YES">
      <formula>ISERROR(SEARCH("YES",P16))</formula>
    </cfRule>
    <cfRule type="containsText" dxfId="3"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53</v>
      </c>
      <c r="B1" s="33" t="s">
        <v>55</v>
      </c>
      <c r="C1" s="24" t="s">
        <v>54</v>
      </c>
    </row>
    <row r="2" spans="1:8" x14ac:dyDescent="0.25">
      <c r="A2" s="18"/>
      <c r="B2" t="s">
        <v>70</v>
      </c>
      <c r="C2" s="22" t="s">
        <v>63</v>
      </c>
    </row>
    <row r="3" spans="1:8" x14ac:dyDescent="0.25">
      <c r="A3" s="31"/>
      <c r="B3" t="s">
        <v>71</v>
      </c>
      <c r="C3" s="22" t="s">
        <v>64</v>
      </c>
    </row>
    <row r="4" spans="1:8" x14ac:dyDescent="0.25">
      <c r="A4" s="13"/>
      <c r="B4" t="s">
        <v>56</v>
      </c>
      <c r="C4" s="22" t="s">
        <v>65</v>
      </c>
    </row>
    <row r="5" spans="1:8" x14ac:dyDescent="0.25">
      <c r="A5" s="14"/>
      <c r="B5" t="s">
        <v>75</v>
      </c>
      <c r="C5" s="22" t="s">
        <v>66</v>
      </c>
      <c r="H5" s="34"/>
    </row>
    <row r="6" spans="1:8" x14ac:dyDescent="0.25">
      <c r="A6" s="15"/>
      <c r="B6" t="s">
        <v>72</v>
      </c>
      <c r="C6" s="22" t="s">
        <v>67</v>
      </c>
    </row>
    <row r="7" spans="1:8" x14ac:dyDescent="0.25">
      <c r="A7" s="17"/>
      <c r="B7" t="s">
        <v>74</v>
      </c>
      <c r="C7" s="22" t="s">
        <v>68</v>
      </c>
      <c r="H7" s="34"/>
    </row>
    <row r="8" spans="1:8" x14ac:dyDescent="0.25">
      <c r="A8" s="30"/>
      <c r="B8" t="s">
        <v>73</v>
      </c>
      <c r="C8" s="22" t="s">
        <v>69</v>
      </c>
    </row>
    <row r="21" spans="8:8" x14ac:dyDescent="0.2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2023-07-13T09:50:30Z</dcterms:modified>
</cp:coreProperties>
</file>