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R\data\source\"/>
    </mc:Choice>
  </mc:AlternateContent>
  <xr:revisionPtr revIDLastSave="0" documentId="13_ncr:1_{1E5C831D-CEBD-4271-9237-14D0D6AFF936}" xr6:coauthVersionLast="47" xr6:coauthVersionMax="47" xr10:uidLastSave="{00000000-0000-0000-0000-000000000000}"/>
  <bookViews>
    <workbookView xWindow="-23148" yWindow="-108" windowWidth="23256" windowHeight="12576" activeTab="1" xr2:uid="{00000000-000D-0000-FFFF-FFFF00000000}"/>
  </bookViews>
  <sheets>
    <sheet name="data_set"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13" l="1"/>
  <c r="C21" i="13"/>
  <c r="C52" i="13" l="1"/>
  <c r="AC294" i="22"/>
  <c r="O294" i="22"/>
  <c r="M294" i="22"/>
  <c r="L294" i="22"/>
  <c r="F294" i="22"/>
  <c r="AC293" i="22"/>
  <c r="O293" i="22"/>
  <c r="M293" i="22"/>
  <c r="L293" i="22"/>
  <c r="F293" i="22"/>
  <c r="AC292" i="22"/>
  <c r="O292" i="22"/>
  <c r="M292" i="22"/>
  <c r="L292" i="22"/>
  <c r="F292" i="22"/>
  <c r="AC291" i="22"/>
  <c r="O291" i="22"/>
  <c r="M291" i="22"/>
  <c r="L291" i="22"/>
  <c r="F291" i="22"/>
  <c r="AC290" i="22"/>
  <c r="O290" i="22"/>
  <c r="M290" i="22"/>
  <c r="L290" i="22"/>
  <c r="F290" i="22"/>
  <c r="AC289" i="22"/>
  <c r="O289" i="22"/>
  <c r="M289" i="22"/>
  <c r="L289" i="22"/>
  <c r="F289" i="22"/>
  <c r="AC288" i="22"/>
  <c r="O288" i="22"/>
  <c r="M288" i="22"/>
  <c r="L288" i="22"/>
  <c r="F288" i="22"/>
  <c r="AC287" i="22"/>
  <c r="O287" i="22"/>
  <c r="M287" i="22"/>
  <c r="L287" i="22"/>
  <c r="F287" i="22"/>
  <c r="AC286" i="22"/>
  <c r="O286" i="22"/>
  <c r="M286" i="22"/>
  <c r="L286" i="22"/>
  <c r="F286" i="22"/>
  <c r="AC285" i="22"/>
  <c r="O285" i="22"/>
  <c r="M285" i="22"/>
  <c r="L285" i="22"/>
  <c r="F285" i="22"/>
  <c r="AC284" i="22"/>
  <c r="O284" i="22"/>
  <c r="M284" i="22"/>
  <c r="L284" i="22"/>
  <c r="F284" i="22"/>
  <c r="AC283" i="22"/>
  <c r="O283" i="22"/>
  <c r="M283" i="22"/>
  <c r="L283" i="22"/>
  <c r="F283" i="22"/>
  <c r="AC282" i="22"/>
  <c r="O282" i="22"/>
  <c r="M282" i="22"/>
  <c r="L282" i="22"/>
  <c r="F282" i="22"/>
  <c r="AC281" i="22"/>
  <c r="O281" i="22"/>
  <c r="M281" i="22"/>
  <c r="L281" i="22"/>
  <c r="F281" i="22"/>
  <c r="AC280" i="22"/>
  <c r="O280" i="22"/>
  <c r="M280" i="22"/>
  <c r="L280" i="22"/>
  <c r="F280" i="22"/>
  <c r="AC279" i="22"/>
  <c r="O279" i="22"/>
  <c r="M279" i="22"/>
  <c r="L279" i="22"/>
  <c r="F279" i="22"/>
  <c r="AC278" i="22"/>
  <c r="O278" i="22"/>
  <c r="M278" i="22"/>
  <c r="L278" i="22"/>
  <c r="F278" i="22"/>
  <c r="AC277" i="22"/>
  <c r="O277" i="22"/>
  <c r="M277" i="22"/>
  <c r="L277" i="22"/>
  <c r="F277" i="22"/>
  <c r="AC276" i="22"/>
  <c r="O276" i="22"/>
  <c r="M276" i="22"/>
  <c r="L276" i="22"/>
  <c r="F276" i="22"/>
  <c r="AC275" i="22"/>
  <c r="O275" i="22"/>
  <c r="M275" i="22"/>
  <c r="L275" i="22"/>
  <c r="F275" i="22"/>
  <c r="O274" i="22"/>
  <c r="M274" i="22"/>
  <c r="L274" i="22"/>
  <c r="F274" i="22"/>
  <c r="O273" i="22"/>
  <c r="M273" i="22"/>
  <c r="L273" i="22"/>
  <c r="F273" i="22"/>
  <c r="O272" i="22"/>
  <c r="M272" i="22"/>
  <c r="L272" i="22"/>
  <c r="F272" i="22"/>
  <c r="O271" i="22"/>
  <c r="M271" i="22"/>
  <c r="L271" i="22"/>
  <c r="F271" i="22"/>
  <c r="O270" i="22"/>
  <c r="M270" i="22"/>
  <c r="L270" i="22"/>
  <c r="F270" i="22"/>
  <c r="O269" i="22"/>
  <c r="M269" i="22"/>
  <c r="L269" i="22"/>
  <c r="F269" i="22"/>
  <c r="O268" i="22"/>
  <c r="M268" i="22"/>
  <c r="L268" i="22"/>
  <c r="F268" i="22"/>
  <c r="O267" i="22"/>
  <c r="M267" i="22"/>
  <c r="L267" i="22"/>
  <c r="F267" i="22"/>
  <c r="O266" i="22"/>
  <c r="M266" i="22"/>
  <c r="L266" i="22"/>
  <c r="F266" i="22"/>
  <c r="O265" i="22"/>
  <c r="M265" i="22"/>
  <c r="L265" i="22"/>
  <c r="F265" i="22"/>
  <c r="O264" i="22"/>
  <c r="M264" i="22"/>
  <c r="L264" i="22"/>
  <c r="F264" i="22"/>
  <c r="O263" i="22"/>
  <c r="M263" i="22"/>
  <c r="L263" i="22"/>
  <c r="F263" i="22"/>
  <c r="O262" i="22"/>
  <c r="M262" i="22"/>
  <c r="L262" i="22"/>
  <c r="F262" i="22"/>
  <c r="O261" i="22"/>
  <c r="M261" i="22"/>
  <c r="L261" i="22"/>
  <c r="F261" i="22"/>
  <c r="O260" i="22"/>
  <c r="M260" i="22"/>
  <c r="L260" i="22"/>
  <c r="F260" i="22"/>
  <c r="O259" i="22"/>
  <c r="M259" i="22"/>
  <c r="L259" i="22"/>
  <c r="F259" i="22"/>
  <c r="AK258" i="22"/>
  <c r="AH258" i="22"/>
  <c r="AD258" i="22"/>
  <c r="AC258" i="22"/>
  <c r="Z258" i="22"/>
  <c r="O258" i="22"/>
  <c r="M258" i="22"/>
  <c r="L258" i="22"/>
  <c r="E258" i="22"/>
  <c r="AK257" i="22"/>
  <c r="AH257" i="22"/>
  <c r="AD257" i="22"/>
  <c r="AC257" i="22"/>
  <c r="Z257" i="22"/>
  <c r="O257" i="22"/>
  <c r="M257" i="22"/>
  <c r="L257" i="22"/>
  <c r="E257" i="22"/>
  <c r="AK256" i="22"/>
  <c r="AH256" i="22"/>
  <c r="AD256" i="22"/>
  <c r="AC256" i="22"/>
  <c r="Z256" i="22"/>
  <c r="O256" i="22"/>
  <c r="M256" i="22"/>
  <c r="L256" i="22"/>
  <c r="E256" i="22"/>
  <c r="AK255" i="22"/>
  <c r="AH255" i="22"/>
  <c r="AD255" i="22"/>
  <c r="AC255" i="22"/>
  <c r="Z255" i="22"/>
  <c r="O255" i="22"/>
  <c r="M255" i="22"/>
  <c r="L255" i="22"/>
  <c r="E255" i="22"/>
  <c r="AK254" i="22"/>
  <c r="AH254" i="22"/>
  <c r="AD254" i="22"/>
  <c r="AC254" i="22"/>
  <c r="Z254" i="22"/>
  <c r="O254" i="22"/>
  <c r="M254" i="22"/>
  <c r="L254" i="22"/>
  <c r="E254" i="22"/>
  <c r="AK253" i="22"/>
  <c r="AH253" i="22"/>
  <c r="AD253" i="22"/>
  <c r="AC253" i="22"/>
  <c r="Z253" i="22"/>
  <c r="O253" i="22"/>
  <c r="M253" i="22"/>
  <c r="L253" i="22"/>
  <c r="E253" i="22"/>
  <c r="AH252" i="22"/>
  <c r="AD252" i="22"/>
  <c r="AC252" i="22"/>
  <c r="Z252" i="22"/>
  <c r="O252" i="22"/>
  <c r="M252" i="22"/>
  <c r="L252" i="22"/>
  <c r="E252" i="22"/>
  <c r="AH251" i="22"/>
  <c r="AD251" i="22"/>
  <c r="AC251" i="22"/>
  <c r="Z251" i="22"/>
  <c r="O251" i="22"/>
  <c r="M251" i="22"/>
  <c r="L251" i="22"/>
  <c r="E251" i="22"/>
  <c r="AH250" i="22"/>
  <c r="AD250" i="22"/>
  <c r="AC250" i="22"/>
  <c r="Z250" i="22"/>
  <c r="O250" i="22"/>
  <c r="M250" i="22"/>
  <c r="L250" i="22"/>
  <c r="E250" i="22"/>
  <c r="AH249" i="22"/>
  <c r="AD249" i="22"/>
  <c r="AC249" i="22"/>
  <c r="Z249" i="22"/>
  <c r="O249" i="22"/>
  <c r="M249" i="22"/>
  <c r="L249" i="22"/>
  <c r="E249" i="22"/>
  <c r="AH248" i="22"/>
  <c r="AD248" i="22"/>
  <c r="AC248" i="22"/>
  <c r="Z248" i="22"/>
  <c r="O248" i="22"/>
  <c r="M248" i="22"/>
  <c r="L248" i="22"/>
  <c r="E248" i="22"/>
  <c r="AH247" i="22"/>
  <c r="AD247" i="22"/>
  <c r="AC247" i="22"/>
  <c r="Z247" i="22"/>
  <c r="O247" i="22"/>
  <c r="M247" i="22"/>
  <c r="L247" i="22"/>
  <c r="E247" i="22"/>
  <c r="AH246" i="22"/>
  <c r="AD246" i="22"/>
  <c r="AC246" i="22"/>
  <c r="Z246" i="22"/>
  <c r="O246" i="22"/>
  <c r="M246" i="22"/>
  <c r="L246" i="22"/>
  <c r="E246" i="22"/>
  <c r="AK245" i="22"/>
  <c r="AH245" i="22"/>
  <c r="AD245" i="22"/>
  <c r="AC245" i="22"/>
  <c r="Z245" i="22"/>
  <c r="O245" i="22"/>
  <c r="M245" i="22"/>
  <c r="L245" i="22"/>
  <c r="E245" i="22"/>
  <c r="AK244" i="22"/>
  <c r="AH244" i="22"/>
  <c r="AD244" i="22"/>
  <c r="AC244" i="22"/>
  <c r="Z244" i="22"/>
  <c r="O244" i="22"/>
  <c r="M244" i="22"/>
  <c r="L244" i="22"/>
  <c r="E244" i="22"/>
  <c r="AK243" i="22"/>
  <c r="AH243" i="22"/>
  <c r="AD243" i="22"/>
  <c r="AC243" i="22"/>
  <c r="Z243" i="22"/>
  <c r="O243" i="22"/>
  <c r="M243" i="22"/>
  <c r="L243" i="22"/>
  <c r="E243" i="22"/>
  <c r="AK242" i="22"/>
  <c r="AH242" i="22"/>
  <c r="AD242" i="22"/>
  <c r="AC242" i="22"/>
  <c r="Z242" i="22"/>
  <c r="O242" i="22"/>
  <c r="M242" i="22"/>
  <c r="L242" i="22"/>
  <c r="E242" i="22"/>
  <c r="AK241" i="22"/>
  <c r="AH241" i="22"/>
  <c r="AD241" i="22"/>
  <c r="AC241" i="22"/>
  <c r="Z241" i="22"/>
  <c r="O241" i="22"/>
  <c r="M241" i="22"/>
  <c r="L241" i="22"/>
  <c r="E241" i="22"/>
  <c r="AK240" i="22"/>
  <c r="AH240" i="22"/>
  <c r="AD240" i="22"/>
  <c r="AC240" i="22"/>
  <c r="Z240" i="22"/>
  <c r="O240" i="22"/>
  <c r="M240" i="22"/>
  <c r="L240" i="22"/>
  <c r="E240" i="22"/>
  <c r="AK239" i="22"/>
  <c r="AH239" i="22"/>
  <c r="AD239" i="22"/>
  <c r="AC239" i="22"/>
  <c r="Z239" i="22"/>
  <c r="O239" i="22"/>
  <c r="M239" i="22"/>
  <c r="L239" i="22"/>
  <c r="E239" i="22"/>
  <c r="AK238" i="22"/>
  <c r="AH238" i="22"/>
  <c r="AD238" i="22"/>
  <c r="AC238" i="22"/>
  <c r="Z238" i="22"/>
  <c r="O238" i="22"/>
  <c r="M238" i="22"/>
  <c r="L238" i="22"/>
  <c r="E238" i="22"/>
  <c r="AI237" i="22"/>
  <c r="AC237" i="22"/>
  <c r="O237" i="22"/>
  <c r="M237" i="22"/>
  <c r="L237" i="22"/>
  <c r="F237" i="22"/>
  <c r="AI236" i="22"/>
  <c r="AC236" i="22"/>
  <c r="O236" i="22"/>
  <c r="M236" i="22"/>
  <c r="L236" i="22"/>
  <c r="F236" i="22"/>
  <c r="AI235" i="22"/>
  <c r="AC235" i="22"/>
  <c r="O235" i="22"/>
  <c r="M235" i="22"/>
  <c r="L235" i="22"/>
  <c r="F235" i="22"/>
  <c r="AI234" i="22"/>
  <c r="AC234" i="22"/>
  <c r="O234" i="22"/>
  <c r="M234" i="22"/>
  <c r="L234" i="22"/>
  <c r="F234" i="22"/>
  <c r="AI233" i="22"/>
  <c r="AC233" i="22"/>
  <c r="O233" i="22"/>
  <c r="M233" i="22"/>
  <c r="L233" i="22"/>
  <c r="F233" i="22"/>
  <c r="AI232" i="22"/>
  <c r="AC232" i="22"/>
  <c r="O232" i="22"/>
  <c r="M232" i="22"/>
  <c r="L232" i="22"/>
  <c r="F232" i="22"/>
  <c r="AI231" i="22"/>
  <c r="AC231" i="22"/>
  <c r="O231" i="22"/>
  <c r="M231" i="22"/>
  <c r="L231" i="22"/>
  <c r="F231" i="22"/>
  <c r="AI230" i="22"/>
  <c r="AC230" i="22"/>
  <c r="O230" i="22"/>
  <c r="M230" i="22"/>
  <c r="L230" i="22"/>
  <c r="F230" i="22"/>
  <c r="AI229" i="22"/>
  <c r="AC229" i="22"/>
  <c r="O229" i="22"/>
  <c r="M229" i="22"/>
  <c r="L229" i="22"/>
  <c r="F229" i="22"/>
  <c r="AI228" i="22"/>
  <c r="AC228" i="22"/>
  <c r="O228" i="22"/>
  <c r="M228" i="22"/>
  <c r="L228" i="22"/>
  <c r="F228" i="22"/>
  <c r="AI227" i="22"/>
  <c r="AC227" i="22"/>
  <c r="O227" i="22"/>
  <c r="M227" i="22"/>
  <c r="L227" i="22"/>
  <c r="F227" i="22"/>
  <c r="AI226" i="22"/>
  <c r="AC226" i="22"/>
  <c r="O226" i="22"/>
  <c r="M226" i="22"/>
  <c r="L226" i="22"/>
  <c r="F226" i="22"/>
  <c r="AI225" i="22"/>
  <c r="AC225" i="22"/>
  <c r="O225" i="22"/>
  <c r="M225" i="22"/>
  <c r="L225" i="22"/>
  <c r="F225" i="22"/>
  <c r="AI224" i="22"/>
  <c r="AC224" i="22"/>
  <c r="O224" i="22"/>
  <c r="M224" i="22"/>
  <c r="L224" i="22"/>
  <c r="F224" i="22"/>
  <c r="AI223" i="22"/>
  <c r="AC223" i="22"/>
  <c r="O223" i="22"/>
  <c r="M223" i="22"/>
  <c r="L223" i="22"/>
  <c r="F223" i="22"/>
  <c r="AI222" i="22"/>
  <c r="AC222" i="22"/>
  <c r="O222" i="22"/>
  <c r="M222" i="22"/>
  <c r="L222" i="22"/>
  <c r="F222" i="22"/>
  <c r="AI221" i="22"/>
  <c r="AC221" i="22"/>
  <c r="O221" i="22"/>
  <c r="M221" i="22"/>
  <c r="L221" i="22"/>
  <c r="F221" i="22"/>
  <c r="AI220" i="22"/>
  <c r="AC220" i="22"/>
  <c r="O220" i="22"/>
  <c r="M220" i="22"/>
  <c r="L220" i="22"/>
  <c r="F220" i="22"/>
  <c r="AI219" i="22"/>
  <c r="AC219" i="22"/>
  <c r="O219" i="22"/>
  <c r="M219" i="22"/>
  <c r="L219" i="22"/>
  <c r="F219" i="22"/>
  <c r="AI218" i="22"/>
  <c r="AC218" i="22"/>
  <c r="O218" i="22"/>
  <c r="M218" i="22"/>
  <c r="L218" i="22"/>
  <c r="F218" i="22"/>
  <c r="AI217" i="22"/>
  <c r="AC217" i="22"/>
  <c r="O217" i="22"/>
  <c r="M217" i="22"/>
  <c r="L217" i="22"/>
  <c r="F217" i="22"/>
  <c r="AI216" i="22"/>
  <c r="AC216" i="22"/>
  <c r="O216" i="22"/>
  <c r="M216" i="22"/>
  <c r="L216" i="22"/>
  <c r="F216" i="22"/>
  <c r="AI215" i="22"/>
  <c r="AC215" i="22"/>
  <c r="O215" i="22"/>
  <c r="M215" i="22"/>
  <c r="L215" i="22"/>
  <c r="F215" i="22"/>
  <c r="AI214" i="22"/>
  <c r="AC214" i="22"/>
  <c r="O214" i="22"/>
  <c r="M214" i="22"/>
  <c r="L214" i="22"/>
  <c r="F214" i="22"/>
  <c r="AI213" i="22"/>
  <c r="AC213" i="22"/>
  <c r="O213" i="22"/>
  <c r="M213" i="22"/>
  <c r="L213" i="22"/>
  <c r="F213" i="22"/>
  <c r="AI212" i="22"/>
  <c r="AC212" i="22"/>
  <c r="O212" i="22"/>
  <c r="M212" i="22"/>
  <c r="L212" i="22"/>
  <c r="F212" i="22"/>
  <c r="AI211" i="22"/>
  <c r="AC211" i="22"/>
  <c r="O211" i="22"/>
  <c r="M211" i="22"/>
  <c r="L211" i="22"/>
  <c r="F211" i="22"/>
  <c r="AI210" i="22"/>
  <c r="AC210" i="22"/>
  <c r="O210" i="22"/>
  <c r="M210" i="22"/>
  <c r="L210" i="22"/>
  <c r="F210" i="22"/>
  <c r="AI209" i="22"/>
  <c r="AC209" i="22"/>
  <c r="O209" i="22"/>
  <c r="M209" i="22"/>
  <c r="L209" i="22"/>
  <c r="F209" i="22"/>
  <c r="AI208" i="22"/>
  <c r="AC208" i="22"/>
  <c r="O208" i="22"/>
  <c r="M208" i="22"/>
  <c r="L208" i="22"/>
  <c r="F208" i="22"/>
  <c r="AI207" i="22"/>
  <c r="AC207" i="22"/>
  <c r="O207" i="22"/>
  <c r="M207" i="22"/>
  <c r="L207" i="22"/>
  <c r="F207" i="22"/>
  <c r="AI206" i="22"/>
  <c r="AC206" i="22"/>
  <c r="O206" i="22"/>
  <c r="M206" i="22"/>
  <c r="L206" i="22"/>
  <c r="F206" i="22"/>
  <c r="AI205" i="22"/>
  <c r="AC205" i="22"/>
  <c r="O205" i="22"/>
  <c r="M205" i="22"/>
  <c r="L205" i="22"/>
  <c r="F205" i="22"/>
  <c r="AH204" i="22"/>
  <c r="AI204" i="22" s="1"/>
  <c r="AC204" i="22"/>
  <c r="O204" i="22"/>
  <c r="M204" i="22"/>
  <c r="L204" i="22"/>
  <c r="F204" i="22"/>
  <c r="AH203" i="22"/>
  <c r="AI203" i="22" s="1"/>
  <c r="AC203" i="22"/>
  <c r="O203" i="22"/>
  <c r="M203" i="22"/>
  <c r="L203" i="22"/>
  <c r="F203" i="22"/>
  <c r="AL202" i="22"/>
  <c r="AH202" i="22" s="1"/>
  <c r="AI202" i="22" s="1"/>
  <c r="M202" i="22"/>
  <c r="L202" i="22"/>
  <c r="E202" i="22"/>
  <c r="AL201" i="22"/>
  <c r="N201" i="22" s="1"/>
  <c r="M201" i="22"/>
  <c r="L201" i="22"/>
  <c r="E201" i="22"/>
  <c r="AL200" i="22"/>
  <c r="AS200" i="22" s="1"/>
  <c r="M200" i="22"/>
  <c r="L200" i="22"/>
  <c r="E200" i="22"/>
  <c r="AL199" i="22"/>
  <c r="AH199" i="22" s="1"/>
  <c r="AI199" i="22" s="1"/>
  <c r="M199" i="22"/>
  <c r="L199" i="22"/>
  <c r="E199" i="22"/>
  <c r="AL198" i="22"/>
  <c r="AS198" i="22" s="1"/>
  <c r="M198" i="22"/>
  <c r="L198" i="22"/>
  <c r="E198" i="22"/>
  <c r="AL197" i="22"/>
  <c r="N197" i="22" s="1"/>
  <c r="M197" i="22"/>
  <c r="L197" i="22"/>
  <c r="E197" i="22"/>
  <c r="AL196" i="22"/>
  <c r="O196" i="22" s="1"/>
  <c r="M196" i="22"/>
  <c r="L196" i="22"/>
  <c r="E196" i="22"/>
  <c r="AL195" i="22"/>
  <c r="AH195" i="22" s="1"/>
  <c r="AI195" i="22" s="1"/>
  <c r="M195" i="22"/>
  <c r="L195" i="22"/>
  <c r="E195" i="22"/>
  <c r="AL194" i="22"/>
  <c r="AH194" i="22" s="1"/>
  <c r="AI194" i="22" s="1"/>
  <c r="M194" i="22"/>
  <c r="L194" i="22"/>
  <c r="E194" i="22"/>
  <c r="AL193" i="22"/>
  <c r="AH193" i="22" s="1"/>
  <c r="AI193" i="22" s="1"/>
  <c r="M193" i="22"/>
  <c r="L193" i="22"/>
  <c r="E193" i="22"/>
  <c r="AL192" i="22"/>
  <c r="AS192" i="22" s="1"/>
  <c r="M192" i="22"/>
  <c r="L192" i="22"/>
  <c r="E192" i="22"/>
  <c r="AL191" i="22"/>
  <c r="AH191" i="22" s="1"/>
  <c r="AI191" i="22" s="1"/>
  <c r="M191" i="22"/>
  <c r="L191" i="22"/>
  <c r="E191" i="22"/>
  <c r="AL190" i="22"/>
  <c r="AS190" i="22" s="1"/>
  <c r="M190" i="22"/>
  <c r="L190" i="22"/>
  <c r="E190" i="22"/>
  <c r="AL189" i="22"/>
  <c r="N189" i="22" s="1"/>
  <c r="M189" i="22"/>
  <c r="L189" i="22"/>
  <c r="E189" i="22"/>
  <c r="AL188" i="22"/>
  <c r="O188" i="22" s="1"/>
  <c r="M188" i="22"/>
  <c r="L188" i="22"/>
  <c r="E188" i="22"/>
  <c r="AL187" i="22"/>
  <c r="AH187" i="22" s="1"/>
  <c r="AI187" i="22" s="1"/>
  <c r="M187" i="22"/>
  <c r="L187" i="22"/>
  <c r="E187" i="22"/>
  <c r="AL186" i="22"/>
  <c r="AH186" i="22" s="1"/>
  <c r="AI186" i="22" s="1"/>
  <c r="M186" i="22"/>
  <c r="L186" i="22"/>
  <c r="E186" i="22"/>
  <c r="AL185" i="22"/>
  <c r="O185" i="22" s="1"/>
  <c r="M185" i="22"/>
  <c r="L185" i="22"/>
  <c r="E185" i="22"/>
  <c r="AL184" i="22"/>
  <c r="AS184" i="22" s="1"/>
  <c r="M184" i="22"/>
  <c r="L184" i="22"/>
  <c r="E184" i="22"/>
  <c r="AL183" i="22"/>
  <c r="N183" i="22" s="1"/>
  <c r="M183" i="22"/>
  <c r="L183" i="22"/>
  <c r="E183" i="22"/>
  <c r="AL182" i="22"/>
  <c r="AS182" i="22" s="1"/>
  <c r="M182" i="22"/>
  <c r="L182" i="22"/>
  <c r="E182" i="22"/>
  <c r="AL181" i="22"/>
  <c r="N181" i="22" s="1"/>
  <c r="M181" i="22"/>
  <c r="L181" i="22"/>
  <c r="E181" i="22"/>
  <c r="AL180" i="22"/>
  <c r="O180" i="22" s="1"/>
  <c r="M180" i="22"/>
  <c r="L180" i="22"/>
  <c r="E180" i="22"/>
  <c r="AL179" i="22"/>
  <c r="AH179" i="22" s="1"/>
  <c r="AI179" i="22" s="1"/>
  <c r="M179" i="22"/>
  <c r="L179" i="22"/>
  <c r="E179" i="22"/>
  <c r="AL178" i="22"/>
  <c r="AH178" i="22" s="1"/>
  <c r="AI178" i="22" s="1"/>
  <c r="M178" i="22"/>
  <c r="L178" i="22"/>
  <c r="E178" i="22"/>
  <c r="AL177" i="22"/>
  <c r="AS177" i="22" s="1"/>
  <c r="M177" i="22"/>
  <c r="L177" i="22"/>
  <c r="E177" i="22"/>
  <c r="AS176" i="22"/>
  <c r="AH176" i="22"/>
  <c r="AI176" i="22" s="1"/>
  <c r="O176" i="22"/>
  <c r="N176" i="22"/>
  <c r="M176" i="22"/>
  <c r="L176" i="22"/>
  <c r="E176" i="22"/>
  <c r="AS175" i="22"/>
  <c r="AH175" i="22"/>
  <c r="AI175" i="22" s="1"/>
  <c r="O175" i="22"/>
  <c r="N175" i="22"/>
  <c r="M175" i="22"/>
  <c r="L175" i="22"/>
  <c r="E175" i="22"/>
  <c r="AS174" i="22"/>
  <c r="AH174" i="22"/>
  <c r="AI174" i="22" s="1"/>
  <c r="O174" i="22"/>
  <c r="N174" i="22"/>
  <c r="M174" i="22"/>
  <c r="L174" i="22"/>
  <c r="E174" i="22"/>
  <c r="AS173" i="22"/>
  <c r="AH173" i="22"/>
  <c r="AI173" i="22" s="1"/>
  <c r="O173" i="22"/>
  <c r="N173" i="22"/>
  <c r="M173" i="22"/>
  <c r="L173" i="22"/>
  <c r="E173" i="22"/>
  <c r="AS172" i="22"/>
  <c r="AH172" i="22"/>
  <c r="AI172" i="22" s="1"/>
  <c r="O172" i="22"/>
  <c r="N172" i="22"/>
  <c r="M172" i="22"/>
  <c r="L172" i="22"/>
  <c r="E172" i="22"/>
  <c r="AS171" i="22"/>
  <c r="AH171" i="22"/>
  <c r="AI171" i="22" s="1"/>
  <c r="O171" i="22"/>
  <c r="N171" i="22"/>
  <c r="M171" i="22"/>
  <c r="L171" i="22"/>
  <c r="E171" i="22"/>
  <c r="AS170" i="22"/>
  <c r="AH170" i="22"/>
  <c r="AI170" i="22" s="1"/>
  <c r="O170" i="22"/>
  <c r="N170" i="22"/>
  <c r="M170" i="22"/>
  <c r="L170" i="22"/>
  <c r="E170" i="22"/>
  <c r="AS169" i="22"/>
  <c r="AH169" i="22"/>
  <c r="AI169" i="22" s="1"/>
  <c r="O169" i="22"/>
  <c r="N169" i="22"/>
  <c r="M169" i="22"/>
  <c r="L169" i="22"/>
  <c r="E169" i="22"/>
  <c r="AL168" i="22"/>
  <c r="AS168" i="22" s="1"/>
  <c r="M168" i="22"/>
  <c r="L168" i="22"/>
  <c r="E168" i="22"/>
  <c r="AL167" i="22"/>
  <c r="AH167" i="22" s="1"/>
  <c r="AI167" i="22" s="1"/>
  <c r="M167" i="22"/>
  <c r="L167" i="22"/>
  <c r="E167" i="22"/>
  <c r="AI166" i="22"/>
  <c r="AE166" i="22"/>
  <c r="M166" i="22"/>
  <c r="L166" i="22"/>
  <c r="F166" i="22"/>
  <c r="AI165" i="22"/>
  <c r="AE165" i="22"/>
  <c r="M165" i="22"/>
  <c r="L165" i="22"/>
  <c r="F165" i="22"/>
  <c r="AI164" i="22"/>
  <c r="AE164" i="22"/>
  <c r="M164" i="22"/>
  <c r="L164" i="22"/>
  <c r="F164" i="22"/>
  <c r="AI163" i="22"/>
  <c r="AE163" i="22"/>
  <c r="M163" i="22"/>
  <c r="L163" i="22"/>
  <c r="F163" i="22"/>
  <c r="AI162" i="22"/>
  <c r="AE162" i="22"/>
  <c r="M162" i="22"/>
  <c r="L162" i="22"/>
  <c r="F162" i="22"/>
  <c r="AI161" i="22"/>
  <c r="AE161" i="22"/>
  <c r="M161" i="22"/>
  <c r="L161" i="22"/>
  <c r="F161" i="22"/>
  <c r="AI160" i="22"/>
  <c r="AE160" i="22"/>
  <c r="M160" i="22"/>
  <c r="L160" i="22"/>
  <c r="F160" i="22"/>
  <c r="AI159" i="22"/>
  <c r="AE159" i="22"/>
  <c r="M159" i="22"/>
  <c r="L159" i="22"/>
  <c r="F159" i="22"/>
  <c r="AI158" i="22"/>
  <c r="AE158" i="22"/>
  <c r="M158" i="22"/>
  <c r="L158" i="22"/>
  <c r="F158" i="22"/>
  <c r="AI157" i="22"/>
  <c r="AE157" i="22"/>
  <c r="M157" i="22"/>
  <c r="L157" i="22"/>
  <c r="F157" i="22"/>
  <c r="AI156" i="22"/>
  <c r="AE156" i="22"/>
  <c r="M156" i="22"/>
  <c r="L156" i="22"/>
  <c r="F156" i="22"/>
  <c r="AI155" i="22"/>
  <c r="AE155" i="22"/>
  <c r="M155" i="22"/>
  <c r="L155" i="22"/>
  <c r="F155" i="22"/>
  <c r="AI154" i="22"/>
  <c r="AE154" i="22"/>
  <c r="M154" i="22"/>
  <c r="L154" i="22"/>
  <c r="F154" i="22"/>
  <c r="AI153" i="22"/>
  <c r="AE153" i="22"/>
  <c r="M153" i="22"/>
  <c r="L153" i="22"/>
  <c r="F153" i="22"/>
  <c r="AI152" i="22"/>
  <c r="AE152" i="22"/>
  <c r="M152" i="22"/>
  <c r="L152" i="22"/>
  <c r="F152" i="22"/>
  <c r="AI151" i="22"/>
  <c r="AE151" i="22"/>
  <c r="M151" i="22"/>
  <c r="L151" i="22"/>
  <c r="F151" i="22"/>
  <c r="AI150" i="22"/>
  <c r="AE150" i="22"/>
  <c r="M150" i="22"/>
  <c r="L150" i="22"/>
  <c r="F150" i="22"/>
  <c r="AI149" i="22"/>
  <c r="AE149" i="22"/>
  <c r="M149" i="22"/>
  <c r="L149" i="22"/>
  <c r="F149" i="22"/>
  <c r="AI148" i="22"/>
  <c r="AE148" i="22"/>
  <c r="M148" i="22"/>
  <c r="L148" i="22"/>
  <c r="F148" i="22"/>
  <c r="AI147" i="22"/>
  <c r="AE147" i="22"/>
  <c r="M147" i="22"/>
  <c r="L147" i="22"/>
  <c r="F147" i="22"/>
  <c r="AI146" i="22"/>
  <c r="AE146" i="22"/>
  <c r="M146" i="22"/>
  <c r="L146" i="22"/>
  <c r="F146" i="22"/>
  <c r="AI145" i="22"/>
  <c r="AE145" i="22"/>
  <c r="M145" i="22"/>
  <c r="L145" i="22"/>
  <c r="F145" i="22"/>
  <c r="AI144" i="22"/>
  <c r="AE144" i="22"/>
  <c r="M144" i="22"/>
  <c r="L144" i="22"/>
  <c r="F144" i="22"/>
  <c r="AI143" i="22"/>
  <c r="AE143" i="22"/>
  <c r="M143" i="22"/>
  <c r="L143" i="22"/>
  <c r="F143" i="22"/>
  <c r="AI142" i="22"/>
  <c r="AE142" i="22"/>
  <c r="M142" i="22"/>
  <c r="L142" i="22"/>
  <c r="F142" i="22"/>
  <c r="AI141" i="22"/>
  <c r="AE141" i="22"/>
  <c r="M141" i="22"/>
  <c r="L141" i="22"/>
  <c r="F141" i="22"/>
  <c r="AI140" i="22"/>
  <c r="AE140" i="22"/>
  <c r="M140" i="22"/>
  <c r="L140" i="22"/>
  <c r="F140" i="22"/>
  <c r="AI139" i="22"/>
  <c r="AE139" i="22"/>
  <c r="M139" i="22"/>
  <c r="L139" i="22"/>
  <c r="F139" i="22"/>
  <c r="AI138" i="22"/>
  <c r="AE138" i="22"/>
  <c r="M138" i="22"/>
  <c r="L138" i="22"/>
  <c r="F138" i="22"/>
  <c r="AI137" i="22"/>
  <c r="AE137" i="22"/>
  <c r="M137" i="22"/>
  <c r="L137" i="22"/>
  <c r="F137" i="22"/>
  <c r="AI136" i="22"/>
  <c r="AE136" i="22"/>
  <c r="M136" i="22"/>
  <c r="L136" i="22"/>
  <c r="F136" i="22"/>
  <c r="AI135" i="22"/>
  <c r="AE135" i="22"/>
  <c r="M135" i="22"/>
  <c r="L135" i="22"/>
  <c r="F135" i="22"/>
  <c r="AI134" i="22"/>
  <c r="AE134" i="22"/>
  <c r="M134" i="22"/>
  <c r="L134" i="22"/>
  <c r="F134" i="22"/>
  <c r="AI133" i="22"/>
  <c r="AE133" i="22"/>
  <c r="M133" i="22"/>
  <c r="L133" i="22"/>
  <c r="F133" i="22"/>
  <c r="AI132" i="22"/>
  <c r="AE132" i="22"/>
  <c r="M132" i="22"/>
  <c r="L132" i="22"/>
  <c r="F132" i="22"/>
  <c r="AI131" i="22"/>
  <c r="AE131" i="22"/>
  <c r="M131" i="22"/>
  <c r="L131" i="22"/>
  <c r="F131" i="22"/>
  <c r="AI130" i="22"/>
  <c r="AE130" i="22"/>
  <c r="M130" i="22"/>
  <c r="L130" i="22"/>
  <c r="F130" i="22"/>
  <c r="AI129" i="22"/>
  <c r="AE129" i="22"/>
  <c r="M129" i="22"/>
  <c r="L129" i="22"/>
  <c r="F129" i="22"/>
  <c r="AK128" i="22"/>
  <c r="AI128" i="22"/>
  <c r="AC128" i="22"/>
  <c r="M128" i="22"/>
  <c r="L128" i="22"/>
  <c r="F128" i="22"/>
  <c r="AK127" i="22"/>
  <c r="AI127" i="22"/>
  <c r="AC127" i="22"/>
  <c r="M127" i="22"/>
  <c r="L127" i="22"/>
  <c r="F127" i="22"/>
  <c r="AK126" i="22"/>
  <c r="AI126" i="22"/>
  <c r="AC126" i="22"/>
  <c r="M126" i="22"/>
  <c r="L126" i="22"/>
  <c r="F126" i="22"/>
  <c r="AK125" i="22"/>
  <c r="AI125" i="22"/>
  <c r="AC125" i="22"/>
  <c r="M125" i="22"/>
  <c r="L125" i="22"/>
  <c r="F125" i="22"/>
  <c r="AK124" i="22"/>
  <c r="AI124" i="22"/>
  <c r="AC124" i="22"/>
  <c r="M124" i="22"/>
  <c r="L124" i="22"/>
  <c r="F124" i="22"/>
  <c r="AK123" i="22"/>
  <c r="AI123" i="22"/>
  <c r="AC123" i="22"/>
  <c r="M123" i="22"/>
  <c r="L123" i="22"/>
  <c r="F123" i="22"/>
  <c r="AK122" i="22"/>
  <c r="AI122" i="22"/>
  <c r="AC122" i="22"/>
  <c r="M122" i="22"/>
  <c r="L122" i="22"/>
  <c r="F122" i="22"/>
  <c r="AK121" i="22"/>
  <c r="AI121" i="22"/>
  <c r="AC121" i="22"/>
  <c r="M121" i="22"/>
  <c r="L121" i="22"/>
  <c r="F121" i="22"/>
  <c r="AK120" i="22"/>
  <c r="AI120" i="22"/>
  <c r="AC120" i="22"/>
  <c r="M120" i="22"/>
  <c r="L120" i="22"/>
  <c r="F120" i="22"/>
  <c r="AK119" i="22"/>
  <c r="AI119" i="22"/>
  <c r="AC119" i="22"/>
  <c r="M119" i="22"/>
  <c r="L119" i="22"/>
  <c r="F119" i="22"/>
  <c r="AK118" i="22"/>
  <c r="AI118" i="22"/>
  <c r="AC118" i="22"/>
  <c r="M118" i="22"/>
  <c r="L118" i="22"/>
  <c r="F118" i="22"/>
  <c r="AK117" i="22"/>
  <c r="AI117" i="22"/>
  <c r="AC117" i="22"/>
  <c r="M117" i="22"/>
  <c r="L117" i="22"/>
  <c r="F117" i="22"/>
  <c r="AK116" i="22"/>
  <c r="AI116" i="22"/>
  <c r="AC116" i="22"/>
  <c r="M116" i="22"/>
  <c r="L116" i="22"/>
  <c r="F116" i="22"/>
  <c r="AK115" i="22"/>
  <c r="AI115" i="22"/>
  <c r="AC115" i="22"/>
  <c r="M115" i="22"/>
  <c r="L115" i="22"/>
  <c r="F115" i="22"/>
  <c r="M114" i="22"/>
  <c r="L114" i="22"/>
  <c r="E114" i="22"/>
  <c r="M113" i="22"/>
  <c r="L113" i="22"/>
  <c r="E113" i="22"/>
  <c r="M112" i="22"/>
  <c r="L112" i="22"/>
  <c r="E112" i="22"/>
  <c r="M111" i="22"/>
  <c r="L111" i="22"/>
  <c r="E111" i="22"/>
  <c r="M110" i="22"/>
  <c r="L110" i="22"/>
  <c r="E110" i="22"/>
  <c r="AK109" i="22"/>
  <c r="AH109" i="22"/>
  <c r="O109" i="22"/>
  <c r="M109" i="22"/>
  <c r="L109" i="22"/>
  <c r="E109" i="22"/>
  <c r="AK108" i="22"/>
  <c r="AH108" i="22"/>
  <c r="O108" i="22"/>
  <c r="M108" i="22"/>
  <c r="L108" i="22"/>
  <c r="E108" i="22"/>
  <c r="AK107" i="22"/>
  <c r="AH107" i="22"/>
  <c r="O107" i="22"/>
  <c r="M107" i="22"/>
  <c r="L107" i="22"/>
  <c r="E107" i="22"/>
  <c r="AK106" i="22"/>
  <c r="AH106" i="22"/>
  <c r="O106" i="22"/>
  <c r="M106" i="22"/>
  <c r="L106" i="22"/>
  <c r="E106" i="22"/>
  <c r="AK105" i="22"/>
  <c r="AH105" i="22"/>
  <c r="O105" i="22"/>
  <c r="M105" i="22"/>
  <c r="L105" i="22"/>
  <c r="E105" i="22"/>
  <c r="AK104" i="22"/>
  <c r="AH104" i="22"/>
  <c r="O104" i="22"/>
  <c r="M104" i="22"/>
  <c r="L104" i="22"/>
  <c r="E104" i="22"/>
  <c r="AK103" i="22"/>
  <c r="AH103" i="22"/>
  <c r="O103" i="22"/>
  <c r="M103" i="22"/>
  <c r="L103" i="22"/>
  <c r="E103" i="22"/>
  <c r="AK102" i="22"/>
  <c r="AH102" i="22"/>
  <c r="O102" i="22"/>
  <c r="M102" i="22"/>
  <c r="L102" i="22"/>
  <c r="E102" i="22"/>
  <c r="AK101" i="22"/>
  <c r="AH101" i="22"/>
  <c r="O101" i="22"/>
  <c r="M101" i="22"/>
  <c r="L101" i="22"/>
  <c r="E101" i="22"/>
  <c r="AK100" i="22"/>
  <c r="AH100" i="22"/>
  <c r="O100" i="22"/>
  <c r="M100" i="22"/>
  <c r="L100" i="22"/>
  <c r="E100" i="22"/>
  <c r="AK99" i="22"/>
  <c r="AH99" i="22"/>
  <c r="O99" i="22"/>
  <c r="M99" i="22"/>
  <c r="L99" i="22"/>
  <c r="E99" i="22"/>
  <c r="AK98" i="22"/>
  <c r="AH98" i="22"/>
  <c r="O98" i="22"/>
  <c r="M98" i="22"/>
  <c r="L98" i="22"/>
  <c r="E98" i="22"/>
  <c r="AK97" i="22"/>
  <c r="AH97" i="22"/>
  <c r="O97" i="22"/>
  <c r="M97" i="22"/>
  <c r="L97" i="22"/>
  <c r="E97" i="22"/>
  <c r="AK96" i="22"/>
  <c r="AH96" i="22"/>
  <c r="O96" i="22"/>
  <c r="M96" i="22"/>
  <c r="L96" i="22"/>
  <c r="E96" i="22"/>
  <c r="AI95" i="22"/>
  <c r="AC95" i="22"/>
  <c r="O95" i="22"/>
  <c r="M95" i="22"/>
  <c r="L95" i="22"/>
  <c r="E95" i="22"/>
  <c r="AI94" i="22"/>
  <c r="AC94" i="22"/>
  <c r="O94" i="22"/>
  <c r="M94" i="22"/>
  <c r="L94" i="22"/>
  <c r="E94" i="22"/>
  <c r="AI93" i="22"/>
  <c r="AC93" i="22"/>
  <c r="O93" i="22"/>
  <c r="M93" i="22"/>
  <c r="L93" i="22"/>
  <c r="E93" i="22"/>
  <c r="AI92" i="22"/>
  <c r="AC92" i="22"/>
  <c r="O92" i="22"/>
  <c r="M92" i="22"/>
  <c r="L92" i="22"/>
  <c r="E92" i="22"/>
  <c r="AI91" i="22"/>
  <c r="AC91" i="22"/>
  <c r="O91" i="22"/>
  <c r="M91" i="22"/>
  <c r="L91" i="22"/>
  <c r="E91" i="22"/>
  <c r="AI90" i="22"/>
  <c r="AC90" i="22"/>
  <c r="O90" i="22"/>
  <c r="M90" i="22"/>
  <c r="L90" i="22"/>
  <c r="E90" i="22"/>
  <c r="AI89" i="22"/>
  <c r="AC89" i="22"/>
  <c r="O89" i="22"/>
  <c r="M89" i="22"/>
  <c r="L89" i="22"/>
  <c r="E89" i="22"/>
  <c r="AI88" i="22"/>
  <c r="AC88" i="22"/>
  <c r="O88" i="22"/>
  <c r="M88" i="22"/>
  <c r="L88" i="22"/>
  <c r="E88" i="22"/>
  <c r="AI87" i="22"/>
  <c r="AC87" i="22"/>
  <c r="O87" i="22"/>
  <c r="M87" i="22"/>
  <c r="L87" i="22"/>
  <c r="E87" i="22"/>
  <c r="AI86" i="22"/>
  <c r="AC86" i="22"/>
  <c r="O86" i="22"/>
  <c r="M86" i="22"/>
  <c r="L86" i="22"/>
  <c r="E86" i="22"/>
  <c r="AI85" i="22"/>
  <c r="AC85" i="22"/>
  <c r="O85" i="22"/>
  <c r="M85" i="22"/>
  <c r="L85" i="22"/>
  <c r="E85" i="22"/>
  <c r="AI84" i="22"/>
  <c r="AC84" i="22"/>
  <c r="O84" i="22"/>
  <c r="M84" i="22"/>
  <c r="L84" i="22"/>
  <c r="E84" i="22"/>
  <c r="AI83" i="22"/>
  <c r="AC83" i="22"/>
  <c r="O83" i="22"/>
  <c r="M83" i="22"/>
  <c r="L83" i="22"/>
  <c r="E83" i="22"/>
  <c r="AI82" i="22"/>
  <c r="AC82" i="22"/>
  <c r="O82" i="22"/>
  <c r="M82" i="22"/>
  <c r="L82" i="22"/>
  <c r="E82" i="22"/>
  <c r="AI81" i="22"/>
  <c r="AC81" i="22"/>
  <c r="O81" i="22"/>
  <c r="M81" i="22"/>
  <c r="L81" i="22"/>
  <c r="E81" i="22"/>
  <c r="AI80" i="22"/>
  <c r="AE80" i="22"/>
  <c r="AC80" i="22"/>
  <c r="M80" i="22"/>
  <c r="L80" i="22"/>
  <c r="F80" i="22"/>
  <c r="AI79" i="22"/>
  <c r="AE79" i="22"/>
  <c r="AC79" i="22"/>
  <c r="M79" i="22"/>
  <c r="L79" i="22"/>
  <c r="F79" i="22"/>
  <c r="AI78" i="22"/>
  <c r="AE78" i="22"/>
  <c r="AC78" i="22"/>
  <c r="M78" i="22"/>
  <c r="L78" i="22"/>
  <c r="F78" i="22"/>
  <c r="AI77" i="22"/>
  <c r="AE77" i="22"/>
  <c r="AC77" i="22"/>
  <c r="M77" i="22"/>
  <c r="L77" i="22"/>
  <c r="F77" i="22"/>
  <c r="AI76" i="22"/>
  <c r="AE76" i="22"/>
  <c r="AC76" i="22"/>
  <c r="M76" i="22"/>
  <c r="L76" i="22"/>
  <c r="F76" i="22"/>
  <c r="AI75" i="22"/>
  <c r="AE75" i="22"/>
  <c r="AC75" i="22"/>
  <c r="M75" i="22"/>
  <c r="L75" i="22"/>
  <c r="F75" i="22"/>
  <c r="AI74" i="22"/>
  <c r="AE74" i="22"/>
  <c r="AC74" i="22"/>
  <c r="M74" i="22"/>
  <c r="L74" i="22"/>
  <c r="F74" i="22"/>
  <c r="AI73" i="22"/>
  <c r="AE73" i="22"/>
  <c r="AC73" i="22"/>
  <c r="M73" i="22"/>
  <c r="L73" i="22"/>
  <c r="F73" i="22"/>
  <c r="AI72" i="22"/>
  <c r="AE72" i="22"/>
  <c r="AC72" i="22"/>
  <c r="M72" i="22"/>
  <c r="L72" i="22"/>
  <c r="F72" i="22"/>
  <c r="AI71" i="22"/>
  <c r="AE71" i="22"/>
  <c r="AC71" i="22"/>
  <c r="M71" i="22"/>
  <c r="L71" i="22"/>
  <c r="F71" i="22"/>
  <c r="AI70" i="22"/>
  <c r="AE70" i="22"/>
  <c r="AC70" i="22"/>
  <c r="M70" i="22"/>
  <c r="L70" i="22"/>
  <c r="F70" i="22"/>
  <c r="AI69" i="22"/>
  <c r="AE69" i="22"/>
  <c r="AC69" i="22"/>
  <c r="M69" i="22"/>
  <c r="L69" i="22"/>
  <c r="F69" i="22"/>
  <c r="AI68" i="22"/>
  <c r="AE68" i="22"/>
  <c r="AC68" i="22"/>
  <c r="M68" i="22"/>
  <c r="L68" i="22"/>
  <c r="F68" i="22"/>
  <c r="AI67" i="22"/>
  <c r="AE67" i="22"/>
  <c r="AC67" i="22"/>
  <c r="M67" i="22"/>
  <c r="L67" i="22"/>
  <c r="F67" i="22"/>
  <c r="AJ66" i="22"/>
  <c r="AI66" i="22"/>
  <c r="AE66" i="22"/>
  <c r="AC66" i="22"/>
  <c r="M66" i="22"/>
  <c r="L66" i="22"/>
  <c r="F66" i="22"/>
  <c r="AJ65" i="22"/>
  <c r="AI65" i="22"/>
  <c r="AE65" i="22"/>
  <c r="AC65" i="22"/>
  <c r="M65" i="22"/>
  <c r="L65" i="22"/>
  <c r="F65" i="22"/>
  <c r="AI64" i="22"/>
  <c r="AE64" i="22"/>
  <c r="Z64" i="22"/>
  <c r="M64" i="22"/>
  <c r="L64" i="22"/>
  <c r="F64" i="22"/>
  <c r="AI63" i="22"/>
  <c r="AE63" i="22"/>
  <c r="Z63" i="22"/>
  <c r="M63" i="22"/>
  <c r="L63" i="22"/>
  <c r="F63" i="22"/>
  <c r="AI62" i="22"/>
  <c r="AE62" i="22"/>
  <c r="Z62" i="22"/>
  <c r="M62" i="22"/>
  <c r="L62" i="22"/>
  <c r="F62" i="22"/>
  <c r="AI61" i="22"/>
  <c r="AE61" i="22"/>
  <c r="Z61" i="22"/>
  <c r="M61" i="22"/>
  <c r="L61" i="22"/>
  <c r="F61" i="22"/>
  <c r="AI60" i="22"/>
  <c r="AE60" i="22"/>
  <c r="Z60" i="22"/>
  <c r="M60" i="22"/>
  <c r="L60" i="22"/>
  <c r="F60" i="22"/>
  <c r="AI59" i="22"/>
  <c r="AE59" i="22"/>
  <c r="Z59" i="22"/>
  <c r="M59" i="22"/>
  <c r="L59" i="22"/>
  <c r="F59" i="22"/>
  <c r="AI58" i="22"/>
  <c r="AE58" i="22"/>
  <c r="Z58" i="22"/>
  <c r="M58" i="22"/>
  <c r="L58" i="22"/>
  <c r="F58" i="22"/>
  <c r="AI57" i="22"/>
  <c r="AE57" i="22"/>
  <c r="Z57" i="22"/>
  <c r="M57" i="22"/>
  <c r="L57" i="22"/>
  <c r="F57" i="22"/>
  <c r="AI56" i="22"/>
  <c r="AE56" i="22"/>
  <c r="Z56" i="22"/>
  <c r="M56" i="22"/>
  <c r="L56" i="22"/>
  <c r="F56" i="22"/>
  <c r="AI55" i="22"/>
  <c r="AE55" i="22"/>
  <c r="Z55" i="22"/>
  <c r="M55" i="22"/>
  <c r="L55" i="22"/>
  <c r="F55" i="22"/>
  <c r="AI54" i="22"/>
  <c r="AE54" i="22"/>
  <c r="Z54" i="22"/>
  <c r="M54" i="22"/>
  <c r="L54" i="22"/>
  <c r="F54" i="22"/>
  <c r="AI53" i="22"/>
  <c r="AE53" i="22"/>
  <c r="Z53" i="22"/>
  <c r="M53" i="22"/>
  <c r="L53" i="22"/>
  <c r="F53" i="22"/>
  <c r="AI52" i="22"/>
  <c r="AE52" i="22"/>
  <c r="O52" i="22"/>
  <c r="M52" i="22"/>
  <c r="L52" i="22"/>
  <c r="F52" i="22"/>
  <c r="AI51" i="22"/>
  <c r="AE51" i="22"/>
  <c r="O51" i="22"/>
  <c r="M51" i="22"/>
  <c r="L51" i="22"/>
  <c r="F51" i="22"/>
  <c r="AI50" i="22"/>
  <c r="AE50" i="22"/>
  <c r="O50" i="22"/>
  <c r="M50" i="22"/>
  <c r="L50" i="22"/>
  <c r="F50" i="22"/>
  <c r="AI49" i="22"/>
  <c r="AE49" i="22"/>
  <c r="O49" i="22"/>
  <c r="M49" i="22"/>
  <c r="L49" i="22"/>
  <c r="F49" i="22"/>
  <c r="AI48" i="22"/>
  <c r="AE48" i="22"/>
  <c r="O48" i="22"/>
  <c r="M48" i="22"/>
  <c r="L48" i="22"/>
  <c r="F48" i="22"/>
  <c r="AI47" i="22"/>
  <c r="AE47" i="22"/>
  <c r="O47" i="22"/>
  <c r="M47" i="22"/>
  <c r="L47" i="22"/>
  <c r="F47" i="22"/>
  <c r="AI46" i="22"/>
  <c r="AE46" i="22"/>
  <c r="O46" i="22"/>
  <c r="M46" i="22"/>
  <c r="L46" i="22"/>
  <c r="F46" i="22"/>
  <c r="AI45" i="22"/>
  <c r="AE45" i="22"/>
  <c r="O45" i="22"/>
  <c r="M45" i="22"/>
  <c r="L45" i="22"/>
  <c r="F45" i="22"/>
  <c r="AI44" i="22"/>
  <c r="AE44" i="22"/>
  <c r="O44" i="22"/>
  <c r="M44" i="22"/>
  <c r="L44" i="22"/>
  <c r="F44" i="22"/>
  <c r="AI43" i="22"/>
  <c r="AE43" i="22"/>
  <c r="O43" i="22"/>
  <c r="M43" i="22"/>
  <c r="L43" i="22"/>
  <c r="F43" i="22"/>
  <c r="AI42" i="22"/>
  <c r="AE42" i="22"/>
  <c r="O42" i="22"/>
  <c r="M42" i="22"/>
  <c r="L42" i="22"/>
  <c r="F42" i="22"/>
  <c r="AI41" i="22"/>
  <c r="AE41" i="22"/>
  <c r="O41" i="22"/>
  <c r="M41" i="22"/>
  <c r="L41" i="22"/>
  <c r="F41" i="22"/>
  <c r="AI40" i="22"/>
  <c r="AE40" i="22"/>
  <c r="O40" i="22"/>
  <c r="M40" i="22"/>
  <c r="L40" i="22"/>
  <c r="F40" i="22"/>
  <c r="AI39" i="22"/>
  <c r="AE39" i="22"/>
  <c r="O39" i="22"/>
  <c r="M39" i="22"/>
  <c r="L39" i="22"/>
  <c r="F39" i="22"/>
  <c r="O38" i="22"/>
  <c r="M38" i="22"/>
  <c r="L38" i="22"/>
  <c r="F38" i="22"/>
  <c r="O37" i="22"/>
  <c r="M37" i="22"/>
  <c r="L37" i="22"/>
  <c r="F37" i="22"/>
  <c r="O36" i="22"/>
  <c r="M36" i="22"/>
  <c r="L36" i="22"/>
  <c r="F36" i="22"/>
  <c r="O35" i="22"/>
  <c r="M35" i="22"/>
  <c r="L35" i="22"/>
  <c r="F35" i="22"/>
  <c r="O34" i="22"/>
  <c r="M34" i="22"/>
  <c r="L34" i="22"/>
  <c r="F34" i="22"/>
  <c r="O33" i="22"/>
  <c r="M33" i="22"/>
  <c r="L33" i="22"/>
  <c r="F33" i="22"/>
  <c r="O32" i="22"/>
  <c r="M32" i="22"/>
  <c r="L32" i="22"/>
  <c r="F32" i="22"/>
  <c r="O31" i="22"/>
  <c r="M31" i="22"/>
  <c r="L31" i="22"/>
  <c r="F31" i="22"/>
  <c r="O30" i="22"/>
  <c r="M30" i="22"/>
  <c r="L30" i="22"/>
  <c r="F30" i="22"/>
  <c r="O29" i="22"/>
  <c r="M29" i="22"/>
  <c r="L29" i="22"/>
  <c r="F29" i="22"/>
  <c r="O28" i="22"/>
  <c r="M28" i="22"/>
  <c r="L28" i="22"/>
  <c r="F28" i="22"/>
  <c r="O27" i="22"/>
  <c r="M27" i="22"/>
  <c r="L27" i="22"/>
  <c r="F27" i="22"/>
  <c r="O26" i="22"/>
  <c r="M26" i="22"/>
  <c r="L26" i="22"/>
  <c r="F26" i="22"/>
  <c r="O25" i="22"/>
  <c r="M25" i="22"/>
  <c r="L25" i="22"/>
  <c r="F25" i="22"/>
  <c r="O24" i="22"/>
  <c r="M24" i="22"/>
  <c r="L24" i="22"/>
  <c r="F24" i="22"/>
  <c r="AI23" i="22"/>
  <c r="AE23" i="22"/>
  <c r="M23" i="22"/>
  <c r="L23" i="22"/>
  <c r="F23" i="22"/>
  <c r="AI22" i="22"/>
  <c r="AE22" i="22"/>
  <c r="M22" i="22"/>
  <c r="L22" i="22"/>
  <c r="F22" i="22"/>
  <c r="AI21" i="22"/>
  <c r="AE21" i="22"/>
  <c r="M21" i="22"/>
  <c r="L21" i="22"/>
  <c r="F21" i="22"/>
  <c r="AI20" i="22"/>
  <c r="AE20" i="22"/>
  <c r="M20" i="22"/>
  <c r="L20" i="22"/>
  <c r="F20" i="22"/>
  <c r="AI19" i="22"/>
  <c r="AE19" i="22"/>
  <c r="M19" i="22"/>
  <c r="L19" i="22"/>
  <c r="F19" i="22"/>
  <c r="AI18" i="22"/>
  <c r="AE18" i="22"/>
  <c r="M18" i="22"/>
  <c r="L18" i="22"/>
  <c r="F18" i="22"/>
  <c r="AI17" i="22"/>
  <c r="AE17" i="22"/>
  <c r="M17" i="22"/>
  <c r="L17" i="22"/>
  <c r="F17" i="22"/>
  <c r="AI16" i="22"/>
  <c r="AE16" i="22"/>
  <c r="M16" i="22"/>
  <c r="L16" i="22"/>
  <c r="F16" i="22"/>
  <c r="AI15" i="22"/>
  <c r="AE15" i="22"/>
  <c r="M15" i="22"/>
  <c r="L15" i="22"/>
  <c r="F15" i="22"/>
  <c r="AI14" i="22"/>
  <c r="AE14" i="22"/>
  <c r="M14" i="22"/>
  <c r="L14" i="22"/>
  <c r="F14" i="22"/>
  <c r="AI13" i="22"/>
  <c r="AE13" i="22"/>
  <c r="M13" i="22"/>
  <c r="L13" i="22"/>
  <c r="F13" i="22"/>
  <c r="AI12" i="22"/>
  <c r="AE12" i="22"/>
  <c r="M12" i="22"/>
  <c r="L12" i="22"/>
  <c r="F12" i="22"/>
  <c r="AI11" i="22"/>
  <c r="AE11" i="22"/>
  <c r="M11" i="22"/>
  <c r="L11" i="22"/>
  <c r="F11" i="22"/>
  <c r="AI10" i="22"/>
  <c r="AE10" i="22"/>
  <c r="M10" i="22"/>
  <c r="L10" i="22"/>
  <c r="F10" i="22"/>
  <c r="AI9" i="22"/>
  <c r="AE9" i="22"/>
  <c r="M9" i="22"/>
  <c r="L9" i="22"/>
  <c r="F9" i="22"/>
  <c r="AI8" i="22"/>
  <c r="AE8" i="22"/>
  <c r="M8" i="22"/>
  <c r="L8" i="22"/>
  <c r="F8" i="22"/>
  <c r="AI7" i="22"/>
  <c r="AE7" i="22"/>
  <c r="M7" i="22"/>
  <c r="L7" i="22"/>
  <c r="F7" i="22"/>
  <c r="AI6" i="22"/>
  <c r="AE6" i="22"/>
  <c r="M6" i="22"/>
  <c r="L6" i="22"/>
  <c r="F6" i="22"/>
  <c r="AI5" i="22"/>
  <c r="AE5" i="22"/>
  <c r="M5" i="22"/>
  <c r="L5" i="22"/>
  <c r="F5" i="22"/>
  <c r="AI4" i="22"/>
  <c r="AE4" i="22"/>
  <c r="M4" i="22"/>
  <c r="L4" i="22"/>
  <c r="F4" i="22"/>
  <c r="AI3" i="22"/>
  <c r="AE3" i="22"/>
  <c r="M3" i="22"/>
  <c r="L3" i="22"/>
  <c r="F3" i="22"/>
  <c r="AI2" i="22"/>
  <c r="AE2" i="22"/>
  <c r="M2" i="22"/>
  <c r="L2" i="22"/>
  <c r="F2" i="22"/>
  <c r="AS183" i="22" l="1"/>
  <c r="AH183" i="22"/>
  <c r="AI183" i="22" s="1"/>
  <c r="AS197" i="22"/>
  <c r="O177" i="22"/>
  <c r="AS191" i="22"/>
  <c r="AS199" i="22"/>
  <c r="O181" i="22"/>
  <c r="O182" i="22"/>
  <c r="AH198" i="22"/>
  <c r="AI198" i="22" s="1"/>
  <c r="AH181" i="22"/>
  <c r="AI181" i="22" s="1"/>
  <c r="AH182" i="22"/>
  <c r="AI182" i="22" s="1"/>
  <c r="O187" i="22"/>
  <c r="AS181" i="22"/>
  <c r="AS187" i="22"/>
  <c r="O201" i="22"/>
  <c r="AS189" i="22"/>
  <c r="AH201" i="22"/>
  <c r="AI201" i="22" s="1"/>
  <c r="N199" i="22"/>
  <c r="N177" i="22"/>
  <c r="O183" i="22"/>
  <c r="AS195" i="22"/>
  <c r="O197" i="22"/>
  <c r="N198" i="22"/>
  <c r="O199" i="22"/>
  <c r="N200" i="22"/>
  <c r="AS201" i="22"/>
  <c r="N182" i="22"/>
  <c r="AH197" i="22"/>
  <c r="AI197" i="22" s="1"/>
  <c r="O198" i="22"/>
  <c r="AS167" i="22"/>
  <c r="AS179" i="22"/>
  <c r="AH185" i="22"/>
  <c r="AI185" i="22" s="1"/>
  <c r="AH190" i="22"/>
  <c r="AI190" i="22" s="1"/>
  <c r="AS193" i="22"/>
  <c r="O195" i="22"/>
  <c r="N184" i="22"/>
  <c r="AH188" i="22"/>
  <c r="AI188" i="22" s="1"/>
  <c r="N167" i="22"/>
  <c r="AH177" i="22"/>
  <c r="AI177" i="22" s="1"/>
  <c r="AS185" i="22"/>
  <c r="N193" i="22"/>
  <c r="O167" i="22"/>
  <c r="N168" i="22"/>
  <c r="AH180" i="22"/>
  <c r="AI180" i="22" s="1"/>
  <c r="O193" i="22"/>
  <c r="N191" i="22"/>
  <c r="O179" i="22"/>
  <c r="N185" i="22"/>
  <c r="O189" i="22"/>
  <c r="N190" i="22"/>
  <c r="O191" i="22"/>
  <c r="N192" i="22"/>
  <c r="AH196" i="22"/>
  <c r="AI196" i="22" s="1"/>
  <c r="AH189" i="22"/>
  <c r="AI189" i="22" s="1"/>
  <c r="O190" i="22"/>
  <c r="AS178" i="22"/>
  <c r="AS186" i="22"/>
  <c r="AS194" i="22"/>
  <c r="AS202" i="22"/>
  <c r="O168" i="22"/>
  <c r="AS180" i="22"/>
  <c r="O184" i="22"/>
  <c r="AS188" i="22"/>
  <c r="O192" i="22"/>
  <c r="AS196" i="22"/>
  <c r="O200" i="22"/>
  <c r="AH168" i="22"/>
  <c r="AI168" i="22" s="1"/>
  <c r="N178" i="22"/>
  <c r="AH184" i="22"/>
  <c r="AI184" i="22" s="1"/>
  <c r="N186" i="22"/>
  <c r="AH192" i="22"/>
  <c r="AI192" i="22" s="1"/>
  <c r="N194" i="22"/>
  <c r="AH200" i="22"/>
  <c r="AI200" i="22" s="1"/>
  <c r="N202" i="22"/>
  <c r="O178" i="22"/>
  <c r="N179" i="22"/>
  <c r="O186" i="22"/>
  <c r="N187" i="22"/>
  <c r="O194" i="22"/>
  <c r="N195" i="22"/>
  <c r="O202" i="22"/>
  <c r="N180" i="22"/>
  <c r="N188" i="22"/>
  <c r="N196" i="22"/>
  <c r="C55" i="13" l="1"/>
  <c r="I17" i="18"/>
  <c r="I16" i="18"/>
  <c r="I3" i="18" l="1"/>
  <c r="I4" i="18"/>
  <c r="I5" i="18"/>
  <c r="I6" i="18"/>
  <c r="I7" i="18"/>
  <c r="I8" i="18"/>
  <c r="I9" i="18"/>
  <c r="I10" i="18"/>
  <c r="I11" i="18"/>
  <c r="I12" i="18"/>
  <c r="I13" i="18"/>
  <c r="I14" i="18"/>
  <c r="I15" i="18"/>
  <c r="I2" i="18"/>
  <c r="C54" i="13" l="1"/>
  <c r="C47" i="13" l="1"/>
  <c r="C51" i="13"/>
  <c r="C48" i="13"/>
  <c r="C49" i="13" l="1"/>
  <c r="C50" i="13" l="1"/>
  <c r="C53" i="13" l="1"/>
  <c r="C68" i="13" l="1"/>
  <c r="C67" i="13"/>
  <c r="C64" i="13"/>
  <c r="C63" i="13"/>
  <c r="C62" i="13"/>
  <c r="C61" i="13"/>
  <c r="C60" i="13"/>
  <c r="C59" i="13"/>
  <c r="C58" i="13"/>
  <c r="C57" i="13"/>
  <c r="C56" i="13"/>
  <c r="C41" i="13"/>
  <c r="C42" i="13"/>
  <c r="C25" i="13"/>
  <c r="C24" i="13"/>
  <c r="C23" i="13"/>
  <c r="C22" i="13"/>
  <c r="C18" i="13"/>
  <c r="C17" i="13"/>
  <c r="C19"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C21E49CF-E22D-4966-AEAF-1F2D04DF333F}">
      <text>
        <r>
          <rPr>
            <sz val="11"/>
            <color theme="1"/>
            <rFont val="Calibri"/>
            <family val="2"/>
            <scheme val="minor"/>
          </rPr>
          <t>Petr Čala:
Estimate can be aggregated on the level of a large region of countries</t>
        </r>
      </text>
    </comment>
    <comment ref="I1" authorId="0" shapeId="0" xr:uid="{F77174A2-7790-438B-96EA-8D83A8366E6F}">
      <text>
        <r>
          <rPr>
            <sz val="11"/>
            <color theme="1"/>
            <rFont val="Calibri"/>
            <family val="2"/>
            <scheme val="minor"/>
          </rPr>
          <t>Petr Čala:
Estimate can be aggregated on the level of a country</t>
        </r>
      </text>
    </comment>
    <comment ref="J1" authorId="0" shapeId="0" xr:uid="{89EF6B71-B7B3-4223-AD6B-C3CD177F7A26}">
      <text>
        <r>
          <rPr>
            <sz val="11"/>
            <color theme="1"/>
            <rFont val="Calibri"/>
            <family val="2"/>
            <scheme val="minor"/>
          </rPr>
          <t>Petr Čala:
Number of observations used in the estimation (put to log later)</t>
        </r>
      </text>
    </comment>
    <comment ref="K1" authorId="0" shapeId="0" xr:uid="{5866597D-D014-43B1-B45F-708B99E42619}">
      <text>
        <r>
          <rPr>
            <sz val="11"/>
            <color theme="1"/>
            <rFont val="Calibri"/>
            <family val="2"/>
            <scheme val="minor"/>
          </rPr>
          <t>Petr Čala:
Number of regressands in the regression</t>
        </r>
      </text>
    </comment>
    <comment ref="L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M1" authorId="0" shapeId="0" xr:uid="{2C1DF3F6-ED8A-4367-B480-1FF44D0D305B}">
      <text>
        <r>
          <rPr>
            <sz val="11"/>
            <color theme="1"/>
            <rFont val="Calibri"/>
            <family val="2"/>
            <scheme val="minor"/>
          </rPr>
          <t>Petr Čala:
Number of estimates per this study</t>
        </r>
      </text>
    </comment>
    <comment ref="N1" authorId="0" shapeId="0" xr:uid="{10C3BCC9-947E-4424-B2F4-B6BF546B28F6}">
      <text>
        <r>
          <rPr>
            <sz val="11"/>
            <color theme="1"/>
            <rFont val="Calibri"/>
            <family val="2"/>
            <scheme val="minor"/>
          </rPr>
          <t>Petr Čala:
Mean years of schooling</t>
        </r>
      </text>
    </comment>
    <comment ref="O1" authorId="0" shapeId="0" xr:uid="{2167252F-DA94-4A87-9E87-B954C43C027F}">
      <text>
        <r>
          <rPr>
            <sz val="11"/>
            <color theme="1"/>
            <rFont val="Calibri"/>
            <family val="2"/>
            <scheme val="minor"/>
          </rPr>
          <t>Petr Čala:
Mean years of experience</t>
        </r>
      </text>
    </comment>
    <comment ref="P1" authorId="0" shapeId="0" xr:uid="{DE4070AB-AC8D-41A9-9B94-829921AD84D5}">
      <text>
        <r>
          <rPr>
            <sz val="11"/>
            <color theme="1"/>
            <rFont val="Calibri"/>
            <family val="2"/>
            <scheme val="minor"/>
          </rPr>
          <t>Petr Čala:
The study reports the number of years directly (using years of schooling)</t>
        </r>
      </text>
    </comment>
    <comment ref="Q1" authorId="0" shapeId="0" xr:uid="{2B37FEC5-6FA2-45C6-950E-A27829664A5C}">
      <text>
        <r>
          <rPr>
            <sz val="11"/>
            <color theme="1"/>
            <rFont val="Calibri"/>
            <family val="2"/>
            <scheme val="minor"/>
          </rPr>
          <t>Petr Čala:
The study instead uses levels of schooling (primary, sec, …) in the mincer regression</t>
        </r>
      </text>
    </comment>
    <comment ref="R1" authorId="0" shapeId="0" xr:uid="{50FB7A05-C6AD-43CE-B55F-3C109724E9E5}">
      <text>
        <r>
          <rPr>
            <sz val="11"/>
            <color theme="1"/>
            <rFont val="Calibri"/>
            <family val="2"/>
            <scheme val="minor"/>
          </rPr>
          <t>Petr Čala:
Wage is defined as log hourly</t>
        </r>
      </text>
    </comment>
    <comment ref="S1" authorId="0" shapeId="0" xr:uid="{A6DCFBDB-D297-4F90-91AF-D72FF549BF54}">
      <text>
        <r>
          <rPr>
            <sz val="11"/>
            <color theme="1"/>
            <rFont val="Calibri"/>
            <family val="2"/>
            <scheme val="minor"/>
          </rPr>
          <t xml:space="preserve">Petr Čala:
Daily or weekly wage
</t>
        </r>
      </text>
    </comment>
    <comment ref="T1" authorId="0" shapeId="0" xr:uid="{8E232176-CCC4-4480-B1D6-D8950EB7D4CD}">
      <text>
        <r>
          <rPr>
            <sz val="11"/>
            <color theme="1"/>
            <rFont val="Calibri"/>
            <family val="2"/>
            <scheme val="minor"/>
          </rPr>
          <t>Petr Čala:
Placeholder for the wage dummy</t>
        </r>
      </text>
    </comment>
    <comment ref="U1" authorId="0" shapeId="0" xr:uid="{ACC3EF6D-1E1C-4EF8-95CE-CEB06928CC00}">
      <text>
        <r>
          <rPr>
            <sz val="11"/>
            <color theme="1"/>
            <rFont val="Calibri"/>
            <family val="2"/>
            <scheme val="minor"/>
          </rPr>
          <t>Petr Čala:
Data come from a survey (household or employers, maybe split later)</t>
        </r>
      </text>
    </comment>
    <comment ref="V1" authorId="0" shapeId="0" xr:uid="{FFB8DD15-78F4-434B-9DDB-D40F5C0BE136}">
      <text>
        <r>
          <rPr>
            <sz val="11"/>
            <color theme="1"/>
            <rFont val="Calibri"/>
            <family val="2"/>
            <scheme val="minor"/>
          </rPr>
          <t>Petr Čala:
Data come from a national register</t>
        </r>
      </text>
    </comment>
    <comment ref="W1" authorId="0" shapeId="0" xr:uid="{DE591BAE-1897-4D4E-A6AF-10B8D8F2B232}">
      <text>
        <r>
          <rPr>
            <sz val="11"/>
            <color theme="1"/>
            <rFont val="Calibri"/>
            <family val="2"/>
            <scheme val="minor"/>
          </rPr>
          <t>Petr Čala:
Data type = cross-section -&gt; snapshot of the population in a given year</t>
        </r>
      </text>
    </comment>
    <comment ref="X1" authorId="0" shapeId="0" xr:uid="{12A655C5-A281-4277-801C-2A8CDE586F58}">
      <text>
        <r>
          <rPr>
            <sz val="11"/>
            <color theme="1"/>
            <rFont val="Calibri"/>
            <family val="2"/>
            <scheme val="minor"/>
          </rPr>
          <t>Petr Čala:
Data type = panel -&gt; various countries, groups observed over their life</t>
        </r>
      </text>
    </comment>
    <comment ref="Y1" authorId="0" shapeId="0" xr:uid="{B6EBAFC6-A3B8-4086-9422-464270BDC610}">
      <text>
        <r>
          <rPr>
            <sz val="11"/>
            <color theme="1"/>
            <rFont val="Calibri"/>
            <family val="2"/>
            <scheme val="minor"/>
          </rPr>
          <t>Petr Čala:
Average original year, DELETE LATER</t>
        </r>
      </text>
    </comment>
    <comment ref="Z1" authorId="0" shapeId="0" xr:uid="{090A8F28-157F-4B01-A05C-5E91C8D87A1A}">
      <text>
        <r>
          <rPr>
            <sz val="11"/>
            <color theme="1"/>
            <rFont val="Calibri"/>
            <family val="2"/>
            <scheme val="minor"/>
          </rPr>
          <t>Petr Čala:
Percentage of workers from sample, that are wage earners</t>
        </r>
      </text>
    </comment>
    <comment ref="AA1" authorId="0" shapeId="0" xr:uid="{05703269-3DC2-4506-9D46-38AC75D5E6AA}">
      <text>
        <r>
          <rPr>
            <sz val="11"/>
            <color theme="1"/>
            <rFont val="Calibri"/>
            <family val="2"/>
            <scheme val="minor"/>
          </rPr>
          <t>Petr Čala:
Percentage of workers from sample, that are self employed</t>
        </r>
      </text>
    </comment>
    <comment ref="AD1" authorId="0" shapeId="0" xr:uid="{5E73CFA4-B671-4791-91C6-84F3247DE7E0}">
      <text>
        <r>
          <rPr>
            <sz val="11"/>
            <color theme="1"/>
            <rFont val="Calibri"/>
            <family val="2"/>
            <scheme val="minor"/>
          </rPr>
          <t>Petr Čala:
Percentage of workers from sample, that work in the private sector</t>
        </r>
      </text>
    </comment>
    <comment ref="AE1" authorId="0" shapeId="0" xr:uid="{C0787E2D-3CC1-4D5F-80B6-F3E3E8F44F1E}">
      <text>
        <r>
          <rPr>
            <sz val="11"/>
            <color theme="1"/>
            <rFont val="Calibri"/>
            <family val="2"/>
            <scheme val="minor"/>
          </rPr>
          <t>Petr Čala:
Percentage of workers from sample, that work in the public sector</t>
        </r>
      </text>
    </comment>
    <comment ref="AF1" authorId="0" shapeId="0" xr:uid="{D20676BE-EDA3-430A-A25A-83C8F46EF74B}">
      <text>
        <r>
          <rPr>
            <sz val="11"/>
            <color theme="1"/>
            <rFont val="Calibri"/>
            <family val="2"/>
            <scheme val="minor"/>
          </rPr>
          <t>Petr Čala:
Caucasion (european ancestry) ethnicity</t>
        </r>
      </text>
    </comment>
    <comment ref="AG1" authorId="0" shapeId="0" xr:uid="{D08093FC-AB0A-46ED-BA73-C9445CA75ED7}">
      <text>
        <r>
          <rPr>
            <sz val="11"/>
            <color theme="1"/>
            <rFont val="Calibri"/>
            <family val="2"/>
            <scheme val="minor"/>
          </rPr>
          <t>Petr Čala:
Other ethnicity</t>
        </r>
      </text>
    </comment>
    <comment ref="AH1" authorId="0" shapeId="0" xr:uid="{C5377965-05C1-4B6D-9DDD-038A18970BA0}">
      <text>
        <r>
          <rPr>
            <sz val="11"/>
            <color theme="1"/>
            <rFont val="Calibri"/>
            <family val="2"/>
            <scheme val="minor"/>
          </rPr>
          <t>Petr Čala:
Rural sector</t>
        </r>
      </text>
    </comment>
    <comment ref="AI1" authorId="0" shapeId="0" xr:uid="{0BB1FDFB-85D3-4440-BCE9-470308CF12B9}">
      <text>
        <r>
          <rPr>
            <sz val="11"/>
            <color theme="1"/>
            <rFont val="Calibri"/>
            <family val="2"/>
            <scheme val="minor"/>
          </rPr>
          <t>Petr Čala:
Urban sector</t>
        </r>
      </text>
    </comment>
    <comment ref="AP1" authorId="0" shapeId="0" xr:uid="{6C1F0A8E-E949-4771-8AE8-19A3BAF14AA7}">
      <text>
        <r>
          <rPr>
            <sz val="11"/>
            <color theme="1"/>
            <rFont val="Calibri"/>
            <family val="2"/>
            <scheme val="minor"/>
          </rPr>
          <t>Petr Čala:
Logarithm of median monthly expenditure in that country around year 2000</t>
        </r>
      </text>
    </comment>
    <comment ref="AQ1" authorId="0" shapeId="0" xr:uid="{B34D998C-24A2-4625-92D5-288E285055D1}">
      <text>
        <r>
          <rPr>
            <sz val="11"/>
            <color theme="1"/>
            <rFont val="Calibri"/>
            <family val="2"/>
            <scheme val="minor"/>
          </rPr>
          <t>Petr Čala:
Logarithm of the minimal monthly wage in that country around year 2000</t>
        </r>
      </text>
    </comment>
    <comment ref="AS1" authorId="0" shapeId="0" xr:uid="{ACDDFF67-CB0F-4854-9FB0-F4F01AA7EC19}">
      <text>
        <r>
          <rPr>
            <sz val="11"/>
            <color theme="1"/>
            <rFont val="Calibri"/>
            <family val="2"/>
            <scheme val="minor"/>
          </rPr>
          <t>Petr Čala:
Mean age of subjects</t>
        </r>
      </text>
    </comment>
    <comment ref="AV1" authorId="0" shapeId="0" xr:uid="{CF088C99-B445-47D9-B14B-C188BD2269EA}">
      <text>
        <r>
          <rPr>
            <sz val="11"/>
            <color theme="1"/>
            <rFont val="Calibri"/>
            <family val="2"/>
            <scheme val="minor"/>
          </rPr>
          <t xml:space="preserve">Petr Čala:
Cohort years to average out the individual effect (ability)
or Fixed-effects
</t>
        </r>
      </text>
    </comment>
    <comment ref="AX1" authorId="0" shapeId="0" xr:uid="{8D0ED76C-53F6-4D48-8BF5-E98DC7A7C6E8}">
      <text>
        <r>
          <rPr>
            <sz val="11"/>
            <color theme="1"/>
            <rFont val="Calibri"/>
            <family val="2"/>
            <scheme val="minor"/>
          </rPr>
          <t>Petr Čala:
First differences by IV</t>
        </r>
      </text>
    </comment>
    <comment ref="AY1" authorId="0" shapeId="0" xr:uid="{01ED59EE-32A7-43B8-9C3D-347A5364415A}">
      <text>
        <r>
          <rPr>
            <sz val="11"/>
            <color theme="1"/>
            <rFont val="Calibri"/>
            <family val="2"/>
            <scheme val="minor"/>
          </rPr>
          <t>Petr Čala:
IV</t>
        </r>
      </text>
    </comment>
    <comment ref="AZ1" authorId="0" shapeId="0" xr:uid="{BED19700-C554-4570-B988-5E6A58BC802C}">
      <text>
        <r>
          <rPr>
            <sz val="11"/>
            <color theme="1"/>
            <rFont val="Calibri"/>
            <family val="2"/>
            <scheme val="minor"/>
          </rPr>
          <t>Petr Čala:
The study uses parents' education as an instrument for the estimate</t>
        </r>
      </text>
    </comment>
    <comment ref="BA1" authorId="0" shapeId="0" xr:uid="{CF3B1DC1-F68D-487F-A6ED-D3B8BEF94645}">
      <text>
        <r>
          <rPr>
            <sz val="11"/>
            <color theme="1"/>
            <rFont val="Calibri"/>
            <family val="2"/>
            <scheme val="minor"/>
          </rPr>
          <t>Petr Čala:
The study uses another instrument</t>
        </r>
      </text>
    </comment>
    <comment ref="BB1" authorId="0" shapeId="0" xr:uid="{2077EA14-4763-4763-BA03-3492510F9F72}">
      <text>
        <r>
          <rPr>
            <sz val="11"/>
            <color theme="1"/>
            <rFont val="Calibri"/>
            <family val="2"/>
            <scheme val="minor"/>
          </rPr>
          <t>Petr Čala:
Distance to school or school per area</t>
        </r>
      </text>
    </comment>
    <comment ref="BC1" authorId="0" shapeId="0" xr:uid="{53AB4456-4E6B-4302-A61D-6E68A0E5C814}">
      <text>
        <r>
          <rPr>
            <sz val="11"/>
            <color theme="1"/>
            <rFont val="Calibri"/>
            <family val="2"/>
            <scheme val="minor"/>
          </rPr>
          <t>Petr Čala:
Age is controlled for in the Mincer equation</t>
        </r>
      </text>
    </comment>
    <comment ref="BD1" authorId="0" shapeId="0" xr:uid="{B9242E4A-8753-4B1A-AA09-9A96E24B8623}">
      <text>
        <r>
          <rPr>
            <sz val="11"/>
            <color theme="1"/>
            <rFont val="Calibri"/>
            <family val="2"/>
            <scheme val="minor"/>
          </rPr>
          <t>Petr Čala:
Squared age is controlled for in the Mincer equation</t>
        </r>
      </text>
    </comment>
    <comment ref="BE1" authorId="0" shapeId="0" xr:uid="{E1044427-B894-4D31-99FD-859E4BD95E47}">
      <text>
        <r>
          <rPr>
            <sz val="11"/>
            <color theme="1"/>
            <rFont val="Calibri"/>
            <family val="2"/>
            <scheme val="minor"/>
          </rPr>
          <t>Petr Čala:
Experience control in the Mincer equation</t>
        </r>
      </text>
    </comment>
    <comment ref="BF1" authorId="0" shapeId="0" xr:uid="{A9D5F7F7-D54D-47F2-8679-BAE510F3FB82}">
      <text>
        <r>
          <rPr>
            <sz val="11"/>
            <color theme="1"/>
            <rFont val="Calibri"/>
            <family val="2"/>
            <scheme val="minor"/>
          </rPr>
          <t>Petr Čala:
Ethnicity control in the Mincer equation</t>
        </r>
      </text>
    </comment>
    <comment ref="BG1" authorId="0" shapeId="0" xr:uid="{35E3703B-7126-44B6-AFEE-83912B85FFCB}">
      <text>
        <r>
          <rPr>
            <sz val="11"/>
            <color theme="1"/>
            <rFont val="Calibri"/>
            <family val="2"/>
            <scheme val="minor"/>
          </rPr>
          <t>Petr Čala:
Gender control in the Mincer equation</t>
        </r>
      </text>
    </comment>
    <comment ref="BH1" authorId="0" shapeId="0" xr:uid="{266F210E-00A4-40C7-8FB3-C8BEB0E01EC9}">
      <text>
        <r>
          <rPr>
            <sz val="11"/>
            <color theme="1"/>
            <rFont val="Calibri"/>
            <family val="2"/>
            <scheme val="minor"/>
          </rPr>
          <t>Petr Čala:
Marriage control in the Mincer equation</t>
        </r>
      </text>
    </comment>
    <comment ref="BI1" authorId="0" shapeId="0" xr:uid="{4EE04033-CEE0-4FBE-9161-E039F2CA0FB6}">
      <text>
        <r>
          <rPr>
            <sz val="11"/>
            <color theme="1"/>
            <rFont val="Calibri"/>
            <family val="2"/>
            <scheme val="minor"/>
          </rPr>
          <t>Petr Čala:
Firm characteristics control in the Mincer equation</t>
        </r>
      </text>
    </comment>
    <comment ref="BJ1" authorId="0" shapeId="0" xr:uid="{334A8989-26BF-4494-8D28-9CAA2B2639CA}">
      <text>
        <r>
          <rPr>
            <sz val="11"/>
            <color theme="1"/>
            <rFont val="Calibri"/>
            <family val="2"/>
            <scheme val="minor"/>
          </rPr>
          <t xml:space="preserve">Petr Čala:
Urban/rural control
</t>
        </r>
      </text>
    </comment>
    <comment ref="BK1" authorId="0" shapeId="0" xr:uid="{3F4E71D7-80A1-41D8-AA68-0E43004B6A3C}">
      <text>
        <r>
          <rPr>
            <sz val="11"/>
            <color theme="1"/>
            <rFont val="Calibri"/>
            <family val="2"/>
            <scheme val="minor"/>
          </rPr>
          <t>Petr Čala:
Macroeconomic variables control in the Mincer equation, such as sector of activity</t>
        </r>
      </text>
    </comment>
    <comment ref="BL1" authorId="0" shapeId="0" xr:uid="{EE700B45-F0C1-4B19-901E-F99984DE406D}">
      <text>
        <r>
          <rPr>
            <sz val="11"/>
            <color theme="1"/>
            <rFont val="Calibri"/>
            <family val="2"/>
            <scheme val="minor"/>
          </rPr>
          <t>Petr Čala:
Impact factor, via tools</t>
        </r>
      </text>
    </comment>
    <comment ref="BM1" authorId="0" shapeId="0" xr:uid="{F22AFA2B-6DF6-424E-9E9B-E45ACB42697C}">
      <text>
        <r>
          <rPr>
            <sz val="11"/>
            <color theme="1"/>
            <rFont val="Calibri"/>
            <family val="2"/>
            <scheme val="minor"/>
          </rPr>
          <t>Petr Čala:
Log number of citations in google scholar</t>
        </r>
      </text>
    </comment>
    <comment ref="BN1" authorId="0" shapeId="0" xr:uid="{7CC75CBD-7777-461E-AAC0-29E30BE6111D}">
      <text>
        <r>
          <rPr>
            <sz val="11"/>
            <color theme="1"/>
            <rFont val="Calibri"/>
            <family val="2"/>
            <scheme val="minor"/>
          </rPr>
          <t>Petr Čala:
1 if published in journal, 0 if working/discussion paper</t>
        </r>
      </text>
    </comment>
    <comment ref="BP1" authorId="0" shapeId="0" xr:uid="{F41651AE-9750-4210-ADFA-A5EA9779BDD4}">
      <text>
        <r>
          <rPr>
            <sz val="11"/>
            <color theme="1"/>
            <rFont val="Calibri"/>
            <family val="2"/>
            <scheme val="minor"/>
          </rPr>
          <t>Petr Čala:
The year the study was published minus the minimum publication year of the sample</t>
        </r>
      </text>
    </comment>
    <comment ref="Q53" authorId="0" shapeId="0" xr:uid="{D163FB05-A267-4B7F-B34B-81A7FC890DE5}">
      <text>
        <r>
          <rPr>
            <sz val="11"/>
            <color theme="1"/>
            <rFont val="Calibri"/>
            <family val="2"/>
            <scheme val="minor"/>
          </rPr>
          <t>Petr Čala:
Calculated by the author</t>
        </r>
      </text>
    </comment>
    <comment ref="BA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4" authorId="0" shapeId="0" xr:uid="{E0D747A4-DF4F-4749-BA21-A08DEA08EEF9}">
      <text>
        <r>
          <rPr>
            <sz val="11"/>
            <color theme="1"/>
            <rFont val="Calibri"/>
            <family val="2"/>
            <scheme val="minor"/>
          </rPr>
          <t>Petr Čala:
maybe remove later</t>
        </r>
      </text>
    </comment>
    <comment ref="N14" authorId="0" shapeId="0" xr:uid="{AF95742D-D96A-4902-83C7-993F3902655B}">
      <text>
        <r>
          <rPr>
            <sz val="11"/>
            <color theme="1"/>
            <rFont val="Calibri"/>
            <family val="2"/>
            <scheme val="minor"/>
          </rPr>
          <t>Petr Čala:
maybe remove later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<sst xmlns="http://schemas.openxmlformats.org/spreadsheetml/2006/main" count="2083" uniqueCount="345">
  <si>
    <t>obs_n</t>
  </si>
  <si>
    <t>study_id</t>
  </si>
  <si>
    <t>years_of_schooling</t>
  </si>
  <si>
    <t>gender_male</t>
  </si>
  <si>
    <t>gender_female</t>
  </si>
  <si>
    <t>country</t>
  </si>
  <si>
    <t>est_agg_region</t>
  </si>
  <si>
    <t>est_agg_city</t>
  </si>
  <si>
    <t>est_agg_country</t>
  </si>
  <si>
    <t>years_of_experience</t>
  </si>
  <si>
    <t>data_type_survey</t>
  </si>
  <si>
    <t>data_type_national_register</t>
  </si>
  <si>
    <t>data_cross_section</t>
  </si>
  <si>
    <t>data_panel</t>
  </si>
  <si>
    <t>ethnicity_caucasian</t>
  </si>
  <si>
    <t>ethnicity_other</t>
  </si>
  <si>
    <t>income_middle</t>
  </si>
  <si>
    <t>income_high</t>
  </si>
  <si>
    <t>data_avgyear</t>
  </si>
  <si>
    <t>med_exp</t>
  </si>
  <si>
    <t>min_wage</t>
  </si>
  <si>
    <t>mean_age</t>
  </si>
  <si>
    <t>method_ols</t>
  </si>
  <si>
    <t>age_control</t>
  </si>
  <si>
    <t>age_sq_control</t>
  </si>
  <si>
    <t>exp_control</t>
  </si>
  <si>
    <t>ethnicity_control</t>
  </si>
  <si>
    <t>gender_control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</si>
  <si>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</si>
  <si>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</si>
  <si>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</si>
  <si>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</si>
  <si>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</si>
  <si>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</si>
  <si>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</si>
  <si>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</si>
  <si>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</si>
  <si>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</si>
  <si>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</si>
  <si>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</si>
  <si>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</si>
  <si>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</si>
  <si>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</si>
  <si>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</si>
  <si>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</si>
  <si>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</si>
  <si>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</si>
  <si>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</si>
  <si>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</si>
  <si>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</si>
  <si>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</si>
  <si>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</si>
  <si>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</si>
  <si>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</si>
  <si>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</si>
  <si>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</si>
  <si>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</si>
  <si>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</si>
  <si>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</si>
  <si>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</si>
  <si>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area_control</t>
  </si>
  <si>
    <t>wage_log_daily</t>
  </si>
  <si>
    <t>study_size</t>
  </si>
  <si>
    <t>se</t>
  </si>
  <si>
    <t>YES</t>
  </si>
  <si>
    <t>schooling_years</t>
  </si>
  <si>
    <t>schooling_levels</t>
  </si>
  <si>
    <t>United States</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</si>
  <si>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</si>
  <si>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</si>
  <si>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</si>
  <si>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</si>
  <si>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</si>
  <si>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</si>
  <si>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</si>
  <si>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</si>
  <si>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</si>
  <si>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</si>
  <si>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</si>
  <si>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</si>
  <si>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</si>
  <si>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</si>
  <si>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</si>
  <si>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</si>
  <si>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</si>
  <si>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</si>
  <si>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</si>
  <si>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</si>
  <si>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</si>
  <si>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</si>
  <si>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</si>
  <si>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</si>
  <si>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</si>
  <si>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</si>
  <si>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</si>
  <si>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</si>
  <si>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</si>
  <si>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</si>
  <si>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</si>
  <si>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</si>
  <si>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</si>
  <si>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</si>
  <si>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</si>
  <si>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</si>
  <si>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</si>
  <si>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</si>
  <si>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</si>
  <si>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</si>
  <si>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</si>
  <si>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</si>
  <si>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</si>
  <si>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</si>
  <si>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</si>
  <si>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</si>
  <si>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</si>
  <si>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</si>
  <si>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</si>
  <si>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</si>
  <si>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</si>
  <si>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</si>
  <si>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</si>
  <si>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</si>
  <si>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</si>
  <si>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</si>
  <si>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</si>
  <si>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</si>
  <si>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</si>
  <si>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</si>
  <si>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</si>
  <si>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</si>
  <si>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</si>
  <si>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</si>
  <si>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</si>
  <si>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</si>
  <si>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</si>
  <si>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</si>
  <si>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</si>
  <si>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</si>
  <si>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Estimate: City</t>
  </si>
  <si>
    <t>Estimate: Region</t>
  </si>
  <si>
    <t>Estimate: Country</t>
  </si>
  <si>
    <t>Wage: Log Hourly</t>
  </si>
  <si>
    <t>Wage: Log Daily</t>
  </si>
  <si>
    <t>Gender: Male</t>
  </si>
  <si>
    <t>Gender: Female</t>
  </si>
  <si>
    <t>Ethnicity: Caucasian</t>
  </si>
  <si>
    <t>Ethnicity: Other</t>
  </si>
  <si>
    <t>Income: High</t>
  </si>
  <si>
    <t>Income: Middle</t>
  </si>
  <si>
    <t>Method: OLS</t>
  </si>
  <si>
    <t>Control: Age</t>
  </si>
  <si>
    <t>Control: Experience</t>
  </si>
  <si>
    <t>Control: Ethnicity</t>
  </si>
  <si>
    <t>Control: Gender</t>
  </si>
  <si>
    <t>Control: Marriage</t>
  </si>
  <si>
    <t>Control: Area</t>
  </si>
  <si>
    <t>Study: Published</t>
  </si>
  <si>
    <t>Study: Unpublished</t>
  </si>
  <si>
    <t>Control: Age^2</t>
  </si>
  <si>
    <t>National Register Data</t>
  </si>
  <si>
    <t>Survey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</si>
  <si>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</si>
  <si>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</si>
  <si>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</si>
  <si>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</si>
  <si>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</si>
  <si>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</si>
  <si>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</si>
  <si>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</si>
  <si>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</si>
  <si>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</si>
  <si>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</si>
  <si>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</si>
  <si>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</si>
  <si>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</si>
  <si>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</si>
  <si>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</si>
  <si>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</si>
  <si>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</si>
  <si>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</si>
  <si>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</si>
  <si>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</si>
  <si>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</si>
  <si>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</si>
  <si>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</si>
  <si>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</si>
  <si>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</si>
  <si>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</si>
  <si>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</si>
  <si>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</si>
  <si>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Control: Firm Char.</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</si>
  <si>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</si>
  <si>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</si>
  <si>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</si>
  <si>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</si>
  <si>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</si>
  <si>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</si>
  <si>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</si>
  <si>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</si>
  <si>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</si>
  <si>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</si>
  <si>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</si>
  <si>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</si>
  <si>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</si>
  <si>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</si>
  <si>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</si>
  <si>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</si>
  <si>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</si>
  <si>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</si>
  <si>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</si>
  <si>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</si>
  <si>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</si>
  <si>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</si>
  <si>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</si>
  <si>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</si>
  <si>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</si>
  <si>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</si>
  <si>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</si>
  <si>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</si>
  <si>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</si>
  <si>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</si>
  <si>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</si>
  <si>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</si>
  <si>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</si>
  <si>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</si>
  <si>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</si>
  <si>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</si>
  <si>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</si>
  <si>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</si>
  <si>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</si>
  <si>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</si>
  <si>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</si>
  <si>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</si>
  <si>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</si>
  <si>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</si>
  <si>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</si>
  <si>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</si>
  <si>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</si>
  <si>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</si>
  <si>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</si>
  <si>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</si>
  <si>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</si>
  <si>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</si>
  <si>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</si>
  <si>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</si>
  <si>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</si>
  <si>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</si>
  <si>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</si>
  <si>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</si>
  <si>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</si>
  <si>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</si>
  <si>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</si>
  <si>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</si>
  <si>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</si>
  <si>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</si>
  <si>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</si>
  <si>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</si>
  <si>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</si>
  <si>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</si>
  <si>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</si>
  <si>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</si>
  <si>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</si>
  <si>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</si>
  <si>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</si>
  <si>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</si>
  <si>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</si>
  <si>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</si>
  <si>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</si>
  <si>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</si>
  <si>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</si>
  <si>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</si>
  <si>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</si>
  <si>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</si>
  <si>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</si>
  <si>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</si>
  <si>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</si>
  <si>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</si>
  <si>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</si>
  <si>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</si>
  <si>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</si>
  <si>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</si>
  <si>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</si>
  <si>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</si>
  <si>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</si>
  <si>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</si>
  <si>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</si>
  <si>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</si>
  <si>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</si>
  <si>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</si>
  <si>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</si>
  <si>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</si>
  <si>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</si>
  <si>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</si>
  <si>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</si>
  <si>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</si>
  <si>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</si>
  <si>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</si>
  <si>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</si>
  <si>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</si>
  <si>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</si>
  <si>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</si>
  <si>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</si>
  <si>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</si>
  <si>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</si>
  <si>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</si>
  <si>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</si>
  <si>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</si>
  <si>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</si>
  <si>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</si>
  <si>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</si>
  <si>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</si>
  <si>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</si>
  <si>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</si>
  <si>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</si>
  <si>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</si>
  <si>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</si>
  <si>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</si>
  <si>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</si>
  <si>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</si>
  <si>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</si>
  <si>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</si>
  <si>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</si>
  <si>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</si>
  <si>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</si>
  <si>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</si>
  <si>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</si>
  <si>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</si>
  <si>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</si>
  <si>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</si>
  <si>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</si>
  <si>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</si>
  <si>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</si>
  <si>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</si>
  <si>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</si>
  <si>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</si>
  <si>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</si>
  <si>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</si>
  <si>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</si>
  <si>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</si>
  <si>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</si>
  <si>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</si>
  <si>
    <t>method_IV</t>
  </si>
  <si>
    <t>Method: IV</t>
  </si>
  <si>
    <t>wage_log_monthly_annual</t>
  </si>
  <si>
    <t>Wage: Log Monthly/Annual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</si>
</sst>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44" fontId="6" fillId="0" borderId="0" applyFont="0" applyFill="0" applyBorder="0" applyAlignment="0" applyProtection="0"/>
  </cellStyleXfs>
  <cellXfs count="9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4"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6">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BQ301"/>
  <sheetViews>
    <sheetView zoomScaleNormal="100" workbookViewId="0">
      <pane xSplit="4" ySplit="1" topLeftCell="AX218" activePane="bottomRight" state="frozen"/>
      <selection pane="topRight" activeCell="E1" sqref="E1"/>
      <selection pane="bottomLeft" activeCell="A2" sqref="A2"/>
      <selection pane="bottomRight" activeCell="BG132" sqref="BG132"/>
    </sheetView>
  </sheetViews>
  <sheetFormatPr defaultRowHeight="15" x14ac:dyDescent="0.25"/>
  <cols>
    <col min="1" max="1" width="5.140625" customWidth="1"/>
    <col min="2" max="2" width="4.140625" customWidth="1"/>
    <col min="4" max="4" width="9.140625" style="79"/>
    <col min="5" max="6" width="9.140625" style="6"/>
    <col min="7" max="7" width="9.140625" style="78"/>
    <col min="8" max="9" width="9.140625" style="70"/>
    <col min="10" max="10" width="9.140625" style="78"/>
    <col min="11" max="12" width="9.140625" style="70"/>
    <col min="13" max="13" width="9.140625" style="69" customWidth="1"/>
    <col min="14" max="15" width="9.140625" style="70"/>
    <col min="16" max="16" width="9.140625" style="78"/>
    <col min="17" max="17" width="9.140625" style="70"/>
    <col min="18" max="18" width="9.140625" style="78"/>
    <col min="19" max="22" width="9.140625" style="70"/>
    <col min="23" max="23" width="9.140625" style="78"/>
    <col min="24" max="24" width="9.140625" style="70"/>
    <col min="25" max="25" width="9.140625" style="69"/>
    <col min="26" max="26" width="9.140625" style="28"/>
    <col min="28" max="28" width="9.140625" style="28"/>
    <col min="30" max="30" width="9.140625" style="28"/>
    <col min="32" max="32" width="9.140625" style="28" customWidth="1"/>
    <col min="33" max="33" width="9.140625" customWidth="1"/>
    <col min="34" max="34" width="9.140625" style="28"/>
    <col min="35" max="35" width="9.140625" style="12"/>
    <col min="39" max="39" width="9.140625" style="28"/>
    <col min="40" max="40" width="9.140625" style="28" customWidth="1"/>
    <col min="41" max="41" width="9.140625" customWidth="1"/>
    <col min="42" max="42" width="9.140625" style="28" customWidth="1"/>
    <col min="43" max="44" width="9.140625" customWidth="1"/>
    <col min="45" max="45" width="9.140625" style="64"/>
    <col min="52" max="52" width="9.140625" style="28"/>
    <col min="55" max="55" width="9.140625" style="28"/>
    <col min="63" max="63" width="9.140625" style="16"/>
    <col min="64" max="64" width="9.140625" customWidth="1"/>
    <col min="65" max="66" width="9.140625" style="28" customWidth="1"/>
    <col min="67" max="67" width="9.140625" customWidth="1"/>
    <col min="68" max="68" width="9.140625" style="64" customWidth="1"/>
  </cols>
  <sheetData>
    <row r="1" spans="1:69" x14ac:dyDescent="0.25">
      <c r="A1" s="1" t="s">
        <v>0</v>
      </c>
      <c r="B1" s="1" t="s">
        <v>1</v>
      </c>
      <c r="C1" s="18" t="s">
        <v>73</v>
      </c>
      <c r="D1" s="9" t="s">
        <v>118</v>
      </c>
      <c r="E1" s="58" t="s">
        <v>63</v>
      </c>
      <c r="F1" s="59" t="s">
        <v>35</v>
      </c>
      <c r="G1" s="71" t="s">
        <v>7</v>
      </c>
      <c r="H1" s="72" t="s">
        <v>6</v>
      </c>
      <c r="I1" s="72" t="s">
        <v>8</v>
      </c>
      <c r="J1" s="71" t="s">
        <v>37</v>
      </c>
      <c r="K1" s="72" t="s">
        <v>38</v>
      </c>
      <c r="L1" s="72" t="s">
        <v>36</v>
      </c>
      <c r="M1" s="73" t="s">
        <v>62</v>
      </c>
      <c r="N1" s="74" t="s">
        <v>2</v>
      </c>
      <c r="O1" s="74" t="s">
        <v>9</v>
      </c>
      <c r="P1" s="75" t="s">
        <v>65</v>
      </c>
      <c r="Q1" s="74" t="s">
        <v>66</v>
      </c>
      <c r="R1" s="75" t="s">
        <v>59</v>
      </c>
      <c r="S1" s="74" t="s">
        <v>61</v>
      </c>
      <c r="T1" s="76" t="s">
        <v>343</v>
      </c>
      <c r="U1" s="74" t="s">
        <v>10</v>
      </c>
      <c r="V1" s="76" t="s">
        <v>11</v>
      </c>
      <c r="W1" s="75" t="s">
        <v>12</v>
      </c>
      <c r="X1" s="76" t="s">
        <v>13</v>
      </c>
      <c r="Y1" s="77" t="s">
        <v>18</v>
      </c>
      <c r="Z1" s="27" t="s">
        <v>40</v>
      </c>
      <c r="AA1" s="11" t="s">
        <v>39</v>
      </c>
      <c r="AB1" s="27" t="s">
        <v>3</v>
      </c>
      <c r="AC1" s="11" t="s">
        <v>4</v>
      </c>
      <c r="AD1" s="27" t="s">
        <v>293</v>
      </c>
      <c r="AE1" s="3" t="s">
        <v>294</v>
      </c>
      <c r="AF1" s="27" t="s">
        <v>14</v>
      </c>
      <c r="AG1" s="11" t="s">
        <v>15</v>
      </c>
      <c r="AH1" s="27" t="s">
        <v>289</v>
      </c>
      <c r="AI1" s="11" t="s">
        <v>290</v>
      </c>
      <c r="AJ1" s="3" t="s">
        <v>305</v>
      </c>
      <c r="AK1" s="3" t="s">
        <v>306</v>
      </c>
      <c r="AL1" s="11" t="s">
        <v>307</v>
      </c>
      <c r="AM1" s="61" t="s">
        <v>5</v>
      </c>
      <c r="AN1" s="27" t="s">
        <v>17</v>
      </c>
      <c r="AO1" s="3" t="s">
        <v>16</v>
      </c>
      <c r="AP1" s="27" t="s">
        <v>19</v>
      </c>
      <c r="AQ1" s="3" t="s">
        <v>20</v>
      </c>
      <c r="AR1" s="15" t="s">
        <v>129</v>
      </c>
      <c r="AS1" s="63" t="s">
        <v>21</v>
      </c>
      <c r="AT1" s="4" t="s">
        <v>22</v>
      </c>
      <c r="AU1" s="4" t="s">
        <v>314</v>
      </c>
      <c r="AV1" s="4" t="s">
        <v>312</v>
      </c>
      <c r="AW1" s="4" t="s">
        <v>286</v>
      </c>
      <c r="AX1" s="4" t="s">
        <v>315</v>
      </c>
      <c r="AY1" s="4" t="s">
        <v>341</v>
      </c>
      <c r="AZ1" s="65" t="s">
        <v>284</v>
      </c>
      <c r="BA1" s="4" t="s">
        <v>319</v>
      </c>
      <c r="BB1" s="4" t="s">
        <v>338</v>
      </c>
      <c r="BC1" s="65" t="s">
        <v>23</v>
      </c>
      <c r="BD1" s="4" t="s">
        <v>24</v>
      </c>
      <c r="BE1" s="4" t="s">
        <v>25</v>
      </c>
      <c r="BF1" s="4" t="s">
        <v>26</v>
      </c>
      <c r="BG1" s="4" t="s">
        <v>27</v>
      </c>
      <c r="BH1" s="4" t="s">
        <v>128</v>
      </c>
      <c r="BI1" s="4" t="s">
        <v>29</v>
      </c>
      <c r="BJ1" s="4" t="s">
        <v>60</v>
      </c>
      <c r="BK1" s="17" t="s">
        <v>28</v>
      </c>
      <c r="BL1" s="29" t="s">
        <v>30</v>
      </c>
      <c r="BM1" s="67" t="s">
        <v>31</v>
      </c>
      <c r="BN1" s="67" t="s">
        <v>32</v>
      </c>
      <c r="BO1" s="29" t="s">
        <v>80</v>
      </c>
      <c r="BP1" s="68" t="s">
        <v>33</v>
      </c>
      <c r="BQ1" s="48" t="s">
        <v>34</v>
      </c>
    </row>
    <row r="2" spans="1:69" x14ac:dyDescent="0.25">
      <c r="A2">
        <v>1</v>
      </c>
      <c r="B2">
        <v>1</v>
      </c>
      <c r="C2" t="s">
        <v>195</v>
      </c>
      <c r="D2" s="10">
        <v>10.199999999999999</v>
      </c>
      <c r="E2" s="6">
        <v>1</v>
      </c>
      <c r="F2" s="6">
        <f t="shared" ref="F2:F65" si="0">D2/E2</f>
        <v>10.199999999999999</v>
      </c>
      <c r="G2" s="7">
        <v>1</v>
      </c>
      <c r="H2" s="8">
        <v>0</v>
      </c>
      <c r="I2" s="8">
        <v>0</v>
      </c>
      <c r="J2" s="7">
        <v>680</v>
      </c>
      <c r="K2" s="8">
        <v>5</v>
      </c>
      <c r="L2" s="8">
        <f t="shared" ref="L2:L65" si="1">J2-K2-1</f>
        <v>674</v>
      </c>
      <c r="M2" s="60">
        <f t="shared" ref="M2:M65" si="2">COUNTIF(B:B,B2)</f>
        <v>22</v>
      </c>
      <c r="N2" s="6">
        <v>14.03</v>
      </c>
      <c r="O2" s="6">
        <v>8.34</v>
      </c>
      <c r="P2" s="7">
        <v>1</v>
      </c>
      <c r="Q2" s="8">
        <v>0</v>
      </c>
      <c r="R2" s="7">
        <v>1</v>
      </c>
      <c r="S2" s="8">
        <v>0</v>
      </c>
      <c r="T2" s="21">
        <v>0</v>
      </c>
      <c r="U2" s="8">
        <v>1</v>
      </c>
      <c r="V2" s="21">
        <v>0</v>
      </c>
      <c r="W2" s="7">
        <v>0</v>
      </c>
      <c r="X2" s="21">
        <v>1</v>
      </c>
      <c r="Y2" s="60">
        <v>1992</v>
      </c>
      <c r="Z2" s="28" t="s">
        <v>45</v>
      </c>
      <c r="AA2" s="12" t="s">
        <v>45</v>
      </c>
      <c r="AB2" s="28">
        <v>0.41</v>
      </c>
      <c r="AC2">
        <v>0.59</v>
      </c>
      <c r="AD2" s="28">
        <v>0.92</v>
      </c>
      <c r="AE2" s="66">
        <f t="shared" ref="AE2:AE23" si="3">1-AD2</f>
        <v>7.999999999999996E-2</v>
      </c>
      <c r="AF2">
        <v>0</v>
      </c>
      <c r="AG2">
        <v>1</v>
      </c>
      <c r="AH2" s="28">
        <v>0.64</v>
      </c>
      <c r="AI2" s="12">
        <f t="shared" ref="AI2:AI23" si="4">1-AH2</f>
        <v>0.36</v>
      </c>
      <c r="AJ2">
        <v>1</v>
      </c>
      <c r="AK2">
        <v>0</v>
      </c>
      <c r="AL2" s="12">
        <v>0</v>
      </c>
      <c r="AM2" s="62" t="s">
        <v>67</v>
      </c>
      <c r="AN2">
        <v>1</v>
      </c>
      <c r="AO2">
        <v>0</v>
      </c>
      <c r="AP2">
        <v>25151</v>
      </c>
      <c r="AQ2">
        <v>1422</v>
      </c>
      <c r="AR2">
        <v>0.92100000000000004</v>
      </c>
      <c r="AS2" s="64">
        <v>38.07</v>
      </c>
      <c r="AT2">
        <v>0</v>
      </c>
      <c r="AU2">
        <v>1</v>
      </c>
      <c r="AV2">
        <v>0</v>
      </c>
      <c r="AW2">
        <v>0</v>
      </c>
      <c r="AX2">
        <v>0</v>
      </c>
      <c r="AY2">
        <v>0</v>
      </c>
      <c r="AZ2" s="28">
        <v>0</v>
      </c>
      <c r="BA2">
        <v>0</v>
      </c>
      <c r="BB2">
        <v>0</v>
      </c>
      <c r="BC2" s="28">
        <v>1</v>
      </c>
      <c r="BD2">
        <v>1</v>
      </c>
      <c r="BE2">
        <v>0</v>
      </c>
      <c r="BF2">
        <v>1</v>
      </c>
      <c r="BG2">
        <v>1</v>
      </c>
      <c r="BH2">
        <v>0</v>
      </c>
      <c r="BI2">
        <v>0</v>
      </c>
      <c r="BJ2">
        <v>0</v>
      </c>
      <c r="BK2" s="16">
        <v>0</v>
      </c>
      <c r="BL2">
        <v>3.0920000000000001</v>
      </c>
      <c r="BM2">
        <v>908</v>
      </c>
      <c r="BN2">
        <v>1</v>
      </c>
      <c r="BO2">
        <v>0</v>
      </c>
      <c r="BP2">
        <v>4</v>
      </c>
      <c r="BQ2" t="s">
        <v>34</v>
      </c>
    </row>
    <row r="3" spans="1:69" x14ac:dyDescent="0.25">
      <c r="A3">
        <v>2</v>
      </c>
      <c r="B3">
        <v>1</v>
      </c>
      <c r="C3" t="s">
        <v>195</v>
      </c>
      <c r="D3" s="10">
        <v>6.6</v>
      </c>
      <c r="E3" s="6">
        <v>1.8</v>
      </c>
      <c r="F3" s="6">
        <f t="shared" si="0"/>
        <v>3.6666666666666665</v>
      </c>
      <c r="G3" s="7">
        <v>1</v>
      </c>
      <c r="H3" s="8">
        <v>0</v>
      </c>
      <c r="I3" s="8">
        <v>0</v>
      </c>
      <c r="J3" s="7">
        <v>680</v>
      </c>
      <c r="K3" s="8">
        <v>6</v>
      </c>
      <c r="L3" s="8">
        <f t="shared" si="1"/>
        <v>673</v>
      </c>
      <c r="M3" s="60">
        <f t="shared" si="2"/>
        <v>22</v>
      </c>
      <c r="N3" s="6">
        <v>14.03</v>
      </c>
      <c r="O3" s="6">
        <v>8.34</v>
      </c>
      <c r="P3" s="7">
        <v>1</v>
      </c>
      <c r="Q3" s="8">
        <v>0</v>
      </c>
      <c r="R3" s="7">
        <v>1</v>
      </c>
      <c r="S3" s="8">
        <v>0</v>
      </c>
      <c r="T3" s="21">
        <v>0</v>
      </c>
      <c r="U3" s="8">
        <v>1</v>
      </c>
      <c r="V3" s="21">
        <v>0</v>
      </c>
      <c r="W3" s="7">
        <v>0</v>
      </c>
      <c r="X3" s="21">
        <v>1</v>
      </c>
      <c r="Y3" s="60">
        <v>1992</v>
      </c>
      <c r="Z3" s="28" t="s">
        <v>45</v>
      </c>
      <c r="AA3" s="12" t="s">
        <v>45</v>
      </c>
      <c r="AB3" s="28">
        <v>0.41</v>
      </c>
      <c r="AC3">
        <v>0.59</v>
      </c>
      <c r="AD3" s="28">
        <v>0.92</v>
      </c>
      <c r="AE3" s="66">
        <f t="shared" si="3"/>
        <v>7.999999999999996E-2</v>
      </c>
      <c r="AF3">
        <v>0</v>
      </c>
      <c r="AG3">
        <v>1</v>
      </c>
      <c r="AH3" s="28">
        <v>0.64</v>
      </c>
      <c r="AI3" s="12">
        <f t="shared" si="4"/>
        <v>0.36</v>
      </c>
      <c r="AJ3">
        <v>1</v>
      </c>
      <c r="AK3">
        <v>0</v>
      </c>
      <c r="AL3" s="12">
        <v>0</v>
      </c>
      <c r="AM3" s="62" t="s">
        <v>67</v>
      </c>
      <c r="AN3">
        <v>1</v>
      </c>
      <c r="AO3">
        <v>0</v>
      </c>
      <c r="AP3">
        <v>25151</v>
      </c>
      <c r="AQ3">
        <v>1422</v>
      </c>
      <c r="AR3">
        <v>0.92100000000000004</v>
      </c>
      <c r="AS3" s="64">
        <v>38.07</v>
      </c>
      <c r="AT3">
        <v>0</v>
      </c>
      <c r="AU3">
        <v>1</v>
      </c>
      <c r="AV3">
        <v>0</v>
      </c>
      <c r="AW3">
        <v>0</v>
      </c>
      <c r="AX3">
        <v>0</v>
      </c>
      <c r="AY3">
        <v>0</v>
      </c>
      <c r="AZ3" s="28">
        <v>0</v>
      </c>
      <c r="BA3">
        <v>0</v>
      </c>
      <c r="BB3">
        <v>0</v>
      </c>
      <c r="BC3" s="28">
        <v>1</v>
      </c>
      <c r="BD3">
        <v>1</v>
      </c>
      <c r="BE3">
        <v>0</v>
      </c>
      <c r="BF3">
        <v>1</v>
      </c>
      <c r="BG3">
        <v>1</v>
      </c>
      <c r="BH3">
        <v>0</v>
      </c>
      <c r="BI3">
        <v>0</v>
      </c>
      <c r="BJ3">
        <v>0</v>
      </c>
      <c r="BK3" s="16">
        <v>0</v>
      </c>
      <c r="BL3">
        <v>3.0920000000000001</v>
      </c>
      <c r="BM3">
        <v>908</v>
      </c>
      <c r="BN3">
        <v>1</v>
      </c>
      <c r="BO3">
        <v>0</v>
      </c>
      <c r="BP3">
        <v>4</v>
      </c>
      <c r="BQ3" t="s">
        <v>34</v>
      </c>
    </row>
    <row r="4" spans="1:69" x14ac:dyDescent="0.25">
      <c r="A4">
        <v>3</v>
      </c>
      <c r="B4">
        <v>1</v>
      </c>
      <c r="C4" t="s">
        <v>195</v>
      </c>
      <c r="D4" s="10">
        <v>9.1</v>
      </c>
      <c r="E4" s="6">
        <v>2.4</v>
      </c>
      <c r="F4" s="6">
        <f t="shared" si="0"/>
        <v>3.7916666666666665</v>
      </c>
      <c r="G4" s="7">
        <v>1</v>
      </c>
      <c r="H4" s="8">
        <v>0</v>
      </c>
      <c r="I4" s="8">
        <v>0</v>
      </c>
      <c r="J4" s="7">
        <v>680</v>
      </c>
      <c r="K4" s="8">
        <v>6</v>
      </c>
      <c r="L4" s="8">
        <f t="shared" si="1"/>
        <v>673</v>
      </c>
      <c r="M4" s="60">
        <f t="shared" si="2"/>
        <v>22</v>
      </c>
      <c r="N4" s="6">
        <v>14.03</v>
      </c>
      <c r="O4" s="6">
        <v>8.34</v>
      </c>
      <c r="P4" s="7">
        <v>1</v>
      </c>
      <c r="Q4" s="8">
        <v>0</v>
      </c>
      <c r="R4" s="7">
        <v>1</v>
      </c>
      <c r="S4" s="8">
        <v>0</v>
      </c>
      <c r="T4" s="21">
        <v>0</v>
      </c>
      <c r="U4" s="8">
        <v>1</v>
      </c>
      <c r="V4" s="21">
        <v>0</v>
      </c>
      <c r="W4" s="7">
        <v>0</v>
      </c>
      <c r="X4" s="21">
        <v>1</v>
      </c>
      <c r="Y4" s="60">
        <v>1992</v>
      </c>
      <c r="Z4" s="28" t="s">
        <v>45</v>
      </c>
      <c r="AA4" s="12" t="s">
        <v>45</v>
      </c>
      <c r="AB4" s="28">
        <v>0.41</v>
      </c>
      <c r="AC4">
        <v>0.59</v>
      </c>
      <c r="AD4" s="28">
        <v>0.92</v>
      </c>
      <c r="AE4" s="66">
        <f t="shared" si="3"/>
        <v>7.999999999999996E-2</v>
      </c>
      <c r="AF4">
        <v>0</v>
      </c>
      <c r="AG4">
        <v>1</v>
      </c>
      <c r="AH4" s="28">
        <v>0.64</v>
      </c>
      <c r="AI4" s="12">
        <f t="shared" si="4"/>
        <v>0.36</v>
      </c>
      <c r="AJ4">
        <v>1</v>
      </c>
      <c r="AK4">
        <v>0</v>
      </c>
      <c r="AL4" s="12">
        <v>0</v>
      </c>
      <c r="AM4" s="62" t="s">
        <v>67</v>
      </c>
      <c r="AN4">
        <v>1</v>
      </c>
      <c r="AO4">
        <v>0</v>
      </c>
      <c r="AP4">
        <v>25151</v>
      </c>
      <c r="AQ4">
        <v>1422</v>
      </c>
      <c r="AR4">
        <v>0.92100000000000004</v>
      </c>
      <c r="AS4" s="64">
        <v>38.07</v>
      </c>
      <c r="AT4">
        <v>0</v>
      </c>
      <c r="AU4">
        <v>0</v>
      </c>
      <c r="AV4">
        <v>1</v>
      </c>
      <c r="AW4">
        <v>0</v>
      </c>
      <c r="AX4">
        <v>0</v>
      </c>
      <c r="AY4">
        <v>0</v>
      </c>
      <c r="AZ4" s="28">
        <v>0</v>
      </c>
      <c r="BA4">
        <v>0</v>
      </c>
      <c r="BB4">
        <v>0</v>
      </c>
      <c r="BC4" s="28">
        <v>1</v>
      </c>
      <c r="BD4">
        <v>1</v>
      </c>
      <c r="BE4">
        <v>0</v>
      </c>
      <c r="BF4">
        <v>1</v>
      </c>
      <c r="BG4">
        <v>1</v>
      </c>
      <c r="BH4">
        <v>0</v>
      </c>
      <c r="BI4">
        <v>0</v>
      </c>
      <c r="BJ4">
        <v>0</v>
      </c>
      <c r="BK4" s="16">
        <v>0</v>
      </c>
      <c r="BL4">
        <v>3.0920000000000001</v>
      </c>
      <c r="BM4">
        <v>908</v>
      </c>
      <c r="BN4">
        <v>1</v>
      </c>
      <c r="BO4">
        <v>0</v>
      </c>
      <c r="BP4">
        <v>4</v>
      </c>
      <c r="BQ4" t="s">
        <v>34</v>
      </c>
    </row>
    <row r="5" spans="1:69" x14ac:dyDescent="0.25">
      <c r="A5">
        <v>4</v>
      </c>
      <c r="B5">
        <v>1</v>
      </c>
      <c r="C5" t="s">
        <v>195</v>
      </c>
      <c r="D5" s="10">
        <v>7</v>
      </c>
      <c r="E5" s="6">
        <v>1.9</v>
      </c>
      <c r="F5" s="6">
        <f t="shared" si="0"/>
        <v>3.6842105263157898</v>
      </c>
      <c r="G5" s="7">
        <v>1</v>
      </c>
      <c r="H5" s="8">
        <v>0</v>
      </c>
      <c r="I5" s="8">
        <v>0</v>
      </c>
      <c r="J5" s="7">
        <v>340</v>
      </c>
      <c r="K5" s="8">
        <v>1</v>
      </c>
      <c r="L5" s="8">
        <f t="shared" si="1"/>
        <v>338</v>
      </c>
      <c r="M5" s="60">
        <f t="shared" si="2"/>
        <v>22</v>
      </c>
      <c r="N5" s="6">
        <v>14.03</v>
      </c>
      <c r="O5" s="6">
        <v>8.34</v>
      </c>
      <c r="P5" s="7">
        <v>1</v>
      </c>
      <c r="Q5" s="8">
        <v>0</v>
      </c>
      <c r="R5" s="7">
        <v>1</v>
      </c>
      <c r="S5" s="8">
        <v>0</v>
      </c>
      <c r="T5" s="21">
        <v>0</v>
      </c>
      <c r="U5" s="8">
        <v>1</v>
      </c>
      <c r="V5" s="21">
        <v>0</v>
      </c>
      <c r="W5" s="7">
        <v>0</v>
      </c>
      <c r="X5" s="21">
        <v>1</v>
      </c>
      <c r="Y5" s="60">
        <v>1992</v>
      </c>
      <c r="Z5" s="28" t="s">
        <v>45</v>
      </c>
      <c r="AA5" s="12" t="s">
        <v>45</v>
      </c>
      <c r="AB5" s="28">
        <v>0.41</v>
      </c>
      <c r="AC5">
        <v>0.59</v>
      </c>
      <c r="AD5" s="28">
        <v>0.92</v>
      </c>
      <c r="AE5" s="66">
        <f t="shared" si="3"/>
        <v>7.999999999999996E-2</v>
      </c>
      <c r="AF5">
        <v>0</v>
      </c>
      <c r="AG5">
        <v>1</v>
      </c>
      <c r="AH5" s="28">
        <v>0.64</v>
      </c>
      <c r="AI5" s="12">
        <f t="shared" si="4"/>
        <v>0.36</v>
      </c>
      <c r="AJ5">
        <v>1</v>
      </c>
      <c r="AK5">
        <v>0</v>
      </c>
      <c r="AL5" s="12">
        <v>0</v>
      </c>
      <c r="AM5" s="62" t="s">
        <v>67</v>
      </c>
      <c r="AN5">
        <v>1</v>
      </c>
      <c r="AO5">
        <v>0</v>
      </c>
      <c r="AP5">
        <v>25151</v>
      </c>
      <c r="AQ5">
        <v>1422</v>
      </c>
      <c r="AR5">
        <v>0.92100000000000004</v>
      </c>
      <c r="AS5" s="64">
        <v>38.07</v>
      </c>
      <c r="AT5">
        <v>0</v>
      </c>
      <c r="AU5">
        <v>0</v>
      </c>
      <c r="AV5">
        <v>0</v>
      </c>
      <c r="AW5">
        <v>1</v>
      </c>
      <c r="AX5">
        <v>0</v>
      </c>
      <c r="AY5">
        <v>0</v>
      </c>
      <c r="AZ5" s="28">
        <v>0</v>
      </c>
      <c r="BA5">
        <v>0</v>
      </c>
      <c r="BB5">
        <v>0</v>
      </c>
      <c r="BC5" s="28">
        <v>0</v>
      </c>
      <c r="BD5">
        <v>0</v>
      </c>
      <c r="BE5">
        <v>0</v>
      </c>
      <c r="BF5">
        <v>0</v>
      </c>
      <c r="BG5">
        <v>0</v>
      </c>
      <c r="BH5">
        <v>0</v>
      </c>
      <c r="BI5">
        <v>0</v>
      </c>
      <c r="BJ5">
        <v>0</v>
      </c>
      <c r="BK5" s="16">
        <v>0</v>
      </c>
      <c r="BL5">
        <v>3.0920000000000001</v>
      </c>
      <c r="BM5">
        <v>908</v>
      </c>
      <c r="BN5">
        <v>1</v>
      </c>
      <c r="BO5">
        <v>0</v>
      </c>
      <c r="BP5">
        <v>4</v>
      </c>
      <c r="BQ5" t="s">
        <v>34</v>
      </c>
    </row>
    <row r="6" spans="1:69" x14ac:dyDescent="0.25">
      <c r="A6">
        <v>5</v>
      </c>
      <c r="B6">
        <v>1</v>
      </c>
      <c r="C6" t="s">
        <v>195</v>
      </c>
      <c r="D6" s="10">
        <v>8.8000000000000007</v>
      </c>
      <c r="E6" s="6">
        <v>2.5</v>
      </c>
      <c r="F6" s="6">
        <f t="shared" si="0"/>
        <v>3.5200000000000005</v>
      </c>
      <c r="G6" s="7">
        <v>1</v>
      </c>
      <c r="H6" s="8">
        <v>0</v>
      </c>
      <c r="I6" s="8">
        <v>0</v>
      </c>
      <c r="J6" s="7">
        <v>340</v>
      </c>
      <c r="K6" s="8">
        <v>1</v>
      </c>
      <c r="L6" s="8">
        <f t="shared" si="1"/>
        <v>338</v>
      </c>
      <c r="M6" s="60">
        <f t="shared" si="2"/>
        <v>22</v>
      </c>
      <c r="N6" s="6">
        <v>14.03</v>
      </c>
      <c r="O6" s="6">
        <v>8.34</v>
      </c>
      <c r="P6" s="7">
        <v>1</v>
      </c>
      <c r="Q6" s="8">
        <v>0</v>
      </c>
      <c r="R6" s="7">
        <v>1</v>
      </c>
      <c r="S6" s="8">
        <v>0</v>
      </c>
      <c r="T6" s="21">
        <v>0</v>
      </c>
      <c r="U6" s="8">
        <v>1</v>
      </c>
      <c r="V6" s="21">
        <v>0</v>
      </c>
      <c r="W6" s="7">
        <v>0</v>
      </c>
      <c r="X6" s="21">
        <v>1</v>
      </c>
      <c r="Y6" s="60">
        <v>1992</v>
      </c>
      <c r="Z6" s="28" t="s">
        <v>45</v>
      </c>
      <c r="AA6" s="12" t="s">
        <v>45</v>
      </c>
      <c r="AB6" s="28">
        <v>0.41</v>
      </c>
      <c r="AC6">
        <v>0.59</v>
      </c>
      <c r="AD6" s="28">
        <v>0.92</v>
      </c>
      <c r="AE6" s="66">
        <f t="shared" si="3"/>
        <v>7.999999999999996E-2</v>
      </c>
      <c r="AF6">
        <v>0</v>
      </c>
      <c r="AG6">
        <v>1</v>
      </c>
      <c r="AH6" s="28">
        <v>0.64</v>
      </c>
      <c r="AI6" s="12">
        <f t="shared" si="4"/>
        <v>0.36</v>
      </c>
      <c r="AJ6">
        <v>1</v>
      </c>
      <c r="AK6">
        <v>0</v>
      </c>
      <c r="AL6" s="12">
        <v>0</v>
      </c>
      <c r="AM6" s="62" t="s">
        <v>67</v>
      </c>
      <c r="AN6">
        <v>1</v>
      </c>
      <c r="AO6">
        <v>0</v>
      </c>
      <c r="AP6">
        <v>25151</v>
      </c>
      <c r="AQ6">
        <v>1422</v>
      </c>
      <c r="AR6">
        <v>0.92100000000000004</v>
      </c>
      <c r="AS6" s="64">
        <v>38.07</v>
      </c>
      <c r="AT6">
        <v>0</v>
      </c>
      <c r="AU6">
        <v>0</v>
      </c>
      <c r="AV6">
        <v>0</v>
      </c>
      <c r="AW6">
        <v>0</v>
      </c>
      <c r="AX6">
        <v>1</v>
      </c>
      <c r="AY6">
        <v>0</v>
      </c>
      <c r="AZ6" s="28">
        <v>1</v>
      </c>
      <c r="BA6">
        <v>0</v>
      </c>
      <c r="BB6">
        <v>0</v>
      </c>
      <c r="BC6" s="28">
        <v>0</v>
      </c>
      <c r="BD6">
        <v>0</v>
      </c>
      <c r="BE6">
        <v>0</v>
      </c>
      <c r="BF6">
        <v>0</v>
      </c>
      <c r="BG6">
        <v>0</v>
      </c>
      <c r="BH6">
        <v>0</v>
      </c>
      <c r="BI6">
        <v>0</v>
      </c>
      <c r="BJ6">
        <v>0</v>
      </c>
      <c r="BK6" s="16">
        <v>0</v>
      </c>
      <c r="BL6">
        <v>3.0920000000000001</v>
      </c>
      <c r="BM6">
        <v>908</v>
      </c>
      <c r="BN6">
        <v>1</v>
      </c>
      <c r="BO6">
        <v>0</v>
      </c>
      <c r="BP6">
        <v>4</v>
      </c>
      <c r="BQ6" t="s">
        <v>34</v>
      </c>
    </row>
    <row r="7" spans="1:69" x14ac:dyDescent="0.25">
      <c r="A7">
        <v>6</v>
      </c>
      <c r="B7">
        <v>1</v>
      </c>
      <c r="C7" t="s">
        <v>195</v>
      </c>
      <c r="D7" s="10">
        <v>11.3</v>
      </c>
      <c r="E7" s="6">
        <v>1</v>
      </c>
      <c r="F7" s="6">
        <f t="shared" si="0"/>
        <v>11.3</v>
      </c>
      <c r="G7" s="7">
        <v>1</v>
      </c>
      <c r="H7" s="8">
        <v>0</v>
      </c>
      <c r="I7" s="8">
        <v>0</v>
      </c>
      <c r="J7" s="7">
        <v>666</v>
      </c>
      <c r="K7" s="8">
        <v>8</v>
      </c>
      <c r="L7" s="8">
        <f t="shared" si="1"/>
        <v>657</v>
      </c>
      <c r="M7" s="60">
        <f t="shared" si="2"/>
        <v>22</v>
      </c>
      <c r="N7" s="6">
        <v>14.03</v>
      </c>
      <c r="O7" s="6">
        <v>8.34</v>
      </c>
      <c r="P7" s="7">
        <v>1</v>
      </c>
      <c r="Q7" s="8">
        <v>0</v>
      </c>
      <c r="R7" s="7">
        <v>1</v>
      </c>
      <c r="S7" s="8">
        <v>0</v>
      </c>
      <c r="T7" s="21">
        <v>0</v>
      </c>
      <c r="U7" s="8">
        <v>1</v>
      </c>
      <c r="V7" s="21">
        <v>0</v>
      </c>
      <c r="W7" s="7">
        <v>0</v>
      </c>
      <c r="X7" s="21">
        <v>1</v>
      </c>
      <c r="Y7" s="60">
        <v>1992</v>
      </c>
      <c r="Z7" s="28" t="s">
        <v>45</v>
      </c>
      <c r="AA7" s="12" t="s">
        <v>45</v>
      </c>
      <c r="AB7" s="28">
        <v>0.41</v>
      </c>
      <c r="AC7">
        <v>0.59</v>
      </c>
      <c r="AD7" s="28">
        <v>0.92</v>
      </c>
      <c r="AE7" s="66">
        <f t="shared" si="3"/>
        <v>7.999999999999996E-2</v>
      </c>
      <c r="AF7">
        <v>0</v>
      </c>
      <c r="AG7">
        <v>1</v>
      </c>
      <c r="AH7" s="28">
        <v>0.64</v>
      </c>
      <c r="AI7" s="12">
        <f t="shared" si="4"/>
        <v>0.36</v>
      </c>
      <c r="AJ7">
        <v>1</v>
      </c>
      <c r="AK7">
        <v>0</v>
      </c>
      <c r="AL7" s="12">
        <v>0</v>
      </c>
      <c r="AM7" s="62" t="s">
        <v>67</v>
      </c>
      <c r="AN7">
        <v>1</v>
      </c>
      <c r="AO7">
        <v>0</v>
      </c>
      <c r="AP7">
        <v>25151</v>
      </c>
      <c r="AQ7">
        <v>1422</v>
      </c>
      <c r="AR7">
        <v>0.92100000000000004</v>
      </c>
      <c r="AS7" s="64">
        <v>38.07</v>
      </c>
      <c r="AT7">
        <v>0</v>
      </c>
      <c r="AU7">
        <v>1</v>
      </c>
      <c r="AV7">
        <v>0</v>
      </c>
      <c r="AW7">
        <v>0</v>
      </c>
      <c r="AX7">
        <v>0</v>
      </c>
      <c r="AY7">
        <v>0</v>
      </c>
      <c r="AZ7" s="28">
        <v>0</v>
      </c>
      <c r="BA7">
        <v>0</v>
      </c>
      <c r="BB7">
        <v>0</v>
      </c>
      <c r="BC7" s="28">
        <v>1</v>
      </c>
      <c r="BD7">
        <v>1</v>
      </c>
      <c r="BE7">
        <v>0</v>
      </c>
      <c r="BF7">
        <v>1</v>
      </c>
      <c r="BG7">
        <v>1</v>
      </c>
      <c r="BH7">
        <v>1</v>
      </c>
      <c r="BI7">
        <v>0</v>
      </c>
      <c r="BJ7">
        <v>0</v>
      </c>
      <c r="BK7" s="16">
        <v>1</v>
      </c>
      <c r="BL7">
        <v>3.0920000000000001</v>
      </c>
      <c r="BM7">
        <v>908</v>
      </c>
      <c r="BN7">
        <v>1</v>
      </c>
      <c r="BO7">
        <v>0</v>
      </c>
      <c r="BP7">
        <v>4</v>
      </c>
      <c r="BQ7" t="s">
        <v>34</v>
      </c>
    </row>
    <row r="8" spans="1:69" x14ac:dyDescent="0.25">
      <c r="A8">
        <v>7</v>
      </c>
      <c r="B8">
        <v>1</v>
      </c>
      <c r="C8" t="s">
        <v>195</v>
      </c>
      <c r="D8" s="10">
        <v>7.4</v>
      </c>
      <c r="E8" s="6">
        <v>1.7</v>
      </c>
      <c r="F8" s="6">
        <f t="shared" si="0"/>
        <v>4.3529411764705888</v>
      </c>
      <c r="G8" s="7">
        <v>1</v>
      </c>
      <c r="H8" s="8">
        <v>0</v>
      </c>
      <c r="I8" s="8">
        <v>0</v>
      </c>
      <c r="J8" s="7">
        <v>666</v>
      </c>
      <c r="K8" s="8">
        <v>9</v>
      </c>
      <c r="L8" s="8">
        <f t="shared" si="1"/>
        <v>656</v>
      </c>
      <c r="M8" s="60">
        <f t="shared" si="2"/>
        <v>22</v>
      </c>
      <c r="N8" s="6">
        <v>14.03</v>
      </c>
      <c r="O8" s="6">
        <v>8.34</v>
      </c>
      <c r="P8" s="7">
        <v>1</v>
      </c>
      <c r="Q8" s="8">
        <v>0</v>
      </c>
      <c r="R8" s="7">
        <v>1</v>
      </c>
      <c r="S8" s="8">
        <v>0</v>
      </c>
      <c r="T8" s="21">
        <v>0</v>
      </c>
      <c r="U8" s="8">
        <v>1</v>
      </c>
      <c r="V8" s="21">
        <v>0</v>
      </c>
      <c r="W8" s="7">
        <v>0</v>
      </c>
      <c r="X8" s="21">
        <v>1</v>
      </c>
      <c r="Y8" s="60">
        <v>1992</v>
      </c>
      <c r="Z8" s="28" t="s">
        <v>45</v>
      </c>
      <c r="AA8" s="12" t="s">
        <v>45</v>
      </c>
      <c r="AB8" s="28">
        <v>0.41</v>
      </c>
      <c r="AC8">
        <v>0.59</v>
      </c>
      <c r="AD8" s="28">
        <v>0.92</v>
      </c>
      <c r="AE8" s="66">
        <f t="shared" si="3"/>
        <v>7.999999999999996E-2</v>
      </c>
      <c r="AF8">
        <v>0</v>
      </c>
      <c r="AG8">
        <v>1</v>
      </c>
      <c r="AH8" s="28">
        <v>0.64</v>
      </c>
      <c r="AI8" s="12">
        <f t="shared" si="4"/>
        <v>0.36</v>
      </c>
      <c r="AJ8">
        <v>1</v>
      </c>
      <c r="AK8">
        <v>0</v>
      </c>
      <c r="AL8" s="12">
        <v>0</v>
      </c>
      <c r="AM8" s="62" t="s">
        <v>67</v>
      </c>
      <c r="AN8">
        <v>1</v>
      </c>
      <c r="AO8">
        <v>0</v>
      </c>
      <c r="AP8">
        <v>25151</v>
      </c>
      <c r="AQ8">
        <v>1422</v>
      </c>
      <c r="AR8">
        <v>0.92100000000000004</v>
      </c>
      <c r="AS8" s="64">
        <v>38.07</v>
      </c>
      <c r="AT8">
        <v>0</v>
      </c>
      <c r="AU8">
        <v>1</v>
      </c>
      <c r="AV8">
        <v>0</v>
      </c>
      <c r="AW8">
        <v>0</v>
      </c>
      <c r="AX8">
        <v>0</v>
      </c>
      <c r="AY8">
        <v>0</v>
      </c>
      <c r="AZ8" s="28">
        <v>0</v>
      </c>
      <c r="BA8">
        <v>0</v>
      </c>
      <c r="BB8">
        <v>0</v>
      </c>
      <c r="BC8" s="28">
        <v>1</v>
      </c>
      <c r="BD8">
        <v>1</v>
      </c>
      <c r="BE8">
        <v>0</v>
      </c>
      <c r="BF8">
        <v>1</v>
      </c>
      <c r="BG8">
        <v>1</v>
      </c>
      <c r="BH8">
        <v>1</v>
      </c>
      <c r="BI8">
        <v>0</v>
      </c>
      <c r="BJ8">
        <v>0</v>
      </c>
      <c r="BK8" s="16">
        <v>1</v>
      </c>
      <c r="BL8">
        <v>3.0920000000000001</v>
      </c>
      <c r="BM8">
        <v>908</v>
      </c>
      <c r="BN8">
        <v>1</v>
      </c>
      <c r="BO8">
        <v>0</v>
      </c>
      <c r="BP8">
        <v>4</v>
      </c>
      <c r="BQ8" t="s">
        <v>34</v>
      </c>
    </row>
    <row r="9" spans="1:69" x14ac:dyDescent="0.25">
      <c r="A9">
        <v>8</v>
      </c>
      <c r="B9">
        <v>1</v>
      </c>
      <c r="C9" t="s">
        <v>195</v>
      </c>
      <c r="D9" s="10">
        <v>10.6</v>
      </c>
      <c r="E9" s="6">
        <v>2.2000000000000002</v>
      </c>
      <c r="F9" s="6">
        <f t="shared" si="0"/>
        <v>4.8181818181818175</v>
      </c>
      <c r="G9" s="7">
        <v>1</v>
      </c>
      <c r="H9" s="8">
        <v>0</v>
      </c>
      <c r="I9" s="8">
        <v>0</v>
      </c>
      <c r="J9" s="7">
        <v>666</v>
      </c>
      <c r="K9" s="8">
        <v>9</v>
      </c>
      <c r="L9" s="8">
        <f t="shared" si="1"/>
        <v>656</v>
      </c>
      <c r="M9" s="60">
        <f t="shared" si="2"/>
        <v>22</v>
      </c>
      <c r="N9" s="6">
        <v>14.03</v>
      </c>
      <c r="O9" s="6">
        <v>8.34</v>
      </c>
      <c r="P9" s="7">
        <v>1</v>
      </c>
      <c r="Q9" s="8">
        <v>0</v>
      </c>
      <c r="R9" s="7">
        <v>1</v>
      </c>
      <c r="S9" s="8">
        <v>0</v>
      </c>
      <c r="T9" s="21">
        <v>0</v>
      </c>
      <c r="U9" s="8">
        <v>1</v>
      </c>
      <c r="V9" s="21">
        <v>0</v>
      </c>
      <c r="W9" s="7">
        <v>0</v>
      </c>
      <c r="X9" s="21">
        <v>1</v>
      </c>
      <c r="Y9" s="60">
        <v>1992</v>
      </c>
      <c r="Z9" s="28" t="s">
        <v>45</v>
      </c>
      <c r="AA9" s="12" t="s">
        <v>45</v>
      </c>
      <c r="AB9" s="28">
        <v>0.41</v>
      </c>
      <c r="AC9">
        <v>0.59</v>
      </c>
      <c r="AD9" s="28">
        <v>0.92</v>
      </c>
      <c r="AE9" s="66">
        <f t="shared" si="3"/>
        <v>7.999999999999996E-2</v>
      </c>
      <c r="AF9">
        <v>0</v>
      </c>
      <c r="AG9">
        <v>1</v>
      </c>
      <c r="AH9" s="28">
        <v>0.64</v>
      </c>
      <c r="AI9" s="12">
        <f t="shared" si="4"/>
        <v>0.36</v>
      </c>
      <c r="AJ9">
        <v>1</v>
      </c>
      <c r="AK9">
        <v>0</v>
      </c>
      <c r="AL9" s="12">
        <v>0</v>
      </c>
      <c r="AM9" s="62" t="s">
        <v>67</v>
      </c>
      <c r="AN9">
        <v>1</v>
      </c>
      <c r="AO9">
        <v>0</v>
      </c>
      <c r="AP9">
        <v>25151</v>
      </c>
      <c r="AQ9">
        <v>1422</v>
      </c>
      <c r="AR9">
        <v>0.92100000000000004</v>
      </c>
      <c r="AS9" s="64">
        <v>38.07</v>
      </c>
      <c r="AT9">
        <v>0</v>
      </c>
      <c r="AU9">
        <v>0</v>
      </c>
      <c r="AV9">
        <v>1</v>
      </c>
      <c r="AW9">
        <v>0</v>
      </c>
      <c r="AX9">
        <v>0</v>
      </c>
      <c r="AY9">
        <v>0</v>
      </c>
      <c r="AZ9" s="28">
        <v>0</v>
      </c>
      <c r="BA9">
        <v>0</v>
      </c>
      <c r="BB9">
        <v>0</v>
      </c>
      <c r="BC9" s="28">
        <v>1</v>
      </c>
      <c r="BD9">
        <v>1</v>
      </c>
      <c r="BE9">
        <v>0</v>
      </c>
      <c r="BF9">
        <v>1</v>
      </c>
      <c r="BG9">
        <v>1</v>
      </c>
      <c r="BH9">
        <v>1</v>
      </c>
      <c r="BI9">
        <v>0</v>
      </c>
      <c r="BJ9">
        <v>0</v>
      </c>
      <c r="BK9" s="16">
        <v>1</v>
      </c>
      <c r="BL9">
        <v>3.0920000000000001</v>
      </c>
      <c r="BM9">
        <v>908</v>
      </c>
      <c r="BN9">
        <v>1</v>
      </c>
      <c r="BO9">
        <v>0</v>
      </c>
      <c r="BP9">
        <v>4</v>
      </c>
      <c r="BQ9" t="s">
        <v>34</v>
      </c>
    </row>
    <row r="10" spans="1:69" x14ac:dyDescent="0.25">
      <c r="A10">
        <v>9</v>
      </c>
      <c r="B10">
        <v>1</v>
      </c>
      <c r="C10" t="s">
        <v>195</v>
      </c>
      <c r="D10" s="10">
        <v>7.8</v>
      </c>
      <c r="E10" s="6">
        <v>1.8</v>
      </c>
      <c r="F10" s="6">
        <f t="shared" si="0"/>
        <v>4.333333333333333</v>
      </c>
      <c r="G10" s="7">
        <v>1</v>
      </c>
      <c r="H10" s="8">
        <v>0</v>
      </c>
      <c r="I10" s="8">
        <v>0</v>
      </c>
      <c r="J10" s="7">
        <v>333</v>
      </c>
      <c r="K10" s="8">
        <v>4</v>
      </c>
      <c r="L10" s="8">
        <f t="shared" si="1"/>
        <v>328</v>
      </c>
      <c r="M10" s="60">
        <f t="shared" si="2"/>
        <v>22</v>
      </c>
      <c r="N10" s="6">
        <v>14.03</v>
      </c>
      <c r="O10" s="6">
        <v>8.34</v>
      </c>
      <c r="P10" s="7">
        <v>1</v>
      </c>
      <c r="Q10" s="8">
        <v>0</v>
      </c>
      <c r="R10" s="7">
        <v>1</v>
      </c>
      <c r="S10" s="8">
        <v>0</v>
      </c>
      <c r="T10" s="21">
        <v>0</v>
      </c>
      <c r="U10" s="8">
        <v>1</v>
      </c>
      <c r="V10" s="21">
        <v>0</v>
      </c>
      <c r="W10" s="7">
        <v>0</v>
      </c>
      <c r="X10" s="21">
        <v>1</v>
      </c>
      <c r="Y10" s="60">
        <v>1992</v>
      </c>
      <c r="Z10" s="28" t="s">
        <v>45</v>
      </c>
      <c r="AA10" s="12" t="s">
        <v>45</v>
      </c>
      <c r="AB10" s="28">
        <v>0.41</v>
      </c>
      <c r="AC10">
        <v>0.59</v>
      </c>
      <c r="AD10" s="28">
        <v>0.92</v>
      </c>
      <c r="AE10" s="66">
        <f t="shared" si="3"/>
        <v>7.999999999999996E-2</v>
      </c>
      <c r="AF10">
        <v>0</v>
      </c>
      <c r="AG10">
        <v>1</v>
      </c>
      <c r="AH10" s="28">
        <v>0.64</v>
      </c>
      <c r="AI10" s="12">
        <f t="shared" si="4"/>
        <v>0.36</v>
      </c>
      <c r="AJ10">
        <v>1</v>
      </c>
      <c r="AK10">
        <v>0</v>
      </c>
      <c r="AL10" s="12">
        <v>0</v>
      </c>
      <c r="AM10" s="62" t="s">
        <v>67</v>
      </c>
      <c r="AN10">
        <v>1</v>
      </c>
      <c r="AO10">
        <v>0</v>
      </c>
      <c r="AP10">
        <v>25151</v>
      </c>
      <c r="AQ10">
        <v>1422</v>
      </c>
      <c r="AR10">
        <v>0.92100000000000004</v>
      </c>
      <c r="AS10" s="64">
        <v>38.07</v>
      </c>
      <c r="AT10">
        <v>0</v>
      </c>
      <c r="AU10">
        <v>0</v>
      </c>
      <c r="AV10">
        <v>0</v>
      </c>
      <c r="AW10">
        <v>1</v>
      </c>
      <c r="AX10">
        <v>0</v>
      </c>
      <c r="AY10">
        <v>0</v>
      </c>
      <c r="AZ10" s="28">
        <v>0</v>
      </c>
      <c r="BA10">
        <v>0</v>
      </c>
      <c r="BB10">
        <v>0</v>
      </c>
      <c r="BC10" s="28">
        <v>0</v>
      </c>
      <c r="BD10">
        <v>0</v>
      </c>
      <c r="BE10">
        <v>0</v>
      </c>
      <c r="BF10">
        <v>0</v>
      </c>
      <c r="BG10">
        <v>0</v>
      </c>
      <c r="BH10">
        <v>1</v>
      </c>
      <c r="BI10">
        <v>0</v>
      </c>
      <c r="BJ10">
        <v>0</v>
      </c>
      <c r="BK10" s="16">
        <v>1</v>
      </c>
      <c r="BL10">
        <v>3.0920000000000001</v>
      </c>
      <c r="BM10">
        <v>908</v>
      </c>
      <c r="BN10">
        <v>1</v>
      </c>
      <c r="BO10">
        <v>0</v>
      </c>
      <c r="BP10">
        <v>4</v>
      </c>
      <c r="BQ10" t="s">
        <v>34</v>
      </c>
    </row>
    <row r="11" spans="1:69" x14ac:dyDescent="0.25">
      <c r="A11">
        <v>10</v>
      </c>
      <c r="B11">
        <v>1</v>
      </c>
      <c r="C11" t="s">
        <v>195</v>
      </c>
      <c r="D11" s="10">
        <v>10</v>
      </c>
      <c r="E11" s="6">
        <v>2.2999999999999998</v>
      </c>
      <c r="F11" s="6">
        <f t="shared" si="0"/>
        <v>4.3478260869565224</v>
      </c>
      <c r="G11" s="7">
        <v>1</v>
      </c>
      <c r="H11" s="8">
        <v>0</v>
      </c>
      <c r="I11" s="8">
        <v>0</v>
      </c>
      <c r="J11" s="7">
        <v>333</v>
      </c>
      <c r="K11" s="8">
        <v>4</v>
      </c>
      <c r="L11" s="8">
        <f t="shared" si="1"/>
        <v>328</v>
      </c>
      <c r="M11" s="60">
        <f t="shared" si="2"/>
        <v>22</v>
      </c>
      <c r="N11" s="6">
        <v>14.03</v>
      </c>
      <c r="O11" s="6">
        <v>8.34</v>
      </c>
      <c r="P11" s="7">
        <v>1</v>
      </c>
      <c r="Q11" s="8">
        <v>0</v>
      </c>
      <c r="R11" s="7">
        <v>1</v>
      </c>
      <c r="S11" s="8">
        <v>0</v>
      </c>
      <c r="T11" s="21">
        <v>0</v>
      </c>
      <c r="U11" s="8">
        <v>1</v>
      </c>
      <c r="V11" s="21">
        <v>0</v>
      </c>
      <c r="W11" s="7">
        <v>0</v>
      </c>
      <c r="X11" s="21">
        <v>1</v>
      </c>
      <c r="Y11" s="60">
        <v>1992</v>
      </c>
      <c r="Z11" s="28" t="s">
        <v>45</v>
      </c>
      <c r="AA11" s="12" t="s">
        <v>45</v>
      </c>
      <c r="AB11" s="28">
        <v>0.41</v>
      </c>
      <c r="AC11">
        <v>0.59</v>
      </c>
      <c r="AD11" s="28">
        <v>0.92</v>
      </c>
      <c r="AE11" s="66">
        <f t="shared" si="3"/>
        <v>7.999999999999996E-2</v>
      </c>
      <c r="AF11">
        <v>0</v>
      </c>
      <c r="AG11">
        <v>1</v>
      </c>
      <c r="AH11" s="28">
        <v>0.64</v>
      </c>
      <c r="AI11" s="12">
        <f t="shared" si="4"/>
        <v>0.36</v>
      </c>
      <c r="AJ11">
        <v>1</v>
      </c>
      <c r="AK11">
        <v>0</v>
      </c>
      <c r="AL11" s="12">
        <v>0</v>
      </c>
      <c r="AM11" s="62" t="s">
        <v>67</v>
      </c>
      <c r="AN11">
        <v>1</v>
      </c>
      <c r="AO11">
        <v>0</v>
      </c>
      <c r="AP11">
        <v>25151</v>
      </c>
      <c r="AQ11">
        <v>1422</v>
      </c>
      <c r="AR11">
        <v>0.92100000000000004</v>
      </c>
      <c r="AS11" s="64">
        <v>38.07</v>
      </c>
      <c r="AT11">
        <v>0</v>
      </c>
      <c r="AU11">
        <v>0</v>
      </c>
      <c r="AV11">
        <v>0</v>
      </c>
      <c r="AW11">
        <v>0</v>
      </c>
      <c r="AX11">
        <v>1</v>
      </c>
      <c r="AY11">
        <v>0</v>
      </c>
      <c r="AZ11" s="28">
        <v>1</v>
      </c>
      <c r="BA11">
        <v>0</v>
      </c>
      <c r="BB11">
        <v>0</v>
      </c>
      <c r="BC11" s="28">
        <v>0</v>
      </c>
      <c r="BD11">
        <v>0</v>
      </c>
      <c r="BE11">
        <v>0</v>
      </c>
      <c r="BF11">
        <v>0</v>
      </c>
      <c r="BG11">
        <v>0</v>
      </c>
      <c r="BH11">
        <v>1</v>
      </c>
      <c r="BI11">
        <v>0</v>
      </c>
      <c r="BJ11">
        <v>0</v>
      </c>
      <c r="BK11" s="16">
        <v>1</v>
      </c>
      <c r="BL11">
        <v>3.0920000000000001</v>
      </c>
      <c r="BM11">
        <v>908</v>
      </c>
      <c r="BN11">
        <v>1</v>
      </c>
      <c r="BO11">
        <v>0</v>
      </c>
      <c r="BP11">
        <v>4</v>
      </c>
      <c r="BQ11" t="s">
        <v>34</v>
      </c>
    </row>
    <row r="12" spans="1:69" x14ac:dyDescent="0.25">
      <c r="A12">
        <v>11</v>
      </c>
      <c r="B12">
        <v>1</v>
      </c>
      <c r="C12" t="s">
        <v>195</v>
      </c>
      <c r="D12" s="10">
        <v>6.6</v>
      </c>
      <c r="E12" s="6">
        <v>1.8</v>
      </c>
      <c r="F12" s="6">
        <f t="shared" si="0"/>
        <v>3.6666666666666665</v>
      </c>
      <c r="G12" s="7">
        <v>1</v>
      </c>
      <c r="H12" s="8">
        <v>0</v>
      </c>
      <c r="I12" s="8">
        <v>0</v>
      </c>
      <c r="J12" s="7">
        <v>395</v>
      </c>
      <c r="K12" s="8">
        <v>5</v>
      </c>
      <c r="L12" s="8">
        <f t="shared" si="1"/>
        <v>389</v>
      </c>
      <c r="M12" s="60">
        <f t="shared" si="2"/>
        <v>22</v>
      </c>
      <c r="N12" s="6">
        <v>14.03</v>
      </c>
      <c r="O12" s="6">
        <v>8.34</v>
      </c>
      <c r="P12" s="7">
        <v>1</v>
      </c>
      <c r="Q12" s="8">
        <v>0</v>
      </c>
      <c r="R12" s="7">
        <v>1</v>
      </c>
      <c r="S12" s="8">
        <v>0</v>
      </c>
      <c r="T12" s="21">
        <v>0</v>
      </c>
      <c r="U12" s="8">
        <v>1</v>
      </c>
      <c r="V12" s="21">
        <v>0</v>
      </c>
      <c r="W12" s="7">
        <v>0</v>
      </c>
      <c r="X12" s="21">
        <v>1</v>
      </c>
      <c r="Y12" s="60">
        <v>1992</v>
      </c>
      <c r="Z12" s="28" t="s">
        <v>45</v>
      </c>
      <c r="AA12" s="12" t="s">
        <v>45</v>
      </c>
      <c r="AB12" s="28">
        <v>0.41</v>
      </c>
      <c r="AC12">
        <v>0.59</v>
      </c>
      <c r="AD12" s="28">
        <v>0.92</v>
      </c>
      <c r="AE12" s="66">
        <f t="shared" si="3"/>
        <v>7.999999999999996E-2</v>
      </c>
      <c r="AF12">
        <v>0</v>
      </c>
      <c r="AG12">
        <v>1</v>
      </c>
      <c r="AH12" s="28">
        <v>0.64</v>
      </c>
      <c r="AI12" s="12">
        <f t="shared" si="4"/>
        <v>0.36</v>
      </c>
      <c r="AJ12">
        <v>1</v>
      </c>
      <c r="AK12">
        <v>0</v>
      </c>
      <c r="AL12" s="12">
        <v>0</v>
      </c>
      <c r="AM12" s="62" t="s">
        <v>67</v>
      </c>
      <c r="AN12">
        <v>1</v>
      </c>
      <c r="AO12">
        <v>0</v>
      </c>
      <c r="AP12">
        <v>25151</v>
      </c>
      <c r="AQ12">
        <v>1422</v>
      </c>
      <c r="AR12">
        <v>0.92100000000000004</v>
      </c>
      <c r="AS12" s="64">
        <v>38.07</v>
      </c>
      <c r="AT12">
        <v>1</v>
      </c>
      <c r="AU12">
        <v>0</v>
      </c>
      <c r="AV12">
        <v>0</v>
      </c>
      <c r="AW12">
        <v>0</v>
      </c>
      <c r="AX12">
        <v>0</v>
      </c>
      <c r="AY12">
        <v>0</v>
      </c>
      <c r="AZ12" s="28">
        <v>0</v>
      </c>
      <c r="BA12">
        <v>0</v>
      </c>
      <c r="BB12">
        <v>0</v>
      </c>
      <c r="BC12" s="28">
        <v>1</v>
      </c>
      <c r="BD12">
        <v>1</v>
      </c>
      <c r="BE12">
        <v>0</v>
      </c>
      <c r="BF12">
        <v>1</v>
      </c>
      <c r="BG12">
        <v>1</v>
      </c>
      <c r="BH12">
        <v>0</v>
      </c>
      <c r="BI12">
        <v>0</v>
      </c>
      <c r="BJ12">
        <v>0</v>
      </c>
      <c r="BK12" s="16">
        <v>0</v>
      </c>
      <c r="BL12">
        <v>3.0920000000000001</v>
      </c>
      <c r="BM12">
        <v>908</v>
      </c>
      <c r="BN12">
        <v>1</v>
      </c>
      <c r="BO12">
        <v>0</v>
      </c>
      <c r="BP12">
        <v>4</v>
      </c>
      <c r="BQ12" t="s">
        <v>34</v>
      </c>
    </row>
    <row r="13" spans="1:69" x14ac:dyDescent="0.25">
      <c r="A13">
        <v>12</v>
      </c>
      <c r="B13">
        <v>1</v>
      </c>
      <c r="C13" t="s">
        <v>195</v>
      </c>
      <c r="D13" s="10">
        <v>6.4</v>
      </c>
      <c r="E13" s="6">
        <v>1.9</v>
      </c>
      <c r="F13" s="6">
        <f t="shared" si="0"/>
        <v>3.3684210526315792</v>
      </c>
      <c r="G13" s="7">
        <v>1</v>
      </c>
      <c r="H13" s="8">
        <v>0</v>
      </c>
      <c r="I13" s="8">
        <v>0</v>
      </c>
      <c r="J13" s="7">
        <v>353</v>
      </c>
      <c r="K13" s="8">
        <v>5</v>
      </c>
      <c r="L13" s="8">
        <f t="shared" si="1"/>
        <v>347</v>
      </c>
      <c r="M13" s="60">
        <f t="shared" si="2"/>
        <v>22</v>
      </c>
      <c r="N13" s="6">
        <v>14.03</v>
      </c>
      <c r="O13" s="6">
        <v>8.34</v>
      </c>
      <c r="P13" s="7">
        <v>1</v>
      </c>
      <c r="Q13" s="8">
        <v>0</v>
      </c>
      <c r="R13" s="7">
        <v>1</v>
      </c>
      <c r="S13" s="8">
        <v>0</v>
      </c>
      <c r="T13" s="21">
        <v>0</v>
      </c>
      <c r="U13" s="8">
        <v>1</v>
      </c>
      <c r="V13" s="21">
        <v>0</v>
      </c>
      <c r="W13" s="7">
        <v>0</v>
      </c>
      <c r="X13" s="21">
        <v>1</v>
      </c>
      <c r="Y13" s="60">
        <v>1992</v>
      </c>
      <c r="Z13" s="28" t="s">
        <v>45</v>
      </c>
      <c r="AA13" s="12" t="s">
        <v>45</v>
      </c>
      <c r="AB13" s="28">
        <v>0.41</v>
      </c>
      <c r="AC13">
        <v>0.59</v>
      </c>
      <c r="AD13" s="28">
        <v>0.92</v>
      </c>
      <c r="AE13" s="66">
        <f t="shared" si="3"/>
        <v>7.999999999999996E-2</v>
      </c>
      <c r="AF13">
        <v>0</v>
      </c>
      <c r="AG13">
        <v>1</v>
      </c>
      <c r="AH13" s="28">
        <v>0.64</v>
      </c>
      <c r="AI13" s="12">
        <f t="shared" si="4"/>
        <v>0.36</v>
      </c>
      <c r="AJ13">
        <v>1</v>
      </c>
      <c r="AK13">
        <v>0</v>
      </c>
      <c r="AL13" s="12">
        <v>0</v>
      </c>
      <c r="AM13" s="62" t="s">
        <v>67</v>
      </c>
      <c r="AN13">
        <v>1</v>
      </c>
      <c r="AO13">
        <v>0</v>
      </c>
      <c r="AP13">
        <v>25151</v>
      </c>
      <c r="AQ13">
        <v>1422</v>
      </c>
      <c r="AR13">
        <v>0.92100000000000004</v>
      </c>
      <c r="AS13" s="64">
        <v>38.07</v>
      </c>
      <c r="AT13">
        <v>1</v>
      </c>
      <c r="AU13">
        <v>0</v>
      </c>
      <c r="AV13">
        <v>0</v>
      </c>
      <c r="AW13">
        <v>0</v>
      </c>
      <c r="AX13">
        <v>0</v>
      </c>
      <c r="AY13">
        <v>0</v>
      </c>
      <c r="AZ13" s="28">
        <v>0</v>
      </c>
      <c r="BA13">
        <v>0</v>
      </c>
      <c r="BB13">
        <v>0</v>
      </c>
      <c r="BC13" s="28">
        <v>1</v>
      </c>
      <c r="BD13">
        <v>1</v>
      </c>
      <c r="BE13">
        <v>0</v>
      </c>
      <c r="BF13">
        <v>1</v>
      </c>
      <c r="BG13">
        <v>1</v>
      </c>
      <c r="BH13">
        <v>0</v>
      </c>
      <c r="BI13">
        <v>0</v>
      </c>
      <c r="BJ13">
        <v>0</v>
      </c>
      <c r="BK13" s="16">
        <v>0</v>
      </c>
      <c r="BL13">
        <v>3.0920000000000001</v>
      </c>
      <c r="BM13">
        <v>908</v>
      </c>
      <c r="BN13">
        <v>1</v>
      </c>
      <c r="BO13">
        <v>0</v>
      </c>
      <c r="BP13">
        <v>4</v>
      </c>
      <c r="BQ13" t="s">
        <v>34</v>
      </c>
    </row>
    <row r="14" spans="1:69" x14ac:dyDescent="0.25">
      <c r="A14">
        <v>13</v>
      </c>
      <c r="B14">
        <v>1</v>
      </c>
      <c r="C14" t="s">
        <v>195</v>
      </c>
      <c r="D14" s="10">
        <v>5.8</v>
      </c>
      <c r="E14" s="6">
        <v>1.9</v>
      </c>
      <c r="F14" s="6">
        <f t="shared" si="0"/>
        <v>3.0526315789473686</v>
      </c>
      <c r="G14" s="7">
        <v>1</v>
      </c>
      <c r="H14" s="8">
        <v>0</v>
      </c>
      <c r="I14" s="8">
        <v>0</v>
      </c>
      <c r="J14" s="7">
        <v>342</v>
      </c>
      <c r="K14" s="8">
        <v>5</v>
      </c>
      <c r="L14" s="8">
        <f t="shared" si="1"/>
        <v>336</v>
      </c>
      <c r="M14" s="60">
        <f t="shared" si="2"/>
        <v>22</v>
      </c>
      <c r="N14" s="6">
        <v>14.03</v>
      </c>
      <c r="O14" s="6">
        <v>8.34</v>
      </c>
      <c r="P14" s="7">
        <v>1</v>
      </c>
      <c r="Q14" s="8">
        <v>0</v>
      </c>
      <c r="R14" s="7">
        <v>1</v>
      </c>
      <c r="S14" s="8">
        <v>0</v>
      </c>
      <c r="T14" s="21">
        <v>0</v>
      </c>
      <c r="U14" s="8">
        <v>1</v>
      </c>
      <c r="V14" s="21">
        <v>0</v>
      </c>
      <c r="W14" s="7">
        <v>0</v>
      </c>
      <c r="X14" s="21">
        <v>1</v>
      </c>
      <c r="Y14" s="60">
        <v>1992</v>
      </c>
      <c r="Z14" s="28" t="s">
        <v>45</v>
      </c>
      <c r="AA14" s="12" t="s">
        <v>45</v>
      </c>
      <c r="AB14" s="28">
        <v>0.41</v>
      </c>
      <c r="AC14">
        <v>0.59</v>
      </c>
      <c r="AD14" s="28">
        <v>0.92</v>
      </c>
      <c r="AE14" s="66">
        <f t="shared" si="3"/>
        <v>7.999999999999996E-2</v>
      </c>
      <c r="AF14">
        <v>0</v>
      </c>
      <c r="AG14">
        <v>1</v>
      </c>
      <c r="AH14" s="28">
        <v>0.64</v>
      </c>
      <c r="AI14" s="12">
        <f t="shared" si="4"/>
        <v>0.36</v>
      </c>
      <c r="AJ14">
        <v>1</v>
      </c>
      <c r="AK14">
        <v>0</v>
      </c>
      <c r="AL14" s="12">
        <v>0</v>
      </c>
      <c r="AM14" s="62" t="s">
        <v>67</v>
      </c>
      <c r="AN14">
        <v>1</v>
      </c>
      <c r="AO14">
        <v>0</v>
      </c>
      <c r="AP14">
        <v>25151</v>
      </c>
      <c r="AQ14">
        <v>1422</v>
      </c>
      <c r="AR14">
        <v>0.92100000000000004</v>
      </c>
      <c r="AS14" s="64">
        <v>38.07</v>
      </c>
      <c r="AT14">
        <v>1</v>
      </c>
      <c r="AU14">
        <v>0</v>
      </c>
      <c r="AV14">
        <v>0</v>
      </c>
      <c r="AW14">
        <v>0</v>
      </c>
      <c r="AX14">
        <v>0</v>
      </c>
      <c r="AY14">
        <v>0</v>
      </c>
      <c r="AZ14" s="28">
        <v>0</v>
      </c>
      <c r="BA14">
        <v>0</v>
      </c>
      <c r="BB14">
        <v>0</v>
      </c>
      <c r="BC14" s="28">
        <v>1</v>
      </c>
      <c r="BD14">
        <v>1</v>
      </c>
      <c r="BE14">
        <v>0</v>
      </c>
      <c r="BF14">
        <v>1</v>
      </c>
      <c r="BG14">
        <v>1</v>
      </c>
      <c r="BH14">
        <v>0</v>
      </c>
      <c r="BI14">
        <v>0</v>
      </c>
      <c r="BJ14">
        <v>0</v>
      </c>
      <c r="BK14" s="16">
        <v>0</v>
      </c>
      <c r="BL14">
        <v>3.0920000000000001</v>
      </c>
      <c r="BM14">
        <v>908</v>
      </c>
      <c r="BN14">
        <v>1</v>
      </c>
      <c r="BO14">
        <v>0</v>
      </c>
      <c r="BP14">
        <v>4</v>
      </c>
      <c r="BQ14" t="s">
        <v>34</v>
      </c>
    </row>
    <row r="15" spans="1:69" x14ac:dyDescent="0.25">
      <c r="A15">
        <v>14</v>
      </c>
      <c r="B15">
        <v>1</v>
      </c>
      <c r="C15" t="s">
        <v>195</v>
      </c>
      <c r="D15" s="10">
        <v>6.6</v>
      </c>
      <c r="E15" s="6">
        <v>1.9</v>
      </c>
      <c r="F15" s="6">
        <f t="shared" si="0"/>
        <v>3.4736842105263159</v>
      </c>
      <c r="G15" s="7">
        <v>1</v>
      </c>
      <c r="H15" s="8">
        <v>0</v>
      </c>
      <c r="I15" s="8">
        <v>0</v>
      </c>
      <c r="J15" s="7">
        <v>335</v>
      </c>
      <c r="K15" s="8">
        <v>5</v>
      </c>
      <c r="L15" s="8">
        <f t="shared" si="1"/>
        <v>329</v>
      </c>
      <c r="M15" s="60">
        <f t="shared" si="2"/>
        <v>22</v>
      </c>
      <c r="N15" s="6">
        <v>14.03</v>
      </c>
      <c r="O15" s="6">
        <v>8.34</v>
      </c>
      <c r="P15" s="7">
        <v>1</v>
      </c>
      <c r="Q15" s="8">
        <v>0</v>
      </c>
      <c r="R15" s="7">
        <v>1</v>
      </c>
      <c r="S15" s="8">
        <v>0</v>
      </c>
      <c r="T15" s="21">
        <v>0</v>
      </c>
      <c r="U15" s="8">
        <v>1</v>
      </c>
      <c r="V15" s="21">
        <v>0</v>
      </c>
      <c r="W15" s="7">
        <v>0</v>
      </c>
      <c r="X15" s="21">
        <v>1</v>
      </c>
      <c r="Y15" s="60">
        <v>1992</v>
      </c>
      <c r="Z15" s="28" t="s">
        <v>45</v>
      </c>
      <c r="AA15" s="12" t="s">
        <v>45</v>
      </c>
      <c r="AB15" s="28">
        <v>0.41</v>
      </c>
      <c r="AC15">
        <v>0.59</v>
      </c>
      <c r="AD15" s="28">
        <v>0.92</v>
      </c>
      <c r="AE15" s="66">
        <f t="shared" si="3"/>
        <v>7.999999999999996E-2</v>
      </c>
      <c r="AF15">
        <v>0</v>
      </c>
      <c r="AG15">
        <v>1</v>
      </c>
      <c r="AH15" s="28">
        <v>0.64</v>
      </c>
      <c r="AI15" s="12">
        <f t="shared" si="4"/>
        <v>0.36</v>
      </c>
      <c r="AJ15">
        <v>1</v>
      </c>
      <c r="AK15">
        <v>0</v>
      </c>
      <c r="AL15" s="12">
        <v>0</v>
      </c>
      <c r="AM15" s="62" t="s">
        <v>67</v>
      </c>
      <c r="AN15">
        <v>1</v>
      </c>
      <c r="AO15">
        <v>0</v>
      </c>
      <c r="AP15">
        <v>25151</v>
      </c>
      <c r="AQ15">
        <v>1422</v>
      </c>
      <c r="AR15">
        <v>0.92100000000000004</v>
      </c>
      <c r="AS15" s="64">
        <v>38.07</v>
      </c>
      <c r="AT15">
        <v>1</v>
      </c>
      <c r="AU15">
        <v>0</v>
      </c>
      <c r="AV15">
        <v>0</v>
      </c>
      <c r="AW15">
        <v>0</v>
      </c>
      <c r="AX15">
        <v>0</v>
      </c>
      <c r="AY15">
        <v>0</v>
      </c>
      <c r="AZ15" s="28">
        <v>0</v>
      </c>
      <c r="BA15">
        <v>0</v>
      </c>
      <c r="BB15">
        <v>0</v>
      </c>
      <c r="BC15" s="28">
        <v>1</v>
      </c>
      <c r="BD15">
        <v>1</v>
      </c>
      <c r="BE15">
        <v>0</v>
      </c>
      <c r="BF15">
        <v>1</v>
      </c>
      <c r="BG15">
        <v>1</v>
      </c>
      <c r="BH15">
        <v>0</v>
      </c>
      <c r="BI15">
        <v>0</v>
      </c>
      <c r="BJ15">
        <v>0</v>
      </c>
      <c r="BK15" s="16">
        <v>0</v>
      </c>
      <c r="BL15">
        <v>3.0920000000000001</v>
      </c>
      <c r="BM15">
        <v>908</v>
      </c>
      <c r="BN15">
        <v>1</v>
      </c>
      <c r="BO15">
        <v>0</v>
      </c>
      <c r="BP15">
        <v>4</v>
      </c>
      <c r="BQ15" t="s">
        <v>34</v>
      </c>
    </row>
    <row r="16" spans="1:69" x14ac:dyDescent="0.25">
      <c r="A16">
        <v>15</v>
      </c>
      <c r="B16">
        <v>1</v>
      </c>
      <c r="C16" t="s">
        <v>195</v>
      </c>
      <c r="D16" s="10">
        <v>6.7</v>
      </c>
      <c r="E16" s="6">
        <v>2</v>
      </c>
      <c r="F16" s="6">
        <f t="shared" si="0"/>
        <v>3.35</v>
      </c>
      <c r="G16" s="7">
        <v>1</v>
      </c>
      <c r="H16" s="8">
        <v>0</v>
      </c>
      <c r="I16" s="8">
        <v>0</v>
      </c>
      <c r="J16" s="7">
        <v>297</v>
      </c>
      <c r="K16" s="8">
        <v>5</v>
      </c>
      <c r="L16" s="8">
        <f t="shared" si="1"/>
        <v>291</v>
      </c>
      <c r="M16" s="60">
        <f t="shared" si="2"/>
        <v>22</v>
      </c>
      <c r="N16" s="6">
        <v>14.03</v>
      </c>
      <c r="O16" s="6">
        <v>8.34</v>
      </c>
      <c r="P16" s="7">
        <v>1</v>
      </c>
      <c r="Q16" s="8">
        <v>0</v>
      </c>
      <c r="R16" s="7">
        <v>1</v>
      </c>
      <c r="S16" s="8">
        <v>0</v>
      </c>
      <c r="T16" s="21">
        <v>0</v>
      </c>
      <c r="U16" s="8">
        <v>1</v>
      </c>
      <c r="V16" s="21">
        <v>0</v>
      </c>
      <c r="W16" s="7">
        <v>0</v>
      </c>
      <c r="X16" s="21">
        <v>1</v>
      </c>
      <c r="Y16" s="60">
        <v>1992</v>
      </c>
      <c r="Z16" s="28" t="s">
        <v>45</v>
      </c>
      <c r="AA16" s="12" t="s">
        <v>45</v>
      </c>
      <c r="AB16" s="28">
        <v>0.41</v>
      </c>
      <c r="AC16">
        <v>0.59</v>
      </c>
      <c r="AD16" s="28">
        <v>0.92</v>
      </c>
      <c r="AE16" s="66">
        <f t="shared" si="3"/>
        <v>7.999999999999996E-2</v>
      </c>
      <c r="AF16">
        <v>0</v>
      </c>
      <c r="AG16">
        <v>1</v>
      </c>
      <c r="AH16" s="28">
        <v>0.64</v>
      </c>
      <c r="AI16" s="12">
        <f t="shared" si="4"/>
        <v>0.36</v>
      </c>
      <c r="AJ16">
        <v>1</v>
      </c>
      <c r="AK16">
        <v>0</v>
      </c>
      <c r="AL16" s="12">
        <v>0</v>
      </c>
      <c r="AM16" s="62" t="s">
        <v>67</v>
      </c>
      <c r="AN16">
        <v>1</v>
      </c>
      <c r="AO16">
        <v>0</v>
      </c>
      <c r="AP16">
        <v>25151</v>
      </c>
      <c r="AQ16">
        <v>1422</v>
      </c>
      <c r="AR16">
        <v>0.92100000000000004</v>
      </c>
      <c r="AS16" s="64">
        <v>38.07</v>
      </c>
      <c r="AT16">
        <v>1</v>
      </c>
      <c r="AU16">
        <v>0</v>
      </c>
      <c r="AV16">
        <v>0</v>
      </c>
      <c r="AW16">
        <v>0</v>
      </c>
      <c r="AX16">
        <v>0</v>
      </c>
      <c r="AY16">
        <v>0</v>
      </c>
      <c r="AZ16" s="28">
        <v>0</v>
      </c>
      <c r="BA16">
        <v>0</v>
      </c>
      <c r="BB16">
        <v>0</v>
      </c>
      <c r="BC16" s="28">
        <v>1</v>
      </c>
      <c r="BD16">
        <v>1</v>
      </c>
      <c r="BE16">
        <v>0</v>
      </c>
      <c r="BF16">
        <v>1</v>
      </c>
      <c r="BG16">
        <v>1</v>
      </c>
      <c r="BH16">
        <v>0</v>
      </c>
      <c r="BI16">
        <v>0</v>
      </c>
      <c r="BJ16">
        <v>0</v>
      </c>
      <c r="BK16" s="16">
        <v>0</v>
      </c>
      <c r="BL16">
        <v>3.0920000000000001</v>
      </c>
      <c r="BM16">
        <v>908</v>
      </c>
      <c r="BN16">
        <v>1</v>
      </c>
      <c r="BO16">
        <v>0</v>
      </c>
      <c r="BP16">
        <v>4</v>
      </c>
      <c r="BQ16" t="s">
        <v>34</v>
      </c>
    </row>
    <row r="17" spans="1:69" x14ac:dyDescent="0.25">
      <c r="A17">
        <v>16</v>
      </c>
      <c r="B17">
        <v>1</v>
      </c>
      <c r="C17" t="s">
        <v>195</v>
      </c>
      <c r="D17" s="10">
        <v>8.9</v>
      </c>
      <c r="E17" s="6">
        <v>3.3</v>
      </c>
      <c r="F17" s="6">
        <f t="shared" si="0"/>
        <v>2.6969696969696972</v>
      </c>
      <c r="G17" s="7">
        <v>1</v>
      </c>
      <c r="H17" s="8">
        <v>0</v>
      </c>
      <c r="I17" s="8">
        <v>0</v>
      </c>
      <c r="J17" s="7">
        <v>52</v>
      </c>
      <c r="K17" s="8">
        <v>5</v>
      </c>
      <c r="L17" s="8">
        <f t="shared" si="1"/>
        <v>46</v>
      </c>
      <c r="M17" s="60">
        <f t="shared" si="2"/>
        <v>22</v>
      </c>
      <c r="N17" s="6">
        <v>14.03</v>
      </c>
      <c r="O17" s="6">
        <v>8.34</v>
      </c>
      <c r="P17" s="7">
        <v>1</v>
      </c>
      <c r="Q17" s="8">
        <v>0</v>
      </c>
      <c r="R17" s="7">
        <v>1</v>
      </c>
      <c r="S17" s="8">
        <v>0</v>
      </c>
      <c r="T17" s="21">
        <v>0</v>
      </c>
      <c r="U17" s="8">
        <v>1</v>
      </c>
      <c r="V17" s="21">
        <v>0</v>
      </c>
      <c r="W17" s="7">
        <v>0</v>
      </c>
      <c r="X17" s="21">
        <v>1</v>
      </c>
      <c r="Y17" s="60">
        <v>1992</v>
      </c>
      <c r="Z17" s="28" t="s">
        <v>45</v>
      </c>
      <c r="AA17" s="12" t="s">
        <v>45</v>
      </c>
      <c r="AB17" s="28">
        <v>0.41</v>
      </c>
      <c r="AC17">
        <v>0.59</v>
      </c>
      <c r="AD17" s="28">
        <v>0.92</v>
      </c>
      <c r="AE17" s="66">
        <f t="shared" si="3"/>
        <v>7.999999999999996E-2</v>
      </c>
      <c r="AF17">
        <v>0</v>
      </c>
      <c r="AG17">
        <v>1</v>
      </c>
      <c r="AH17" s="28">
        <v>0.64</v>
      </c>
      <c r="AI17" s="12">
        <f t="shared" si="4"/>
        <v>0.36</v>
      </c>
      <c r="AJ17">
        <v>1</v>
      </c>
      <c r="AK17">
        <v>0</v>
      </c>
      <c r="AL17" s="12">
        <v>0</v>
      </c>
      <c r="AM17" s="62" t="s">
        <v>67</v>
      </c>
      <c r="AN17">
        <v>1</v>
      </c>
      <c r="AO17">
        <v>0</v>
      </c>
      <c r="AP17">
        <v>25151</v>
      </c>
      <c r="AQ17">
        <v>1422</v>
      </c>
      <c r="AR17">
        <v>0.92100000000000004</v>
      </c>
      <c r="AS17" s="64">
        <v>38.07</v>
      </c>
      <c r="AT17">
        <v>1</v>
      </c>
      <c r="AU17">
        <v>0</v>
      </c>
      <c r="AV17">
        <v>0</v>
      </c>
      <c r="AW17">
        <v>0</v>
      </c>
      <c r="AX17">
        <v>0</v>
      </c>
      <c r="AY17">
        <v>0</v>
      </c>
      <c r="AZ17" s="28">
        <v>0</v>
      </c>
      <c r="BA17">
        <v>0</v>
      </c>
      <c r="BB17">
        <v>0</v>
      </c>
      <c r="BC17" s="28">
        <v>1</v>
      </c>
      <c r="BD17">
        <v>1</v>
      </c>
      <c r="BE17">
        <v>0</v>
      </c>
      <c r="BF17">
        <v>1</v>
      </c>
      <c r="BG17">
        <v>1</v>
      </c>
      <c r="BH17">
        <v>0</v>
      </c>
      <c r="BI17">
        <v>0</v>
      </c>
      <c r="BJ17">
        <v>0</v>
      </c>
      <c r="BK17" s="16">
        <v>0</v>
      </c>
      <c r="BL17">
        <v>3.0920000000000001</v>
      </c>
      <c r="BM17">
        <v>908</v>
      </c>
      <c r="BN17">
        <v>1</v>
      </c>
      <c r="BO17">
        <v>0</v>
      </c>
      <c r="BP17">
        <v>4</v>
      </c>
      <c r="BQ17" t="s">
        <v>34</v>
      </c>
    </row>
    <row r="18" spans="1:69" x14ac:dyDescent="0.25">
      <c r="A18">
        <v>17</v>
      </c>
      <c r="B18">
        <v>1</v>
      </c>
      <c r="C18" t="s">
        <v>195</v>
      </c>
      <c r="D18" s="10">
        <v>8.5</v>
      </c>
      <c r="E18" s="6">
        <v>2.2999999999999998</v>
      </c>
      <c r="F18" s="6">
        <f t="shared" si="0"/>
        <v>3.6956521739130439</v>
      </c>
      <c r="G18" s="7">
        <v>1</v>
      </c>
      <c r="H18" s="8">
        <v>0</v>
      </c>
      <c r="I18" s="8">
        <v>0</v>
      </c>
      <c r="J18" s="7">
        <v>395</v>
      </c>
      <c r="K18" s="8">
        <v>4</v>
      </c>
      <c r="L18" s="8">
        <f t="shared" si="1"/>
        <v>390</v>
      </c>
      <c r="M18" s="60">
        <f t="shared" si="2"/>
        <v>22</v>
      </c>
      <c r="N18" s="6">
        <v>14.03</v>
      </c>
      <c r="O18" s="6">
        <v>8.34</v>
      </c>
      <c r="P18" s="7">
        <v>1</v>
      </c>
      <c r="Q18" s="8">
        <v>0</v>
      </c>
      <c r="R18" s="7">
        <v>1</v>
      </c>
      <c r="S18" s="8">
        <v>0</v>
      </c>
      <c r="T18" s="21">
        <v>0</v>
      </c>
      <c r="U18" s="8">
        <v>1</v>
      </c>
      <c r="V18" s="21">
        <v>0</v>
      </c>
      <c r="W18" s="7">
        <v>0</v>
      </c>
      <c r="X18" s="21">
        <v>1</v>
      </c>
      <c r="Y18" s="60">
        <v>1992</v>
      </c>
      <c r="Z18" s="28" t="s">
        <v>45</v>
      </c>
      <c r="AA18" s="12" t="s">
        <v>45</v>
      </c>
      <c r="AB18" s="28">
        <v>0.41</v>
      </c>
      <c r="AC18">
        <v>0.59</v>
      </c>
      <c r="AD18" s="28">
        <v>0.92</v>
      </c>
      <c r="AE18" s="66">
        <f t="shared" si="3"/>
        <v>7.999999999999996E-2</v>
      </c>
      <c r="AF18">
        <v>0</v>
      </c>
      <c r="AG18">
        <v>1</v>
      </c>
      <c r="AH18" s="28">
        <v>0.64</v>
      </c>
      <c r="AI18" s="12">
        <f t="shared" si="4"/>
        <v>0.36</v>
      </c>
      <c r="AJ18">
        <v>1</v>
      </c>
      <c r="AK18">
        <v>0</v>
      </c>
      <c r="AL18" s="12">
        <v>0</v>
      </c>
      <c r="AM18" s="62" t="s">
        <v>67</v>
      </c>
      <c r="AN18">
        <v>1</v>
      </c>
      <c r="AO18">
        <v>0</v>
      </c>
      <c r="AP18">
        <v>25151</v>
      </c>
      <c r="AQ18">
        <v>1422</v>
      </c>
      <c r="AR18">
        <v>0.92100000000000004</v>
      </c>
      <c r="AS18" s="64">
        <v>38.07</v>
      </c>
      <c r="AT18">
        <v>0</v>
      </c>
      <c r="AU18">
        <v>0</v>
      </c>
      <c r="AV18">
        <v>0</v>
      </c>
      <c r="AW18">
        <v>0</v>
      </c>
      <c r="AX18">
        <v>1</v>
      </c>
      <c r="AY18">
        <v>0</v>
      </c>
      <c r="AZ18" s="28">
        <v>1</v>
      </c>
      <c r="BA18">
        <v>0</v>
      </c>
      <c r="BB18">
        <v>0</v>
      </c>
      <c r="BC18" s="28">
        <v>0</v>
      </c>
      <c r="BD18">
        <v>0</v>
      </c>
      <c r="BE18">
        <v>0</v>
      </c>
      <c r="BF18">
        <v>0</v>
      </c>
      <c r="BG18">
        <v>0</v>
      </c>
      <c r="BH18">
        <v>1</v>
      </c>
      <c r="BI18">
        <v>0</v>
      </c>
      <c r="BJ18">
        <v>0</v>
      </c>
      <c r="BK18" s="16">
        <v>1</v>
      </c>
      <c r="BL18">
        <v>3.0920000000000001</v>
      </c>
      <c r="BM18">
        <v>908</v>
      </c>
      <c r="BN18">
        <v>1</v>
      </c>
      <c r="BO18">
        <v>0</v>
      </c>
      <c r="BP18">
        <v>4</v>
      </c>
      <c r="BQ18" t="s">
        <v>34</v>
      </c>
    </row>
    <row r="19" spans="1:69" x14ac:dyDescent="0.25">
      <c r="A19">
        <v>18</v>
      </c>
      <c r="B19">
        <v>1</v>
      </c>
      <c r="C19" t="s">
        <v>195</v>
      </c>
      <c r="D19" s="10">
        <v>8.6</v>
      </c>
      <c r="E19" s="6">
        <v>2.5</v>
      </c>
      <c r="F19" s="6">
        <f t="shared" si="0"/>
        <v>3.44</v>
      </c>
      <c r="G19" s="7">
        <v>1</v>
      </c>
      <c r="H19" s="8">
        <v>0</v>
      </c>
      <c r="I19" s="8">
        <v>0</v>
      </c>
      <c r="J19" s="7">
        <v>353</v>
      </c>
      <c r="K19" s="8">
        <v>4</v>
      </c>
      <c r="L19" s="8">
        <f t="shared" si="1"/>
        <v>348</v>
      </c>
      <c r="M19" s="60">
        <f t="shared" si="2"/>
        <v>22</v>
      </c>
      <c r="N19" s="6">
        <v>14.03</v>
      </c>
      <c r="O19" s="6">
        <v>8.34</v>
      </c>
      <c r="P19" s="7">
        <v>1</v>
      </c>
      <c r="Q19" s="8">
        <v>0</v>
      </c>
      <c r="R19" s="7">
        <v>1</v>
      </c>
      <c r="S19" s="8">
        <v>0</v>
      </c>
      <c r="T19" s="21">
        <v>0</v>
      </c>
      <c r="U19" s="8">
        <v>1</v>
      </c>
      <c r="V19" s="21">
        <v>0</v>
      </c>
      <c r="W19" s="7">
        <v>0</v>
      </c>
      <c r="X19" s="21">
        <v>1</v>
      </c>
      <c r="Y19" s="60">
        <v>1992</v>
      </c>
      <c r="Z19" s="28" t="s">
        <v>45</v>
      </c>
      <c r="AA19" s="12" t="s">
        <v>45</v>
      </c>
      <c r="AB19" s="28">
        <v>0.41</v>
      </c>
      <c r="AC19">
        <v>0.59</v>
      </c>
      <c r="AD19" s="28">
        <v>0.92</v>
      </c>
      <c r="AE19" s="66">
        <f t="shared" si="3"/>
        <v>7.999999999999996E-2</v>
      </c>
      <c r="AF19">
        <v>0</v>
      </c>
      <c r="AG19">
        <v>1</v>
      </c>
      <c r="AH19" s="28">
        <v>0.64</v>
      </c>
      <c r="AI19" s="12">
        <f t="shared" si="4"/>
        <v>0.36</v>
      </c>
      <c r="AJ19">
        <v>1</v>
      </c>
      <c r="AK19">
        <v>0</v>
      </c>
      <c r="AL19" s="12">
        <v>0</v>
      </c>
      <c r="AM19" s="62" t="s">
        <v>67</v>
      </c>
      <c r="AN19">
        <v>1</v>
      </c>
      <c r="AO19">
        <v>0</v>
      </c>
      <c r="AP19">
        <v>25151</v>
      </c>
      <c r="AQ19">
        <v>1422</v>
      </c>
      <c r="AR19">
        <v>0.92100000000000004</v>
      </c>
      <c r="AS19" s="64">
        <v>38.07</v>
      </c>
      <c r="AT19">
        <v>0</v>
      </c>
      <c r="AU19">
        <v>0</v>
      </c>
      <c r="AV19">
        <v>0</v>
      </c>
      <c r="AW19">
        <v>0</v>
      </c>
      <c r="AX19">
        <v>1</v>
      </c>
      <c r="AY19">
        <v>0</v>
      </c>
      <c r="AZ19" s="28">
        <v>1</v>
      </c>
      <c r="BA19">
        <v>0</v>
      </c>
      <c r="BB19">
        <v>0</v>
      </c>
      <c r="BC19" s="28">
        <v>0</v>
      </c>
      <c r="BD19">
        <v>0</v>
      </c>
      <c r="BE19">
        <v>0</v>
      </c>
      <c r="BF19">
        <v>0</v>
      </c>
      <c r="BG19">
        <v>0</v>
      </c>
      <c r="BH19">
        <v>1</v>
      </c>
      <c r="BI19">
        <v>0</v>
      </c>
      <c r="BJ19">
        <v>0</v>
      </c>
      <c r="BK19" s="16">
        <v>1</v>
      </c>
      <c r="BL19">
        <v>3.0920000000000001</v>
      </c>
      <c r="BM19">
        <v>908</v>
      </c>
      <c r="BN19">
        <v>1</v>
      </c>
      <c r="BO19">
        <v>0</v>
      </c>
      <c r="BP19">
        <v>4</v>
      </c>
      <c r="BQ19" t="s">
        <v>34</v>
      </c>
    </row>
    <row r="20" spans="1:69" x14ac:dyDescent="0.25">
      <c r="A20">
        <v>19</v>
      </c>
      <c r="B20">
        <v>1</v>
      </c>
      <c r="C20" t="s">
        <v>195</v>
      </c>
      <c r="D20" s="10">
        <v>7.7</v>
      </c>
      <c r="E20" s="6">
        <v>2.6</v>
      </c>
      <c r="F20" s="6">
        <f t="shared" si="0"/>
        <v>2.9615384615384617</v>
      </c>
      <c r="G20" s="7">
        <v>1</v>
      </c>
      <c r="H20" s="8">
        <v>0</v>
      </c>
      <c r="I20" s="8">
        <v>0</v>
      </c>
      <c r="J20" s="7">
        <v>342</v>
      </c>
      <c r="K20" s="8">
        <v>4</v>
      </c>
      <c r="L20" s="8">
        <f t="shared" si="1"/>
        <v>337</v>
      </c>
      <c r="M20" s="60">
        <f t="shared" si="2"/>
        <v>22</v>
      </c>
      <c r="N20" s="6">
        <v>14.03</v>
      </c>
      <c r="O20" s="6">
        <v>8.34</v>
      </c>
      <c r="P20" s="7">
        <v>1</v>
      </c>
      <c r="Q20" s="8">
        <v>0</v>
      </c>
      <c r="R20" s="7">
        <v>1</v>
      </c>
      <c r="S20" s="8">
        <v>0</v>
      </c>
      <c r="T20" s="21">
        <v>0</v>
      </c>
      <c r="U20" s="8">
        <v>1</v>
      </c>
      <c r="V20" s="21">
        <v>0</v>
      </c>
      <c r="W20" s="7">
        <v>0</v>
      </c>
      <c r="X20" s="21">
        <v>1</v>
      </c>
      <c r="Y20" s="60">
        <v>1992</v>
      </c>
      <c r="Z20" s="28" t="s">
        <v>45</v>
      </c>
      <c r="AA20" s="12" t="s">
        <v>45</v>
      </c>
      <c r="AB20" s="28">
        <v>0.41</v>
      </c>
      <c r="AC20">
        <v>0.59</v>
      </c>
      <c r="AD20" s="28">
        <v>0.92</v>
      </c>
      <c r="AE20" s="66">
        <f t="shared" si="3"/>
        <v>7.999999999999996E-2</v>
      </c>
      <c r="AF20">
        <v>0</v>
      </c>
      <c r="AG20">
        <v>1</v>
      </c>
      <c r="AH20" s="28">
        <v>0.64</v>
      </c>
      <c r="AI20" s="12">
        <f t="shared" si="4"/>
        <v>0.36</v>
      </c>
      <c r="AJ20">
        <v>1</v>
      </c>
      <c r="AK20">
        <v>0</v>
      </c>
      <c r="AL20" s="12">
        <v>0</v>
      </c>
      <c r="AM20" s="62" t="s">
        <v>67</v>
      </c>
      <c r="AN20">
        <v>1</v>
      </c>
      <c r="AO20">
        <v>0</v>
      </c>
      <c r="AP20">
        <v>25151</v>
      </c>
      <c r="AQ20">
        <v>1422</v>
      </c>
      <c r="AR20">
        <v>0.92100000000000004</v>
      </c>
      <c r="AS20" s="64">
        <v>38.07</v>
      </c>
      <c r="AT20">
        <v>0</v>
      </c>
      <c r="AU20">
        <v>0</v>
      </c>
      <c r="AV20">
        <v>0</v>
      </c>
      <c r="AW20">
        <v>0</v>
      </c>
      <c r="AX20">
        <v>1</v>
      </c>
      <c r="AY20">
        <v>0</v>
      </c>
      <c r="AZ20" s="28">
        <v>1</v>
      </c>
      <c r="BA20">
        <v>0</v>
      </c>
      <c r="BB20">
        <v>0</v>
      </c>
      <c r="BC20" s="28">
        <v>0</v>
      </c>
      <c r="BD20">
        <v>0</v>
      </c>
      <c r="BE20">
        <v>0</v>
      </c>
      <c r="BF20">
        <v>0</v>
      </c>
      <c r="BG20">
        <v>0</v>
      </c>
      <c r="BH20">
        <v>1</v>
      </c>
      <c r="BI20">
        <v>0</v>
      </c>
      <c r="BJ20">
        <v>0</v>
      </c>
      <c r="BK20" s="16">
        <v>1</v>
      </c>
      <c r="BL20">
        <v>3.0920000000000001</v>
      </c>
      <c r="BM20">
        <v>908</v>
      </c>
      <c r="BN20">
        <v>1</v>
      </c>
      <c r="BO20">
        <v>0</v>
      </c>
      <c r="BP20">
        <v>4</v>
      </c>
      <c r="BQ20" t="s">
        <v>34</v>
      </c>
    </row>
    <row r="21" spans="1:69" x14ac:dyDescent="0.25">
      <c r="A21">
        <v>20</v>
      </c>
      <c r="B21">
        <v>1</v>
      </c>
      <c r="C21" t="s">
        <v>195</v>
      </c>
      <c r="D21" s="10">
        <v>8.3000000000000007</v>
      </c>
      <c r="E21" s="6">
        <v>2.5</v>
      </c>
      <c r="F21" s="6">
        <f t="shared" si="0"/>
        <v>3.3200000000000003</v>
      </c>
      <c r="G21" s="7">
        <v>1</v>
      </c>
      <c r="H21" s="8">
        <v>0</v>
      </c>
      <c r="I21" s="8">
        <v>0</v>
      </c>
      <c r="J21" s="7">
        <v>335</v>
      </c>
      <c r="K21" s="8">
        <v>4</v>
      </c>
      <c r="L21" s="8">
        <f t="shared" si="1"/>
        <v>330</v>
      </c>
      <c r="M21" s="60">
        <f t="shared" si="2"/>
        <v>22</v>
      </c>
      <c r="N21" s="6">
        <v>14.03</v>
      </c>
      <c r="O21" s="6">
        <v>8.34</v>
      </c>
      <c r="P21" s="7">
        <v>1</v>
      </c>
      <c r="Q21" s="8">
        <v>0</v>
      </c>
      <c r="R21" s="7">
        <v>1</v>
      </c>
      <c r="S21" s="8">
        <v>0</v>
      </c>
      <c r="T21" s="21">
        <v>0</v>
      </c>
      <c r="U21" s="8">
        <v>1</v>
      </c>
      <c r="V21" s="21">
        <v>0</v>
      </c>
      <c r="W21" s="7">
        <v>0</v>
      </c>
      <c r="X21" s="21">
        <v>1</v>
      </c>
      <c r="Y21" s="60">
        <v>1992</v>
      </c>
      <c r="Z21" s="28" t="s">
        <v>45</v>
      </c>
      <c r="AA21" s="12" t="s">
        <v>45</v>
      </c>
      <c r="AB21" s="28">
        <v>0.41</v>
      </c>
      <c r="AC21">
        <v>0.59</v>
      </c>
      <c r="AD21" s="28">
        <v>0.92</v>
      </c>
      <c r="AE21" s="66">
        <f t="shared" si="3"/>
        <v>7.999999999999996E-2</v>
      </c>
      <c r="AF21">
        <v>0</v>
      </c>
      <c r="AG21">
        <v>1</v>
      </c>
      <c r="AH21" s="28">
        <v>0.64</v>
      </c>
      <c r="AI21" s="12">
        <f t="shared" si="4"/>
        <v>0.36</v>
      </c>
      <c r="AJ21">
        <v>1</v>
      </c>
      <c r="AK21">
        <v>0</v>
      </c>
      <c r="AL21" s="12">
        <v>0</v>
      </c>
      <c r="AM21" s="62" t="s">
        <v>67</v>
      </c>
      <c r="AN21">
        <v>1</v>
      </c>
      <c r="AO21">
        <v>0</v>
      </c>
      <c r="AP21">
        <v>25151</v>
      </c>
      <c r="AQ21">
        <v>1422</v>
      </c>
      <c r="AR21">
        <v>0.92100000000000004</v>
      </c>
      <c r="AS21" s="64">
        <v>38.07</v>
      </c>
      <c r="AT21">
        <v>0</v>
      </c>
      <c r="AU21">
        <v>0</v>
      </c>
      <c r="AV21">
        <v>0</v>
      </c>
      <c r="AW21">
        <v>0</v>
      </c>
      <c r="AX21">
        <v>1</v>
      </c>
      <c r="AY21">
        <v>0</v>
      </c>
      <c r="AZ21" s="28">
        <v>1</v>
      </c>
      <c r="BA21">
        <v>0</v>
      </c>
      <c r="BB21">
        <v>0</v>
      </c>
      <c r="BC21" s="28">
        <v>0</v>
      </c>
      <c r="BD21">
        <v>0</v>
      </c>
      <c r="BE21">
        <v>0</v>
      </c>
      <c r="BF21">
        <v>0</v>
      </c>
      <c r="BG21">
        <v>0</v>
      </c>
      <c r="BH21">
        <v>1</v>
      </c>
      <c r="BI21">
        <v>0</v>
      </c>
      <c r="BJ21">
        <v>0</v>
      </c>
      <c r="BK21" s="16">
        <v>1</v>
      </c>
      <c r="BL21">
        <v>3.0920000000000001</v>
      </c>
      <c r="BM21">
        <v>908</v>
      </c>
      <c r="BN21">
        <v>1</v>
      </c>
      <c r="BO21">
        <v>0</v>
      </c>
      <c r="BP21">
        <v>4</v>
      </c>
      <c r="BQ21" t="s">
        <v>34</v>
      </c>
    </row>
    <row r="22" spans="1:69" x14ac:dyDescent="0.25">
      <c r="A22">
        <v>21</v>
      </c>
      <c r="B22">
        <v>1</v>
      </c>
      <c r="C22" t="s">
        <v>195</v>
      </c>
      <c r="D22" s="10">
        <v>8.3000000000000007</v>
      </c>
      <c r="E22" s="6">
        <v>2.7</v>
      </c>
      <c r="F22" s="6">
        <f t="shared" si="0"/>
        <v>3.074074074074074</v>
      </c>
      <c r="G22" s="7">
        <v>1</v>
      </c>
      <c r="H22" s="8">
        <v>0</v>
      </c>
      <c r="I22" s="8">
        <v>0</v>
      </c>
      <c r="J22" s="7">
        <v>297</v>
      </c>
      <c r="K22" s="8">
        <v>4</v>
      </c>
      <c r="L22" s="8">
        <f t="shared" si="1"/>
        <v>292</v>
      </c>
      <c r="M22" s="60">
        <f t="shared" si="2"/>
        <v>22</v>
      </c>
      <c r="N22" s="6">
        <v>14.03</v>
      </c>
      <c r="O22" s="6">
        <v>8.34</v>
      </c>
      <c r="P22" s="7">
        <v>1</v>
      </c>
      <c r="Q22" s="8">
        <v>0</v>
      </c>
      <c r="R22" s="7">
        <v>1</v>
      </c>
      <c r="S22" s="8">
        <v>0</v>
      </c>
      <c r="T22" s="21">
        <v>0</v>
      </c>
      <c r="U22" s="8">
        <v>1</v>
      </c>
      <c r="V22" s="21">
        <v>0</v>
      </c>
      <c r="W22" s="7">
        <v>0</v>
      </c>
      <c r="X22" s="21">
        <v>1</v>
      </c>
      <c r="Y22" s="60">
        <v>1992</v>
      </c>
      <c r="Z22" s="28" t="s">
        <v>45</v>
      </c>
      <c r="AA22" s="12" t="s">
        <v>45</v>
      </c>
      <c r="AB22" s="28">
        <v>0.41</v>
      </c>
      <c r="AC22">
        <v>0.59</v>
      </c>
      <c r="AD22" s="28">
        <v>0.92</v>
      </c>
      <c r="AE22" s="66">
        <f t="shared" si="3"/>
        <v>7.999999999999996E-2</v>
      </c>
      <c r="AF22">
        <v>0</v>
      </c>
      <c r="AG22">
        <v>1</v>
      </c>
      <c r="AH22" s="28">
        <v>0.64</v>
      </c>
      <c r="AI22" s="12">
        <f t="shared" si="4"/>
        <v>0.36</v>
      </c>
      <c r="AJ22">
        <v>1</v>
      </c>
      <c r="AK22">
        <v>0</v>
      </c>
      <c r="AL22" s="12">
        <v>0</v>
      </c>
      <c r="AM22" s="62" t="s">
        <v>67</v>
      </c>
      <c r="AN22">
        <v>1</v>
      </c>
      <c r="AO22">
        <v>0</v>
      </c>
      <c r="AP22">
        <v>25151</v>
      </c>
      <c r="AQ22">
        <v>1422</v>
      </c>
      <c r="AR22">
        <v>0.92100000000000004</v>
      </c>
      <c r="AS22" s="64">
        <v>38.07</v>
      </c>
      <c r="AT22">
        <v>0</v>
      </c>
      <c r="AU22">
        <v>0</v>
      </c>
      <c r="AV22">
        <v>0</v>
      </c>
      <c r="AW22">
        <v>0</v>
      </c>
      <c r="AX22">
        <v>1</v>
      </c>
      <c r="AY22">
        <v>0</v>
      </c>
      <c r="AZ22" s="28">
        <v>1</v>
      </c>
      <c r="BA22">
        <v>0</v>
      </c>
      <c r="BB22">
        <v>0</v>
      </c>
      <c r="BC22" s="28">
        <v>0</v>
      </c>
      <c r="BD22">
        <v>0</v>
      </c>
      <c r="BE22">
        <v>0</v>
      </c>
      <c r="BF22">
        <v>0</v>
      </c>
      <c r="BG22">
        <v>0</v>
      </c>
      <c r="BH22">
        <v>1</v>
      </c>
      <c r="BI22">
        <v>0</v>
      </c>
      <c r="BJ22">
        <v>0</v>
      </c>
      <c r="BK22" s="16">
        <v>1</v>
      </c>
      <c r="BL22">
        <v>3.0920000000000001</v>
      </c>
      <c r="BM22">
        <v>908</v>
      </c>
      <c r="BN22">
        <v>1</v>
      </c>
      <c r="BO22">
        <v>0</v>
      </c>
      <c r="BP22">
        <v>4</v>
      </c>
      <c r="BQ22" t="s">
        <v>34</v>
      </c>
    </row>
    <row r="23" spans="1:69" x14ac:dyDescent="0.25">
      <c r="A23">
        <v>22</v>
      </c>
      <c r="B23">
        <v>1</v>
      </c>
      <c r="C23" t="s">
        <v>195</v>
      </c>
      <c r="D23" s="10">
        <v>16.3</v>
      </c>
      <c r="E23" s="6">
        <v>4.7</v>
      </c>
      <c r="F23" s="6">
        <f t="shared" si="0"/>
        <v>3.4680851063829787</v>
      </c>
      <c r="G23" s="7">
        <v>1</v>
      </c>
      <c r="H23" s="8">
        <v>0</v>
      </c>
      <c r="I23" s="8">
        <v>0</v>
      </c>
      <c r="J23" s="7">
        <v>52</v>
      </c>
      <c r="K23" s="8">
        <v>4</v>
      </c>
      <c r="L23" s="8">
        <f t="shared" si="1"/>
        <v>47</v>
      </c>
      <c r="M23" s="60">
        <f t="shared" si="2"/>
        <v>22</v>
      </c>
      <c r="N23" s="6">
        <v>14.03</v>
      </c>
      <c r="O23" s="6">
        <v>8.34</v>
      </c>
      <c r="P23" s="7">
        <v>1</v>
      </c>
      <c r="Q23" s="8">
        <v>0</v>
      </c>
      <c r="R23" s="7">
        <v>1</v>
      </c>
      <c r="S23" s="8">
        <v>0</v>
      </c>
      <c r="T23" s="21">
        <v>0</v>
      </c>
      <c r="U23" s="8">
        <v>1</v>
      </c>
      <c r="V23" s="21">
        <v>0</v>
      </c>
      <c r="W23" s="7">
        <v>0</v>
      </c>
      <c r="X23" s="21">
        <v>1</v>
      </c>
      <c r="Y23" s="60">
        <v>1992</v>
      </c>
      <c r="Z23" s="28" t="s">
        <v>45</v>
      </c>
      <c r="AA23" s="12" t="s">
        <v>45</v>
      </c>
      <c r="AB23" s="28">
        <v>0.41</v>
      </c>
      <c r="AC23">
        <v>0.59</v>
      </c>
      <c r="AD23" s="28">
        <v>0.92</v>
      </c>
      <c r="AE23" s="66">
        <f t="shared" si="3"/>
        <v>7.999999999999996E-2</v>
      </c>
      <c r="AF23">
        <v>0</v>
      </c>
      <c r="AG23">
        <v>1</v>
      </c>
      <c r="AH23" s="28">
        <v>0.64</v>
      </c>
      <c r="AI23" s="12">
        <f t="shared" si="4"/>
        <v>0.36</v>
      </c>
      <c r="AJ23">
        <v>1</v>
      </c>
      <c r="AK23">
        <v>0</v>
      </c>
      <c r="AL23" s="12">
        <v>0</v>
      </c>
      <c r="AM23" s="62" t="s">
        <v>67</v>
      </c>
      <c r="AN23">
        <v>1</v>
      </c>
      <c r="AO23">
        <v>0</v>
      </c>
      <c r="AP23">
        <v>25151</v>
      </c>
      <c r="AQ23">
        <v>1422</v>
      </c>
      <c r="AR23">
        <v>0.92100000000000004</v>
      </c>
      <c r="AS23" s="64">
        <v>38.07</v>
      </c>
      <c r="AT23">
        <v>0</v>
      </c>
      <c r="AU23">
        <v>0</v>
      </c>
      <c r="AV23">
        <v>0</v>
      </c>
      <c r="AW23">
        <v>0</v>
      </c>
      <c r="AX23">
        <v>1</v>
      </c>
      <c r="AY23">
        <v>0</v>
      </c>
      <c r="AZ23" s="28">
        <v>1</v>
      </c>
      <c r="BA23">
        <v>0</v>
      </c>
      <c r="BB23">
        <v>0</v>
      </c>
      <c r="BC23" s="28">
        <v>0</v>
      </c>
      <c r="BD23">
        <v>0</v>
      </c>
      <c r="BE23">
        <v>0</v>
      </c>
      <c r="BF23">
        <v>0</v>
      </c>
      <c r="BG23">
        <v>0</v>
      </c>
      <c r="BH23">
        <v>1</v>
      </c>
      <c r="BI23">
        <v>0</v>
      </c>
      <c r="BJ23">
        <v>0</v>
      </c>
      <c r="BK23" s="16">
        <v>1</v>
      </c>
      <c r="BL23">
        <v>3.0920000000000001</v>
      </c>
      <c r="BM23">
        <v>908</v>
      </c>
      <c r="BN23">
        <v>1</v>
      </c>
      <c r="BO23">
        <v>0</v>
      </c>
      <c r="BP23">
        <v>4</v>
      </c>
      <c r="BQ23" t="s">
        <v>34</v>
      </c>
    </row>
    <row r="24" spans="1:69" x14ac:dyDescent="0.25">
      <c r="A24">
        <v>23</v>
      </c>
      <c r="B24">
        <v>2</v>
      </c>
      <c r="C24" t="s">
        <v>201</v>
      </c>
      <c r="D24" s="10">
        <v>8.4</v>
      </c>
      <c r="E24" s="6">
        <v>1.4</v>
      </c>
      <c r="F24" s="6">
        <f t="shared" si="0"/>
        <v>6.0000000000000009</v>
      </c>
      <c r="G24" s="7">
        <v>1</v>
      </c>
      <c r="H24" s="8">
        <v>0</v>
      </c>
      <c r="I24" s="8">
        <v>0</v>
      </c>
      <c r="J24" s="7">
        <v>298</v>
      </c>
      <c r="K24" s="8">
        <v>5</v>
      </c>
      <c r="L24" s="8">
        <f t="shared" si="1"/>
        <v>292</v>
      </c>
      <c r="M24" s="60">
        <f t="shared" si="2"/>
        <v>15</v>
      </c>
      <c r="N24" s="6">
        <v>14.11</v>
      </c>
      <c r="O24" s="6">
        <f t="shared" ref="O24:O52" si="5">AS24-N24-6</f>
        <v>16.450000000000003</v>
      </c>
      <c r="P24" s="7">
        <v>1</v>
      </c>
      <c r="Q24" s="8">
        <v>0</v>
      </c>
      <c r="R24" s="7">
        <v>1</v>
      </c>
      <c r="S24" s="8">
        <v>0</v>
      </c>
      <c r="T24" s="21">
        <v>0</v>
      </c>
      <c r="U24" s="8">
        <v>1</v>
      </c>
      <c r="V24" s="21">
        <v>0</v>
      </c>
      <c r="W24" s="7">
        <v>1</v>
      </c>
      <c r="X24" s="21">
        <v>0</v>
      </c>
      <c r="Y24" s="60">
        <v>1991</v>
      </c>
      <c r="Z24" s="28">
        <v>0.85</v>
      </c>
      <c r="AA24">
        <v>0.15</v>
      </c>
      <c r="AB24" s="28">
        <v>0.46</v>
      </c>
      <c r="AC24">
        <v>0.54</v>
      </c>
      <c r="AD24" s="28">
        <v>0.94</v>
      </c>
      <c r="AE24" s="66">
        <v>0.06</v>
      </c>
      <c r="AF24">
        <v>0</v>
      </c>
      <c r="AG24">
        <v>1</v>
      </c>
      <c r="AH24" s="28">
        <v>0.45</v>
      </c>
      <c r="AI24" s="12">
        <v>0.55000000000000004</v>
      </c>
      <c r="AJ24">
        <v>1</v>
      </c>
      <c r="AK24">
        <v>0</v>
      </c>
      <c r="AL24" s="12">
        <v>0</v>
      </c>
      <c r="AM24" s="62" t="s">
        <v>67</v>
      </c>
      <c r="AN24">
        <v>1</v>
      </c>
      <c r="AO24">
        <v>0</v>
      </c>
      <c r="AP24">
        <v>24597</v>
      </c>
      <c r="AQ24">
        <v>1426</v>
      </c>
      <c r="AR24">
        <v>0.92100000000000004</v>
      </c>
      <c r="AS24" s="64">
        <v>36.56</v>
      </c>
      <c r="AT24">
        <v>1</v>
      </c>
      <c r="AU24">
        <v>0</v>
      </c>
      <c r="AV24">
        <v>0</v>
      </c>
      <c r="AW24">
        <v>0</v>
      </c>
      <c r="AX24">
        <v>0</v>
      </c>
      <c r="AY24">
        <v>0</v>
      </c>
      <c r="AZ24" s="28">
        <v>0</v>
      </c>
      <c r="BA24">
        <v>0</v>
      </c>
      <c r="BB24">
        <v>0</v>
      </c>
      <c r="BC24" s="28">
        <v>1</v>
      </c>
      <c r="BD24">
        <v>1</v>
      </c>
      <c r="BE24">
        <v>0</v>
      </c>
      <c r="BF24">
        <v>1</v>
      </c>
      <c r="BG24">
        <v>1</v>
      </c>
      <c r="BH24">
        <v>0</v>
      </c>
      <c r="BI24">
        <v>0</v>
      </c>
      <c r="BJ24">
        <v>0</v>
      </c>
      <c r="BK24" s="16">
        <v>0</v>
      </c>
      <c r="BL24">
        <v>3.0070000000000001</v>
      </c>
      <c r="BM24">
        <v>1812</v>
      </c>
      <c r="BN24">
        <v>1</v>
      </c>
      <c r="BO24">
        <v>0</v>
      </c>
      <c r="BP24">
        <v>0</v>
      </c>
      <c r="BQ24" t="s">
        <v>34</v>
      </c>
    </row>
    <row r="25" spans="1:69" x14ac:dyDescent="0.25">
      <c r="A25">
        <v>24</v>
      </c>
      <c r="B25">
        <v>2</v>
      </c>
      <c r="C25" t="s">
        <v>201</v>
      </c>
      <c r="D25" s="10">
        <v>8.6999999999999993</v>
      </c>
      <c r="E25" s="6">
        <v>1.5</v>
      </c>
      <c r="F25" s="6">
        <f t="shared" si="0"/>
        <v>5.8</v>
      </c>
      <c r="G25" s="7">
        <v>1</v>
      </c>
      <c r="H25" s="8">
        <v>0</v>
      </c>
      <c r="I25" s="8">
        <v>0</v>
      </c>
      <c r="J25" s="7">
        <v>298</v>
      </c>
      <c r="K25" s="8">
        <v>5</v>
      </c>
      <c r="L25" s="8">
        <f t="shared" si="1"/>
        <v>292</v>
      </c>
      <c r="M25" s="60">
        <f t="shared" si="2"/>
        <v>15</v>
      </c>
      <c r="N25" s="6">
        <v>14.11</v>
      </c>
      <c r="O25" s="6">
        <f t="shared" si="5"/>
        <v>16.450000000000003</v>
      </c>
      <c r="P25" s="7">
        <v>1</v>
      </c>
      <c r="Q25" s="8">
        <v>0</v>
      </c>
      <c r="R25" s="7">
        <v>1</v>
      </c>
      <c r="S25" s="8">
        <v>0</v>
      </c>
      <c r="T25" s="21">
        <v>0</v>
      </c>
      <c r="U25" s="8">
        <v>1</v>
      </c>
      <c r="V25" s="21">
        <v>0</v>
      </c>
      <c r="W25" s="7">
        <v>1</v>
      </c>
      <c r="X25" s="21">
        <v>0</v>
      </c>
      <c r="Y25" s="60">
        <v>1991</v>
      </c>
      <c r="Z25" s="28">
        <v>0.85</v>
      </c>
      <c r="AA25">
        <v>0.15</v>
      </c>
      <c r="AB25" s="28">
        <v>0.46</v>
      </c>
      <c r="AC25">
        <v>0.54</v>
      </c>
      <c r="AD25" s="28">
        <v>0.94</v>
      </c>
      <c r="AE25" s="66">
        <v>0.06</v>
      </c>
      <c r="AF25">
        <v>0</v>
      </c>
      <c r="AG25">
        <v>1</v>
      </c>
      <c r="AH25" s="28">
        <v>0.45</v>
      </c>
      <c r="AI25" s="12">
        <v>0.55000000000000004</v>
      </c>
      <c r="AJ25">
        <v>1</v>
      </c>
      <c r="AK25">
        <v>0</v>
      </c>
      <c r="AL25" s="12">
        <v>0</v>
      </c>
      <c r="AM25" s="62" t="s">
        <v>67</v>
      </c>
      <c r="AN25">
        <v>1</v>
      </c>
      <c r="AO25">
        <v>0</v>
      </c>
      <c r="AP25">
        <v>24597</v>
      </c>
      <c r="AQ25">
        <v>1426</v>
      </c>
      <c r="AR25">
        <v>0.92100000000000004</v>
      </c>
      <c r="AS25" s="64">
        <v>36.56</v>
      </c>
      <c r="AT25">
        <v>0</v>
      </c>
      <c r="AU25">
        <v>1</v>
      </c>
      <c r="AV25">
        <v>0</v>
      </c>
      <c r="AW25">
        <v>0</v>
      </c>
      <c r="AX25">
        <v>0</v>
      </c>
      <c r="AY25">
        <v>0</v>
      </c>
      <c r="AZ25" s="28">
        <v>0</v>
      </c>
      <c r="BA25">
        <v>0</v>
      </c>
      <c r="BB25">
        <v>0</v>
      </c>
      <c r="BC25" s="28">
        <v>1</v>
      </c>
      <c r="BD25">
        <v>1</v>
      </c>
      <c r="BE25">
        <v>0</v>
      </c>
      <c r="BF25">
        <v>1</v>
      </c>
      <c r="BG25">
        <v>1</v>
      </c>
      <c r="BH25">
        <v>0</v>
      </c>
      <c r="BI25">
        <v>0</v>
      </c>
      <c r="BJ25">
        <v>0</v>
      </c>
      <c r="BK25" s="16">
        <v>0</v>
      </c>
      <c r="BL25">
        <v>3.0070000000000001</v>
      </c>
      <c r="BM25">
        <v>1812</v>
      </c>
      <c r="BN25">
        <v>1</v>
      </c>
      <c r="BO25">
        <v>0</v>
      </c>
      <c r="BP25">
        <v>0</v>
      </c>
      <c r="BQ25" t="s">
        <v>34</v>
      </c>
    </row>
    <row r="26" spans="1:69" x14ac:dyDescent="0.25">
      <c r="A26">
        <v>25</v>
      </c>
      <c r="B26">
        <v>2</v>
      </c>
      <c r="C26" t="s">
        <v>201</v>
      </c>
      <c r="D26" s="10">
        <v>8.8000000000000007</v>
      </c>
      <c r="E26" s="6">
        <v>1.5</v>
      </c>
      <c r="F26" s="6">
        <f t="shared" si="0"/>
        <v>5.8666666666666671</v>
      </c>
      <c r="G26" s="7">
        <v>1</v>
      </c>
      <c r="H26" s="8">
        <v>0</v>
      </c>
      <c r="I26" s="8">
        <v>0</v>
      </c>
      <c r="J26" s="7">
        <v>298</v>
      </c>
      <c r="K26" s="8">
        <v>6</v>
      </c>
      <c r="L26" s="8">
        <f t="shared" si="1"/>
        <v>291</v>
      </c>
      <c r="M26" s="60">
        <f t="shared" si="2"/>
        <v>15</v>
      </c>
      <c r="N26" s="6">
        <v>14.11</v>
      </c>
      <c r="O26" s="6">
        <f t="shared" si="5"/>
        <v>16.450000000000003</v>
      </c>
      <c r="P26" s="7">
        <v>1</v>
      </c>
      <c r="Q26" s="8">
        <v>0</v>
      </c>
      <c r="R26" s="7">
        <v>1</v>
      </c>
      <c r="S26" s="8">
        <v>0</v>
      </c>
      <c r="T26" s="21">
        <v>0</v>
      </c>
      <c r="U26" s="8">
        <v>1</v>
      </c>
      <c r="V26" s="21">
        <v>0</v>
      </c>
      <c r="W26" s="7">
        <v>1</v>
      </c>
      <c r="X26" s="21">
        <v>0</v>
      </c>
      <c r="Y26" s="60">
        <v>1991</v>
      </c>
      <c r="Z26" s="28">
        <v>0.85</v>
      </c>
      <c r="AA26">
        <v>0.15</v>
      </c>
      <c r="AB26" s="28">
        <v>0.46</v>
      </c>
      <c r="AC26">
        <v>0.54</v>
      </c>
      <c r="AD26" s="28">
        <v>0.94</v>
      </c>
      <c r="AE26" s="66">
        <v>0.06</v>
      </c>
      <c r="AF26">
        <v>0</v>
      </c>
      <c r="AG26">
        <v>1</v>
      </c>
      <c r="AH26" s="28">
        <v>0.45</v>
      </c>
      <c r="AI26" s="12">
        <v>0.55000000000000004</v>
      </c>
      <c r="AJ26">
        <v>1</v>
      </c>
      <c r="AK26">
        <v>0</v>
      </c>
      <c r="AL26" s="12">
        <v>0</v>
      </c>
      <c r="AM26" s="62" t="s">
        <v>67</v>
      </c>
      <c r="AN26">
        <v>1</v>
      </c>
      <c r="AO26">
        <v>0</v>
      </c>
      <c r="AP26">
        <v>24597</v>
      </c>
      <c r="AQ26">
        <v>1426</v>
      </c>
      <c r="AR26">
        <v>0.92100000000000004</v>
      </c>
      <c r="AS26" s="64">
        <v>36.56</v>
      </c>
      <c r="AT26">
        <v>0</v>
      </c>
      <c r="AU26">
        <v>1</v>
      </c>
      <c r="AV26">
        <v>0</v>
      </c>
      <c r="AW26">
        <v>0</v>
      </c>
      <c r="AX26">
        <v>0</v>
      </c>
      <c r="AY26">
        <v>0</v>
      </c>
      <c r="AZ26" s="28">
        <v>0</v>
      </c>
      <c r="BA26">
        <v>0</v>
      </c>
      <c r="BB26">
        <v>0</v>
      </c>
      <c r="BC26" s="28">
        <v>1</v>
      </c>
      <c r="BD26">
        <v>1</v>
      </c>
      <c r="BE26">
        <v>0</v>
      </c>
      <c r="BF26">
        <v>1</v>
      </c>
      <c r="BG26">
        <v>1</v>
      </c>
      <c r="BH26">
        <v>0</v>
      </c>
      <c r="BI26">
        <v>0</v>
      </c>
      <c r="BJ26">
        <v>0</v>
      </c>
      <c r="BK26" s="16">
        <v>0</v>
      </c>
      <c r="BL26">
        <v>3.0070000000000001</v>
      </c>
      <c r="BM26">
        <v>1812</v>
      </c>
      <c r="BN26">
        <v>1</v>
      </c>
      <c r="BO26">
        <v>0</v>
      </c>
      <c r="BP26">
        <v>0</v>
      </c>
      <c r="BQ26" t="s">
        <v>34</v>
      </c>
    </row>
    <row r="27" spans="1:69" x14ac:dyDescent="0.25">
      <c r="A27">
        <v>26</v>
      </c>
      <c r="B27">
        <v>2</v>
      </c>
      <c r="C27" t="s">
        <v>201</v>
      </c>
      <c r="D27" s="10">
        <v>11.6</v>
      </c>
      <c r="E27" s="6">
        <v>3</v>
      </c>
      <c r="F27" s="6">
        <f t="shared" si="0"/>
        <v>3.8666666666666667</v>
      </c>
      <c r="G27" s="7">
        <v>1</v>
      </c>
      <c r="H27" s="8">
        <v>0</v>
      </c>
      <c r="I27" s="8">
        <v>0</v>
      </c>
      <c r="J27" s="7">
        <v>298</v>
      </c>
      <c r="K27" s="8">
        <v>6</v>
      </c>
      <c r="L27" s="8">
        <f t="shared" si="1"/>
        <v>291</v>
      </c>
      <c r="M27" s="60">
        <f t="shared" si="2"/>
        <v>15</v>
      </c>
      <c r="N27" s="6">
        <v>14.11</v>
      </c>
      <c r="O27" s="6">
        <f t="shared" si="5"/>
        <v>16.450000000000003</v>
      </c>
      <c r="P27" s="7">
        <v>1</v>
      </c>
      <c r="Q27" s="8">
        <v>0</v>
      </c>
      <c r="R27" s="7">
        <v>1</v>
      </c>
      <c r="S27" s="8">
        <v>0</v>
      </c>
      <c r="T27" s="21">
        <v>0</v>
      </c>
      <c r="U27" s="8">
        <v>1</v>
      </c>
      <c r="V27" s="21">
        <v>0</v>
      </c>
      <c r="W27" s="7">
        <v>1</v>
      </c>
      <c r="X27" s="21">
        <v>0</v>
      </c>
      <c r="Y27" s="60">
        <v>1991</v>
      </c>
      <c r="Z27" s="28">
        <v>0.85</v>
      </c>
      <c r="AA27">
        <v>0.15</v>
      </c>
      <c r="AB27" s="28">
        <v>0.46</v>
      </c>
      <c r="AC27">
        <v>0.54</v>
      </c>
      <c r="AD27" s="28">
        <v>0.94</v>
      </c>
      <c r="AE27" s="66">
        <v>0.06</v>
      </c>
      <c r="AF27">
        <v>0</v>
      </c>
      <c r="AG27">
        <v>1</v>
      </c>
      <c r="AH27" s="28">
        <v>0.45</v>
      </c>
      <c r="AI27" s="12">
        <v>0.55000000000000004</v>
      </c>
      <c r="AJ27">
        <v>1</v>
      </c>
      <c r="AK27">
        <v>0</v>
      </c>
      <c r="AL27" s="12">
        <v>0</v>
      </c>
      <c r="AM27" s="62" t="s">
        <v>67</v>
      </c>
      <c r="AN27">
        <v>1</v>
      </c>
      <c r="AO27">
        <v>0</v>
      </c>
      <c r="AP27">
        <v>24597</v>
      </c>
      <c r="AQ27">
        <v>1426</v>
      </c>
      <c r="AR27">
        <v>0.92100000000000004</v>
      </c>
      <c r="AS27" s="64">
        <v>36.56</v>
      </c>
      <c r="AT27">
        <v>0</v>
      </c>
      <c r="AU27">
        <v>0</v>
      </c>
      <c r="AV27">
        <v>0</v>
      </c>
      <c r="AW27">
        <v>0</v>
      </c>
      <c r="AX27">
        <v>0</v>
      </c>
      <c r="AY27">
        <v>1</v>
      </c>
      <c r="AZ27" s="28">
        <v>1</v>
      </c>
      <c r="BA27">
        <v>0</v>
      </c>
      <c r="BB27">
        <v>0</v>
      </c>
      <c r="BC27" s="28">
        <v>1</v>
      </c>
      <c r="BD27">
        <v>1</v>
      </c>
      <c r="BE27">
        <v>0</v>
      </c>
      <c r="BF27">
        <v>1</v>
      </c>
      <c r="BG27">
        <v>1</v>
      </c>
      <c r="BH27">
        <v>0</v>
      </c>
      <c r="BI27">
        <v>0</v>
      </c>
      <c r="BJ27">
        <v>0</v>
      </c>
      <c r="BK27" s="16">
        <v>0</v>
      </c>
      <c r="BL27">
        <v>3.0070000000000001</v>
      </c>
      <c r="BM27">
        <v>1812</v>
      </c>
      <c r="BN27">
        <v>1</v>
      </c>
      <c r="BO27">
        <v>0</v>
      </c>
      <c r="BP27">
        <v>0</v>
      </c>
      <c r="BQ27" t="s">
        <v>34</v>
      </c>
    </row>
    <row r="28" spans="1:69" x14ac:dyDescent="0.25">
      <c r="A28">
        <v>27</v>
      </c>
      <c r="B28">
        <v>2</v>
      </c>
      <c r="C28" t="s">
        <v>201</v>
      </c>
      <c r="D28" s="10">
        <v>9.1999999999999993</v>
      </c>
      <c r="E28" s="6">
        <v>2.4</v>
      </c>
      <c r="F28" s="6">
        <f t="shared" si="0"/>
        <v>3.833333333333333</v>
      </c>
      <c r="G28" s="7">
        <v>1</v>
      </c>
      <c r="H28" s="8">
        <v>0</v>
      </c>
      <c r="I28" s="8">
        <v>0</v>
      </c>
      <c r="J28" s="7">
        <v>149</v>
      </c>
      <c r="K28" s="8">
        <v>1</v>
      </c>
      <c r="L28" s="8">
        <f t="shared" si="1"/>
        <v>147</v>
      </c>
      <c r="M28" s="60">
        <f t="shared" si="2"/>
        <v>15</v>
      </c>
      <c r="N28" s="6">
        <v>14.11</v>
      </c>
      <c r="O28" s="6">
        <f t="shared" si="5"/>
        <v>16.450000000000003</v>
      </c>
      <c r="P28" s="7">
        <v>1</v>
      </c>
      <c r="Q28" s="8">
        <v>0</v>
      </c>
      <c r="R28" s="7">
        <v>1</v>
      </c>
      <c r="S28" s="8">
        <v>0</v>
      </c>
      <c r="T28" s="21">
        <v>0</v>
      </c>
      <c r="U28" s="8">
        <v>1</v>
      </c>
      <c r="V28" s="21">
        <v>0</v>
      </c>
      <c r="W28" s="7">
        <v>1</v>
      </c>
      <c r="X28" s="21">
        <v>0</v>
      </c>
      <c r="Y28" s="60">
        <v>1991</v>
      </c>
      <c r="Z28" s="28">
        <v>0.85</v>
      </c>
      <c r="AA28">
        <v>0.15</v>
      </c>
      <c r="AB28" s="28">
        <v>0.46</v>
      </c>
      <c r="AC28">
        <v>0.54</v>
      </c>
      <c r="AD28" s="28">
        <v>0.94</v>
      </c>
      <c r="AE28" s="66">
        <v>0.06</v>
      </c>
      <c r="AF28">
        <v>0</v>
      </c>
      <c r="AG28">
        <v>1</v>
      </c>
      <c r="AH28" s="28">
        <v>0.45</v>
      </c>
      <c r="AI28" s="12">
        <v>0.55000000000000004</v>
      </c>
      <c r="AJ28">
        <v>1</v>
      </c>
      <c r="AK28">
        <v>0</v>
      </c>
      <c r="AL28" s="12">
        <v>0</v>
      </c>
      <c r="AM28" s="62" t="s">
        <v>67</v>
      </c>
      <c r="AN28">
        <v>1</v>
      </c>
      <c r="AO28">
        <v>0</v>
      </c>
      <c r="AP28">
        <v>24597</v>
      </c>
      <c r="AQ28">
        <v>1426</v>
      </c>
      <c r="AR28">
        <v>0.92100000000000004</v>
      </c>
      <c r="AS28" s="64">
        <v>36.56</v>
      </c>
      <c r="AT28">
        <v>0</v>
      </c>
      <c r="AU28">
        <v>0</v>
      </c>
      <c r="AV28">
        <v>0</v>
      </c>
      <c r="AW28">
        <v>1</v>
      </c>
      <c r="AX28">
        <v>0</v>
      </c>
      <c r="AY28">
        <v>0</v>
      </c>
      <c r="AZ28" s="28">
        <v>0</v>
      </c>
      <c r="BA28">
        <v>0</v>
      </c>
      <c r="BB28">
        <v>0</v>
      </c>
      <c r="BC28" s="28">
        <v>0</v>
      </c>
      <c r="BD28">
        <v>0</v>
      </c>
      <c r="BE28">
        <v>0</v>
      </c>
      <c r="BF28">
        <v>0</v>
      </c>
      <c r="BG28">
        <v>0</v>
      </c>
      <c r="BH28">
        <v>0</v>
      </c>
      <c r="BI28">
        <v>0</v>
      </c>
      <c r="BJ28">
        <v>0</v>
      </c>
      <c r="BK28" s="16">
        <v>0</v>
      </c>
      <c r="BL28">
        <v>3.0070000000000001</v>
      </c>
      <c r="BM28">
        <v>1812</v>
      </c>
      <c r="BN28">
        <v>1</v>
      </c>
      <c r="BO28">
        <v>0</v>
      </c>
      <c r="BP28">
        <v>0</v>
      </c>
      <c r="BQ28" t="s">
        <v>34</v>
      </c>
    </row>
    <row r="29" spans="1:69" x14ac:dyDescent="0.25">
      <c r="A29">
        <v>28</v>
      </c>
      <c r="B29">
        <v>2</v>
      </c>
      <c r="C29" t="s">
        <v>201</v>
      </c>
      <c r="D29" s="10">
        <v>16.7</v>
      </c>
      <c r="E29" s="6">
        <v>4.3</v>
      </c>
      <c r="F29" s="6">
        <f t="shared" si="0"/>
        <v>3.8837209302325579</v>
      </c>
      <c r="G29" s="7">
        <v>1</v>
      </c>
      <c r="H29" s="8">
        <v>0</v>
      </c>
      <c r="I29" s="8">
        <v>0</v>
      </c>
      <c r="J29" s="7">
        <v>149</v>
      </c>
      <c r="K29" s="8">
        <v>1</v>
      </c>
      <c r="L29" s="8">
        <f t="shared" si="1"/>
        <v>147</v>
      </c>
      <c r="M29" s="60">
        <f t="shared" si="2"/>
        <v>15</v>
      </c>
      <c r="N29" s="6">
        <v>14.11</v>
      </c>
      <c r="O29" s="6">
        <f t="shared" si="5"/>
        <v>16.450000000000003</v>
      </c>
      <c r="P29" s="7">
        <v>1</v>
      </c>
      <c r="Q29" s="8">
        <v>0</v>
      </c>
      <c r="R29" s="7">
        <v>1</v>
      </c>
      <c r="S29" s="8">
        <v>0</v>
      </c>
      <c r="T29" s="21">
        <v>0</v>
      </c>
      <c r="U29" s="8">
        <v>1</v>
      </c>
      <c r="V29" s="21">
        <v>0</v>
      </c>
      <c r="W29" s="7">
        <v>1</v>
      </c>
      <c r="X29" s="21">
        <v>0</v>
      </c>
      <c r="Y29" s="60">
        <v>1991</v>
      </c>
      <c r="Z29" s="28">
        <v>0.85</v>
      </c>
      <c r="AA29">
        <v>0.15</v>
      </c>
      <c r="AB29" s="28">
        <v>0.46</v>
      </c>
      <c r="AC29">
        <v>0.54</v>
      </c>
      <c r="AD29" s="28">
        <v>0.94</v>
      </c>
      <c r="AE29" s="66">
        <v>0.06</v>
      </c>
      <c r="AF29">
        <v>0</v>
      </c>
      <c r="AG29">
        <v>1</v>
      </c>
      <c r="AH29" s="28">
        <v>0.45</v>
      </c>
      <c r="AI29" s="12">
        <v>0.55000000000000004</v>
      </c>
      <c r="AJ29">
        <v>1</v>
      </c>
      <c r="AK29">
        <v>0</v>
      </c>
      <c r="AL29" s="12">
        <v>0</v>
      </c>
      <c r="AM29" s="62" t="s">
        <v>67</v>
      </c>
      <c r="AN29">
        <v>1</v>
      </c>
      <c r="AO29">
        <v>0</v>
      </c>
      <c r="AP29">
        <v>24597</v>
      </c>
      <c r="AQ29">
        <v>1426</v>
      </c>
      <c r="AR29">
        <v>0.92100000000000004</v>
      </c>
      <c r="AS29" s="64">
        <v>36.56</v>
      </c>
      <c r="AT29">
        <v>0</v>
      </c>
      <c r="AU29">
        <v>0</v>
      </c>
      <c r="AV29">
        <v>0</v>
      </c>
      <c r="AW29">
        <v>0</v>
      </c>
      <c r="AX29">
        <v>1</v>
      </c>
      <c r="AY29">
        <v>0</v>
      </c>
      <c r="AZ29" s="28">
        <v>1</v>
      </c>
      <c r="BA29">
        <v>0</v>
      </c>
      <c r="BB29">
        <v>0</v>
      </c>
      <c r="BC29" s="28">
        <v>0</v>
      </c>
      <c r="BD29">
        <v>0</v>
      </c>
      <c r="BE29">
        <v>0</v>
      </c>
      <c r="BF29">
        <v>0</v>
      </c>
      <c r="BG29">
        <v>0</v>
      </c>
      <c r="BH29">
        <v>0</v>
      </c>
      <c r="BI29">
        <v>0</v>
      </c>
      <c r="BJ29">
        <v>0</v>
      </c>
      <c r="BK29" s="16">
        <v>0</v>
      </c>
      <c r="BL29">
        <v>3.0070000000000001</v>
      </c>
      <c r="BM29">
        <v>1812</v>
      </c>
      <c r="BN29">
        <v>1</v>
      </c>
      <c r="BO29">
        <v>0</v>
      </c>
      <c r="BP29">
        <v>0</v>
      </c>
      <c r="BQ29" t="s">
        <v>34</v>
      </c>
    </row>
    <row r="30" spans="1:69" x14ac:dyDescent="0.25">
      <c r="A30">
        <v>29</v>
      </c>
      <c r="B30">
        <v>2</v>
      </c>
      <c r="C30" t="s">
        <v>201</v>
      </c>
      <c r="D30" s="10">
        <v>8.6999999999999993</v>
      </c>
      <c r="E30" s="6">
        <v>1.5</v>
      </c>
      <c r="F30" s="6">
        <f t="shared" si="0"/>
        <v>5.8</v>
      </c>
      <c r="G30" s="7">
        <v>1</v>
      </c>
      <c r="H30" s="8">
        <v>0</v>
      </c>
      <c r="I30" s="8">
        <v>0</v>
      </c>
      <c r="J30" s="7">
        <v>298</v>
      </c>
      <c r="K30" s="8">
        <v>5</v>
      </c>
      <c r="L30" s="8">
        <f t="shared" si="1"/>
        <v>292</v>
      </c>
      <c r="M30" s="60">
        <f t="shared" si="2"/>
        <v>15</v>
      </c>
      <c r="N30" s="6">
        <v>14.11</v>
      </c>
      <c r="O30" s="6">
        <f t="shared" si="5"/>
        <v>16.450000000000003</v>
      </c>
      <c r="P30" s="7">
        <v>1</v>
      </c>
      <c r="Q30" s="8">
        <v>0</v>
      </c>
      <c r="R30" s="7">
        <v>1</v>
      </c>
      <c r="S30" s="8">
        <v>0</v>
      </c>
      <c r="T30" s="21">
        <v>0</v>
      </c>
      <c r="U30" s="8">
        <v>1</v>
      </c>
      <c r="V30" s="21">
        <v>0</v>
      </c>
      <c r="W30" s="7">
        <v>1</v>
      </c>
      <c r="X30" s="21">
        <v>0</v>
      </c>
      <c r="Y30" s="60">
        <v>1991</v>
      </c>
      <c r="Z30" s="28">
        <v>0.85</v>
      </c>
      <c r="AA30">
        <v>0.15</v>
      </c>
      <c r="AB30" s="28">
        <v>0.46</v>
      </c>
      <c r="AC30">
        <v>0.54</v>
      </c>
      <c r="AD30" s="28">
        <v>0.94</v>
      </c>
      <c r="AE30" s="66">
        <v>0.06</v>
      </c>
      <c r="AF30">
        <v>0</v>
      </c>
      <c r="AG30">
        <v>1</v>
      </c>
      <c r="AH30" s="28">
        <v>0.45</v>
      </c>
      <c r="AI30" s="12">
        <v>0.55000000000000004</v>
      </c>
      <c r="AJ30">
        <v>1</v>
      </c>
      <c r="AK30">
        <v>0</v>
      </c>
      <c r="AL30" s="12">
        <v>0</v>
      </c>
      <c r="AM30" s="62" t="s">
        <v>67</v>
      </c>
      <c r="AN30">
        <v>1</v>
      </c>
      <c r="AO30">
        <v>0</v>
      </c>
      <c r="AP30">
        <v>24597</v>
      </c>
      <c r="AQ30">
        <v>1426</v>
      </c>
      <c r="AR30">
        <v>0.92100000000000004</v>
      </c>
      <c r="AS30" s="64">
        <v>36.56</v>
      </c>
      <c r="AT30">
        <v>1</v>
      </c>
      <c r="AU30">
        <v>0</v>
      </c>
      <c r="AV30">
        <v>0</v>
      </c>
      <c r="AW30">
        <v>0</v>
      </c>
      <c r="AX30">
        <v>0</v>
      </c>
      <c r="AY30">
        <v>0</v>
      </c>
      <c r="AZ30" s="28">
        <v>0</v>
      </c>
      <c r="BA30">
        <v>0</v>
      </c>
      <c r="BB30">
        <v>0</v>
      </c>
      <c r="BC30" s="28">
        <v>1</v>
      </c>
      <c r="BD30">
        <v>1</v>
      </c>
      <c r="BE30">
        <v>0</v>
      </c>
      <c r="BF30">
        <v>1</v>
      </c>
      <c r="BG30">
        <v>1</v>
      </c>
      <c r="BH30">
        <v>0</v>
      </c>
      <c r="BI30">
        <v>0</v>
      </c>
      <c r="BJ30">
        <v>0</v>
      </c>
      <c r="BK30" s="16">
        <v>0</v>
      </c>
      <c r="BL30">
        <v>3.0070000000000001</v>
      </c>
      <c r="BM30">
        <v>1812</v>
      </c>
      <c r="BN30">
        <v>1</v>
      </c>
      <c r="BO30">
        <v>0</v>
      </c>
      <c r="BP30">
        <v>0</v>
      </c>
      <c r="BQ30" t="s">
        <v>34</v>
      </c>
    </row>
    <row r="31" spans="1:69" x14ac:dyDescent="0.25">
      <c r="A31">
        <v>30</v>
      </c>
      <c r="B31">
        <v>2</v>
      </c>
      <c r="C31" t="s">
        <v>201</v>
      </c>
      <c r="D31" s="10">
        <v>9.4</v>
      </c>
      <c r="E31" s="6">
        <v>1.6</v>
      </c>
      <c r="F31" s="6">
        <f t="shared" si="0"/>
        <v>5.875</v>
      </c>
      <c r="G31" s="7">
        <v>1</v>
      </c>
      <c r="H31" s="8">
        <v>0</v>
      </c>
      <c r="I31" s="8">
        <v>0</v>
      </c>
      <c r="J31" s="7">
        <v>298</v>
      </c>
      <c r="K31" s="8">
        <v>5</v>
      </c>
      <c r="L31" s="8">
        <f t="shared" si="1"/>
        <v>292</v>
      </c>
      <c r="M31" s="60">
        <f t="shared" si="2"/>
        <v>15</v>
      </c>
      <c r="N31" s="6">
        <v>14.11</v>
      </c>
      <c r="O31" s="6">
        <f t="shared" si="5"/>
        <v>16.450000000000003</v>
      </c>
      <c r="P31" s="7">
        <v>1</v>
      </c>
      <c r="Q31" s="8">
        <v>0</v>
      </c>
      <c r="R31" s="7">
        <v>1</v>
      </c>
      <c r="S31" s="8">
        <v>0</v>
      </c>
      <c r="T31" s="21">
        <v>0</v>
      </c>
      <c r="U31" s="8">
        <v>1</v>
      </c>
      <c r="V31" s="21">
        <v>0</v>
      </c>
      <c r="W31" s="7">
        <v>1</v>
      </c>
      <c r="X31" s="21">
        <v>0</v>
      </c>
      <c r="Y31" s="60">
        <v>1991</v>
      </c>
      <c r="Z31" s="28">
        <v>0.85</v>
      </c>
      <c r="AA31">
        <v>0.15</v>
      </c>
      <c r="AB31" s="28">
        <v>0.46</v>
      </c>
      <c r="AC31">
        <v>0.54</v>
      </c>
      <c r="AD31" s="28">
        <v>0.94</v>
      </c>
      <c r="AE31" s="66">
        <v>0.06</v>
      </c>
      <c r="AF31">
        <v>0</v>
      </c>
      <c r="AG31">
        <v>1</v>
      </c>
      <c r="AH31" s="28">
        <v>0.45</v>
      </c>
      <c r="AI31" s="12">
        <v>0.55000000000000004</v>
      </c>
      <c r="AJ31">
        <v>1</v>
      </c>
      <c r="AK31">
        <v>0</v>
      </c>
      <c r="AL31" s="12">
        <v>0</v>
      </c>
      <c r="AM31" s="62" t="s">
        <v>67</v>
      </c>
      <c r="AN31">
        <v>1</v>
      </c>
      <c r="AO31">
        <v>0</v>
      </c>
      <c r="AP31">
        <v>24597</v>
      </c>
      <c r="AQ31">
        <v>1426</v>
      </c>
      <c r="AR31">
        <v>0.92100000000000004</v>
      </c>
      <c r="AS31" s="64">
        <v>36.56</v>
      </c>
      <c r="AT31">
        <v>0</v>
      </c>
      <c r="AU31">
        <v>1</v>
      </c>
      <c r="AV31">
        <v>0</v>
      </c>
      <c r="AW31">
        <v>0</v>
      </c>
      <c r="AX31">
        <v>0</v>
      </c>
      <c r="AY31">
        <v>0</v>
      </c>
      <c r="AZ31" s="28">
        <v>0</v>
      </c>
      <c r="BA31">
        <v>0</v>
      </c>
      <c r="BB31">
        <v>0</v>
      </c>
      <c r="BC31" s="28">
        <v>1</v>
      </c>
      <c r="BD31">
        <v>1</v>
      </c>
      <c r="BE31">
        <v>0</v>
      </c>
      <c r="BF31">
        <v>1</v>
      </c>
      <c r="BG31">
        <v>1</v>
      </c>
      <c r="BH31">
        <v>0</v>
      </c>
      <c r="BI31">
        <v>0</v>
      </c>
      <c r="BJ31">
        <v>0</v>
      </c>
      <c r="BK31" s="16">
        <v>0</v>
      </c>
      <c r="BL31">
        <v>3.0070000000000001</v>
      </c>
      <c r="BM31">
        <v>1812</v>
      </c>
      <c r="BN31">
        <v>1</v>
      </c>
      <c r="BO31">
        <v>0</v>
      </c>
      <c r="BP31">
        <v>0</v>
      </c>
      <c r="BQ31" t="s">
        <v>34</v>
      </c>
    </row>
    <row r="32" spans="1:69" x14ac:dyDescent="0.25">
      <c r="A32">
        <v>31</v>
      </c>
      <c r="B32">
        <v>2</v>
      </c>
      <c r="C32" t="s">
        <v>201</v>
      </c>
      <c r="D32" s="10">
        <v>9.8000000000000007</v>
      </c>
      <c r="E32" s="6">
        <v>1.6</v>
      </c>
      <c r="F32" s="6">
        <f t="shared" si="0"/>
        <v>6.125</v>
      </c>
      <c r="G32" s="7">
        <v>1</v>
      </c>
      <c r="H32" s="8">
        <v>0</v>
      </c>
      <c r="I32" s="8">
        <v>0</v>
      </c>
      <c r="J32" s="7">
        <v>298</v>
      </c>
      <c r="K32" s="8">
        <v>6</v>
      </c>
      <c r="L32" s="8">
        <f t="shared" si="1"/>
        <v>291</v>
      </c>
      <c r="M32" s="60">
        <f t="shared" si="2"/>
        <v>15</v>
      </c>
      <c r="N32" s="6">
        <v>14.11</v>
      </c>
      <c r="O32" s="6">
        <f t="shared" si="5"/>
        <v>16.450000000000003</v>
      </c>
      <c r="P32" s="7">
        <v>1</v>
      </c>
      <c r="Q32" s="8">
        <v>0</v>
      </c>
      <c r="R32" s="7">
        <v>1</v>
      </c>
      <c r="S32" s="8">
        <v>0</v>
      </c>
      <c r="T32" s="21">
        <v>0</v>
      </c>
      <c r="U32" s="8">
        <v>1</v>
      </c>
      <c r="V32" s="21">
        <v>0</v>
      </c>
      <c r="W32" s="7">
        <v>1</v>
      </c>
      <c r="X32" s="21">
        <v>0</v>
      </c>
      <c r="Y32" s="60">
        <v>1991</v>
      </c>
      <c r="Z32" s="28">
        <v>0.85</v>
      </c>
      <c r="AA32">
        <v>0.15</v>
      </c>
      <c r="AB32" s="28">
        <v>0.46</v>
      </c>
      <c r="AC32">
        <v>0.54</v>
      </c>
      <c r="AD32" s="28">
        <v>0.94</v>
      </c>
      <c r="AE32" s="66">
        <v>0.06</v>
      </c>
      <c r="AF32">
        <v>0</v>
      </c>
      <c r="AG32">
        <v>1</v>
      </c>
      <c r="AH32" s="28">
        <v>0.45</v>
      </c>
      <c r="AI32" s="12">
        <v>0.55000000000000004</v>
      </c>
      <c r="AJ32">
        <v>1</v>
      </c>
      <c r="AK32">
        <v>0</v>
      </c>
      <c r="AL32" s="12">
        <v>0</v>
      </c>
      <c r="AM32" s="62" t="s">
        <v>67</v>
      </c>
      <c r="AN32">
        <v>1</v>
      </c>
      <c r="AO32">
        <v>0</v>
      </c>
      <c r="AP32">
        <v>24597</v>
      </c>
      <c r="AQ32">
        <v>1426</v>
      </c>
      <c r="AR32">
        <v>0.92100000000000004</v>
      </c>
      <c r="AS32" s="64">
        <v>36.56</v>
      </c>
      <c r="AT32">
        <v>0</v>
      </c>
      <c r="AU32">
        <v>1</v>
      </c>
      <c r="AV32">
        <v>0</v>
      </c>
      <c r="AW32">
        <v>0</v>
      </c>
      <c r="AX32">
        <v>0</v>
      </c>
      <c r="AY32">
        <v>0</v>
      </c>
      <c r="AZ32" s="28">
        <v>0</v>
      </c>
      <c r="BA32">
        <v>0</v>
      </c>
      <c r="BB32">
        <v>0</v>
      </c>
      <c r="BC32" s="28">
        <v>1</v>
      </c>
      <c r="BD32">
        <v>1</v>
      </c>
      <c r="BE32">
        <v>0</v>
      </c>
      <c r="BF32">
        <v>1</v>
      </c>
      <c r="BG32">
        <v>1</v>
      </c>
      <c r="BH32">
        <v>0</v>
      </c>
      <c r="BI32">
        <v>0</v>
      </c>
      <c r="BJ32">
        <v>0</v>
      </c>
      <c r="BK32" s="16">
        <v>0</v>
      </c>
      <c r="BL32">
        <v>3.0070000000000001</v>
      </c>
      <c r="BM32">
        <v>1812</v>
      </c>
      <c r="BN32">
        <v>1</v>
      </c>
      <c r="BO32">
        <v>0</v>
      </c>
      <c r="BP32">
        <v>0</v>
      </c>
      <c r="BQ32" t="s">
        <v>34</v>
      </c>
    </row>
    <row r="33" spans="1:69" x14ac:dyDescent="0.25">
      <c r="A33">
        <v>32</v>
      </c>
      <c r="B33">
        <v>2</v>
      </c>
      <c r="C33" t="s">
        <v>201</v>
      </c>
      <c r="D33" s="10">
        <v>11.7</v>
      </c>
      <c r="E33" s="6">
        <v>2.6</v>
      </c>
      <c r="F33" s="6">
        <f t="shared" si="0"/>
        <v>4.5</v>
      </c>
      <c r="G33" s="7">
        <v>1</v>
      </c>
      <c r="H33" s="8">
        <v>0</v>
      </c>
      <c r="I33" s="8">
        <v>0</v>
      </c>
      <c r="J33" s="7">
        <v>149</v>
      </c>
      <c r="K33" s="8">
        <v>1</v>
      </c>
      <c r="L33" s="8">
        <f t="shared" si="1"/>
        <v>147</v>
      </c>
      <c r="M33" s="60">
        <f t="shared" si="2"/>
        <v>15</v>
      </c>
      <c r="N33" s="6">
        <v>14.11</v>
      </c>
      <c r="O33" s="6">
        <f t="shared" si="5"/>
        <v>16.450000000000003</v>
      </c>
      <c r="P33" s="7">
        <v>1</v>
      </c>
      <c r="Q33" s="8">
        <v>0</v>
      </c>
      <c r="R33" s="7">
        <v>1</v>
      </c>
      <c r="S33" s="8">
        <v>0</v>
      </c>
      <c r="T33" s="21">
        <v>0</v>
      </c>
      <c r="U33" s="8">
        <v>1</v>
      </c>
      <c r="V33" s="21">
        <v>0</v>
      </c>
      <c r="W33" s="7">
        <v>1</v>
      </c>
      <c r="X33" s="21">
        <v>0</v>
      </c>
      <c r="Y33" s="60">
        <v>1991</v>
      </c>
      <c r="Z33" s="28">
        <v>0.85</v>
      </c>
      <c r="AA33">
        <v>0.15</v>
      </c>
      <c r="AB33" s="28">
        <v>0.46</v>
      </c>
      <c r="AC33">
        <v>0.54</v>
      </c>
      <c r="AD33" s="28">
        <v>0.94</v>
      </c>
      <c r="AE33" s="66">
        <v>0.06</v>
      </c>
      <c r="AF33">
        <v>0</v>
      </c>
      <c r="AG33">
        <v>1</v>
      </c>
      <c r="AH33" s="28">
        <v>0.45</v>
      </c>
      <c r="AI33" s="12">
        <v>0.55000000000000004</v>
      </c>
      <c r="AJ33">
        <v>1</v>
      </c>
      <c r="AK33">
        <v>0</v>
      </c>
      <c r="AL33" s="12">
        <v>0</v>
      </c>
      <c r="AM33" s="62" t="s">
        <v>67</v>
      </c>
      <c r="AN33">
        <v>1</v>
      </c>
      <c r="AO33">
        <v>0</v>
      </c>
      <c r="AP33">
        <v>24597</v>
      </c>
      <c r="AQ33">
        <v>1426</v>
      </c>
      <c r="AR33">
        <v>0.92100000000000004</v>
      </c>
      <c r="AS33" s="64">
        <v>36.56</v>
      </c>
      <c r="AT33">
        <v>0</v>
      </c>
      <c r="AU33">
        <v>0</v>
      </c>
      <c r="AV33">
        <v>0</v>
      </c>
      <c r="AW33">
        <v>1</v>
      </c>
      <c r="AX33">
        <v>0</v>
      </c>
      <c r="AY33">
        <v>0</v>
      </c>
      <c r="AZ33" s="28">
        <v>0</v>
      </c>
      <c r="BA33">
        <v>0</v>
      </c>
      <c r="BB33">
        <v>0</v>
      </c>
      <c r="BC33" s="28">
        <v>0</v>
      </c>
      <c r="BD33">
        <v>0</v>
      </c>
      <c r="BE33">
        <v>0</v>
      </c>
      <c r="BF33">
        <v>0</v>
      </c>
      <c r="BG33">
        <v>0</v>
      </c>
      <c r="BH33">
        <v>0</v>
      </c>
      <c r="BI33">
        <v>0</v>
      </c>
      <c r="BJ33">
        <v>0</v>
      </c>
      <c r="BK33" s="16">
        <v>0</v>
      </c>
      <c r="BL33">
        <v>3.0070000000000001</v>
      </c>
      <c r="BM33">
        <v>1812</v>
      </c>
      <c r="BN33">
        <v>1</v>
      </c>
      <c r="BO33">
        <v>0</v>
      </c>
      <c r="BP33">
        <v>0</v>
      </c>
      <c r="BQ33" t="s">
        <v>34</v>
      </c>
    </row>
    <row r="34" spans="1:69" x14ac:dyDescent="0.25">
      <c r="A34">
        <v>33</v>
      </c>
      <c r="B34">
        <v>2</v>
      </c>
      <c r="C34" t="s">
        <v>201</v>
      </c>
      <c r="D34" s="10">
        <v>10.5</v>
      </c>
      <c r="E34" s="6">
        <v>1.6</v>
      </c>
      <c r="F34" s="6">
        <f t="shared" si="0"/>
        <v>6.5625</v>
      </c>
      <c r="G34" s="7">
        <v>1</v>
      </c>
      <c r="H34" s="8">
        <v>0</v>
      </c>
      <c r="I34" s="8">
        <v>0</v>
      </c>
      <c r="J34" s="7">
        <v>284</v>
      </c>
      <c r="K34" s="8">
        <v>10</v>
      </c>
      <c r="L34" s="8">
        <f t="shared" si="1"/>
        <v>273</v>
      </c>
      <c r="M34" s="60">
        <f t="shared" si="2"/>
        <v>15</v>
      </c>
      <c r="N34" s="6">
        <v>14.11</v>
      </c>
      <c r="O34" s="6">
        <f t="shared" si="5"/>
        <v>16.450000000000003</v>
      </c>
      <c r="P34" s="7">
        <v>1</v>
      </c>
      <c r="Q34" s="8">
        <v>0</v>
      </c>
      <c r="R34" s="7">
        <v>1</v>
      </c>
      <c r="S34" s="8">
        <v>0</v>
      </c>
      <c r="T34" s="21">
        <v>0</v>
      </c>
      <c r="U34" s="8">
        <v>1</v>
      </c>
      <c r="V34" s="21">
        <v>0</v>
      </c>
      <c r="W34" s="7">
        <v>1</v>
      </c>
      <c r="X34" s="21">
        <v>0</v>
      </c>
      <c r="Y34" s="60">
        <v>1991</v>
      </c>
      <c r="Z34" s="28">
        <v>0.85</v>
      </c>
      <c r="AA34">
        <v>0.15</v>
      </c>
      <c r="AB34" s="28">
        <v>0.46</v>
      </c>
      <c r="AC34">
        <v>0.54</v>
      </c>
      <c r="AD34" s="28">
        <v>0.94</v>
      </c>
      <c r="AE34" s="66">
        <v>0.06</v>
      </c>
      <c r="AF34">
        <v>0</v>
      </c>
      <c r="AG34">
        <v>1</v>
      </c>
      <c r="AH34" s="28">
        <v>0.45</v>
      </c>
      <c r="AI34" s="12">
        <v>0.55000000000000004</v>
      </c>
      <c r="AJ34">
        <v>1</v>
      </c>
      <c r="AK34">
        <v>0</v>
      </c>
      <c r="AL34" s="12">
        <v>0</v>
      </c>
      <c r="AM34" s="62" t="s">
        <v>67</v>
      </c>
      <c r="AN34">
        <v>1</v>
      </c>
      <c r="AO34">
        <v>0</v>
      </c>
      <c r="AP34">
        <v>24597</v>
      </c>
      <c r="AQ34">
        <v>1426</v>
      </c>
      <c r="AR34">
        <v>0.92100000000000004</v>
      </c>
      <c r="AS34" s="64">
        <v>36.56</v>
      </c>
      <c r="AT34">
        <v>0</v>
      </c>
      <c r="AU34">
        <v>1</v>
      </c>
      <c r="AV34">
        <v>0</v>
      </c>
      <c r="AW34">
        <v>0</v>
      </c>
      <c r="AX34">
        <v>0</v>
      </c>
      <c r="AY34">
        <v>0</v>
      </c>
      <c r="AZ34" s="28">
        <v>0</v>
      </c>
      <c r="BA34">
        <v>0</v>
      </c>
      <c r="BB34">
        <v>0</v>
      </c>
      <c r="BC34" s="28">
        <v>1</v>
      </c>
      <c r="BD34">
        <v>1</v>
      </c>
      <c r="BE34">
        <v>1</v>
      </c>
      <c r="BF34">
        <v>1</v>
      </c>
      <c r="BG34">
        <v>1</v>
      </c>
      <c r="BH34">
        <v>1</v>
      </c>
      <c r="BI34">
        <v>1</v>
      </c>
      <c r="BJ34">
        <v>0</v>
      </c>
      <c r="BK34" s="16">
        <v>0</v>
      </c>
      <c r="BL34">
        <v>3.0070000000000001</v>
      </c>
      <c r="BM34">
        <v>1812</v>
      </c>
      <c r="BN34">
        <v>1</v>
      </c>
      <c r="BO34">
        <v>0</v>
      </c>
      <c r="BP34">
        <v>0</v>
      </c>
      <c r="BQ34" t="s">
        <v>34</v>
      </c>
    </row>
    <row r="35" spans="1:69" x14ac:dyDescent="0.25">
      <c r="A35">
        <v>34</v>
      </c>
      <c r="B35">
        <v>2</v>
      </c>
      <c r="C35" t="s">
        <v>201</v>
      </c>
      <c r="D35" s="10">
        <v>10.5</v>
      </c>
      <c r="E35" s="6">
        <v>1.6</v>
      </c>
      <c r="F35" s="6">
        <f t="shared" si="0"/>
        <v>6.5625</v>
      </c>
      <c r="G35" s="7">
        <v>1</v>
      </c>
      <c r="H35" s="8">
        <v>0</v>
      </c>
      <c r="I35" s="8">
        <v>0</v>
      </c>
      <c r="J35" s="7">
        <v>284</v>
      </c>
      <c r="K35" s="8">
        <v>11</v>
      </c>
      <c r="L35" s="8">
        <f t="shared" si="1"/>
        <v>272</v>
      </c>
      <c r="M35" s="60">
        <f t="shared" si="2"/>
        <v>15</v>
      </c>
      <c r="N35" s="6">
        <v>14.11</v>
      </c>
      <c r="O35" s="6">
        <f t="shared" si="5"/>
        <v>16.450000000000003</v>
      </c>
      <c r="P35" s="7">
        <v>1</v>
      </c>
      <c r="Q35" s="8">
        <v>0</v>
      </c>
      <c r="R35" s="7">
        <v>1</v>
      </c>
      <c r="S35" s="8">
        <v>0</v>
      </c>
      <c r="T35" s="21">
        <v>0</v>
      </c>
      <c r="U35" s="8">
        <v>1</v>
      </c>
      <c r="V35" s="21">
        <v>0</v>
      </c>
      <c r="W35" s="7">
        <v>1</v>
      </c>
      <c r="X35" s="21">
        <v>0</v>
      </c>
      <c r="Y35" s="60">
        <v>1991</v>
      </c>
      <c r="Z35" s="28">
        <v>0.85</v>
      </c>
      <c r="AA35">
        <v>0.15</v>
      </c>
      <c r="AB35" s="28">
        <v>0.46</v>
      </c>
      <c r="AC35">
        <v>0.54</v>
      </c>
      <c r="AD35" s="28">
        <v>0.94</v>
      </c>
      <c r="AE35" s="66">
        <v>0.06</v>
      </c>
      <c r="AF35">
        <v>0</v>
      </c>
      <c r="AG35">
        <v>1</v>
      </c>
      <c r="AH35" s="28">
        <v>0.45</v>
      </c>
      <c r="AI35" s="12">
        <v>0.55000000000000004</v>
      </c>
      <c r="AJ35">
        <v>1</v>
      </c>
      <c r="AK35">
        <v>0</v>
      </c>
      <c r="AL35" s="12">
        <v>0</v>
      </c>
      <c r="AM35" s="62" t="s">
        <v>67</v>
      </c>
      <c r="AN35">
        <v>1</v>
      </c>
      <c r="AO35">
        <v>0</v>
      </c>
      <c r="AP35">
        <v>24597</v>
      </c>
      <c r="AQ35">
        <v>1426</v>
      </c>
      <c r="AR35">
        <v>0.92100000000000004</v>
      </c>
      <c r="AS35" s="64">
        <v>36.56</v>
      </c>
      <c r="AT35">
        <v>0</v>
      </c>
      <c r="AU35">
        <v>1</v>
      </c>
      <c r="AV35">
        <v>0</v>
      </c>
      <c r="AW35">
        <v>0</v>
      </c>
      <c r="AX35">
        <v>0</v>
      </c>
      <c r="AY35">
        <v>0</v>
      </c>
      <c r="AZ35" s="28">
        <v>0</v>
      </c>
      <c r="BA35">
        <v>0</v>
      </c>
      <c r="BB35">
        <v>0</v>
      </c>
      <c r="BC35" s="28">
        <v>1</v>
      </c>
      <c r="BD35">
        <v>1</v>
      </c>
      <c r="BE35">
        <v>1</v>
      </c>
      <c r="BF35">
        <v>1</v>
      </c>
      <c r="BG35">
        <v>1</v>
      </c>
      <c r="BH35">
        <v>1</v>
      </c>
      <c r="BI35">
        <v>1</v>
      </c>
      <c r="BJ35">
        <v>0</v>
      </c>
      <c r="BK35" s="16">
        <v>0</v>
      </c>
      <c r="BL35">
        <v>3.0070000000000001</v>
      </c>
      <c r="BM35">
        <v>1812</v>
      </c>
      <c r="BN35">
        <v>1</v>
      </c>
      <c r="BO35">
        <v>0</v>
      </c>
      <c r="BP35">
        <v>0</v>
      </c>
      <c r="BQ35" t="s">
        <v>34</v>
      </c>
    </row>
    <row r="36" spans="1:69" x14ac:dyDescent="0.25">
      <c r="A36">
        <v>35</v>
      </c>
      <c r="B36">
        <v>2</v>
      </c>
      <c r="C36" t="s">
        <v>201</v>
      </c>
      <c r="D36" s="10">
        <v>14.7</v>
      </c>
      <c r="E36" s="6">
        <v>3.4</v>
      </c>
      <c r="F36" s="6">
        <f t="shared" si="0"/>
        <v>4.3235294117647056</v>
      </c>
      <c r="G36" s="7">
        <v>1</v>
      </c>
      <c r="H36" s="8">
        <v>0</v>
      </c>
      <c r="I36" s="8">
        <v>0</v>
      </c>
      <c r="J36" s="7">
        <v>284</v>
      </c>
      <c r="K36" s="8">
        <v>11</v>
      </c>
      <c r="L36" s="8">
        <f t="shared" si="1"/>
        <v>272</v>
      </c>
      <c r="M36" s="60">
        <f t="shared" si="2"/>
        <v>15</v>
      </c>
      <c r="N36" s="6">
        <v>14.11</v>
      </c>
      <c r="O36" s="6">
        <f t="shared" si="5"/>
        <v>16.450000000000003</v>
      </c>
      <c r="P36" s="7">
        <v>1</v>
      </c>
      <c r="Q36" s="8">
        <v>0</v>
      </c>
      <c r="R36" s="7">
        <v>1</v>
      </c>
      <c r="S36" s="8">
        <v>0</v>
      </c>
      <c r="T36" s="21">
        <v>0</v>
      </c>
      <c r="U36" s="8">
        <v>1</v>
      </c>
      <c r="V36" s="21">
        <v>0</v>
      </c>
      <c r="W36" s="7">
        <v>1</v>
      </c>
      <c r="X36" s="21">
        <v>0</v>
      </c>
      <c r="Y36" s="60">
        <v>1991</v>
      </c>
      <c r="Z36" s="28">
        <v>0.85</v>
      </c>
      <c r="AA36">
        <v>0.15</v>
      </c>
      <c r="AB36" s="28">
        <v>0.46</v>
      </c>
      <c r="AC36">
        <v>0.54</v>
      </c>
      <c r="AD36" s="28">
        <v>0.94</v>
      </c>
      <c r="AE36" s="66">
        <v>0.06</v>
      </c>
      <c r="AF36">
        <v>0</v>
      </c>
      <c r="AG36">
        <v>1</v>
      </c>
      <c r="AH36" s="28">
        <v>0.45</v>
      </c>
      <c r="AI36" s="12">
        <v>0.55000000000000004</v>
      </c>
      <c r="AJ36">
        <v>1</v>
      </c>
      <c r="AK36">
        <v>0</v>
      </c>
      <c r="AL36" s="12">
        <v>0</v>
      </c>
      <c r="AM36" s="62" t="s">
        <v>67</v>
      </c>
      <c r="AN36">
        <v>1</v>
      </c>
      <c r="AO36">
        <v>0</v>
      </c>
      <c r="AP36">
        <v>24597</v>
      </c>
      <c r="AQ36">
        <v>1426</v>
      </c>
      <c r="AR36">
        <v>0.92100000000000004</v>
      </c>
      <c r="AS36" s="64">
        <v>36.56</v>
      </c>
      <c r="AT36">
        <v>0</v>
      </c>
      <c r="AU36">
        <v>0</v>
      </c>
      <c r="AV36">
        <v>0</v>
      </c>
      <c r="AW36">
        <v>0</v>
      </c>
      <c r="AX36">
        <v>0</v>
      </c>
      <c r="AY36">
        <v>1</v>
      </c>
      <c r="AZ36" s="28">
        <v>1</v>
      </c>
      <c r="BA36">
        <v>0</v>
      </c>
      <c r="BB36">
        <v>0</v>
      </c>
      <c r="BC36" s="28">
        <v>1</v>
      </c>
      <c r="BD36">
        <v>1</v>
      </c>
      <c r="BE36">
        <v>1</v>
      </c>
      <c r="BF36">
        <v>1</v>
      </c>
      <c r="BG36">
        <v>1</v>
      </c>
      <c r="BH36">
        <v>1</v>
      </c>
      <c r="BI36">
        <v>1</v>
      </c>
      <c r="BJ36">
        <v>0</v>
      </c>
      <c r="BK36" s="16">
        <v>0</v>
      </c>
      <c r="BL36">
        <v>3.0070000000000001</v>
      </c>
      <c r="BM36">
        <v>1812</v>
      </c>
      <c r="BN36">
        <v>1</v>
      </c>
      <c r="BO36">
        <v>0</v>
      </c>
      <c r="BP36">
        <v>0</v>
      </c>
      <c r="BQ36" t="s">
        <v>34</v>
      </c>
    </row>
    <row r="37" spans="1:69" x14ac:dyDescent="0.25">
      <c r="A37">
        <v>36</v>
      </c>
      <c r="B37">
        <v>2</v>
      </c>
      <c r="C37" t="s">
        <v>201</v>
      </c>
      <c r="D37" s="10">
        <v>9.1</v>
      </c>
      <c r="E37" s="6">
        <v>2.2000000000000002</v>
      </c>
      <c r="F37" s="6">
        <f t="shared" si="0"/>
        <v>4.1363636363636358</v>
      </c>
      <c r="G37" s="7">
        <v>1</v>
      </c>
      <c r="H37" s="8">
        <v>0</v>
      </c>
      <c r="I37" s="8">
        <v>0</v>
      </c>
      <c r="J37" s="7">
        <v>147</v>
      </c>
      <c r="K37" s="8">
        <v>5</v>
      </c>
      <c r="L37" s="8">
        <f t="shared" si="1"/>
        <v>141</v>
      </c>
      <c r="M37" s="60">
        <f t="shared" si="2"/>
        <v>15</v>
      </c>
      <c r="N37" s="6">
        <v>14.11</v>
      </c>
      <c r="O37" s="6">
        <f t="shared" si="5"/>
        <v>16.450000000000003</v>
      </c>
      <c r="P37" s="7">
        <v>1</v>
      </c>
      <c r="Q37" s="8">
        <v>0</v>
      </c>
      <c r="R37" s="7">
        <v>1</v>
      </c>
      <c r="S37" s="8">
        <v>0</v>
      </c>
      <c r="T37" s="21">
        <v>0</v>
      </c>
      <c r="U37" s="8">
        <v>1</v>
      </c>
      <c r="V37" s="21">
        <v>0</v>
      </c>
      <c r="W37" s="7">
        <v>1</v>
      </c>
      <c r="X37" s="21">
        <v>0</v>
      </c>
      <c r="Y37" s="60">
        <v>1991</v>
      </c>
      <c r="Z37" s="28">
        <v>0.85</v>
      </c>
      <c r="AA37">
        <v>0.15</v>
      </c>
      <c r="AB37" s="28">
        <v>0.46</v>
      </c>
      <c r="AC37">
        <v>0.54</v>
      </c>
      <c r="AD37" s="28">
        <v>0.94</v>
      </c>
      <c r="AE37" s="66">
        <v>0.06</v>
      </c>
      <c r="AF37">
        <v>0</v>
      </c>
      <c r="AG37">
        <v>1</v>
      </c>
      <c r="AH37" s="28">
        <v>0.45</v>
      </c>
      <c r="AI37" s="12">
        <v>0.55000000000000004</v>
      </c>
      <c r="AJ37">
        <v>1</v>
      </c>
      <c r="AK37">
        <v>0</v>
      </c>
      <c r="AL37" s="12">
        <v>0</v>
      </c>
      <c r="AM37" s="62" t="s">
        <v>67</v>
      </c>
      <c r="AN37">
        <v>1</v>
      </c>
      <c r="AO37">
        <v>0</v>
      </c>
      <c r="AP37">
        <v>24597</v>
      </c>
      <c r="AQ37">
        <v>1426</v>
      </c>
      <c r="AR37">
        <v>0.92100000000000004</v>
      </c>
      <c r="AS37" s="64">
        <v>36.56</v>
      </c>
      <c r="AT37">
        <v>0</v>
      </c>
      <c r="AU37">
        <v>0</v>
      </c>
      <c r="AV37">
        <v>0</v>
      </c>
      <c r="AW37">
        <v>1</v>
      </c>
      <c r="AX37">
        <v>0</v>
      </c>
      <c r="AY37">
        <v>0</v>
      </c>
      <c r="AZ37" s="28">
        <v>0</v>
      </c>
      <c r="BA37">
        <v>0</v>
      </c>
      <c r="BB37">
        <v>0</v>
      </c>
      <c r="BC37" s="28">
        <v>0</v>
      </c>
      <c r="BD37">
        <v>0</v>
      </c>
      <c r="BE37">
        <v>1</v>
      </c>
      <c r="BF37">
        <v>0</v>
      </c>
      <c r="BG37">
        <v>0</v>
      </c>
      <c r="BH37">
        <v>1</v>
      </c>
      <c r="BI37">
        <v>1</v>
      </c>
      <c r="BJ37">
        <v>0</v>
      </c>
      <c r="BK37" s="16">
        <v>0</v>
      </c>
      <c r="BL37">
        <v>3.0070000000000001</v>
      </c>
      <c r="BM37">
        <v>1812</v>
      </c>
      <c r="BN37">
        <v>1</v>
      </c>
      <c r="BO37">
        <v>0</v>
      </c>
      <c r="BP37">
        <v>0</v>
      </c>
      <c r="BQ37" t="s">
        <v>34</v>
      </c>
    </row>
    <row r="38" spans="1:69" x14ac:dyDescent="0.25">
      <c r="A38">
        <v>37</v>
      </c>
      <c r="B38">
        <v>2</v>
      </c>
      <c r="C38" t="s">
        <v>201</v>
      </c>
      <c r="D38" s="10">
        <v>17</v>
      </c>
      <c r="E38" s="6">
        <v>4.0999999999999996</v>
      </c>
      <c r="F38" s="6">
        <f t="shared" si="0"/>
        <v>4.1463414634146343</v>
      </c>
      <c r="G38" s="7">
        <v>1</v>
      </c>
      <c r="H38" s="8">
        <v>0</v>
      </c>
      <c r="I38" s="8">
        <v>0</v>
      </c>
      <c r="J38" s="7">
        <v>147</v>
      </c>
      <c r="K38" s="8">
        <v>4</v>
      </c>
      <c r="L38" s="8">
        <f t="shared" si="1"/>
        <v>142</v>
      </c>
      <c r="M38" s="60">
        <f t="shared" si="2"/>
        <v>15</v>
      </c>
      <c r="N38" s="6">
        <v>14.11</v>
      </c>
      <c r="O38" s="6">
        <f t="shared" si="5"/>
        <v>16.450000000000003</v>
      </c>
      <c r="P38" s="7">
        <v>1</v>
      </c>
      <c r="Q38" s="8">
        <v>0</v>
      </c>
      <c r="R38" s="7">
        <v>1</v>
      </c>
      <c r="S38" s="8">
        <v>0</v>
      </c>
      <c r="T38" s="21">
        <v>0</v>
      </c>
      <c r="U38" s="8">
        <v>1</v>
      </c>
      <c r="V38" s="21">
        <v>0</v>
      </c>
      <c r="W38" s="7">
        <v>1</v>
      </c>
      <c r="X38" s="21">
        <v>0</v>
      </c>
      <c r="Y38" s="60">
        <v>1991</v>
      </c>
      <c r="Z38" s="28">
        <v>0.85</v>
      </c>
      <c r="AA38">
        <v>0.15</v>
      </c>
      <c r="AB38" s="28">
        <v>0.46</v>
      </c>
      <c r="AC38">
        <v>0.54</v>
      </c>
      <c r="AD38" s="28">
        <v>0.94</v>
      </c>
      <c r="AE38" s="66">
        <v>0.06</v>
      </c>
      <c r="AF38">
        <v>0</v>
      </c>
      <c r="AG38">
        <v>1</v>
      </c>
      <c r="AH38" s="28">
        <v>0.45</v>
      </c>
      <c r="AI38" s="12">
        <v>0.55000000000000004</v>
      </c>
      <c r="AJ38">
        <v>1</v>
      </c>
      <c r="AK38">
        <v>0</v>
      </c>
      <c r="AL38" s="12">
        <v>0</v>
      </c>
      <c r="AM38" s="62" t="s">
        <v>67</v>
      </c>
      <c r="AN38">
        <v>1</v>
      </c>
      <c r="AO38">
        <v>0</v>
      </c>
      <c r="AP38">
        <v>24597</v>
      </c>
      <c r="AQ38">
        <v>1426</v>
      </c>
      <c r="AR38">
        <v>0.92100000000000004</v>
      </c>
      <c r="AS38" s="64">
        <v>36.56</v>
      </c>
      <c r="AT38">
        <v>0</v>
      </c>
      <c r="AU38">
        <v>0</v>
      </c>
      <c r="AV38">
        <v>0</v>
      </c>
      <c r="AW38">
        <v>0</v>
      </c>
      <c r="AX38">
        <v>1</v>
      </c>
      <c r="AY38">
        <v>0</v>
      </c>
      <c r="AZ38" s="28">
        <v>1</v>
      </c>
      <c r="BA38">
        <v>0</v>
      </c>
      <c r="BB38">
        <v>0</v>
      </c>
      <c r="BC38" s="28">
        <v>0</v>
      </c>
      <c r="BD38">
        <v>0</v>
      </c>
      <c r="BE38">
        <v>1</v>
      </c>
      <c r="BF38">
        <v>0</v>
      </c>
      <c r="BG38">
        <v>0</v>
      </c>
      <c r="BH38">
        <v>1</v>
      </c>
      <c r="BI38">
        <v>1</v>
      </c>
      <c r="BJ38">
        <v>0</v>
      </c>
      <c r="BK38" s="16">
        <v>0</v>
      </c>
      <c r="BL38">
        <v>3.0070000000000001</v>
      </c>
      <c r="BM38">
        <v>1812</v>
      </c>
      <c r="BN38">
        <v>1</v>
      </c>
      <c r="BO38">
        <v>0</v>
      </c>
      <c r="BP38">
        <v>0</v>
      </c>
      <c r="BQ38" t="s">
        <v>34</v>
      </c>
    </row>
    <row r="39" spans="1:69" x14ac:dyDescent="0.25">
      <c r="A39">
        <v>38</v>
      </c>
      <c r="B39">
        <v>3</v>
      </c>
      <c r="C39" t="s">
        <v>207</v>
      </c>
      <c r="D39" s="10">
        <v>10.5</v>
      </c>
      <c r="E39" s="6">
        <v>0.8</v>
      </c>
      <c r="F39" s="6">
        <f t="shared" si="0"/>
        <v>13.125</v>
      </c>
      <c r="G39" s="78">
        <v>1</v>
      </c>
      <c r="H39" s="8">
        <v>0</v>
      </c>
      <c r="I39" s="8">
        <v>0</v>
      </c>
      <c r="J39" s="7">
        <v>906</v>
      </c>
      <c r="K39" s="8">
        <v>5</v>
      </c>
      <c r="L39" s="8">
        <f t="shared" si="1"/>
        <v>900</v>
      </c>
      <c r="M39" s="60">
        <f t="shared" si="2"/>
        <v>14</v>
      </c>
      <c r="N39" s="6">
        <v>14.08</v>
      </c>
      <c r="O39" s="6">
        <f t="shared" si="5"/>
        <v>16.480000000000004</v>
      </c>
      <c r="P39" s="78">
        <v>1</v>
      </c>
      <c r="Q39" s="8">
        <v>0</v>
      </c>
      <c r="R39" s="78">
        <v>1</v>
      </c>
      <c r="S39" s="8">
        <v>0</v>
      </c>
      <c r="T39" s="21">
        <v>0</v>
      </c>
      <c r="U39" s="8">
        <v>1</v>
      </c>
      <c r="V39" s="21">
        <v>0</v>
      </c>
      <c r="W39" s="78">
        <v>1</v>
      </c>
      <c r="X39" s="21">
        <v>0</v>
      </c>
      <c r="Y39" s="69">
        <v>1993</v>
      </c>
      <c r="Z39" s="28" t="s">
        <v>45</v>
      </c>
      <c r="AA39" t="s">
        <v>45</v>
      </c>
      <c r="AB39" s="28">
        <v>0.46</v>
      </c>
      <c r="AC39">
        <v>0.54</v>
      </c>
      <c r="AD39" s="28">
        <v>0.94</v>
      </c>
      <c r="AE39" s="66">
        <f t="shared" ref="AE39:AE80" si="6">1-AD39</f>
        <v>6.0000000000000053E-2</v>
      </c>
      <c r="AF39">
        <v>0</v>
      </c>
      <c r="AG39">
        <v>1</v>
      </c>
      <c r="AH39" s="28">
        <v>0.45</v>
      </c>
      <c r="AI39" s="12">
        <f t="shared" ref="AI39:AI95" si="7">1-AH39</f>
        <v>0.55000000000000004</v>
      </c>
      <c r="AJ39">
        <v>1</v>
      </c>
      <c r="AK39">
        <v>0</v>
      </c>
      <c r="AL39" s="12">
        <v>0</v>
      </c>
      <c r="AM39" s="62" t="s">
        <v>67</v>
      </c>
      <c r="AN39">
        <v>1</v>
      </c>
      <c r="AO39">
        <v>0</v>
      </c>
      <c r="AP39">
        <v>25687</v>
      </c>
      <c r="AQ39">
        <v>1381</v>
      </c>
      <c r="AR39">
        <v>0.92600000000000005</v>
      </c>
      <c r="AS39" s="64">
        <v>36.56</v>
      </c>
      <c r="AT39">
        <v>1</v>
      </c>
      <c r="AU39">
        <v>0</v>
      </c>
      <c r="AV39">
        <v>0</v>
      </c>
      <c r="AW39">
        <v>0</v>
      </c>
      <c r="AX39">
        <v>0</v>
      </c>
      <c r="AY39">
        <v>0</v>
      </c>
      <c r="AZ39" s="28">
        <v>0</v>
      </c>
      <c r="BA39">
        <v>0</v>
      </c>
      <c r="BB39">
        <v>0</v>
      </c>
      <c r="BC39" s="28">
        <v>1</v>
      </c>
      <c r="BD39">
        <v>1</v>
      </c>
      <c r="BE39">
        <v>0</v>
      </c>
      <c r="BF39">
        <v>1</v>
      </c>
      <c r="BG39">
        <v>1</v>
      </c>
      <c r="BH39">
        <v>0</v>
      </c>
      <c r="BI39">
        <v>0</v>
      </c>
      <c r="BJ39">
        <v>0</v>
      </c>
      <c r="BK39" s="16">
        <v>0</v>
      </c>
      <c r="BL39">
        <v>0.29799999999999999</v>
      </c>
      <c r="BM39">
        <v>188</v>
      </c>
      <c r="BN39">
        <v>1</v>
      </c>
      <c r="BO39">
        <v>0</v>
      </c>
      <c r="BP39">
        <v>5</v>
      </c>
      <c r="BQ39" t="s">
        <v>34</v>
      </c>
    </row>
    <row r="40" spans="1:69" x14ac:dyDescent="0.25">
      <c r="A40">
        <v>39</v>
      </c>
      <c r="B40">
        <v>3</v>
      </c>
      <c r="C40" t="s">
        <v>207</v>
      </c>
      <c r="D40" s="10">
        <v>10.1</v>
      </c>
      <c r="E40" s="6">
        <v>0.9</v>
      </c>
      <c r="F40" s="6">
        <f t="shared" si="0"/>
        <v>11.222222222222221</v>
      </c>
      <c r="G40" s="78">
        <v>1</v>
      </c>
      <c r="H40" s="8">
        <v>0</v>
      </c>
      <c r="I40" s="8">
        <v>0</v>
      </c>
      <c r="J40" s="7">
        <v>906</v>
      </c>
      <c r="K40" s="8">
        <v>5</v>
      </c>
      <c r="L40" s="8">
        <f t="shared" si="1"/>
        <v>900</v>
      </c>
      <c r="M40" s="60">
        <f t="shared" si="2"/>
        <v>14</v>
      </c>
      <c r="N40" s="6">
        <v>14.08</v>
      </c>
      <c r="O40" s="6">
        <f t="shared" si="5"/>
        <v>16.480000000000004</v>
      </c>
      <c r="P40" s="78">
        <v>1</v>
      </c>
      <c r="Q40" s="8">
        <v>0</v>
      </c>
      <c r="R40" s="78">
        <v>1</v>
      </c>
      <c r="S40" s="8">
        <v>0</v>
      </c>
      <c r="T40" s="21">
        <v>0</v>
      </c>
      <c r="U40" s="8">
        <v>1</v>
      </c>
      <c r="V40" s="21">
        <v>0</v>
      </c>
      <c r="W40" s="78">
        <v>1</v>
      </c>
      <c r="X40" s="21">
        <v>0</v>
      </c>
      <c r="Y40" s="69">
        <v>1993</v>
      </c>
      <c r="Z40" s="28" t="s">
        <v>45</v>
      </c>
      <c r="AA40" t="s">
        <v>45</v>
      </c>
      <c r="AB40" s="28">
        <v>0.46</v>
      </c>
      <c r="AC40">
        <v>0.54</v>
      </c>
      <c r="AD40" s="28">
        <v>0.94</v>
      </c>
      <c r="AE40" s="66">
        <f t="shared" si="6"/>
        <v>6.0000000000000053E-2</v>
      </c>
      <c r="AF40">
        <v>0</v>
      </c>
      <c r="AG40">
        <v>1</v>
      </c>
      <c r="AH40" s="28">
        <v>0.45</v>
      </c>
      <c r="AI40" s="12">
        <f t="shared" si="7"/>
        <v>0.55000000000000004</v>
      </c>
      <c r="AJ40">
        <v>1</v>
      </c>
      <c r="AK40">
        <v>0</v>
      </c>
      <c r="AL40" s="12">
        <v>0</v>
      </c>
      <c r="AM40" s="62" t="s">
        <v>67</v>
      </c>
      <c r="AN40">
        <v>1</v>
      </c>
      <c r="AO40">
        <v>0</v>
      </c>
      <c r="AP40">
        <v>25687</v>
      </c>
      <c r="AQ40">
        <v>1381</v>
      </c>
      <c r="AR40">
        <v>0.92600000000000005</v>
      </c>
      <c r="AS40" s="64">
        <v>36.56</v>
      </c>
      <c r="AT40">
        <v>0</v>
      </c>
      <c r="AU40">
        <v>1</v>
      </c>
      <c r="AV40">
        <v>0</v>
      </c>
      <c r="AW40">
        <v>0</v>
      </c>
      <c r="AX40">
        <v>0</v>
      </c>
      <c r="AY40">
        <v>0</v>
      </c>
      <c r="AZ40" s="28">
        <v>0</v>
      </c>
      <c r="BA40">
        <v>0</v>
      </c>
      <c r="BB40">
        <v>0</v>
      </c>
      <c r="BC40" s="28">
        <v>1</v>
      </c>
      <c r="BD40">
        <v>1</v>
      </c>
      <c r="BE40">
        <v>0</v>
      </c>
      <c r="BF40">
        <v>1</v>
      </c>
      <c r="BG40">
        <v>1</v>
      </c>
      <c r="BH40">
        <v>0</v>
      </c>
      <c r="BI40">
        <v>0</v>
      </c>
      <c r="BJ40">
        <v>0</v>
      </c>
      <c r="BK40" s="16">
        <v>0</v>
      </c>
      <c r="BL40">
        <v>0.29799999999999999</v>
      </c>
      <c r="BM40">
        <v>188</v>
      </c>
      <c r="BN40">
        <v>1</v>
      </c>
      <c r="BO40">
        <v>0</v>
      </c>
      <c r="BP40">
        <v>5</v>
      </c>
      <c r="BQ40" t="s">
        <v>34</v>
      </c>
    </row>
    <row r="41" spans="1:69" x14ac:dyDescent="0.25">
      <c r="A41">
        <v>40</v>
      </c>
      <c r="B41">
        <v>3</v>
      </c>
      <c r="C41" t="s">
        <v>207</v>
      </c>
      <c r="D41" s="10">
        <v>7.5</v>
      </c>
      <c r="E41" s="6">
        <v>1.7</v>
      </c>
      <c r="F41" s="6">
        <f t="shared" si="0"/>
        <v>4.4117647058823533</v>
      </c>
      <c r="G41" s="78">
        <v>1</v>
      </c>
      <c r="H41" s="8">
        <v>0</v>
      </c>
      <c r="I41" s="8">
        <v>0</v>
      </c>
      <c r="J41" s="7">
        <v>453</v>
      </c>
      <c r="K41" s="8">
        <v>1</v>
      </c>
      <c r="L41" s="8">
        <f t="shared" si="1"/>
        <v>451</v>
      </c>
      <c r="M41" s="60">
        <f t="shared" si="2"/>
        <v>14</v>
      </c>
      <c r="N41" s="6">
        <v>14.08</v>
      </c>
      <c r="O41" s="6">
        <f t="shared" si="5"/>
        <v>16.480000000000004</v>
      </c>
      <c r="P41" s="78">
        <v>1</v>
      </c>
      <c r="Q41" s="8">
        <v>0</v>
      </c>
      <c r="R41" s="78">
        <v>1</v>
      </c>
      <c r="S41" s="8">
        <v>0</v>
      </c>
      <c r="T41" s="21">
        <v>0</v>
      </c>
      <c r="U41" s="8">
        <v>1</v>
      </c>
      <c r="V41" s="21">
        <v>0</v>
      </c>
      <c r="W41" s="78">
        <v>1</v>
      </c>
      <c r="X41" s="21">
        <v>0</v>
      </c>
      <c r="Y41" s="69">
        <v>1993</v>
      </c>
      <c r="Z41" s="28" t="s">
        <v>45</v>
      </c>
      <c r="AA41" t="s">
        <v>45</v>
      </c>
      <c r="AB41" s="28">
        <v>0.46</v>
      </c>
      <c r="AC41">
        <v>0.54</v>
      </c>
      <c r="AD41" s="28">
        <v>0.94</v>
      </c>
      <c r="AE41" s="66">
        <f t="shared" si="6"/>
        <v>6.0000000000000053E-2</v>
      </c>
      <c r="AF41">
        <v>0</v>
      </c>
      <c r="AG41">
        <v>1</v>
      </c>
      <c r="AH41" s="28">
        <v>0.45</v>
      </c>
      <c r="AI41" s="12">
        <f t="shared" si="7"/>
        <v>0.55000000000000004</v>
      </c>
      <c r="AJ41">
        <v>1</v>
      </c>
      <c r="AK41">
        <v>0</v>
      </c>
      <c r="AL41" s="12">
        <v>0</v>
      </c>
      <c r="AM41" s="62" t="s">
        <v>67</v>
      </c>
      <c r="AN41">
        <v>1</v>
      </c>
      <c r="AO41">
        <v>0</v>
      </c>
      <c r="AP41">
        <v>25687</v>
      </c>
      <c r="AQ41">
        <v>1381</v>
      </c>
      <c r="AR41">
        <v>0.92600000000000005</v>
      </c>
      <c r="AS41" s="64">
        <v>36.56</v>
      </c>
      <c r="AT41">
        <v>0</v>
      </c>
      <c r="AU41">
        <v>0</v>
      </c>
      <c r="AV41">
        <v>0</v>
      </c>
      <c r="AW41">
        <v>1</v>
      </c>
      <c r="AX41">
        <v>0</v>
      </c>
      <c r="AY41">
        <v>0</v>
      </c>
      <c r="AZ41" s="28">
        <v>0</v>
      </c>
      <c r="BA41">
        <v>0</v>
      </c>
      <c r="BB41">
        <v>0</v>
      </c>
      <c r="BC41" s="28">
        <v>0</v>
      </c>
      <c r="BD41">
        <v>0</v>
      </c>
      <c r="BE41">
        <v>0</v>
      </c>
      <c r="BF41">
        <v>0</v>
      </c>
      <c r="BG41">
        <v>0</v>
      </c>
      <c r="BH41">
        <v>0</v>
      </c>
      <c r="BI41">
        <v>0</v>
      </c>
      <c r="BJ41">
        <v>0</v>
      </c>
      <c r="BK41" s="16">
        <v>0</v>
      </c>
      <c r="BL41">
        <v>0.29799999999999999</v>
      </c>
      <c r="BM41">
        <v>188</v>
      </c>
      <c r="BN41">
        <v>1</v>
      </c>
      <c r="BO41">
        <v>0</v>
      </c>
      <c r="BP41">
        <v>5</v>
      </c>
      <c r="BQ41" t="s">
        <v>34</v>
      </c>
    </row>
    <row r="42" spans="1:69" x14ac:dyDescent="0.25">
      <c r="A42">
        <v>41</v>
      </c>
      <c r="B42">
        <v>3</v>
      </c>
      <c r="C42" t="s">
        <v>207</v>
      </c>
      <c r="D42" s="10">
        <v>9.5</v>
      </c>
      <c r="E42" s="6">
        <v>2.7</v>
      </c>
      <c r="F42" s="6">
        <f t="shared" si="0"/>
        <v>3.5185185185185182</v>
      </c>
      <c r="G42" s="78">
        <v>1</v>
      </c>
      <c r="H42" s="8">
        <v>0</v>
      </c>
      <c r="I42" s="8">
        <v>0</v>
      </c>
      <c r="J42" s="7">
        <v>453</v>
      </c>
      <c r="K42" s="8">
        <v>1</v>
      </c>
      <c r="L42" s="8">
        <f t="shared" si="1"/>
        <v>451</v>
      </c>
      <c r="M42" s="60">
        <f t="shared" si="2"/>
        <v>14</v>
      </c>
      <c r="N42" s="6">
        <v>14.08</v>
      </c>
      <c r="O42" s="6">
        <f t="shared" si="5"/>
        <v>16.480000000000004</v>
      </c>
      <c r="P42" s="78">
        <v>1</v>
      </c>
      <c r="Q42" s="8">
        <v>0</v>
      </c>
      <c r="R42" s="78">
        <v>1</v>
      </c>
      <c r="S42" s="8">
        <v>0</v>
      </c>
      <c r="T42" s="21">
        <v>0</v>
      </c>
      <c r="U42" s="8">
        <v>1</v>
      </c>
      <c r="V42" s="21">
        <v>0</v>
      </c>
      <c r="W42" s="78">
        <v>1</v>
      </c>
      <c r="X42" s="21">
        <v>0</v>
      </c>
      <c r="Y42" s="69">
        <v>1993</v>
      </c>
      <c r="Z42" s="28" t="s">
        <v>45</v>
      </c>
      <c r="AA42" t="s">
        <v>45</v>
      </c>
      <c r="AB42" s="28">
        <v>0.46</v>
      </c>
      <c r="AC42">
        <v>0.54</v>
      </c>
      <c r="AD42" s="28">
        <v>0.94</v>
      </c>
      <c r="AE42" s="66">
        <f t="shared" si="6"/>
        <v>6.0000000000000053E-2</v>
      </c>
      <c r="AF42">
        <v>0</v>
      </c>
      <c r="AG42">
        <v>1</v>
      </c>
      <c r="AH42" s="28">
        <v>0.45</v>
      </c>
      <c r="AI42" s="12">
        <f t="shared" si="7"/>
        <v>0.55000000000000004</v>
      </c>
      <c r="AJ42">
        <v>1</v>
      </c>
      <c r="AK42">
        <v>0</v>
      </c>
      <c r="AL42" s="12">
        <v>0</v>
      </c>
      <c r="AM42" s="62" t="s">
        <v>67</v>
      </c>
      <c r="AN42">
        <v>1</v>
      </c>
      <c r="AO42">
        <v>0</v>
      </c>
      <c r="AP42">
        <v>25687</v>
      </c>
      <c r="AQ42">
        <v>1381</v>
      </c>
      <c r="AR42">
        <v>0.92600000000000005</v>
      </c>
      <c r="AS42" s="64">
        <v>36.56</v>
      </c>
      <c r="AT42">
        <v>0</v>
      </c>
      <c r="AU42">
        <v>0</v>
      </c>
      <c r="AV42">
        <v>0</v>
      </c>
      <c r="AW42">
        <v>0</v>
      </c>
      <c r="AX42">
        <v>0</v>
      </c>
      <c r="AY42">
        <v>1</v>
      </c>
      <c r="AZ42" s="28">
        <v>0</v>
      </c>
      <c r="BA42">
        <v>0</v>
      </c>
      <c r="BB42">
        <v>0</v>
      </c>
      <c r="BC42" s="28">
        <v>0</v>
      </c>
      <c r="BD42">
        <v>0</v>
      </c>
      <c r="BE42">
        <v>0</v>
      </c>
      <c r="BF42">
        <v>0</v>
      </c>
      <c r="BG42">
        <v>0</v>
      </c>
      <c r="BH42">
        <v>0</v>
      </c>
      <c r="BI42">
        <v>0</v>
      </c>
      <c r="BJ42">
        <v>0</v>
      </c>
      <c r="BK42" s="16">
        <v>0</v>
      </c>
      <c r="BL42">
        <v>0.29799999999999999</v>
      </c>
      <c r="BM42">
        <v>188</v>
      </c>
      <c r="BN42">
        <v>1</v>
      </c>
      <c r="BO42">
        <v>0</v>
      </c>
      <c r="BP42">
        <v>5</v>
      </c>
      <c r="BQ42" t="s">
        <v>34</v>
      </c>
    </row>
    <row r="43" spans="1:69" x14ac:dyDescent="0.25">
      <c r="A43">
        <v>42</v>
      </c>
      <c r="B43">
        <v>3</v>
      </c>
      <c r="C43" t="s">
        <v>207</v>
      </c>
      <c r="D43" s="10">
        <v>11.1</v>
      </c>
      <c r="E43" s="6">
        <v>0.9</v>
      </c>
      <c r="F43" s="6">
        <f t="shared" si="0"/>
        <v>12.333333333333332</v>
      </c>
      <c r="G43" s="78">
        <v>1</v>
      </c>
      <c r="H43" s="8">
        <v>0</v>
      </c>
      <c r="I43" s="8">
        <v>0</v>
      </c>
      <c r="J43" s="7">
        <v>890</v>
      </c>
      <c r="K43" s="8">
        <v>8</v>
      </c>
      <c r="L43" s="8">
        <f t="shared" si="1"/>
        <v>881</v>
      </c>
      <c r="M43" s="60">
        <f t="shared" si="2"/>
        <v>14</v>
      </c>
      <c r="N43" s="6">
        <v>14.08</v>
      </c>
      <c r="O43" s="6">
        <f t="shared" si="5"/>
        <v>16.480000000000004</v>
      </c>
      <c r="P43" s="78">
        <v>1</v>
      </c>
      <c r="Q43" s="8">
        <v>0</v>
      </c>
      <c r="R43" s="78">
        <v>1</v>
      </c>
      <c r="S43" s="8">
        <v>0</v>
      </c>
      <c r="T43" s="21">
        <v>0</v>
      </c>
      <c r="U43" s="8">
        <v>1</v>
      </c>
      <c r="V43" s="21">
        <v>0</v>
      </c>
      <c r="W43" s="78">
        <v>1</v>
      </c>
      <c r="X43" s="21">
        <v>0</v>
      </c>
      <c r="Y43" s="69">
        <v>1993</v>
      </c>
      <c r="Z43" s="28" t="s">
        <v>45</v>
      </c>
      <c r="AA43" t="s">
        <v>45</v>
      </c>
      <c r="AB43" s="28">
        <v>0.46</v>
      </c>
      <c r="AC43">
        <v>0.54</v>
      </c>
      <c r="AD43" s="28">
        <v>0.94</v>
      </c>
      <c r="AE43" s="66">
        <f t="shared" si="6"/>
        <v>6.0000000000000053E-2</v>
      </c>
      <c r="AF43">
        <v>0</v>
      </c>
      <c r="AG43">
        <v>1</v>
      </c>
      <c r="AH43" s="28">
        <v>0.45</v>
      </c>
      <c r="AI43" s="12">
        <f t="shared" si="7"/>
        <v>0.55000000000000004</v>
      </c>
      <c r="AJ43">
        <v>1</v>
      </c>
      <c r="AK43">
        <v>0</v>
      </c>
      <c r="AL43" s="12">
        <v>0</v>
      </c>
      <c r="AM43" s="62" t="s">
        <v>67</v>
      </c>
      <c r="AN43">
        <v>1</v>
      </c>
      <c r="AO43">
        <v>0</v>
      </c>
      <c r="AP43">
        <v>25687</v>
      </c>
      <c r="AQ43">
        <v>1381</v>
      </c>
      <c r="AR43">
        <v>0.92600000000000005</v>
      </c>
      <c r="AS43" s="64">
        <v>36.56</v>
      </c>
      <c r="AT43">
        <v>1</v>
      </c>
      <c r="AU43">
        <v>0</v>
      </c>
      <c r="AV43">
        <v>0</v>
      </c>
      <c r="AW43">
        <v>0</v>
      </c>
      <c r="AX43">
        <v>0</v>
      </c>
      <c r="AY43">
        <v>0</v>
      </c>
      <c r="AZ43" s="28">
        <v>0</v>
      </c>
      <c r="BA43">
        <v>0</v>
      </c>
      <c r="BB43">
        <v>0</v>
      </c>
      <c r="BC43" s="28">
        <v>1</v>
      </c>
      <c r="BD43">
        <v>1</v>
      </c>
      <c r="BE43">
        <v>1</v>
      </c>
      <c r="BF43">
        <v>1</v>
      </c>
      <c r="BG43">
        <v>1</v>
      </c>
      <c r="BH43">
        <v>1</v>
      </c>
      <c r="BI43">
        <v>1</v>
      </c>
      <c r="BJ43">
        <v>0</v>
      </c>
      <c r="BK43" s="16">
        <v>0</v>
      </c>
      <c r="BL43">
        <v>0.29799999999999999</v>
      </c>
      <c r="BM43">
        <v>188</v>
      </c>
      <c r="BN43">
        <v>1</v>
      </c>
      <c r="BO43">
        <v>0</v>
      </c>
      <c r="BP43">
        <v>5</v>
      </c>
      <c r="BQ43" t="s">
        <v>34</v>
      </c>
    </row>
    <row r="44" spans="1:69" x14ac:dyDescent="0.25">
      <c r="A44">
        <v>43</v>
      </c>
      <c r="B44">
        <v>3</v>
      </c>
      <c r="C44" t="s">
        <v>207</v>
      </c>
      <c r="D44" s="10">
        <v>8.9</v>
      </c>
      <c r="E44" s="6">
        <v>1.6</v>
      </c>
      <c r="F44" s="6">
        <f t="shared" si="0"/>
        <v>5.5625</v>
      </c>
      <c r="G44" s="78">
        <v>1</v>
      </c>
      <c r="H44" s="8">
        <v>0</v>
      </c>
      <c r="I44" s="8">
        <v>0</v>
      </c>
      <c r="J44" s="7">
        <v>445</v>
      </c>
      <c r="K44" s="8">
        <v>4</v>
      </c>
      <c r="L44" s="8">
        <f t="shared" si="1"/>
        <v>440</v>
      </c>
      <c r="M44" s="60">
        <f t="shared" si="2"/>
        <v>14</v>
      </c>
      <c r="N44" s="6">
        <v>14.08</v>
      </c>
      <c r="O44" s="6">
        <f t="shared" si="5"/>
        <v>16.480000000000004</v>
      </c>
      <c r="P44" s="78">
        <v>1</v>
      </c>
      <c r="Q44" s="8">
        <v>0</v>
      </c>
      <c r="R44" s="78">
        <v>1</v>
      </c>
      <c r="S44" s="8">
        <v>0</v>
      </c>
      <c r="T44" s="21">
        <v>0</v>
      </c>
      <c r="U44" s="8">
        <v>1</v>
      </c>
      <c r="V44" s="21">
        <v>0</v>
      </c>
      <c r="W44" s="78">
        <v>1</v>
      </c>
      <c r="X44" s="21">
        <v>0</v>
      </c>
      <c r="Y44" s="69">
        <v>1993</v>
      </c>
      <c r="Z44" s="28" t="s">
        <v>45</v>
      </c>
      <c r="AA44" t="s">
        <v>45</v>
      </c>
      <c r="AB44" s="28">
        <v>0.46</v>
      </c>
      <c r="AC44">
        <v>0.54</v>
      </c>
      <c r="AD44" s="28">
        <v>0.94</v>
      </c>
      <c r="AE44" s="66">
        <f t="shared" si="6"/>
        <v>6.0000000000000053E-2</v>
      </c>
      <c r="AF44">
        <v>0</v>
      </c>
      <c r="AG44">
        <v>1</v>
      </c>
      <c r="AH44" s="28">
        <v>0.45</v>
      </c>
      <c r="AI44" s="12">
        <f t="shared" si="7"/>
        <v>0.55000000000000004</v>
      </c>
      <c r="AJ44">
        <v>1</v>
      </c>
      <c r="AK44">
        <v>0</v>
      </c>
      <c r="AL44" s="12">
        <v>0</v>
      </c>
      <c r="AM44" s="62" t="s">
        <v>67</v>
      </c>
      <c r="AN44">
        <v>1</v>
      </c>
      <c r="AO44">
        <v>0</v>
      </c>
      <c r="AP44">
        <v>25687</v>
      </c>
      <c r="AQ44">
        <v>1381</v>
      </c>
      <c r="AR44">
        <v>0.92600000000000005</v>
      </c>
      <c r="AS44" s="64">
        <v>36.56</v>
      </c>
      <c r="AT44">
        <v>0</v>
      </c>
      <c r="AU44">
        <v>0</v>
      </c>
      <c r="AV44">
        <v>0</v>
      </c>
      <c r="AW44">
        <v>1</v>
      </c>
      <c r="AX44">
        <v>0</v>
      </c>
      <c r="AY44">
        <v>0</v>
      </c>
      <c r="AZ44" s="28">
        <v>0</v>
      </c>
      <c r="BA44">
        <v>0</v>
      </c>
      <c r="BB44">
        <v>0</v>
      </c>
      <c r="BC44" s="28">
        <v>0</v>
      </c>
      <c r="BD44">
        <v>0</v>
      </c>
      <c r="BE44">
        <v>1</v>
      </c>
      <c r="BF44">
        <v>0</v>
      </c>
      <c r="BG44">
        <v>0</v>
      </c>
      <c r="BH44">
        <v>1</v>
      </c>
      <c r="BI44">
        <v>1</v>
      </c>
      <c r="BJ44">
        <v>0</v>
      </c>
      <c r="BK44" s="16">
        <v>0</v>
      </c>
      <c r="BL44">
        <v>0.29799999999999999</v>
      </c>
      <c r="BM44">
        <v>188</v>
      </c>
      <c r="BN44">
        <v>1</v>
      </c>
      <c r="BO44">
        <v>0</v>
      </c>
      <c r="BP44">
        <v>5</v>
      </c>
      <c r="BQ44" t="s">
        <v>34</v>
      </c>
    </row>
    <row r="45" spans="1:69" x14ac:dyDescent="0.25">
      <c r="A45">
        <v>44</v>
      </c>
      <c r="B45">
        <v>3</v>
      </c>
      <c r="C45" t="s">
        <v>207</v>
      </c>
      <c r="D45" s="10">
        <v>11</v>
      </c>
      <c r="E45" s="6">
        <v>2.7</v>
      </c>
      <c r="F45" s="6">
        <f t="shared" si="0"/>
        <v>4.0740740740740735</v>
      </c>
      <c r="G45" s="78">
        <v>1</v>
      </c>
      <c r="H45" s="8">
        <v>0</v>
      </c>
      <c r="I45" s="8">
        <v>0</v>
      </c>
      <c r="J45" s="7">
        <v>445</v>
      </c>
      <c r="K45" s="8">
        <v>4</v>
      </c>
      <c r="L45" s="8">
        <f t="shared" si="1"/>
        <v>440</v>
      </c>
      <c r="M45" s="60">
        <f t="shared" si="2"/>
        <v>14</v>
      </c>
      <c r="N45" s="6">
        <v>14.08</v>
      </c>
      <c r="O45" s="6">
        <f t="shared" si="5"/>
        <v>16.480000000000004</v>
      </c>
      <c r="P45" s="78">
        <v>1</v>
      </c>
      <c r="Q45" s="8">
        <v>0</v>
      </c>
      <c r="R45" s="78">
        <v>1</v>
      </c>
      <c r="S45" s="8">
        <v>0</v>
      </c>
      <c r="T45" s="21">
        <v>0</v>
      </c>
      <c r="U45" s="8">
        <v>1</v>
      </c>
      <c r="V45" s="21">
        <v>0</v>
      </c>
      <c r="W45" s="78">
        <v>1</v>
      </c>
      <c r="X45" s="21">
        <v>0</v>
      </c>
      <c r="Y45" s="69">
        <v>1993</v>
      </c>
      <c r="Z45" s="28" t="s">
        <v>45</v>
      </c>
      <c r="AA45" t="s">
        <v>45</v>
      </c>
      <c r="AB45" s="28">
        <v>0.46</v>
      </c>
      <c r="AC45">
        <v>0.54</v>
      </c>
      <c r="AD45" s="28">
        <v>0.94</v>
      </c>
      <c r="AE45" s="66">
        <f t="shared" si="6"/>
        <v>6.0000000000000053E-2</v>
      </c>
      <c r="AF45">
        <v>0</v>
      </c>
      <c r="AG45">
        <v>1</v>
      </c>
      <c r="AH45" s="28">
        <v>0.45</v>
      </c>
      <c r="AI45" s="12">
        <f t="shared" si="7"/>
        <v>0.55000000000000004</v>
      </c>
      <c r="AJ45">
        <v>1</v>
      </c>
      <c r="AK45">
        <v>0</v>
      </c>
      <c r="AL45" s="12">
        <v>0</v>
      </c>
      <c r="AM45" s="62" t="s">
        <v>67</v>
      </c>
      <c r="AN45">
        <v>1</v>
      </c>
      <c r="AO45">
        <v>0</v>
      </c>
      <c r="AP45">
        <v>25687</v>
      </c>
      <c r="AQ45">
        <v>1381</v>
      </c>
      <c r="AR45">
        <v>0.92600000000000005</v>
      </c>
      <c r="AS45" s="64">
        <v>36.56</v>
      </c>
      <c r="AT45">
        <v>0</v>
      </c>
      <c r="AU45">
        <v>0</v>
      </c>
      <c r="AV45">
        <v>0</v>
      </c>
      <c r="AW45">
        <v>0</v>
      </c>
      <c r="AX45">
        <v>0</v>
      </c>
      <c r="AY45">
        <v>1</v>
      </c>
      <c r="AZ45" s="28">
        <v>0</v>
      </c>
      <c r="BA45">
        <v>0</v>
      </c>
      <c r="BB45">
        <v>0</v>
      </c>
      <c r="BC45" s="28">
        <v>0</v>
      </c>
      <c r="BD45">
        <v>0</v>
      </c>
      <c r="BE45">
        <v>1</v>
      </c>
      <c r="BF45">
        <v>0</v>
      </c>
      <c r="BG45">
        <v>0</v>
      </c>
      <c r="BH45">
        <v>1</v>
      </c>
      <c r="BI45">
        <v>1</v>
      </c>
      <c r="BJ45">
        <v>0</v>
      </c>
      <c r="BK45" s="16">
        <v>0</v>
      </c>
      <c r="BL45">
        <v>0.29799999999999999</v>
      </c>
      <c r="BM45">
        <v>188</v>
      </c>
      <c r="BN45">
        <v>1</v>
      </c>
      <c r="BO45">
        <v>0</v>
      </c>
      <c r="BP45">
        <v>5</v>
      </c>
      <c r="BQ45" t="s">
        <v>34</v>
      </c>
    </row>
    <row r="46" spans="1:69" x14ac:dyDescent="0.25">
      <c r="A46">
        <v>45</v>
      </c>
      <c r="B46">
        <v>3</v>
      </c>
      <c r="C46" t="s">
        <v>207</v>
      </c>
      <c r="D46" s="10">
        <v>7.1</v>
      </c>
      <c r="E46" s="6">
        <v>1.6</v>
      </c>
      <c r="F46" s="6">
        <f t="shared" si="0"/>
        <v>4.4374999999999991</v>
      </c>
      <c r="G46" s="78">
        <v>1</v>
      </c>
      <c r="H46" s="8">
        <v>0</v>
      </c>
      <c r="I46" s="8">
        <v>0</v>
      </c>
      <c r="J46" s="7">
        <v>445</v>
      </c>
      <c r="K46" s="8">
        <v>4</v>
      </c>
      <c r="L46" s="8">
        <f t="shared" si="1"/>
        <v>440</v>
      </c>
      <c r="M46" s="60">
        <f t="shared" si="2"/>
        <v>14</v>
      </c>
      <c r="N46" s="6">
        <v>14.08</v>
      </c>
      <c r="O46" s="6">
        <f t="shared" si="5"/>
        <v>16.480000000000004</v>
      </c>
      <c r="P46" s="78">
        <v>1</v>
      </c>
      <c r="Q46" s="8">
        <v>0</v>
      </c>
      <c r="R46" s="78">
        <v>1</v>
      </c>
      <c r="S46" s="8">
        <v>0</v>
      </c>
      <c r="T46" s="21">
        <v>0</v>
      </c>
      <c r="U46" s="8">
        <v>1</v>
      </c>
      <c r="V46" s="21">
        <v>0</v>
      </c>
      <c r="W46" s="78">
        <v>1</v>
      </c>
      <c r="X46" s="21">
        <v>0</v>
      </c>
      <c r="Y46" s="69">
        <v>1993</v>
      </c>
      <c r="Z46" s="28" t="s">
        <v>45</v>
      </c>
      <c r="AA46" t="s">
        <v>45</v>
      </c>
      <c r="AB46" s="28">
        <v>0.46</v>
      </c>
      <c r="AC46">
        <v>0.54</v>
      </c>
      <c r="AD46" s="28">
        <v>0.94</v>
      </c>
      <c r="AE46" s="66">
        <f t="shared" si="6"/>
        <v>6.0000000000000053E-2</v>
      </c>
      <c r="AF46">
        <v>0</v>
      </c>
      <c r="AG46">
        <v>1</v>
      </c>
      <c r="AH46" s="28">
        <v>0.45</v>
      </c>
      <c r="AI46" s="12">
        <f t="shared" si="7"/>
        <v>0.55000000000000004</v>
      </c>
      <c r="AJ46">
        <v>1</v>
      </c>
      <c r="AK46">
        <v>0</v>
      </c>
      <c r="AL46" s="12">
        <v>0</v>
      </c>
      <c r="AM46" s="62" t="s">
        <v>67</v>
      </c>
      <c r="AN46">
        <v>1</v>
      </c>
      <c r="AO46">
        <v>0</v>
      </c>
      <c r="AP46">
        <v>25687</v>
      </c>
      <c r="AQ46">
        <v>1381</v>
      </c>
      <c r="AR46">
        <v>0.92600000000000005</v>
      </c>
      <c r="AS46" s="64">
        <v>36.56</v>
      </c>
      <c r="AT46">
        <v>0</v>
      </c>
      <c r="AU46">
        <v>0</v>
      </c>
      <c r="AV46">
        <v>0</v>
      </c>
      <c r="AW46">
        <v>1</v>
      </c>
      <c r="AX46">
        <v>0</v>
      </c>
      <c r="AY46">
        <v>0</v>
      </c>
      <c r="AZ46" s="28">
        <v>0</v>
      </c>
      <c r="BA46">
        <v>0</v>
      </c>
      <c r="BB46">
        <v>0</v>
      </c>
      <c r="BC46" s="28">
        <v>0</v>
      </c>
      <c r="BD46">
        <v>0</v>
      </c>
      <c r="BE46">
        <v>1</v>
      </c>
      <c r="BF46">
        <v>0</v>
      </c>
      <c r="BG46">
        <v>0</v>
      </c>
      <c r="BH46">
        <v>1</v>
      </c>
      <c r="BI46">
        <v>1</v>
      </c>
      <c r="BJ46">
        <v>0</v>
      </c>
      <c r="BK46" s="16">
        <v>0</v>
      </c>
      <c r="BL46">
        <v>0.29799999999999999</v>
      </c>
      <c r="BM46">
        <v>188</v>
      </c>
      <c r="BN46">
        <v>1</v>
      </c>
      <c r="BO46">
        <v>0</v>
      </c>
      <c r="BP46">
        <v>5</v>
      </c>
      <c r="BQ46" t="s">
        <v>34</v>
      </c>
    </row>
    <row r="47" spans="1:69" x14ac:dyDescent="0.25">
      <c r="A47">
        <v>46</v>
      </c>
      <c r="B47">
        <v>3</v>
      </c>
      <c r="C47" t="s">
        <v>207</v>
      </c>
      <c r="D47" s="10">
        <v>11.9</v>
      </c>
      <c r="E47" s="6">
        <v>2.1</v>
      </c>
      <c r="F47" s="6">
        <f t="shared" si="0"/>
        <v>5.666666666666667</v>
      </c>
      <c r="G47" s="78">
        <v>1</v>
      </c>
      <c r="H47" s="8">
        <v>0</v>
      </c>
      <c r="I47" s="8">
        <v>0</v>
      </c>
      <c r="J47" s="7">
        <v>445</v>
      </c>
      <c r="K47" s="8">
        <v>4</v>
      </c>
      <c r="L47" s="8">
        <f t="shared" si="1"/>
        <v>440</v>
      </c>
      <c r="M47" s="60">
        <f t="shared" si="2"/>
        <v>14</v>
      </c>
      <c r="N47" s="6">
        <v>14.08</v>
      </c>
      <c r="O47" s="6">
        <f t="shared" si="5"/>
        <v>16.480000000000004</v>
      </c>
      <c r="P47" s="78">
        <v>1</v>
      </c>
      <c r="Q47" s="8">
        <v>0</v>
      </c>
      <c r="R47" s="78">
        <v>1</v>
      </c>
      <c r="S47" s="8">
        <v>0</v>
      </c>
      <c r="T47" s="21">
        <v>0</v>
      </c>
      <c r="U47" s="8">
        <v>1</v>
      </c>
      <c r="V47" s="21">
        <v>0</v>
      </c>
      <c r="W47" s="78">
        <v>1</v>
      </c>
      <c r="X47" s="21">
        <v>0</v>
      </c>
      <c r="Y47" s="69">
        <v>1993</v>
      </c>
      <c r="Z47" s="28" t="s">
        <v>45</v>
      </c>
      <c r="AA47" t="s">
        <v>45</v>
      </c>
      <c r="AB47" s="28">
        <v>0.46</v>
      </c>
      <c r="AC47">
        <v>0.54</v>
      </c>
      <c r="AD47" s="28">
        <v>0.94</v>
      </c>
      <c r="AE47" s="66">
        <f t="shared" si="6"/>
        <v>6.0000000000000053E-2</v>
      </c>
      <c r="AF47">
        <v>0</v>
      </c>
      <c r="AG47">
        <v>1</v>
      </c>
      <c r="AH47" s="28">
        <v>0.45</v>
      </c>
      <c r="AI47" s="12">
        <f t="shared" si="7"/>
        <v>0.55000000000000004</v>
      </c>
      <c r="AJ47">
        <v>1</v>
      </c>
      <c r="AK47">
        <v>0</v>
      </c>
      <c r="AL47" s="12">
        <v>0</v>
      </c>
      <c r="AM47" s="62" t="s">
        <v>67</v>
      </c>
      <c r="AN47">
        <v>1</v>
      </c>
      <c r="AO47">
        <v>0</v>
      </c>
      <c r="AP47">
        <v>25687</v>
      </c>
      <c r="AQ47">
        <v>1381</v>
      </c>
      <c r="AR47">
        <v>0.92600000000000005</v>
      </c>
      <c r="AS47" s="64">
        <v>36.56</v>
      </c>
      <c r="AT47">
        <v>0</v>
      </c>
      <c r="AU47">
        <v>0</v>
      </c>
      <c r="AV47">
        <v>0</v>
      </c>
      <c r="AW47">
        <v>0</v>
      </c>
      <c r="AX47">
        <v>0</v>
      </c>
      <c r="AY47">
        <v>1</v>
      </c>
      <c r="AZ47" s="28">
        <v>0</v>
      </c>
      <c r="BA47">
        <v>0</v>
      </c>
      <c r="BB47">
        <v>0</v>
      </c>
      <c r="BC47" s="28">
        <v>0</v>
      </c>
      <c r="BD47">
        <v>0</v>
      </c>
      <c r="BE47">
        <v>1</v>
      </c>
      <c r="BF47">
        <v>0</v>
      </c>
      <c r="BG47">
        <v>0</v>
      </c>
      <c r="BH47">
        <v>1</v>
      </c>
      <c r="BI47">
        <v>1</v>
      </c>
      <c r="BJ47">
        <v>0</v>
      </c>
      <c r="BK47" s="16">
        <v>0</v>
      </c>
      <c r="BL47">
        <v>0.29799999999999999</v>
      </c>
      <c r="BM47">
        <v>188</v>
      </c>
      <c r="BN47">
        <v>1</v>
      </c>
      <c r="BO47">
        <v>0</v>
      </c>
      <c r="BP47">
        <v>5</v>
      </c>
      <c r="BQ47" t="s">
        <v>34</v>
      </c>
    </row>
    <row r="48" spans="1:69" x14ac:dyDescent="0.25">
      <c r="A48">
        <v>47</v>
      </c>
      <c r="B48">
        <v>3</v>
      </c>
      <c r="C48" t="s">
        <v>207</v>
      </c>
      <c r="D48" s="10">
        <v>11.5</v>
      </c>
      <c r="E48" s="6">
        <v>1</v>
      </c>
      <c r="F48" s="6">
        <f t="shared" si="0"/>
        <v>11.5</v>
      </c>
      <c r="G48" s="78">
        <v>1</v>
      </c>
      <c r="H48" s="8">
        <v>0</v>
      </c>
      <c r="I48" s="8">
        <v>0</v>
      </c>
      <c r="J48" s="7">
        <v>588</v>
      </c>
      <c r="K48" s="8">
        <v>8</v>
      </c>
      <c r="L48" s="8">
        <f t="shared" si="1"/>
        <v>579</v>
      </c>
      <c r="M48" s="60">
        <f t="shared" si="2"/>
        <v>14</v>
      </c>
      <c r="N48" s="6">
        <v>14.08</v>
      </c>
      <c r="O48" s="6">
        <f t="shared" si="5"/>
        <v>16.480000000000004</v>
      </c>
      <c r="P48" s="78">
        <v>1</v>
      </c>
      <c r="Q48" s="8">
        <v>0</v>
      </c>
      <c r="R48" s="78">
        <v>1</v>
      </c>
      <c r="S48" s="8">
        <v>0</v>
      </c>
      <c r="T48" s="21">
        <v>0</v>
      </c>
      <c r="U48" s="8">
        <v>1</v>
      </c>
      <c r="V48" s="21">
        <v>0</v>
      </c>
      <c r="W48" s="78">
        <v>1</v>
      </c>
      <c r="X48" s="21">
        <v>0</v>
      </c>
      <c r="Y48" s="69">
        <v>1993</v>
      </c>
      <c r="Z48" s="28" t="s">
        <v>45</v>
      </c>
      <c r="AA48" t="s">
        <v>45</v>
      </c>
      <c r="AB48" s="28">
        <v>0.46</v>
      </c>
      <c r="AC48">
        <v>0.54</v>
      </c>
      <c r="AD48" s="28">
        <v>0.94</v>
      </c>
      <c r="AE48" s="66">
        <f t="shared" si="6"/>
        <v>6.0000000000000053E-2</v>
      </c>
      <c r="AF48">
        <v>0</v>
      </c>
      <c r="AG48">
        <v>1</v>
      </c>
      <c r="AH48" s="28">
        <v>0.45</v>
      </c>
      <c r="AI48" s="12">
        <f t="shared" si="7"/>
        <v>0.55000000000000004</v>
      </c>
      <c r="AJ48">
        <v>1</v>
      </c>
      <c r="AK48">
        <v>0</v>
      </c>
      <c r="AL48" s="12">
        <v>0</v>
      </c>
      <c r="AM48" s="62" t="s">
        <v>67</v>
      </c>
      <c r="AN48">
        <v>1</v>
      </c>
      <c r="AO48">
        <v>0</v>
      </c>
      <c r="AP48">
        <v>25687</v>
      </c>
      <c r="AQ48">
        <v>1381</v>
      </c>
      <c r="AR48">
        <v>0.92600000000000005</v>
      </c>
      <c r="AS48" s="64">
        <v>36.56</v>
      </c>
      <c r="AT48">
        <v>0</v>
      </c>
      <c r="AU48">
        <v>0</v>
      </c>
      <c r="AV48">
        <v>0</v>
      </c>
      <c r="AW48">
        <v>0</v>
      </c>
      <c r="AX48">
        <v>0</v>
      </c>
      <c r="AY48">
        <v>0</v>
      </c>
      <c r="AZ48" s="28">
        <v>0</v>
      </c>
      <c r="BA48">
        <v>0</v>
      </c>
      <c r="BB48">
        <v>0</v>
      </c>
      <c r="BC48" s="28">
        <v>1</v>
      </c>
      <c r="BD48">
        <v>1</v>
      </c>
      <c r="BE48">
        <v>1</v>
      </c>
      <c r="BF48">
        <v>1</v>
      </c>
      <c r="BG48">
        <v>1</v>
      </c>
      <c r="BH48">
        <v>1</v>
      </c>
      <c r="BI48">
        <v>1</v>
      </c>
      <c r="BJ48">
        <v>0</v>
      </c>
      <c r="BK48" s="16">
        <v>0</v>
      </c>
      <c r="BL48">
        <v>0.29799999999999999</v>
      </c>
      <c r="BM48">
        <v>188</v>
      </c>
      <c r="BN48">
        <v>1</v>
      </c>
      <c r="BO48">
        <v>0</v>
      </c>
      <c r="BP48">
        <v>5</v>
      </c>
      <c r="BQ48" t="s">
        <v>34</v>
      </c>
    </row>
    <row r="49" spans="1:69" x14ac:dyDescent="0.25">
      <c r="A49">
        <v>48</v>
      </c>
      <c r="B49">
        <v>3</v>
      </c>
      <c r="C49" t="s">
        <v>207</v>
      </c>
      <c r="D49" s="10">
        <v>6.9</v>
      </c>
      <c r="E49" s="6">
        <v>2.2000000000000002</v>
      </c>
      <c r="F49" s="6">
        <f t="shared" si="0"/>
        <v>3.1363636363636362</v>
      </c>
      <c r="G49" s="78">
        <v>1</v>
      </c>
      <c r="H49" s="8">
        <v>0</v>
      </c>
      <c r="I49" s="8">
        <v>0</v>
      </c>
      <c r="J49" s="7">
        <v>294</v>
      </c>
      <c r="K49" s="8">
        <v>4</v>
      </c>
      <c r="L49" s="8">
        <f t="shared" si="1"/>
        <v>289</v>
      </c>
      <c r="M49" s="60">
        <f t="shared" si="2"/>
        <v>14</v>
      </c>
      <c r="N49" s="70">
        <v>14.11</v>
      </c>
      <c r="O49" s="6">
        <f t="shared" si="5"/>
        <v>17.770000000000003</v>
      </c>
      <c r="P49" s="78">
        <v>1</v>
      </c>
      <c r="Q49" s="8">
        <v>0</v>
      </c>
      <c r="R49" s="78">
        <v>1</v>
      </c>
      <c r="S49" s="8">
        <v>0</v>
      </c>
      <c r="T49" s="21">
        <v>0</v>
      </c>
      <c r="U49" s="8">
        <v>1</v>
      </c>
      <c r="V49" s="21">
        <v>0</v>
      </c>
      <c r="W49" s="78">
        <v>1</v>
      </c>
      <c r="X49" s="21">
        <v>0</v>
      </c>
      <c r="Y49" s="69">
        <v>1993</v>
      </c>
      <c r="Z49" s="28" t="s">
        <v>45</v>
      </c>
      <c r="AA49" t="s">
        <v>45</v>
      </c>
      <c r="AB49" s="28">
        <v>0.41</v>
      </c>
      <c r="AC49">
        <v>0.59</v>
      </c>
      <c r="AD49" s="28">
        <v>0.48</v>
      </c>
      <c r="AE49" s="66">
        <f t="shared" si="6"/>
        <v>0.52</v>
      </c>
      <c r="AF49">
        <v>0</v>
      </c>
      <c r="AG49">
        <v>1</v>
      </c>
      <c r="AH49" s="28">
        <v>0.92</v>
      </c>
      <c r="AI49" s="12">
        <f t="shared" si="7"/>
        <v>7.999999999999996E-2</v>
      </c>
      <c r="AJ49">
        <v>1</v>
      </c>
      <c r="AK49">
        <v>0</v>
      </c>
      <c r="AL49" s="12">
        <v>0</v>
      </c>
      <c r="AM49" s="62" t="s">
        <v>67</v>
      </c>
      <c r="AN49">
        <v>1</v>
      </c>
      <c r="AO49">
        <v>0</v>
      </c>
      <c r="AP49">
        <v>25687</v>
      </c>
      <c r="AQ49">
        <v>1381</v>
      </c>
      <c r="AR49">
        <v>0.92600000000000005</v>
      </c>
      <c r="AS49" s="64">
        <v>37.880000000000003</v>
      </c>
      <c r="AT49">
        <v>0</v>
      </c>
      <c r="AU49">
        <v>1</v>
      </c>
      <c r="AV49">
        <v>0</v>
      </c>
      <c r="AW49">
        <v>1</v>
      </c>
      <c r="AX49">
        <v>0</v>
      </c>
      <c r="AY49">
        <v>0</v>
      </c>
      <c r="AZ49" s="28">
        <v>0</v>
      </c>
      <c r="BA49">
        <v>0</v>
      </c>
      <c r="BB49">
        <v>0</v>
      </c>
      <c r="BC49" s="28">
        <v>0</v>
      </c>
      <c r="BD49">
        <v>0</v>
      </c>
      <c r="BE49">
        <v>1</v>
      </c>
      <c r="BF49">
        <v>0</v>
      </c>
      <c r="BG49">
        <v>0</v>
      </c>
      <c r="BH49">
        <v>1</v>
      </c>
      <c r="BI49">
        <v>1</v>
      </c>
      <c r="BJ49">
        <v>0</v>
      </c>
      <c r="BK49" s="16">
        <v>0</v>
      </c>
      <c r="BL49">
        <v>0.29799999999999999</v>
      </c>
      <c r="BM49">
        <v>188</v>
      </c>
      <c r="BN49">
        <v>1</v>
      </c>
      <c r="BO49">
        <v>0</v>
      </c>
      <c r="BP49">
        <v>5</v>
      </c>
      <c r="BQ49" t="s">
        <v>34</v>
      </c>
    </row>
    <row r="50" spans="1:69" x14ac:dyDescent="0.25">
      <c r="A50">
        <v>49</v>
      </c>
      <c r="B50">
        <v>3</v>
      </c>
      <c r="C50" t="s">
        <v>207</v>
      </c>
      <c r="D50" s="10">
        <v>7.6</v>
      </c>
      <c r="E50" s="6">
        <v>3.9</v>
      </c>
      <c r="F50" s="6">
        <f t="shared" si="0"/>
        <v>1.9487179487179487</v>
      </c>
      <c r="G50" s="78">
        <v>1</v>
      </c>
      <c r="H50" s="8">
        <v>0</v>
      </c>
      <c r="I50" s="8">
        <v>0</v>
      </c>
      <c r="J50" s="7">
        <v>294</v>
      </c>
      <c r="K50" s="8">
        <v>4</v>
      </c>
      <c r="L50" s="8">
        <f t="shared" si="1"/>
        <v>289</v>
      </c>
      <c r="M50" s="60">
        <f t="shared" si="2"/>
        <v>14</v>
      </c>
      <c r="N50" s="70">
        <v>14.11</v>
      </c>
      <c r="O50" s="6">
        <f t="shared" si="5"/>
        <v>17.770000000000003</v>
      </c>
      <c r="P50" s="78">
        <v>1</v>
      </c>
      <c r="Q50" s="8">
        <v>0</v>
      </c>
      <c r="R50" s="78">
        <v>1</v>
      </c>
      <c r="S50" s="8">
        <v>0</v>
      </c>
      <c r="T50" s="21">
        <v>0</v>
      </c>
      <c r="U50" s="8">
        <v>1</v>
      </c>
      <c r="V50" s="21">
        <v>0</v>
      </c>
      <c r="W50" s="78">
        <v>1</v>
      </c>
      <c r="X50" s="21">
        <v>0</v>
      </c>
      <c r="Y50" s="69">
        <v>1993</v>
      </c>
      <c r="Z50" s="28" t="s">
        <v>45</v>
      </c>
      <c r="AA50" t="s">
        <v>45</v>
      </c>
      <c r="AB50" s="28">
        <v>0.41</v>
      </c>
      <c r="AC50">
        <v>0.59</v>
      </c>
      <c r="AD50" s="28">
        <v>0.48</v>
      </c>
      <c r="AE50" s="66">
        <f t="shared" si="6"/>
        <v>0.52</v>
      </c>
      <c r="AF50">
        <v>0</v>
      </c>
      <c r="AG50">
        <v>1</v>
      </c>
      <c r="AH50" s="28">
        <v>0.92</v>
      </c>
      <c r="AI50" s="12">
        <f t="shared" si="7"/>
        <v>7.999999999999996E-2</v>
      </c>
      <c r="AJ50">
        <v>1</v>
      </c>
      <c r="AK50">
        <v>0</v>
      </c>
      <c r="AL50" s="12">
        <v>0</v>
      </c>
      <c r="AM50" s="62" t="s">
        <v>67</v>
      </c>
      <c r="AN50">
        <v>1</v>
      </c>
      <c r="AO50">
        <v>0</v>
      </c>
      <c r="AP50">
        <v>25687</v>
      </c>
      <c r="AQ50">
        <v>1381</v>
      </c>
      <c r="AR50">
        <v>0.92600000000000005</v>
      </c>
      <c r="AS50" s="64">
        <v>37.880000000000003</v>
      </c>
      <c r="AT50">
        <v>0</v>
      </c>
      <c r="AU50">
        <v>0</v>
      </c>
      <c r="AV50">
        <v>0</v>
      </c>
      <c r="AW50">
        <v>0</v>
      </c>
      <c r="AX50">
        <v>0</v>
      </c>
      <c r="AY50">
        <v>1</v>
      </c>
      <c r="AZ50" s="28">
        <v>0</v>
      </c>
      <c r="BA50">
        <v>0</v>
      </c>
      <c r="BB50">
        <v>0</v>
      </c>
      <c r="BC50" s="28">
        <v>0</v>
      </c>
      <c r="BD50">
        <v>0</v>
      </c>
      <c r="BE50">
        <v>1</v>
      </c>
      <c r="BF50">
        <v>0</v>
      </c>
      <c r="BG50">
        <v>0</v>
      </c>
      <c r="BH50">
        <v>1</v>
      </c>
      <c r="BI50">
        <v>1</v>
      </c>
      <c r="BJ50">
        <v>0</v>
      </c>
      <c r="BK50" s="16">
        <v>0</v>
      </c>
      <c r="BL50">
        <v>0.29799999999999999</v>
      </c>
      <c r="BM50">
        <v>188</v>
      </c>
      <c r="BN50">
        <v>1</v>
      </c>
      <c r="BO50">
        <v>0</v>
      </c>
      <c r="BP50">
        <v>5</v>
      </c>
      <c r="BQ50" t="s">
        <v>34</v>
      </c>
    </row>
    <row r="51" spans="1:69" x14ac:dyDescent="0.25">
      <c r="A51">
        <v>50</v>
      </c>
      <c r="B51">
        <v>3</v>
      </c>
      <c r="C51" t="s">
        <v>207</v>
      </c>
      <c r="D51" s="10">
        <v>4</v>
      </c>
      <c r="E51" s="6">
        <v>2.1</v>
      </c>
      <c r="F51" s="6">
        <f t="shared" si="0"/>
        <v>1.9047619047619047</v>
      </c>
      <c r="G51" s="78">
        <v>1</v>
      </c>
      <c r="H51" s="8">
        <v>0</v>
      </c>
      <c r="I51" s="8">
        <v>0</v>
      </c>
      <c r="J51" s="7">
        <v>294</v>
      </c>
      <c r="K51" s="8">
        <v>4</v>
      </c>
      <c r="L51" s="8">
        <f t="shared" si="1"/>
        <v>289</v>
      </c>
      <c r="M51" s="60">
        <f t="shared" si="2"/>
        <v>14</v>
      </c>
      <c r="N51" s="70">
        <v>14.11</v>
      </c>
      <c r="O51" s="6">
        <f t="shared" si="5"/>
        <v>17.770000000000003</v>
      </c>
      <c r="P51" s="78">
        <v>1</v>
      </c>
      <c r="Q51" s="8">
        <v>0</v>
      </c>
      <c r="R51" s="78">
        <v>1</v>
      </c>
      <c r="S51" s="8">
        <v>0</v>
      </c>
      <c r="T51" s="21">
        <v>0</v>
      </c>
      <c r="U51" s="8">
        <v>1</v>
      </c>
      <c r="V51" s="21">
        <v>0</v>
      </c>
      <c r="W51" s="78">
        <v>1</v>
      </c>
      <c r="X51" s="21">
        <v>0</v>
      </c>
      <c r="Y51" s="69">
        <v>1993</v>
      </c>
      <c r="Z51" s="28" t="s">
        <v>45</v>
      </c>
      <c r="AA51" t="s">
        <v>45</v>
      </c>
      <c r="AB51" s="28">
        <v>0.41</v>
      </c>
      <c r="AC51">
        <v>0.59</v>
      </c>
      <c r="AD51" s="28">
        <v>0.48</v>
      </c>
      <c r="AE51" s="66">
        <f t="shared" si="6"/>
        <v>0.52</v>
      </c>
      <c r="AF51">
        <v>0</v>
      </c>
      <c r="AG51">
        <v>1</v>
      </c>
      <c r="AH51" s="28">
        <v>0.92</v>
      </c>
      <c r="AI51" s="12">
        <f t="shared" si="7"/>
        <v>7.999999999999996E-2</v>
      </c>
      <c r="AJ51">
        <v>1</v>
      </c>
      <c r="AK51">
        <v>0</v>
      </c>
      <c r="AL51" s="12">
        <v>0</v>
      </c>
      <c r="AM51" s="62" t="s">
        <v>67</v>
      </c>
      <c r="AN51">
        <v>1</v>
      </c>
      <c r="AO51">
        <v>0</v>
      </c>
      <c r="AP51">
        <v>25687</v>
      </c>
      <c r="AQ51">
        <v>1381</v>
      </c>
      <c r="AR51">
        <v>0.92600000000000005</v>
      </c>
      <c r="AS51" s="64">
        <v>37.880000000000003</v>
      </c>
      <c r="AT51">
        <v>0</v>
      </c>
      <c r="AU51">
        <v>0</v>
      </c>
      <c r="AV51">
        <v>0</v>
      </c>
      <c r="AW51">
        <v>1</v>
      </c>
      <c r="AX51">
        <v>0</v>
      </c>
      <c r="AY51">
        <v>0</v>
      </c>
      <c r="AZ51" s="28">
        <v>0</v>
      </c>
      <c r="BA51">
        <v>0</v>
      </c>
      <c r="BB51">
        <v>0</v>
      </c>
      <c r="BC51" s="28">
        <v>0</v>
      </c>
      <c r="BD51">
        <v>0</v>
      </c>
      <c r="BE51">
        <v>1</v>
      </c>
      <c r="BF51">
        <v>0</v>
      </c>
      <c r="BG51">
        <v>0</v>
      </c>
      <c r="BH51">
        <v>1</v>
      </c>
      <c r="BI51">
        <v>1</v>
      </c>
      <c r="BJ51">
        <v>0</v>
      </c>
      <c r="BK51" s="16">
        <v>0</v>
      </c>
      <c r="BL51">
        <v>0.29799999999999999</v>
      </c>
      <c r="BM51">
        <v>188</v>
      </c>
      <c r="BN51">
        <v>1</v>
      </c>
      <c r="BO51">
        <v>0</v>
      </c>
      <c r="BP51">
        <v>5</v>
      </c>
      <c r="BQ51" t="s">
        <v>34</v>
      </c>
    </row>
    <row r="52" spans="1:69" x14ac:dyDescent="0.25">
      <c r="A52">
        <v>51</v>
      </c>
      <c r="B52">
        <v>3</v>
      </c>
      <c r="C52" t="s">
        <v>207</v>
      </c>
      <c r="D52" s="10">
        <v>10.4</v>
      </c>
      <c r="E52" s="6">
        <v>3</v>
      </c>
      <c r="F52" s="6">
        <f t="shared" si="0"/>
        <v>3.4666666666666668</v>
      </c>
      <c r="G52" s="78">
        <v>1</v>
      </c>
      <c r="H52" s="8">
        <v>0</v>
      </c>
      <c r="I52" s="8">
        <v>0</v>
      </c>
      <c r="J52" s="7">
        <v>294</v>
      </c>
      <c r="K52" s="8">
        <v>4</v>
      </c>
      <c r="L52" s="8">
        <f t="shared" si="1"/>
        <v>289</v>
      </c>
      <c r="M52" s="60">
        <f t="shared" si="2"/>
        <v>14</v>
      </c>
      <c r="N52" s="70">
        <v>14.11</v>
      </c>
      <c r="O52" s="6">
        <f t="shared" si="5"/>
        <v>17.770000000000003</v>
      </c>
      <c r="P52" s="78">
        <v>1</v>
      </c>
      <c r="Q52" s="8">
        <v>0</v>
      </c>
      <c r="R52" s="78">
        <v>1</v>
      </c>
      <c r="S52" s="8">
        <v>0</v>
      </c>
      <c r="T52" s="21">
        <v>0</v>
      </c>
      <c r="U52" s="8">
        <v>1</v>
      </c>
      <c r="V52" s="21">
        <v>0</v>
      </c>
      <c r="W52" s="78">
        <v>1</v>
      </c>
      <c r="X52" s="21">
        <v>0</v>
      </c>
      <c r="Y52" s="69">
        <v>1993</v>
      </c>
      <c r="Z52" s="28" t="s">
        <v>45</v>
      </c>
      <c r="AA52" t="s">
        <v>45</v>
      </c>
      <c r="AB52" s="28">
        <v>0.41</v>
      </c>
      <c r="AC52">
        <v>0.59</v>
      </c>
      <c r="AD52" s="28">
        <v>0.48</v>
      </c>
      <c r="AE52" s="66">
        <f t="shared" si="6"/>
        <v>0.52</v>
      </c>
      <c r="AF52">
        <v>0</v>
      </c>
      <c r="AG52">
        <v>1</v>
      </c>
      <c r="AH52" s="28">
        <v>0.92</v>
      </c>
      <c r="AI52" s="12">
        <f t="shared" si="7"/>
        <v>7.999999999999996E-2</v>
      </c>
      <c r="AJ52">
        <v>1</v>
      </c>
      <c r="AK52">
        <v>0</v>
      </c>
      <c r="AL52" s="12">
        <v>0</v>
      </c>
      <c r="AM52" s="62" t="s">
        <v>67</v>
      </c>
      <c r="AN52">
        <v>1</v>
      </c>
      <c r="AO52">
        <v>0</v>
      </c>
      <c r="AP52">
        <v>25687</v>
      </c>
      <c r="AQ52">
        <v>1381</v>
      </c>
      <c r="AR52">
        <v>0.92600000000000005</v>
      </c>
      <c r="AS52" s="64">
        <v>37.880000000000003</v>
      </c>
      <c r="AT52">
        <v>0</v>
      </c>
      <c r="AU52">
        <v>0</v>
      </c>
      <c r="AV52">
        <v>0</v>
      </c>
      <c r="AW52">
        <v>0</v>
      </c>
      <c r="AX52">
        <v>0</v>
      </c>
      <c r="AY52">
        <v>1</v>
      </c>
      <c r="AZ52" s="28">
        <v>0</v>
      </c>
      <c r="BA52">
        <v>0</v>
      </c>
      <c r="BB52">
        <v>0</v>
      </c>
      <c r="BC52" s="28">
        <v>0</v>
      </c>
      <c r="BD52">
        <v>0</v>
      </c>
      <c r="BE52">
        <v>1</v>
      </c>
      <c r="BF52">
        <v>0</v>
      </c>
      <c r="BG52">
        <v>0</v>
      </c>
      <c r="BH52">
        <v>1</v>
      </c>
      <c r="BI52">
        <v>1</v>
      </c>
      <c r="BJ52">
        <v>0</v>
      </c>
      <c r="BK52" s="16">
        <v>0</v>
      </c>
      <c r="BL52">
        <v>0.29799999999999999</v>
      </c>
      <c r="BM52">
        <v>188</v>
      </c>
      <c r="BN52">
        <v>1</v>
      </c>
      <c r="BO52">
        <v>0</v>
      </c>
      <c r="BP52">
        <v>5</v>
      </c>
      <c r="BQ52" t="s">
        <v>34</v>
      </c>
    </row>
    <row r="53" spans="1:69" x14ac:dyDescent="0.25">
      <c r="A53">
        <v>52</v>
      </c>
      <c r="B53">
        <v>4</v>
      </c>
      <c r="C53" t="s">
        <v>214</v>
      </c>
      <c r="D53" s="10">
        <v>7.8</v>
      </c>
      <c r="E53" s="6">
        <v>0.2</v>
      </c>
      <c r="F53" s="6">
        <f t="shared" si="0"/>
        <v>39</v>
      </c>
      <c r="G53" s="78">
        <v>1</v>
      </c>
      <c r="H53" s="8">
        <v>0</v>
      </c>
      <c r="I53" s="8">
        <v>0</v>
      </c>
      <c r="J53" s="78">
        <v>4398</v>
      </c>
      <c r="K53" s="70">
        <v>3</v>
      </c>
      <c r="L53" s="70">
        <f t="shared" si="1"/>
        <v>4394</v>
      </c>
      <c r="M53" s="60">
        <f t="shared" si="2"/>
        <v>12</v>
      </c>
      <c r="N53" s="70">
        <v>12.1</v>
      </c>
      <c r="O53" s="70">
        <v>6.9</v>
      </c>
      <c r="P53" s="78">
        <v>0</v>
      </c>
      <c r="Q53" s="70">
        <v>1</v>
      </c>
      <c r="R53" s="78">
        <v>1</v>
      </c>
      <c r="S53" s="8">
        <v>0</v>
      </c>
      <c r="T53" s="70">
        <v>0</v>
      </c>
      <c r="U53" s="70">
        <v>1</v>
      </c>
      <c r="V53" s="70">
        <v>0</v>
      </c>
      <c r="W53" s="78">
        <v>1</v>
      </c>
      <c r="X53" s="70">
        <v>0</v>
      </c>
      <c r="Y53" s="69">
        <v>1999</v>
      </c>
      <c r="Z53" s="28">
        <f t="shared" ref="Z53:Z64" si="8">1-AA53</f>
        <v>0.95199999999999996</v>
      </c>
      <c r="AA53">
        <v>4.8000000000000001E-2</v>
      </c>
      <c r="AB53" s="28">
        <v>0</v>
      </c>
      <c r="AC53">
        <v>1</v>
      </c>
      <c r="AD53" s="28">
        <v>0.59499999999999997</v>
      </c>
      <c r="AE53" s="66">
        <f t="shared" si="6"/>
        <v>0.40500000000000003</v>
      </c>
      <c r="AF53">
        <v>1</v>
      </c>
      <c r="AG53">
        <v>0</v>
      </c>
      <c r="AH53" s="28">
        <v>0.94899999999999995</v>
      </c>
      <c r="AI53" s="12">
        <f t="shared" si="7"/>
        <v>5.1000000000000045E-2</v>
      </c>
      <c r="AJ53">
        <v>0</v>
      </c>
      <c r="AK53">
        <v>0</v>
      </c>
      <c r="AL53" s="12">
        <v>1</v>
      </c>
      <c r="AM53" s="62" t="s">
        <v>288</v>
      </c>
      <c r="AN53">
        <v>1</v>
      </c>
      <c r="AO53">
        <v>0</v>
      </c>
      <c r="AP53">
        <v>23477</v>
      </c>
      <c r="AQ53">
        <v>1423</v>
      </c>
      <c r="AR53">
        <v>0.92400000000000004</v>
      </c>
      <c r="AS53" s="64">
        <v>38.9</v>
      </c>
      <c r="AT53">
        <v>1</v>
      </c>
      <c r="AU53">
        <v>0</v>
      </c>
      <c r="AV53">
        <v>0</v>
      </c>
      <c r="AW53">
        <v>0</v>
      </c>
      <c r="AX53">
        <v>0</v>
      </c>
      <c r="AY53">
        <v>0</v>
      </c>
      <c r="AZ53" s="28">
        <v>0</v>
      </c>
      <c r="BA53">
        <v>0</v>
      </c>
      <c r="BB53">
        <v>0</v>
      </c>
      <c r="BC53" s="28">
        <v>1</v>
      </c>
      <c r="BD53">
        <v>1</v>
      </c>
      <c r="BE53">
        <v>0</v>
      </c>
      <c r="BF53">
        <v>0</v>
      </c>
      <c r="BG53">
        <v>0</v>
      </c>
      <c r="BH53">
        <v>0</v>
      </c>
      <c r="BI53">
        <v>0</v>
      </c>
      <c r="BJ53">
        <v>0</v>
      </c>
      <c r="BK53" s="16">
        <v>0</v>
      </c>
      <c r="BL53">
        <v>3.0070000000000001</v>
      </c>
      <c r="BM53">
        <v>158</v>
      </c>
      <c r="BN53">
        <v>1</v>
      </c>
      <c r="BO53">
        <v>0</v>
      </c>
      <c r="BP53">
        <v>9</v>
      </c>
      <c r="BQ53" t="s">
        <v>34</v>
      </c>
    </row>
    <row r="54" spans="1:69" x14ac:dyDescent="0.25">
      <c r="A54">
        <v>53</v>
      </c>
      <c r="B54">
        <v>4</v>
      </c>
      <c r="C54" t="s">
        <v>214</v>
      </c>
      <c r="D54" s="10">
        <v>7.7</v>
      </c>
      <c r="E54" s="6">
        <v>1.1000000000000001</v>
      </c>
      <c r="F54" s="6">
        <f t="shared" si="0"/>
        <v>7</v>
      </c>
      <c r="G54" s="78">
        <v>1</v>
      </c>
      <c r="H54" s="8">
        <v>0</v>
      </c>
      <c r="I54" s="8">
        <v>0</v>
      </c>
      <c r="J54" s="78">
        <v>428</v>
      </c>
      <c r="K54" s="70">
        <v>3</v>
      </c>
      <c r="L54" s="70">
        <f t="shared" si="1"/>
        <v>424</v>
      </c>
      <c r="M54" s="60">
        <f t="shared" si="2"/>
        <v>12</v>
      </c>
      <c r="N54" s="70">
        <v>13.2</v>
      </c>
      <c r="O54" s="70">
        <v>11.9</v>
      </c>
      <c r="P54" s="78">
        <v>0</v>
      </c>
      <c r="Q54" s="70">
        <v>1</v>
      </c>
      <c r="R54" s="78">
        <v>1</v>
      </c>
      <c r="S54" s="8">
        <v>0</v>
      </c>
      <c r="T54" s="70">
        <v>0</v>
      </c>
      <c r="U54" s="70">
        <v>1</v>
      </c>
      <c r="V54" s="70">
        <v>0</v>
      </c>
      <c r="W54" s="78">
        <v>1</v>
      </c>
      <c r="X54" s="70">
        <v>0</v>
      </c>
      <c r="Y54" s="69">
        <v>1999</v>
      </c>
      <c r="Z54" s="28">
        <f t="shared" si="8"/>
        <v>0.95099999999999996</v>
      </c>
      <c r="AA54">
        <v>4.9000000000000002E-2</v>
      </c>
      <c r="AB54" s="28">
        <v>0</v>
      </c>
      <c r="AC54">
        <v>1</v>
      </c>
      <c r="AD54" s="28">
        <v>0.61299999999999999</v>
      </c>
      <c r="AE54" s="66">
        <f t="shared" si="6"/>
        <v>0.38700000000000001</v>
      </c>
      <c r="AF54">
        <v>1</v>
      </c>
      <c r="AG54">
        <v>0</v>
      </c>
      <c r="AH54" s="28">
        <v>0.98299999999999998</v>
      </c>
      <c r="AI54" s="12">
        <f t="shared" si="7"/>
        <v>1.7000000000000015E-2</v>
      </c>
      <c r="AJ54">
        <v>1</v>
      </c>
      <c r="AK54">
        <v>0</v>
      </c>
      <c r="AL54" s="12">
        <v>0</v>
      </c>
      <c r="AM54" s="62" t="s">
        <v>288</v>
      </c>
      <c r="AN54">
        <v>1</v>
      </c>
      <c r="AO54">
        <v>0</v>
      </c>
      <c r="AP54">
        <v>23477</v>
      </c>
      <c r="AQ54">
        <v>1423</v>
      </c>
      <c r="AR54">
        <v>0.92400000000000004</v>
      </c>
      <c r="AS54" s="64">
        <v>42.5</v>
      </c>
      <c r="AT54">
        <v>1</v>
      </c>
      <c r="AU54">
        <v>0</v>
      </c>
      <c r="AV54">
        <v>0</v>
      </c>
      <c r="AW54">
        <v>0</v>
      </c>
      <c r="AX54">
        <v>0</v>
      </c>
      <c r="AY54">
        <v>0</v>
      </c>
      <c r="AZ54" s="28">
        <v>0</v>
      </c>
      <c r="BA54">
        <v>0</v>
      </c>
      <c r="BB54">
        <v>0</v>
      </c>
      <c r="BC54" s="28">
        <v>1</v>
      </c>
      <c r="BD54">
        <v>1</v>
      </c>
      <c r="BE54">
        <v>0</v>
      </c>
      <c r="BF54">
        <v>0</v>
      </c>
      <c r="BG54">
        <v>0</v>
      </c>
      <c r="BH54">
        <v>0</v>
      </c>
      <c r="BI54">
        <v>0</v>
      </c>
      <c r="BJ54">
        <v>0</v>
      </c>
      <c r="BK54" s="16">
        <v>0</v>
      </c>
      <c r="BL54">
        <v>3.0070000000000001</v>
      </c>
      <c r="BM54">
        <v>158</v>
      </c>
      <c r="BN54">
        <v>1</v>
      </c>
      <c r="BO54">
        <v>0</v>
      </c>
      <c r="BP54">
        <v>9</v>
      </c>
      <c r="BQ54" t="s">
        <v>34</v>
      </c>
    </row>
    <row r="55" spans="1:69" x14ac:dyDescent="0.25">
      <c r="A55">
        <v>54</v>
      </c>
      <c r="B55">
        <v>4</v>
      </c>
      <c r="C55" t="s">
        <v>214</v>
      </c>
      <c r="D55" s="10">
        <v>8.5</v>
      </c>
      <c r="E55" s="6">
        <v>1.2</v>
      </c>
      <c r="F55" s="6">
        <f t="shared" si="0"/>
        <v>7.0833333333333339</v>
      </c>
      <c r="G55" s="78">
        <v>1</v>
      </c>
      <c r="H55" s="8">
        <v>0</v>
      </c>
      <c r="I55" s="8">
        <v>0</v>
      </c>
      <c r="J55" s="78">
        <v>428</v>
      </c>
      <c r="K55" s="70">
        <v>3</v>
      </c>
      <c r="L55" s="70">
        <f t="shared" si="1"/>
        <v>424</v>
      </c>
      <c r="M55" s="60">
        <f t="shared" si="2"/>
        <v>12</v>
      </c>
      <c r="N55" s="70">
        <v>13.2</v>
      </c>
      <c r="O55" s="70">
        <v>11.9</v>
      </c>
      <c r="P55" s="78">
        <v>0</v>
      </c>
      <c r="Q55" s="70">
        <v>1</v>
      </c>
      <c r="R55" s="78">
        <v>1</v>
      </c>
      <c r="S55" s="8">
        <v>0</v>
      </c>
      <c r="T55" s="70">
        <v>0</v>
      </c>
      <c r="U55" s="70">
        <v>1</v>
      </c>
      <c r="V55" s="70">
        <v>0</v>
      </c>
      <c r="W55" s="78">
        <v>1</v>
      </c>
      <c r="X55" s="70">
        <v>0</v>
      </c>
      <c r="Y55" s="69">
        <v>1999</v>
      </c>
      <c r="Z55" s="28">
        <f t="shared" si="8"/>
        <v>0.95099999999999996</v>
      </c>
      <c r="AA55">
        <v>4.9000000000000002E-2</v>
      </c>
      <c r="AB55" s="28">
        <v>0</v>
      </c>
      <c r="AC55">
        <v>1</v>
      </c>
      <c r="AD55" s="28">
        <v>0.61299999999999999</v>
      </c>
      <c r="AE55" s="66">
        <f t="shared" si="6"/>
        <v>0.38700000000000001</v>
      </c>
      <c r="AF55">
        <v>1</v>
      </c>
      <c r="AG55">
        <v>0</v>
      </c>
      <c r="AH55" s="28">
        <v>0.98299999999999998</v>
      </c>
      <c r="AI55" s="12">
        <f t="shared" si="7"/>
        <v>1.7000000000000015E-2</v>
      </c>
      <c r="AJ55">
        <v>1</v>
      </c>
      <c r="AK55">
        <v>0</v>
      </c>
      <c r="AL55" s="12">
        <v>0</v>
      </c>
      <c r="AM55" s="62" t="s">
        <v>288</v>
      </c>
      <c r="AN55">
        <v>1</v>
      </c>
      <c r="AO55">
        <v>0</v>
      </c>
      <c r="AP55">
        <v>23477</v>
      </c>
      <c r="AQ55">
        <v>1423</v>
      </c>
      <c r="AR55">
        <v>0.92400000000000004</v>
      </c>
      <c r="AS55" s="64">
        <v>42.5</v>
      </c>
      <c r="AT55">
        <v>0</v>
      </c>
      <c r="AU55">
        <v>0</v>
      </c>
      <c r="AV55">
        <v>0</v>
      </c>
      <c r="AW55">
        <v>0</v>
      </c>
      <c r="AX55">
        <v>0</v>
      </c>
      <c r="AY55">
        <v>1</v>
      </c>
      <c r="AZ55" s="28">
        <v>1</v>
      </c>
      <c r="BA55">
        <v>0</v>
      </c>
      <c r="BB55">
        <v>0</v>
      </c>
      <c r="BC55" s="28">
        <v>1</v>
      </c>
      <c r="BD55">
        <v>1</v>
      </c>
      <c r="BE55">
        <v>0</v>
      </c>
      <c r="BF55">
        <v>0</v>
      </c>
      <c r="BG55">
        <v>0</v>
      </c>
      <c r="BH55">
        <v>0</v>
      </c>
      <c r="BI55">
        <v>0</v>
      </c>
      <c r="BJ55">
        <v>0</v>
      </c>
      <c r="BK55" s="16">
        <v>0</v>
      </c>
      <c r="BL55">
        <v>3.0070000000000001</v>
      </c>
      <c r="BM55">
        <v>158</v>
      </c>
      <c r="BN55">
        <v>1</v>
      </c>
      <c r="BO55">
        <v>0</v>
      </c>
      <c r="BP55">
        <v>9</v>
      </c>
      <c r="BQ55" t="s">
        <v>34</v>
      </c>
    </row>
    <row r="56" spans="1:69" x14ac:dyDescent="0.25">
      <c r="A56">
        <v>55</v>
      </c>
      <c r="B56">
        <v>4</v>
      </c>
      <c r="C56" t="s">
        <v>214</v>
      </c>
      <c r="D56" s="10">
        <v>3.9</v>
      </c>
      <c r="E56" s="6">
        <v>2.2999999999999998</v>
      </c>
      <c r="F56" s="6">
        <f t="shared" si="0"/>
        <v>1.6956521739130437</v>
      </c>
      <c r="G56" s="78">
        <v>1</v>
      </c>
      <c r="H56" s="8">
        <v>0</v>
      </c>
      <c r="I56" s="8">
        <v>0</v>
      </c>
      <c r="J56" s="78">
        <v>214</v>
      </c>
      <c r="K56" s="70">
        <v>1</v>
      </c>
      <c r="L56" s="70">
        <f t="shared" si="1"/>
        <v>212</v>
      </c>
      <c r="M56" s="60">
        <f t="shared" si="2"/>
        <v>12</v>
      </c>
      <c r="N56" s="70">
        <v>13.2</v>
      </c>
      <c r="O56" s="70">
        <v>11.9</v>
      </c>
      <c r="P56" s="78">
        <v>0</v>
      </c>
      <c r="Q56" s="70">
        <v>1</v>
      </c>
      <c r="R56" s="78">
        <v>1</v>
      </c>
      <c r="S56" s="8">
        <v>0</v>
      </c>
      <c r="T56" s="70">
        <v>0</v>
      </c>
      <c r="U56" s="70">
        <v>1</v>
      </c>
      <c r="V56" s="70">
        <v>0</v>
      </c>
      <c r="W56" s="78">
        <v>1</v>
      </c>
      <c r="X56" s="70">
        <v>0</v>
      </c>
      <c r="Y56" s="69">
        <v>1999</v>
      </c>
      <c r="Z56" s="28">
        <f t="shared" si="8"/>
        <v>0.95099999999999996</v>
      </c>
      <c r="AA56">
        <v>4.9000000000000002E-2</v>
      </c>
      <c r="AB56" s="28">
        <v>0</v>
      </c>
      <c r="AC56">
        <v>1</v>
      </c>
      <c r="AD56" s="28">
        <v>0.61299999999999999</v>
      </c>
      <c r="AE56" s="66">
        <f t="shared" si="6"/>
        <v>0.38700000000000001</v>
      </c>
      <c r="AF56">
        <v>1</v>
      </c>
      <c r="AG56">
        <v>0</v>
      </c>
      <c r="AH56" s="28">
        <v>0.98299999999999998</v>
      </c>
      <c r="AI56" s="12">
        <f t="shared" si="7"/>
        <v>1.7000000000000015E-2</v>
      </c>
      <c r="AJ56">
        <v>1</v>
      </c>
      <c r="AK56">
        <v>0</v>
      </c>
      <c r="AL56" s="12">
        <v>0</v>
      </c>
      <c r="AM56" s="62" t="s">
        <v>288</v>
      </c>
      <c r="AN56">
        <v>1</v>
      </c>
      <c r="AO56">
        <v>0</v>
      </c>
      <c r="AP56">
        <v>23477</v>
      </c>
      <c r="AQ56">
        <v>1423</v>
      </c>
      <c r="AR56">
        <v>0.92400000000000004</v>
      </c>
      <c r="AS56" s="64">
        <v>42.5</v>
      </c>
      <c r="AT56">
        <v>1</v>
      </c>
      <c r="AU56">
        <v>0</v>
      </c>
      <c r="AV56">
        <v>0</v>
      </c>
      <c r="AW56">
        <v>0</v>
      </c>
      <c r="AX56">
        <v>0</v>
      </c>
      <c r="AY56">
        <v>0</v>
      </c>
      <c r="AZ56" s="28">
        <v>0</v>
      </c>
      <c r="BA56">
        <v>0</v>
      </c>
      <c r="BB56">
        <v>0</v>
      </c>
      <c r="BC56" s="28">
        <v>0</v>
      </c>
      <c r="BD56">
        <v>0</v>
      </c>
      <c r="BE56">
        <v>0</v>
      </c>
      <c r="BF56">
        <v>0</v>
      </c>
      <c r="BG56">
        <v>0</v>
      </c>
      <c r="BH56">
        <v>0</v>
      </c>
      <c r="BI56">
        <v>0</v>
      </c>
      <c r="BJ56">
        <v>0</v>
      </c>
      <c r="BK56" s="16">
        <v>0</v>
      </c>
      <c r="BL56">
        <v>3.0070000000000001</v>
      </c>
      <c r="BM56">
        <v>158</v>
      </c>
      <c r="BN56">
        <v>1</v>
      </c>
      <c r="BO56">
        <v>0</v>
      </c>
      <c r="BP56">
        <v>9</v>
      </c>
      <c r="BQ56" t="s">
        <v>34</v>
      </c>
    </row>
    <row r="57" spans="1:69" x14ac:dyDescent="0.25">
      <c r="A57">
        <v>56</v>
      </c>
      <c r="B57">
        <v>4</v>
      </c>
      <c r="C57" t="s">
        <v>214</v>
      </c>
      <c r="D57" s="10">
        <v>7.7</v>
      </c>
      <c r="E57" s="6">
        <v>3.3</v>
      </c>
      <c r="F57" s="6">
        <f t="shared" si="0"/>
        <v>2.3333333333333335</v>
      </c>
      <c r="G57" s="78">
        <v>1</v>
      </c>
      <c r="H57" s="8">
        <v>0</v>
      </c>
      <c r="I57" s="8">
        <v>0</v>
      </c>
      <c r="J57" s="78">
        <v>214</v>
      </c>
      <c r="K57" s="70">
        <v>1</v>
      </c>
      <c r="L57" s="70">
        <f t="shared" si="1"/>
        <v>212</v>
      </c>
      <c r="M57" s="60">
        <f t="shared" si="2"/>
        <v>12</v>
      </c>
      <c r="N57" s="70">
        <v>13.2</v>
      </c>
      <c r="O57" s="70">
        <v>11.9</v>
      </c>
      <c r="P57" s="78">
        <v>0</v>
      </c>
      <c r="Q57" s="70">
        <v>1</v>
      </c>
      <c r="R57" s="78">
        <v>1</v>
      </c>
      <c r="S57" s="8">
        <v>0</v>
      </c>
      <c r="T57" s="70">
        <v>0</v>
      </c>
      <c r="U57" s="70">
        <v>1</v>
      </c>
      <c r="V57" s="70">
        <v>0</v>
      </c>
      <c r="W57" s="78">
        <v>1</v>
      </c>
      <c r="X57" s="70">
        <v>0</v>
      </c>
      <c r="Y57" s="69">
        <v>1999</v>
      </c>
      <c r="Z57" s="28">
        <f t="shared" si="8"/>
        <v>0.95099999999999996</v>
      </c>
      <c r="AA57">
        <v>4.9000000000000002E-2</v>
      </c>
      <c r="AB57" s="28">
        <v>0</v>
      </c>
      <c r="AC57">
        <v>1</v>
      </c>
      <c r="AD57" s="28">
        <v>0.61299999999999999</v>
      </c>
      <c r="AE57" s="66">
        <f t="shared" si="6"/>
        <v>0.38700000000000001</v>
      </c>
      <c r="AF57">
        <v>1</v>
      </c>
      <c r="AG57">
        <v>0</v>
      </c>
      <c r="AH57" s="28">
        <v>0.98299999999999998</v>
      </c>
      <c r="AI57" s="12">
        <f t="shared" si="7"/>
        <v>1.7000000000000015E-2</v>
      </c>
      <c r="AJ57">
        <v>1</v>
      </c>
      <c r="AK57">
        <v>0</v>
      </c>
      <c r="AL57" s="12">
        <v>0</v>
      </c>
      <c r="AM57" s="62" t="s">
        <v>288</v>
      </c>
      <c r="AN57">
        <v>1</v>
      </c>
      <c r="AO57">
        <v>0</v>
      </c>
      <c r="AP57">
        <v>23477</v>
      </c>
      <c r="AQ57">
        <v>1423</v>
      </c>
      <c r="AR57">
        <v>0.92400000000000004</v>
      </c>
      <c r="AS57" s="64">
        <v>42.5</v>
      </c>
      <c r="AT57">
        <v>0</v>
      </c>
      <c r="AU57">
        <v>0</v>
      </c>
      <c r="AV57">
        <v>0</v>
      </c>
      <c r="AW57">
        <v>0</v>
      </c>
      <c r="AX57">
        <v>0</v>
      </c>
      <c r="AY57">
        <v>1</v>
      </c>
      <c r="AZ57" s="28">
        <v>1</v>
      </c>
      <c r="BA57">
        <v>0</v>
      </c>
      <c r="BB57">
        <v>0</v>
      </c>
      <c r="BC57" s="28">
        <v>0</v>
      </c>
      <c r="BD57">
        <v>0</v>
      </c>
      <c r="BE57">
        <v>0</v>
      </c>
      <c r="BF57">
        <v>0</v>
      </c>
      <c r="BG57">
        <v>0</v>
      </c>
      <c r="BH57">
        <v>0</v>
      </c>
      <c r="BI57">
        <v>0</v>
      </c>
      <c r="BJ57">
        <v>0</v>
      </c>
      <c r="BK57" s="16">
        <v>0</v>
      </c>
      <c r="BL57">
        <v>3.0070000000000001</v>
      </c>
      <c r="BM57">
        <v>158</v>
      </c>
      <c r="BN57">
        <v>1</v>
      </c>
      <c r="BO57">
        <v>0</v>
      </c>
      <c r="BP57">
        <v>9</v>
      </c>
      <c r="BQ57" t="s">
        <v>34</v>
      </c>
    </row>
    <row r="58" spans="1:69" x14ac:dyDescent="0.25">
      <c r="A58">
        <v>57</v>
      </c>
      <c r="B58">
        <v>4</v>
      </c>
      <c r="C58" t="s">
        <v>214</v>
      </c>
      <c r="D58" s="10">
        <v>7.2</v>
      </c>
      <c r="E58" s="6">
        <v>1.1000000000000001</v>
      </c>
      <c r="F58" s="6">
        <f t="shared" si="0"/>
        <v>6.545454545454545</v>
      </c>
      <c r="G58" s="78">
        <v>1</v>
      </c>
      <c r="H58" s="8">
        <v>0</v>
      </c>
      <c r="I58" s="8">
        <v>0</v>
      </c>
      <c r="J58" s="78">
        <v>374</v>
      </c>
      <c r="K58" s="70">
        <v>6</v>
      </c>
      <c r="L58" s="70">
        <f t="shared" si="1"/>
        <v>367</v>
      </c>
      <c r="M58" s="60">
        <f t="shared" si="2"/>
        <v>12</v>
      </c>
      <c r="N58" s="70">
        <v>13.2</v>
      </c>
      <c r="O58" s="70">
        <v>11.9</v>
      </c>
      <c r="P58" s="78">
        <v>0</v>
      </c>
      <c r="Q58" s="70">
        <v>1</v>
      </c>
      <c r="R58" s="78">
        <v>1</v>
      </c>
      <c r="S58" s="8">
        <v>0</v>
      </c>
      <c r="T58" s="70">
        <v>0</v>
      </c>
      <c r="U58" s="70">
        <v>1</v>
      </c>
      <c r="V58" s="70">
        <v>0</v>
      </c>
      <c r="W58" s="78">
        <v>1</v>
      </c>
      <c r="X58" s="70">
        <v>0</v>
      </c>
      <c r="Y58" s="69">
        <v>1999</v>
      </c>
      <c r="Z58" s="28">
        <f t="shared" si="8"/>
        <v>0.95099999999999996</v>
      </c>
      <c r="AA58">
        <v>4.9000000000000002E-2</v>
      </c>
      <c r="AB58" s="28">
        <v>0</v>
      </c>
      <c r="AC58">
        <v>1</v>
      </c>
      <c r="AD58" s="28">
        <v>0.61299999999999999</v>
      </c>
      <c r="AE58" s="66">
        <f t="shared" si="6"/>
        <v>0.38700000000000001</v>
      </c>
      <c r="AF58">
        <v>1</v>
      </c>
      <c r="AG58">
        <v>0</v>
      </c>
      <c r="AH58" s="28">
        <v>0.98299999999999998</v>
      </c>
      <c r="AI58" s="12">
        <f t="shared" si="7"/>
        <v>1.7000000000000015E-2</v>
      </c>
      <c r="AJ58">
        <v>1</v>
      </c>
      <c r="AK58">
        <v>0</v>
      </c>
      <c r="AL58" s="12">
        <v>0</v>
      </c>
      <c r="AM58" s="62" t="s">
        <v>288</v>
      </c>
      <c r="AN58">
        <v>1</v>
      </c>
      <c r="AO58">
        <v>0</v>
      </c>
      <c r="AP58">
        <v>23477</v>
      </c>
      <c r="AQ58">
        <v>1423</v>
      </c>
      <c r="AR58">
        <v>0.92400000000000004</v>
      </c>
      <c r="AS58" s="64">
        <v>42.5</v>
      </c>
      <c r="AT58">
        <v>1</v>
      </c>
      <c r="AU58">
        <v>0</v>
      </c>
      <c r="AV58">
        <v>0</v>
      </c>
      <c r="AW58">
        <v>0</v>
      </c>
      <c r="AX58">
        <v>0</v>
      </c>
      <c r="AY58">
        <v>0</v>
      </c>
      <c r="AZ58" s="28">
        <v>0</v>
      </c>
      <c r="BA58">
        <v>0</v>
      </c>
      <c r="BB58">
        <v>0</v>
      </c>
      <c r="BC58" s="28">
        <v>1</v>
      </c>
      <c r="BD58">
        <v>1</v>
      </c>
      <c r="BE58">
        <v>1</v>
      </c>
      <c r="BF58">
        <v>0</v>
      </c>
      <c r="BG58">
        <v>0</v>
      </c>
      <c r="BH58">
        <v>1</v>
      </c>
      <c r="BI58">
        <v>0</v>
      </c>
      <c r="BJ58">
        <v>0</v>
      </c>
      <c r="BK58" s="16">
        <v>0</v>
      </c>
      <c r="BL58">
        <v>3.0070000000000001</v>
      </c>
      <c r="BM58">
        <v>158</v>
      </c>
      <c r="BN58">
        <v>1</v>
      </c>
      <c r="BO58">
        <v>0</v>
      </c>
      <c r="BP58">
        <v>9</v>
      </c>
      <c r="BQ58" t="s">
        <v>34</v>
      </c>
    </row>
    <row r="59" spans="1:69" x14ac:dyDescent="0.25">
      <c r="A59">
        <v>58</v>
      </c>
      <c r="B59">
        <v>4</v>
      </c>
      <c r="C59" t="s">
        <v>214</v>
      </c>
      <c r="D59" s="10">
        <v>7.9</v>
      </c>
      <c r="E59" s="6">
        <v>1.2</v>
      </c>
      <c r="F59" s="6">
        <f t="shared" si="0"/>
        <v>6.5833333333333339</v>
      </c>
      <c r="G59" s="78">
        <v>1</v>
      </c>
      <c r="H59" s="8">
        <v>0</v>
      </c>
      <c r="I59" s="8">
        <v>0</v>
      </c>
      <c r="J59" s="78">
        <v>374</v>
      </c>
      <c r="K59" s="70">
        <v>6</v>
      </c>
      <c r="L59" s="70">
        <f t="shared" si="1"/>
        <v>367</v>
      </c>
      <c r="M59" s="60">
        <f t="shared" si="2"/>
        <v>12</v>
      </c>
      <c r="N59" s="70">
        <v>13.2</v>
      </c>
      <c r="O59" s="70">
        <v>11.9</v>
      </c>
      <c r="P59" s="78">
        <v>0</v>
      </c>
      <c r="Q59" s="70">
        <v>1</v>
      </c>
      <c r="R59" s="78">
        <v>1</v>
      </c>
      <c r="S59" s="8">
        <v>0</v>
      </c>
      <c r="T59" s="70">
        <v>0</v>
      </c>
      <c r="U59" s="70">
        <v>1</v>
      </c>
      <c r="V59" s="70">
        <v>0</v>
      </c>
      <c r="W59" s="78">
        <v>1</v>
      </c>
      <c r="X59" s="70">
        <v>0</v>
      </c>
      <c r="Y59" s="69">
        <v>1999</v>
      </c>
      <c r="Z59" s="28">
        <f t="shared" si="8"/>
        <v>0.95099999999999996</v>
      </c>
      <c r="AA59">
        <v>4.9000000000000002E-2</v>
      </c>
      <c r="AB59" s="28">
        <v>0</v>
      </c>
      <c r="AC59">
        <v>1</v>
      </c>
      <c r="AD59" s="28">
        <v>0.61299999999999999</v>
      </c>
      <c r="AE59" s="66">
        <f t="shared" si="6"/>
        <v>0.38700000000000001</v>
      </c>
      <c r="AF59">
        <v>1</v>
      </c>
      <c r="AG59">
        <v>0</v>
      </c>
      <c r="AH59" s="28">
        <v>0.98299999999999998</v>
      </c>
      <c r="AI59" s="12">
        <f t="shared" si="7"/>
        <v>1.7000000000000015E-2</v>
      </c>
      <c r="AJ59">
        <v>1</v>
      </c>
      <c r="AK59">
        <v>0</v>
      </c>
      <c r="AL59" s="12">
        <v>0</v>
      </c>
      <c r="AM59" s="62" t="s">
        <v>288</v>
      </c>
      <c r="AN59">
        <v>1</v>
      </c>
      <c r="AO59">
        <v>0</v>
      </c>
      <c r="AP59">
        <v>23477</v>
      </c>
      <c r="AQ59">
        <v>1423</v>
      </c>
      <c r="AR59">
        <v>0.92400000000000004</v>
      </c>
      <c r="AS59" s="64">
        <v>42.5</v>
      </c>
      <c r="AT59">
        <v>0</v>
      </c>
      <c r="AU59">
        <v>0</v>
      </c>
      <c r="AV59">
        <v>0</v>
      </c>
      <c r="AW59">
        <v>0</v>
      </c>
      <c r="AX59">
        <v>0</v>
      </c>
      <c r="AY59">
        <v>1</v>
      </c>
      <c r="AZ59" s="28">
        <v>1</v>
      </c>
      <c r="BA59">
        <v>0</v>
      </c>
      <c r="BB59">
        <v>0</v>
      </c>
      <c r="BC59" s="28">
        <v>1</v>
      </c>
      <c r="BD59">
        <v>1</v>
      </c>
      <c r="BE59">
        <v>1</v>
      </c>
      <c r="BF59">
        <v>0</v>
      </c>
      <c r="BG59">
        <v>0</v>
      </c>
      <c r="BH59">
        <v>1</v>
      </c>
      <c r="BI59">
        <v>0</v>
      </c>
      <c r="BJ59">
        <v>0</v>
      </c>
      <c r="BK59" s="16">
        <v>0</v>
      </c>
      <c r="BL59">
        <v>3.0070000000000001</v>
      </c>
      <c r="BM59">
        <v>158</v>
      </c>
      <c r="BN59">
        <v>1</v>
      </c>
      <c r="BO59">
        <v>0</v>
      </c>
      <c r="BP59">
        <v>9</v>
      </c>
      <c r="BQ59" t="s">
        <v>34</v>
      </c>
    </row>
    <row r="60" spans="1:69" x14ac:dyDescent="0.25">
      <c r="A60">
        <v>59</v>
      </c>
      <c r="B60">
        <v>4</v>
      </c>
      <c r="C60" t="s">
        <v>214</v>
      </c>
      <c r="D60" s="10">
        <v>3.8</v>
      </c>
      <c r="E60" s="6">
        <v>2.4</v>
      </c>
      <c r="F60" s="6">
        <f t="shared" si="0"/>
        <v>1.5833333333333333</v>
      </c>
      <c r="G60" s="78">
        <v>1</v>
      </c>
      <c r="H60" s="8">
        <v>0</v>
      </c>
      <c r="I60" s="8">
        <v>0</v>
      </c>
      <c r="J60" s="78">
        <v>187</v>
      </c>
      <c r="K60" s="70">
        <v>4</v>
      </c>
      <c r="L60" s="70">
        <f t="shared" si="1"/>
        <v>182</v>
      </c>
      <c r="M60" s="60">
        <f t="shared" si="2"/>
        <v>12</v>
      </c>
      <c r="N60" s="70">
        <v>13.2</v>
      </c>
      <c r="O60" s="70">
        <v>11.9</v>
      </c>
      <c r="P60" s="78">
        <v>0</v>
      </c>
      <c r="Q60" s="70">
        <v>1</v>
      </c>
      <c r="R60" s="78">
        <v>1</v>
      </c>
      <c r="S60" s="8">
        <v>0</v>
      </c>
      <c r="T60" s="70">
        <v>0</v>
      </c>
      <c r="U60" s="70">
        <v>1</v>
      </c>
      <c r="V60" s="70">
        <v>0</v>
      </c>
      <c r="W60" s="78">
        <v>1</v>
      </c>
      <c r="X60" s="70">
        <v>0</v>
      </c>
      <c r="Y60" s="69">
        <v>1999</v>
      </c>
      <c r="Z60" s="28">
        <f t="shared" si="8"/>
        <v>0.95099999999999996</v>
      </c>
      <c r="AA60">
        <v>4.9000000000000002E-2</v>
      </c>
      <c r="AB60" s="28">
        <v>0</v>
      </c>
      <c r="AC60">
        <v>1</v>
      </c>
      <c r="AD60" s="28">
        <v>0.61299999999999999</v>
      </c>
      <c r="AE60" s="66">
        <f t="shared" si="6"/>
        <v>0.38700000000000001</v>
      </c>
      <c r="AF60">
        <v>1</v>
      </c>
      <c r="AG60">
        <v>0</v>
      </c>
      <c r="AH60" s="28">
        <v>0.98299999999999998</v>
      </c>
      <c r="AI60" s="12">
        <f t="shared" si="7"/>
        <v>1.7000000000000015E-2</v>
      </c>
      <c r="AJ60">
        <v>1</v>
      </c>
      <c r="AK60">
        <v>0</v>
      </c>
      <c r="AL60" s="12">
        <v>0</v>
      </c>
      <c r="AM60" s="62" t="s">
        <v>288</v>
      </c>
      <c r="AN60">
        <v>1</v>
      </c>
      <c r="AO60">
        <v>0</v>
      </c>
      <c r="AP60">
        <v>23477</v>
      </c>
      <c r="AQ60">
        <v>1423</v>
      </c>
      <c r="AR60">
        <v>0.92400000000000004</v>
      </c>
      <c r="AS60" s="64">
        <v>42.5</v>
      </c>
      <c r="AT60">
        <v>1</v>
      </c>
      <c r="AU60">
        <v>0</v>
      </c>
      <c r="AV60">
        <v>0</v>
      </c>
      <c r="AW60">
        <v>0</v>
      </c>
      <c r="AX60">
        <v>0</v>
      </c>
      <c r="AY60">
        <v>0</v>
      </c>
      <c r="AZ60" s="28">
        <v>0</v>
      </c>
      <c r="BA60">
        <v>0</v>
      </c>
      <c r="BB60">
        <v>0</v>
      </c>
      <c r="BC60" s="28">
        <v>0</v>
      </c>
      <c r="BD60">
        <v>0</v>
      </c>
      <c r="BE60">
        <v>1</v>
      </c>
      <c r="BF60">
        <v>0</v>
      </c>
      <c r="BG60">
        <v>0</v>
      </c>
      <c r="BH60">
        <v>1</v>
      </c>
      <c r="BI60">
        <v>0</v>
      </c>
      <c r="BJ60">
        <v>0</v>
      </c>
      <c r="BK60" s="16">
        <v>0</v>
      </c>
      <c r="BL60">
        <v>3.0070000000000001</v>
      </c>
      <c r="BM60">
        <v>158</v>
      </c>
      <c r="BN60">
        <v>1</v>
      </c>
      <c r="BO60">
        <v>0</v>
      </c>
      <c r="BP60">
        <v>9</v>
      </c>
      <c r="BQ60" t="s">
        <v>34</v>
      </c>
    </row>
    <row r="61" spans="1:69" x14ac:dyDescent="0.25">
      <c r="A61">
        <v>60</v>
      </c>
      <c r="B61">
        <v>4</v>
      </c>
      <c r="C61" t="s">
        <v>214</v>
      </c>
      <c r="D61" s="10">
        <v>7.9</v>
      </c>
      <c r="E61" s="6">
        <v>3.6</v>
      </c>
      <c r="F61" s="6">
        <f t="shared" si="0"/>
        <v>2.1944444444444446</v>
      </c>
      <c r="G61" s="78">
        <v>1</v>
      </c>
      <c r="H61" s="8">
        <v>0</v>
      </c>
      <c r="I61" s="8">
        <v>0</v>
      </c>
      <c r="J61" s="78">
        <v>187</v>
      </c>
      <c r="K61" s="70">
        <v>4</v>
      </c>
      <c r="L61" s="70">
        <f t="shared" si="1"/>
        <v>182</v>
      </c>
      <c r="M61" s="60">
        <f t="shared" si="2"/>
        <v>12</v>
      </c>
      <c r="N61" s="70">
        <v>13.2</v>
      </c>
      <c r="O61" s="70">
        <v>11.9</v>
      </c>
      <c r="P61" s="78">
        <v>0</v>
      </c>
      <c r="Q61" s="70">
        <v>1</v>
      </c>
      <c r="R61" s="78">
        <v>1</v>
      </c>
      <c r="S61" s="8">
        <v>0</v>
      </c>
      <c r="T61" s="70">
        <v>0</v>
      </c>
      <c r="U61" s="70">
        <v>1</v>
      </c>
      <c r="V61" s="70">
        <v>0</v>
      </c>
      <c r="W61" s="78">
        <v>1</v>
      </c>
      <c r="X61" s="70">
        <v>0</v>
      </c>
      <c r="Y61" s="69">
        <v>1999</v>
      </c>
      <c r="Z61" s="28">
        <f t="shared" si="8"/>
        <v>0.95099999999999996</v>
      </c>
      <c r="AA61">
        <v>4.9000000000000002E-2</v>
      </c>
      <c r="AB61" s="28">
        <v>0</v>
      </c>
      <c r="AC61">
        <v>1</v>
      </c>
      <c r="AD61" s="28">
        <v>0.61299999999999999</v>
      </c>
      <c r="AE61" s="66">
        <f t="shared" si="6"/>
        <v>0.38700000000000001</v>
      </c>
      <c r="AF61">
        <v>1</v>
      </c>
      <c r="AG61">
        <v>0</v>
      </c>
      <c r="AH61" s="28">
        <v>0.98299999999999998</v>
      </c>
      <c r="AI61" s="12">
        <f t="shared" si="7"/>
        <v>1.7000000000000015E-2</v>
      </c>
      <c r="AJ61">
        <v>1</v>
      </c>
      <c r="AK61">
        <v>0</v>
      </c>
      <c r="AL61" s="12">
        <v>0</v>
      </c>
      <c r="AM61" s="62" t="s">
        <v>288</v>
      </c>
      <c r="AN61">
        <v>1</v>
      </c>
      <c r="AO61">
        <v>0</v>
      </c>
      <c r="AP61">
        <v>23477</v>
      </c>
      <c r="AQ61">
        <v>1423</v>
      </c>
      <c r="AR61">
        <v>0.92400000000000004</v>
      </c>
      <c r="AS61" s="64">
        <v>42.5</v>
      </c>
      <c r="AT61">
        <v>0</v>
      </c>
      <c r="AU61">
        <v>0</v>
      </c>
      <c r="AV61">
        <v>0</v>
      </c>
      <c r="AW61">
        <v>0</v>
      </c>
      <c r="AX61">
        <v>0</v>
      </c>
      <c r="AY61">
        <v>1</v>
      </c>
      <c r="AZ61" s="28">
        <v>1</v>
      </c>
      <c r="BA61">
        <v>0</v>
      </c>
      <c r="BB61">
        <v>0</v>
      </c>
      <c r="BC61" s="28">
        <v>0</v>
      </c>
      <c r="BD61">
        <v>0</v>
      </c>
      <c r="BE61">
        <v>1</v>
      </c>
      <c r="BF61">
        <v>0</v>
      </c>
      <c r="BG61">
        <v>0</v>
      </c>
      <c r="BH61">
        <v>1</v>
      </c>
      <c r="BI61">
        <v>0</v>
      </c>
      <c r="BJ61">
        <v>0</v>
      </c>
      <c r="BK61" s="16">
        <v>0</v>
      </c>
      <c r="BL61">
        <v>3.0070000000000001</v>
      </c>
      <c r="BM61">
        <v>158</v>
      </c>
      <c r="BN61">
        <v>1</v>
      </c>
      <c r="BO61">
        <v>0</v>
      </c>
      <c r="BP61">
        <v>9</v>
      </c>
      <c r="BQ61" t="s">
        <v>34</v>
      </c>
    </row>
    <row r="62" spans="1:69" x14ac:dyDescent="0.25">
      <c r="A62">
        <v>61</v>
      </c>
      <c r="B62">
        <v>4</v>
      </c>
      <c r="C62" t="s">
        <v>214</v>
      </c>
      <c r="D62" s="10">
        <v>7.7</v>
      </c>
      <c r="E62" s="6">
        <v>1.1000000000000001</v>
      </c>
      <c r="F62" s="6">
        <f t="shared" si="0"/>
        <v>7</v>
      </c>
      <c r="G62" s="78">
        <v>1</v>
      </c>
      <c r="H62" s="8">
        <v>0</v>
      </c>
      <c r="I62" s="8">
        <v>0</v>
      </c>
      <c r="J62" s="78">
        <v>428</v>
      </c>
      <c r="K62" s="70">
        <v>3</v>
      </c>
      <c r="L62" s="70">
        <f t="shared" si="1"/>
        <v>424</v>
      </c>
      <c r="M62" s="60">
        <f t="shared" si="2"/>
        <v>12</v>
      </c>
      <c r="N62" s="70">
        <v>13.2</v>
      </c>
      <c r="O62" s="70">
        <v>11.9</v>
      </c>
      <c r="P62" s="78">
        <v>0</v>
      </c>
      <c r="Q62" s="70">
        <v>1</v>
      </c>
      <c r="R62" s="78">
        <v>1</v>
      </c>
      <c r="S62" s="8">
        <v>0</v>
      </c>
      <c r="T62" s="70">
        <v>0</v>
      </c>
      <c r="U62" s="70">
        <v>1</v>
      </c>
      <c r="V62" s="70">
        <v>0</v>
      </c>
      <c r="W62" s="78">
        <v>1</v>
      </c>
      <c r="X62" s="70">
        <v>0</v>
      </c>
      <c r="Y62" s="69">
        <v>1999</v>
      </c>
      <c r="Z62" s="28">
        <f t="shared" si="8"/>
        <v>0.95099999999999996</v>
      </c>
      <c r="AA62">
        <v>4.9000000000000002E-2</v>
      </c>
      <c r="AB62" s="28">
        <v>0</v>
      </c>
      <c r="AC62">
        <v>1</v>
      </c>
      <c r="AD62" s="28">
        <v>0.61299999999999999</v>
      </c>
      <c r="AE62" s="66">
        <f t="shared" si="6"/>
        <v>0.38700000000000001</v>
      </c>
      <c r="AF62">
        <v>1</v>
      </c>
      <c r="AG62">
        <v>0</v>
      </c>
      <c r="AH62" s="28">
        <v>0.98299999999999998</v>
      </c>
      <c r="AI62" s="12">
        <f t="shared" si="7"/>
        <v>1.7000000000000015E-2</v>
      </c>
      <c r="AJ62">
        <v>1</v>
      </c>
      <c r="AK62">
        <v>0</v>
      </c>
      <c r="AL62" s="12">
        <v>0</v>
      </c>
      <c r="AM62" s="62" t="s">
        <v>288</v>
      </c>
      <c r="AN62">
        <v>1</v>
      </c>
      <c r="AO62">
        <v>0</v>
      </c>
      <c r="AP62">
        <v>23477</v>
      </c>
      <c r="AQ62">
        <v>1423</v>
      </c>
      <c r="AR62">
        <v>0.92400000000000004</v>
      </c>
      <c r="AS62" s="64">
        <v>42.5</v>
      </c>
      <c r="AT62">
        <v>1</v>
      </c>
      <c r="AU62">
        <v>0</v>
      </c>
      <c r="AV62">
        <v>0</v>
      </c>
      <c r="AW62">
        <v>0</v>
      </c>
      <c r="AX62">
        <v>0</v>
      </c>
      <c r="AY62">
        <v>0</v>
      </c>
      <c r="AZ62" s="28">
        <v>0</v>
      </c>
      <c r="BA62">
        <v>0</v>
      </c>
      <c r="BB62">
        <v>0</v>
      </c>
      <c r="BC62" s="28">
        <v>1</v>
      </c>
      <c r="BD62">
        <v>1</v>
      </c>
      <c r="BE62">
        <v>0</v>
      </c>
      <c r="BF62">
        <v>0</v>
      </c>
      <c r="BG62">
        <v>0</v>
      </c>
      <c r="BH62">
        <v>0</v>
      </c>
      <c r="BI62">
        <v>0</v>
      </c>
      <c r="BJ62">
        <v>0</v>
      </c>
      <c r="BK62" s="16">
        <v>0</v>
      </c>
      <c r="BL62">
        <v>3.0070000000000001</v>
      </c>
      <c r="BM62">
        <v>158</v>
      </c>
      <c r="BN62">
        <v>1</v>
      </c>
      <c r="BO62">
        <v>0</v>
      </c>
      <c r="BP62">
        <v>9</v>
      </c>
      <c r="BQ62" t="s">
        <v>34</v>
      </c>
    </row>
    <row r="63" spans="1:69" x14ac:dyDescent="0.25">
      <c r="A63">
        <v>62</v>
      </c>
      <c r="B63">
        <v>4</v>
      </c>
      <c r="C63" t="s">
        <v>214</v>
      </c>
      <c r="D63" s="10">
        <v>11</v>
      </c>
      <c r="E63" s="6">
        <v>4.4000000000000004</v>
      </c>
      <c r="F63" s="6">
        <f t="shared" si="0"/>
        <v>2.5</v>
      </c>
      <c r="G63" s="78">
        <v>1</v>
      </c>
      <c r="H63" s="8">
        <v>0</v>
      </c>
      <c r="I63" s="8">
        <v>0</v>
      </c>
      <c r="J63" s="78">
        <v>428</v>
      </c>
      <c r="K63" s="70">
        <v>3</v>
      </c>
      <c r="L63" s="70">
        <f t="shared" si="1"/>
        <v>424</v>
      </c>
      <c r="M63" s="60">
        <f t="shared" si="2"/>
        <v>12</v>
      </c>
      <c r="N63" s="70">
        <v>13.2</v>
      </c>
      <c r="O63" s="70">
        <v>11.9</v>
      </c>
      <c r="P63" s="78">
        <v>0</v>
      </c>
      <c r="Q63" s="70">
        <v>1</v>
      </c>
      <c r="R63" s="78">
        <v>1</v>
      </c>
      <c r="S63" s="8">
        <v>0</v>
      </c>
      <c r="T63" s="70">
        <v>0</v>
      </c>
      <c r="U63" s="70">
        <v>1</v>
      </c>
      <c r="V63" s="70">
        <v>0</v>
      </c>
      <c r="W63" s="78">
        <v>1</v>
      </c>
      <c r="X63" s="70">
        <v>0</v>
      </c>
      <c r="Y63" s="69">
        <v>1999</v>
      </c>
      <c r="Z63" s="28">
        <f t="shared" si="8"/>
        <v>0.95099999999999996</v>
      </c>
      <c r="AA63">
        <v>4.9000000000000002E-2</v>
      </c>
      <c r="AB63" s="28">
        <v>0</v>
      </c>
      <c r="AC63">
        <v>1</v>
      </c>
      <c r="AD63" s="28">
        <v>0.61299999999999999</v>
      </c>
      <c r="AE63" s="66">
        <f t="shared" si="6"/>
        <v>0.38700000000000001</v>
      </c>
      <c r="AF63">
        <v>1</v>
      </c>
      <c r="AG63">
        <v>0</v>
      </c>
      <c r="AH63" s="28">
        <v>0.98299999999999998</v>
      </c>
      <c r="AI63" s="12">
        <f t="shared" si="7"/>
        <v>1.7000000000000015E-2</v>
      </c>
      <c r="AJ63">
        <v>1</v>
      </c>
      <c r="AK63">
        <v>0</v>
      </c>
      <c r="AL63" s="12">
        <v>0</v>
      </c>
      <c r="AM63" s="62" t="s">
        <v>288</v>
      </c>
      <c r="AN63">
        <v>1</v>
      </c>
      <c r="AO63">
        <v>0</v>
      </c>
      <c r="AP63">
        <v>23477</v>
      </c>
      <c r="AQ63">
        <v>1423</v>
      </c>
      <c r="AR63">
        <v>0.92400000000000004</v>
      </c>
      <c r="AS63" s="64">
        <v>42.5</v>
      </c>
      <c r="AT63">
        <v>0</v>
      </c>
      <c r="AU63">
        <v>0</v>
      </c>
      <c r="AV63">
        <v>0</v>
      </c>
      <c r="AW63">
        <v>0</v>
      </c>
      <c r="AX63">
        <v>0</v>
      </c>
      <c r="AY63">
        <v>1</v>
      </c>
      <c r="AZ63" s="28">
        <v>0</v>
      </c>
      <c r="BA63">
        <v>1</v>
      </c>
      <c r="BB63">
        <v>0</v>
      </c>
      <c r="BC63" s="28">
        <v>1</v>
      </c>
      <c r="BD63">
        <v>1</v>
      </c>
      <c r="BE63">
        <v>0</v>
      </c>
      <c r="BF63">
        <v>0</v>
      </c>
      <c r="BG63">
        <v>0</v>
      </c>
      <c r="BH63">
        <v>0</v>
      </c>
      <c r="BI63">
        <v>0</v>
      </c>
      <c r="BJ63">
        <v>0</v>
      </c>
      <c r="BK63" s="16">
        <v>0</v>
      </c>
      <c r="BL63">
        <v>3.0070000000000001</v>
      </c>
      <c r="BM63">
        <v>158</v>
      </c>
      <c r="BN63">
        <v>1</v>
      </c>
      <c r="BO63">
        <v>0</v>
      </c>
      <c r="BP63">
        <v>9</v>
      </c>
      <c r="BQ63" t="s">
        <v>34</v>
      </c>
    </row>
    <row r="64" spans="1:69" x14ac:dyDescent="0.25">
      <c r="A64">
        <v>63</v>
      </c>
      <c r="B64">
        <v>4</v>
      </c>
      <c r="C64" t="s">
        <v>214</v>
      </c>
      <c r="D64" s="10">
        <v>10.4</v>
      </c>
      <c r="E64" s="6">
        <v>4.5</v>
      </c>
      <c r="F64" s="6">
        <f t="shared" si="0"/>
        <v>2.3111111111111113</v>
      </c>
      <c r="G64" s="78">
        <v>1</v>
      </c>
      <c r="H64" s="8">
        <v>0</v>
      </c>
      <c r="I64" s="8">
        <v>0</v>
      </c>
      <c r="J64" s="78">
        <v>428</v>
      </c>
      <c r="K64" s="70">
        <v>3</v>
      </c>
      <c r="L64" s="70">
        <f t="shared" si="1"/>
        <v>424</v>
      </c>
      <c r="M64" s="60">
        <f t="shared" si="2"/>
        <v>12</v>
      </c>
      <c r="N64" s="70">
        <v>13.2</v>
      </c>
      <c r="O64" s="70">
        <v>11.9</v>
      </c>
      <c r="P64" s="78">
        <v>0</v>
      </c>
      <c r="Q64" s="70">
        <v>1</v>
      </c>
      <c r="R64" s="78">
        <v>1</v>
      </c>
      <c r="S64" s="8">
        <v>0</v>
      </c>
      <c r="T64" s="70">
        <v>0</v>
      </c>
      <c r="U64" s="70">
        <v>1</v>
      </c>
      <c r="V64" s="70">
        <v>0</v>
      </c>
      <c r="W64" s="78">
        <v>1</v>
      </c>
      <c r="X64" s="70">
        <v>0</v>
      </c>
      <c r="Y64" s="69">
        <v>1999</v>
      </c>
      <c r="Z64" s="28">
        <f t="shared" si="8"/>
        <v>0.95099999999999996</v>
      </c>
      <c r="AA64">
        <v>4.9000000000000002E-2</v>
      </c>
      <c r="AB64" s="28">
        <v>0</v>
      </c>
      <c r="AC64">
        <v>1</v>
      </c>
      <c r="AD64" s="28">
        <v>0.61299999999999999</v>
      </c>
      <c r="AE64" s="66">
        <f t="shared" si="6"/>
        <v>0.38700000000000001</v>
      </c>
      <c r="AF64">
        <v>1</v>
      </c>
      <c r="AG64">
        <v>0</v>
      </c>
      <c r="AH64" s="28">
        <v>0.98299999999999998</v>
      </c>
      <c r="AI64" s="12">
        <f t="shared" si="7"/>
        <v>1.7000000000000015E-2</v>
      </c>
      <c r="AJ64">
        <v>1</v>
      </c>
      <c r="AK64">
        <v>0</v>
      </c>
      <c r="AL64" s="12">
        <v>0</v>
      </c>
      <c r="AM64" s="62" t="s">
        <v>288</v>
      </c>
      <c r="AN64">
        <v>1</v>
      </c>
      <c r="AO64">
        <v>0</v>
      </c>
      <c r="AP64">
        <v>23477</v>
      </c>
      <c r="AQ64">
        <v>1423</v>
      </c>
      <c r="AR64">
        <v>0.92400000000000004</v>
      </c>
      <c r="AS64" s="64">
        <v>42.5</v>
      </c>
      <c r="AT64">
        <v>0</v>
      </c>
      <c r="AU64">
        <v>0</v>
      </c>
      <c r="AV64">
        <v>0</v>
      </c>
      <c r="AW64">
        <v>0</v>
      </c>
      <c r="AX64">
        <v>0</v>
      </c>
      <c r="AY64">
        <v>1</v>
      </c>
      <c r="AZ64" s="28">
        <v>0</v>
      </c>
      <c r="BA64">
        <v>1</v>
      </c>
      <c r="BB64">
        <v>0</v>
      </c>
      <c r="BC64" s="28">
        <v>1</v>
      </c>
      <c r="BD64">
        <v>1</v>
      </c>
      <c r="BE64">
        <v>0</v>
      </c>
      <c r="BF64">
        <v>0</v>
      </c>
      <c r="BG64">
        <v>0</v>
      </c>
      <c r="BH64">
        <v>0</v>
      </c>
      <c r="BI64">
        <v>0</v>
      </c>
      <c r="BJ64">
        <v>0</v>
      </c>
      <c r="BK64" s="16">
        <v>0</v>
      </c>
      <c r="BL64">
        <v>3.0070000000000001</v>
      </c>
      <c r="BM64">
        <v>158</v>
      </c>
      <c r="BN64">
        <v>1</v>
      </c>
      <c r="BO64">
        <v>0</v>
      </c>
      <c r="BP64">
        <v>9</v>
      </c>
      <c r="BQ64" t="s">
        <v>34</v>
      </c>
    </row>
    <row r="65" spans="1:69" x14ac:dyDescent="0.25">
      <c r="A65">
        <v>64</v>
      </c>
      <c r="B65">
        <v>5</v>
      </c>
      <c r="C65" t="s">
        <v>220</v>
      </c>
      <c r="D65" s="10">
        <v>6.6</v>
      </c>
      <c r="E65" s="6">
        <v>0.4</v>
      </c>
      <c r="F65" s="6">
        <f t="shared" si="0"/>
        <v>16.499999999999996</v>
      </c>
      <c r="G65" s="78">
        <v>0</v>
      </c>
      <c r="H65" s="70">
        <v>1</v>
      </c>
      <c r="I65" s="70">
        <v>0</v>
      </c>
      <c r="J65" s="78">
        <v>2253</v>
      </c>
      <c r="K65" s="70">
        <v>4</v>
      </c>
      <c r="L65" s="70">
        <f t="shared" si="1"/>
        <v>2248</v>
      </c>
      <c r="M65" s="60">
        <f t="shared" si="2"/>
        <v>16</v>
      </c>
      <c r="N65" s="70">
        <v>12.16</v>
      </c>
      <c r="O65" s="70">
        <v>14.03</v>
      </c>
      <c r="P65" s="78">
        <v>1</v>
      </c>
      <c r="Q65" s="70">
        <v>0</v>
      </c>
      <c r="R65" s="78">
        <v>0</v>
      </c>
      <c r="S65" s="70">
        <v>0</v>
      </c>
      <c r="T65" s="70">
        <v>1</v>
      </c>
      <c r="U65" s="70">
        <v>1</v>
      </c>
      <c r="V65" s="70">
        <v>0</v>
      </c>
      <c r="W65" s="78">
        <v>1</v>
      </c>
      <c r="X65" s="70">
        <v>0</v>
      </c>
      <c r="Y65" s="69">
        <v>2002</v>
      </c>
      <c r="Z65" s="28" t="s">
        <v>45</v>
      </c>
      <c r="AA65" t="s">
        <v>45</v>
      </c>
      <c r="AB65" s="28">
        <v>0.59</v>
      </c>
      <c r="AC65">
        <f t="shared" ref="AC65:AC95" si="9">1-AB65</f>
        <v>0.41000000000000003</v>
      </c>
      <c r="AD65" s="28">
        <v>0</v>
      </c>
      <c r="AE65" s="66">
        <f t="shared" si="6"/>
        <v>1</v>
      </c>
      <c r="AF65">
        <v>0</v>
      </c>
      <c r="AG65">
        <v>1</v>
      </c>
      <c r="AH65" s="28">
        <v>0.64</v>
      </c>
      <c r="AI65" s="12">
        <f t="shared" si="7"/>
        <v>0.36</v>
      </c>
      <c r="AJ65">
        <f>1-AL65</f>
        <v>0.43330000000000002</v>
      </c>
      <c r="AK65">
        <v>0</v>
      </c>
      <c r="AL65" s="12">
        <v>0.56669999999999998</v>
      </c>
      <c r="AM65" s="62" t="s">
        <v>297</v>
      </c>
      <c r="AN65">
        <v>0</v>
      </c>
      <c r="AO65">
        <v>1</v>
      </c>
      <c r="AP65">
        <v>942</v>
      </c>
      <c r="AQ65">
        <v>131</v>
      </c>
      <c r="AR65">
        <v>0.29299999999999998</v>
      </c>
      <c r="AS65" s="64">
        <v>33.770000000000003</v>
      </c>
      <c r="AT65">
        <v>1</v>
      </c>
      <c r="AU65">
        <v>0</v>
      </c>
      <c r="AV65">
        <v>0</v>
      </c>
      <c r="AW65">
        <v>0</v>
      </c>
      <c r="AX65">
        <v>0</v>
      </c>
      <c r="AY65">
        <v>0</v>
      </c>
      <c r="AZ65" s="28">
        <v>0</v>
      </c>
      <c r="BA65">
        <v>0</v>
      </c>
      <c r="BB65">
        <v>0</v>
      </c>
      <c r="BC65" s="28">
        <v>1</v>
      </c>
      <c r="BD65">
        <v>1</v>
      </c>
      <c r="BE65">
        <v>0</v>
      </c>
      <c r="BF65">
        <v>0</v>
      </c>
      <c r="BG65">
        <v>1</v>
      </c>
      <c r="BH65">
        <v>0</v>
      </c>
      <c r="BI65">
        <v>0</v>
      </c>
      <c r="BJ65">
        <v>0</v>
      </c>
      <c r="BK65" s="16">
        <v>0</v>
      </c>
      <c r="BL65">
        <v>0.76700000000000002</v>
      </c>
      <c r="BM65">
        <v>176</v>
      </c>
      <c r="BN65">
        <v>1</v>
      </c>
      <c r="BO65">
        <v>0</v>
      </c>
      <c r="BP65">
        <v>18</v>
      </c>
      <c r="BQ65" t="s">
        <v>34</v>
      </c>
    </row>
    <row r="66" spans="1:69" x14ac:dyDescent="0.25">
      <c r="A66">
        <v>65</v>
      </c>
      <c r="B66">
        <v>5</v>
      </c>
      <c r="C66" t="s">
        <v>220</v>
      </c>
      <c r="D66" s="10">
        <v>6.6</v>
      </c>
      <c r="E66" s="6">
        <v>0.4</v>
      </c>
      <c r="F66" s="6">
        <f t="shared" ref="F66:F80" si="10">D66/E66</f>
        <v>16.499999999999996</v>
      </c>
      <c r="G66" s="78">
        <v>0</v>
      </c>
      <c r="H66" s="70">
        <v>1</v>
      </c>
      <c r="I66" s="70">
        <v>0</v>
      </c>
      <c r="J66" s="78">
        <v>2253</v>
      </c>
      <c r="K66" s="70">
        <v>6</v>
      </c>
      <c r="L66" s="70">
        <f t="shared" ref="L66:L129" si="11">J66-K66-1</f>
        <v>2246</v>
      </c>
      <c r="M66" s="60">
        <f t="shared" ref="M66:M129" si="12">COUNTIF(B:B,B66)</f>
        <v>16</v>
      </c>
      <c r="N66" s="70">
        <v>12.16</v>
      </c>
      <c r="O66" s="70">
        <v>14.03</v>
      </c>
      <c r="P66" s="78">
        <v>1</v>
      </c>
      <c r="Q66" s="70">
        <v>0</v>
      </c>
      <c r="R66" s="78">
        <v>0</v>
      </c>
      <c r="S66" s="70">
        <v>0</v>
      </c>
      <c r="T66" s="70">
        <v>1</v>
      </c>
      <c r="U66" s="70">
        <v>1</v>
      </c>
      <c r="V66" s="70">
        <v>0</v>
      </c>
      <c r="W66" s="78">
        <v>1</v>
      </c>
      <c r="X66" s="70">
        <v>0</v>
      </c>
      <c r="Y66" s="69">
        <v>2002</v>
      </c>
      <c r="Z66" s="28" t="s">
        <v>45</v>
      </c>
      <c r="AA66" t="s">
        <v>45</v>
      </c>
      <c r="AB66" s="28">
        <v>0.59</v>
      </c>
      <c r="AC66">
        <f t="shared" si="9"/>
        <v>0.41000000000000003</v>
      </c>
      <c r="AD66" s="28">
        <v>0</v>
      </c>
      <c r="AE66" s="66">
        <f t="shared" si="6"/>
        <v>1</v>
      </c>
      <c r="AF66">
        <v>0</v>
      </c>
      <c r="AG66">
        <v>1</v>
      </c>
      <c r="AH66" s="28">
        <v>0.64</v>
      </c>
      <c r="AI66" s="12">
        <f t="shared" si="7"/>
        <v>0.36</v>
      </c>
      <c r="AJ66">
        <f>1-AL66</f>
        <v>0.43330000000000002</v>
      </c>
      <c r="AK66">
        <v>0</v>
      </c>
      <c r="AL66" s="12">
        <v>0.56669999999999998</v>
      </c>
      <c r="AM66" s="62" t="s">
        <v>297</v>
      </c>
      <c r="AN66">
        <v>0</v>
      </c>
      <c r="AO66">
        <v>1</v>
      </c>
      <c r="AP66">
        <v>942</v>
      </c>
      <c r="AQ66">
        <v>131</v>
      </c>
      <c r="AR66">
        <v>0.29299999999999998</v>
      </c>
      <c r="AS66" s="64">
        <v>33.770000000000003</v>
      </c>
      <c r="AT66">
        <v>1</v>
      </c>
      <c r="AU66">
        <v>0</v>
      </c>
      <c r="AV66">
        <v>0</v>
      </c>
      <c r="AW66">
        <v>0</v>
      </c>
      <c r="AX66">
        <v>0</v>
      </c>
      <c r="AY66">
        <v>0</v>
      </c>
      <c r="AZ66" s="28">
        <v>0</v>
      </c>
      <c r="BA66">
        <v>0</v>
      </c>
      <c r="BB66">
        <v>0</v>
      </c>
      <c r="BC66" s="28">
        <v>1</v>
      </c>
      <c r="BD66">
        <v>1</v>
      </c>
      <c r="BE66">
        <v>1</v>
      </c>
      <c r="BF66">
        <v>0</v>
      </c>
      <c r="BG66">
        <v>1</v>
      </c>
      <c r="BH66">
        <v>1</v>
      </c>
      <c r="BI66">
        <v>0</v>
      </c>
      <c r="BJ66">
        <v>0</v>
      </c>
      <c r="BK66" s="16">
        <v>0</v>
      </c>
      <c r="BL66">
        <v>0.76700000000000002</v>
      </c>
      <c r="BM66">
        <v>176</v>
      </c>
      <c r="BN66">
        <v>1</v>
      </c>
      <c r="BO66">
        <v>0</v>
      </c>
      <c r="BP66">
        <v>18</v>
      </c>
      <c r="BQ66" t="s">
        <v>34</v>
      </c>
    </row>
    <row r="67" spans="1:69" x14ac:dyDescent="0.25">
      <c r="A67">
        <v>66</v>
      </c>
      <c r="B67">
        <v>5</v>
      </c>
      <c r="C67" t="s">
        <v>220</v>
      </c>
      <c r="D67" s="10">
        <v>8.3000000000000007</v>
      </c>
      <c r="E67" s="6">
        <v>0.6</v>
      </c>
      <c r="F67" s="6">
        <f t="shared" si="10"/>
        <v>13.833333333333336</v>
      </c>
      <c r="G67" s="78">
        <v>0</v>
      </c>
      <c r="H67" s="70">
        <v>1</v>
      </c>
      <c r="I67" s="70">
        <v>0</v>
      </c>
      <c r="J67" s="78">
        <v>976</v>
      </c>
      <c r="K67" s="70">
        <v>4</v>
      </c>
      <c r="L67" s="70">
        <f t="shared" si="11"/>
        <v>971</v>
      </c>
      <c r="M67" s="60">
        <f t="shared" si="12"/>
        <v>16</v>
      </c>
      <c r="N67" s="70">
        <v>12.16</v>
      </c>
      <c r="O67" s="70">
        <v>14.03</v>
      </c>
      <c r="P67" s="78">
        <v>1</v>
      </c>
      <c r="Q67" s="70">
        <v>0</v>
      </c>
      <c r="R67" s="78">
        <v>0</v>
      </c>
      <c r="S67" s="70">
        <v>0</v>
      </c>
      <c r="T67" s="70">
        <v>1</v>
      </c>
      <c r="U67" s="70">
        <v>1</v>
      </c>
      <c r="V67" s="70">
        <v>0</v>
      </c>
      <c r="W67" s="78">
        <v>1</v>
      </c>
      <c r="X67" s="70">
        <v>0</v>
      </c>
      <c r="Y67" s="69">
        <v>2002</v>
      </c>
      <c r="Z67" s="28" t="s">
        <v>45</v>
      </c>
      <c r="AA67" t="s">
        <v>45</v>
      </c>
      <c r="AB67" s="28">
        <v>0.59</v>
      </c>
      <c r="AC67">
        <f t="shared" si="9"/>
        <v>0.41000000000000003</v>
      </c>
      <c r="AD67" s="28">
        <v>0</v>
      </c>
      <c r="AE67" s="66">
        <f t="shared" si="6"/>
        <v>1</v>
      </c>
      <c r="AF67">
        <v>0</v>
      </c>
      <c r="AG67">
        <v>1</v>
      </c>
      <c r="AH67" s="28">
        <v>0.64</v>
      </c>
      <c r="AI67" s="12">
        <f t="shared" si="7"/>
        <v>0.36</v>
      </c>
      <c r="AJ67">
        <v>1</v>
      </c>
      <c r="AK67">
        <v>0</v>
      </c>
      <c r="AL67" s="12">
        <v>0</v>
      </c>
      <c r="AM67" s="62" t="s">
        <v>297</v>
      </c>
      <c r="AN67">
        <v>0</v>
      </c>
      <c r="AO67">
        <v>1</v>
      </c>
      <c r="AP67">
        <v>942</v>
      </c>
      <c r="AQ67">
        <v>131</v>
      </c>
      <c r="AR67">
        <v>0.29299999999999998</v>
      </c>
      <c r="AS67" s="64">
        <v>33.770000000000003</v>
      </c>
      <c r="AT67">
        <v>1</v>
      </c>
      <c r="AU67">
        <v>0</v>
      </c>
      <c r="AV67">
        <v>0</v>
      </c>
      <c r="AW67">
        <v>0</v>
      </c>
      <c r="AX67">
        <v>0</v>
      </c>
      <c r="AY67">
        <v>0</v>
      </c>
      <c r="AZ67" s="28">
        <v>0</v>
      </c>
      <c r="BA67">
        <v>0</v>
      </c>
      <c r="BB67">
        <v>0</v>
      </c>
      <c r="BC67" s="28">
        <v>1</v>
      </c>
      <c r="BD67">
        <v>1</v>
      </c>
      <c r="BE67">
        <v>0</v>
      </c>
      <c r="BF67">
        <v>0</v>
      </c>
      <c r="BG67">
        <v>1</v>
      </c>
      <c r="BH67">
        <v>0</v>
      </c>
      <c r="BI67">
        <v>0</v>
      </c>
      <c r="BJ67">
        <v>0</v>
      </c>
      <c r="BK67" s="16">
        <v>0</v>
      </c>
      <c r="BL67">
        <v>0.76700000000000002</v>
      </c>
      <c r="BM67">
        <v>176</v>
      </c>
      <c r="BN67">
        <v>1</v>
      </c>
      <c r="BO67">
        <v>0</v>
      </c>
      <c r="BP67">
        <v>18</v>
      </c>
      <c r="BQ67" t="s">
        <v>34</v>
      </c>
    </row>
    <row r="68" spans="1:69" x14ac:dyDescent="0.25">
      <c r="A68">
        <v>67</v>
      </c>
      <c r="B68">
        <v>5</v>
      </c>
      <c r="C68" t="s">
        <v>220</v>
      </c>
      <c r="D68" s="10">
        <v>8.4</v>
      </c>
      <c r="E68" s="6">
        <v>0.6</v>
      </c>
      <c r="F68" s="6">
        <f t="shared" si="10"/>
        <v>14.000000000000002</v>
      </c>
      <c r="G68" s="78">
        <v>0</v>
      </c>
      <c r="H68" s="70">
        <v>1</v>
      </c>
      <c r="I68" s="70">
        <v>0</v>
      </c>
      <c r="J68" s="78">
        <v>976</v>
      </c>
      <c r="K68" s="70">
        <v>6</v>
      </c>
      <c r="L68" s="70">
        <f t="shared" si="11"/>
        <v>969</v>
      </c>
      <c r="M68" s="60">
        <f t="shared" si="12"/>
        <v>16</v>
      </c>
      <c r="N68" s="70">
        <v>12.16</v>
      </c>
      <c r="O68" s="70">
        <v>14.03</v>
      </c>
      <c r="P68" s="78">
        <v>1</v>
      </c>
      <c r="Q68" s="70">
        <v>0</v>
      </c>
      <c r="R68" s="78">
        <v>0</v>
      </c>
      <c r="S68" s="70">
        <v>0</v>
      </c>
      <c r="T68" s="70">
        <v>1</v>
      </c>
      <c r="U68" s="70">
        <v>1</v>
      </c>
      <c r="V68" s="70">
        <v>0</v>
      </c>
      <c r="W68" s="78">
        <v>1</v>
      </c>
      <c r="X68" s="70">
        <v>0</v>
      </c>
      <c r="Y68" s="69">
        <v>2002</v>
      </c>
      <c r="Z68" s="28" t="s">
        <v>45</v>
      </c>
      <c r="AA68" t="s">
        <v>45</v>
      </c>
      <c r="AB68" s="28">
        <v>0.59</v>
      </c>
      <c r="AC68">
        <f t="shared" si="9"/>
        <v>0.41000000000000003</v>
      </c>
      <c r="AD68" s="28">
        <v>0</v>
      </c>
      <c r="AE68" s="66">
        <f t="shared" si="6"/>
        <v>1</v>
      </c>
      <c r="AF68">
        <v>0</v>
      </c>
      <c r="AG68">
        <v>1</v>
      </c>
      <c r="AH68" s="28">
        <v>0.64</v>
      </c>
      <c r="AI68" s="12">
        <f t="shared" si="7"/>
        <v>0.36</v>
      </c>
      <c r="AJ68">
        <v>1</v>
      </c>
      <c r="AK68">
        <v>0</v>
      </c>
      <c r="AL68" s="12">
        <v>0</v>
      </c>
      <c r="AM68" s="62" t="s">
        <v>297</v>
      </c>
      <c r="AN68">
        <v>0</v>
      </c>
      <c r="AO68">
        <v>1</v>
      </c>
      <c r="AP68">
        <v>942</v>
      </c>
      <c r="AQ68">
        <v>131</v>
      </c>
      <c r="AR68">
        <v>0.29299999999999998</v>
      </c>
      <c r="AS68" s="64">
        <v>33.770000000000003</v>
      </c>
      <c r="AT68">
        <v>1</v>
      </c>
      <c r="AU68">
        <v>0</v>
      </c>
      <c r="AV68">
        <v>0</v>
      </c>
      <c r="AW68">
        <v>0</v>
      </c>
      <c r="AX68">
        <v>0</v>
      </c>
      <c r="AY68">
        <v>0</v>
      </c>
      <c r="AZ68" s="28">
        <v>0</v>
      </c>
      <c r="BA68">
        <v>0</v>
      </c>
      <c r="BB68">
        <v>0</v>
      </c>
      <c r="BC68" s="28">
        <v>1</v>
      </c>
      <c r="BD68">
        <v>1</v>
      </c>
      <c r="BE68">
        <v>1</v>
      </c>
      <c r="BF68">
        <v>0</v>
      </c>
      <c r="BG68">
        <v>1</v>
      </c>
      <c r="BH68">
        <v>1</v>
      </c>
      <c r="BI68">
        <v>0</v>
      </c>
      <c r="BJ68">
        <v>0</v>
      </c>
      <c r="BK68" s="16">
        <v>0</v>
      </c>
      <c r="BL68">
        <v>0.76700000000000002</v>
      </c>
      <c r="BM68">
        <v>176</v>
      </c>
      <c r="BN68">
        <v>1</v>
      </c>
      <c r="BO68">
        <v>0</v>
      </c>
      <c r="BP68">
        <v>18</v>
      </c>
      <c r="BQ68" t="s">
        <v>34</v>
      </c>
    </row>
    <row r="69" spans="1:69" x14ac:dyDescent="0.25">
      <c r="A69">
        <v>68</v>
      </c>
      <c r="B69">
        <v>5</v>
      </c>
      <c r="C69" t="s">
        <v>220</v>
      </c>
      <c r="D69" s="10">
        <v>2.5</v>
      </c>
      <c r="E69" s="6">
        <v>1.5</v>
      </c>
      <c r="F69" s="6">
        <f t="shared" si="10"/>
        <v>1.6666666666666667</v>
      </c>
      <c r="G69" s="78">
        <v>0</v>
      </c>
      <c r="H69" s="70">
        <v>1</v>
      </c>
      <c r="I69" s="70">
        <v>0</v>
      </c>
      <c r="J69" s="78">
        <v>976</v>
      </c>
      <c r="K69" s="70">
        <v>1</v>
      </c>
      <c r="L69" s="70">
        <f t="shared" si="11"/>
        <v>974</v>
      </c>
      <c r="M69" s="60">
        <f t="shared" si="12"/>
        <v>16</v>
      </c>
      <c r="N69" s="70">
        <v>12.16</v>
      </c>
      <c r="O69" s="70">
        <v>14.03</v>
      </c>
      <c r="P69" s="78">
        <v>1</v>
      </c>
      <c r="Q69" s="70">
        <v>0</v>
      </c>
      <c r="R69" s="78">
        <v>0</v>
      </c>
      <c r="S69" s="70">
        <v>0</v>
      </c>
      <c r="T69" s="70">
        <v>1</v>
      </c>
      <c r="U69" s="70">
        <v>1</v>
      </c>
      <c r="V69" s="70">
        <v>0</v>
      </c>
      <c r="W69" s="78">
        <v>1</v>
      </c>
      <c r="X69" s="70">
        <v>0</v>
      </c>
      <c r="Y69" s="69">
        <v>2002</v>
      </c>
      <c r="Z69" s="28" t="s">
        <v>45</v>
      </c>
      <c r="AA69" t="s">
        <v>45</v>
      </c>
      <c r="AB69" s="28">
        <v>0.59</v>
      </c>
      <c r="AC69">
        <f t="shared" si="9"/>
        <v>0.41000000000000003</v>
      </c>
      <c r="AD69" s="28">
        <v>0</v>
      </c>
      <c r="AE69" s="66">
        <f t="shared" si="6"/>
        <v>1</v>
      </c>
      <c r="AF69">
        <v>0</v>
      </c>
      <c r="AG69">
        <v>1</v>
      </c>
      <c r="AH69" s="28">
        <v>0.64</v>
      </c>
      <c r="AI69" s="12">
        <f t="shared" si="7"/>
        <v>0.36</v>
      </c>
      <c r="AJ69">
        <v>1</v>
      </c>
      <c r="AK69">
        <v>0</v>
      </c>
      <c r="AL69" s="12">
        <v>0</v>
      </c>
      <c r="AM69" s="62" t="s">
        <v>297</v>
      </c>
      <c r="AN69">
        <v>0</v>
      </c>
      <c r="AO69">
        <v>1</v>
      </c>
      <c r="AP69">
        <v>942</v>
      </c>
      <c r="AQ69">
        <v>131</v>
      </c>
      <c r="AR69">
        <v>0.29299999999999998</v>
      </c>
      <c r="AS69" s="64">
        <v>33.770000000000003</v>
      </c>
      <c r="AT69">
        <v>0</v>
      </c>
      <c r="AU69">
        <v>0</v>
      </c>
      <c r="AV69">
        <v>1</v>
      </c>
      <c r="AW69">
        <v>0</v>
      </c>
      <c r="AX69">
        <v>0</v>
      </c>
      <c r="AY69">
        <v>0</v>
      </c>
      <c r="AZ69" s="28">
        <v>0</v>
      </c>
      <c r="BA69">
        <v>0</v>
      </c>
      <c r="BB69">
        <v>0</v>
      </c>
      <c r="BC69" s="28">
        <v>0</v>
      </c>
      <c r="BD69">
        <v>0</v>
      </c>
      <c r="BE69">
        <v>0</v>
      </c>
      <c r="BF69">
        <v>0</v>
      </c>
      <c r="BG69">
        <v>0</v>
      </c>
      <c r="BH69">
        <v>0</v>
      </c>
      <c r="BI69">
        <v>0</v>
      </c>
      <c r="BJ69">
        <v>0</v>
      </c>
      <c r="BK69" s="16">
        <v>0</v>
      </c>
      <c r="BL69">
        <v>0.76700000000000002</v>
      </c>
      <c r="BM69">
        <v>176</v>
      </c>
      <c r="BN69">
        <v>1</v>
      </c>
      <c r="BO69">
        <v>0</v>
      </c>
      <c r="BP69">
        <v>18</v>
      </c>
      <c r="BQ69" t="s">
        <v>34</v>
      </c>
    </row>
    <row r="70" spans="1:69" x14ac:dyDescent="0.25">
      <c r="A70">
        <v>69</v>
      </c>
      <c r="B70">
        <v>5</v>
      </c>
      <c r="C70" t="s">
        <v>220</v>
      </c>
      <c r="D70" s="10">
        <v>2.7</v>
      </c>
      <c r="E70" s="6">
        <v>1.5</v>
      </c>
      <c r="F70" s="6">
        <f t="shared" si="10"/>
        <v>1.8</v>
      </c>
      <c r="G70" s="78">
        <v>0</v>
      </c>
      <c r="H70" s="70">
        <v>1</v>
      </c>
      <c r="I70" s="70">
        <v>0</v>
      </c>
      <c r="J70" s="78">
        <v>976</v>
      </c>
      <c r="K70" s="70">
        <v>3</v>
      </c>
      <c r="L70" s="70">
        <f t="shared" si="11"/>
        <v>972</v>
      </c>
      <c r="M70" s="60">
        <f t="shared" si="12"/>
        <v>16</v>
      </c>
      <c r="N70" s="70">
        <v>12.16</v>
      </c>
      <c r="O70" s="70">
        <v>14.03</v>
      </c>
      <c r="P70" s="78">
        <v>1</v>
      </c>
      <c r="Q70" s="70">
        <v>0</v>
      </c>
      <c r="R70" s="78">
        <v>0</v>
      </c>
      <c r="S70" s="70">
        <v>0</v>
      </c>
      <c r="T70" s="70">
        <v>1</v>
      </c>
      <c r="U70" s="70">
        <v>1</v>
      </c>
      <c r="V70" s="70">
        <v>0</v>
      </c>
      <c r="W70" s="78">
        <v>1</v>
      </c>
      <c r="X70" s="70">
        <v>0</v>
      </c>
      <c r="Y70" s="69">
        <v>2002</v>
      </c>
      <c r="Z70" s="28" t="s">
        <v>45</v>
      </c>
      <c r="AA70" t="s">
        <v>45</v>
      </c>
      <c r="AB70" s="28">
        <v>0.59</v>
      </c>
      <c r="AC70">
        <f t="shared" si="9"/>
        <v>0.41000000000000003</v>
      </c>
      <c r="AD70" s="28">
        <v>0</v>
      </c>
      <c r="AE70" s="66">
        <f t="shared" si="6"/>
        <v>1</v>
      </c>
      <c r="AF70">
        <v>0</v>
      </c>
      <c r="AG70">
        <v>1</v>
      </c>
      <c r="AH70" s="28">
        <v>0.64</v>
      </c>
      <c r="AI70" s="12">
        <f t="shared" si="7"/>
        <v>0.36</v>
      </c>
      <c r="AJ70">
        <v>1</v>
      </c>
      <c r="AK70">
        <v>0</v>
      </c>
      <c r="AL70" s="12">
        <v>0</v>
      </c>
      <c r="AM70" s="62" t="s">
        <v>297</v>
      </c>
      <c r="AN70">
        <v>0</v>
      </c>
      <c r="AO70">
        <v>1</v>
      </c>
      <c r="AP70">
        <v>942</v>
      </c>
      <c r="AQ70">
        <v>131</v>
      </c>
      <c r="AR70">
        <v>0.29299999999999998</v>
      </c>
      <c r="AS70" s="64">
        <v>33.770000000000003</v>
      </c>
      <c r="AT70">
        <v>0</v>
      </c>
      <c r="AU70">
        <v>0</v>
      </c>
      <c r="AV70">
        <v>1</v>
      </c>
      <c r="AW70">
        <v>0</v>
      </c>
      <c r="AX70">
        <v>0</v>
      </c>
      <c r="AY70">
        <v>0</v>
      </c>
      <c r="AZ70" s="28">
        <v>0</v>
      </c>
      <c r="BA70">
        <v>0</v>
      </c>
      <c r="BB70">
        <v>0</v>
      </c>
      <c r="BC70" s="28">
        <v>0</v>
      </c>
      <c r="BD70">
        <v>0</v>
      </c>
      <c r="BE70">
        <v>1</v>
      </c>
      <c r="BF70">
        <v>0</v>
      </c>
      <c r="BG70">
        <v>0</v>
      </c>
      <c r="BH70">
        <v>1</v>
      </c>
      <c r="BI70">
        <v>0</v>
      </c>
      <c r="BJ70">
        <v>0</v>
      </c>
      <c r="BK70" s="16">
        <v>0</v>
      </c>
      <c r="BL70">
        <v>0.76700000000000002</v>
      </c>
      <c r="BM70">
        <v>176</v>
      </c>
      <c r="BN70">
        <v>1</v>
      </c>
      <c r="BO70">
        <v>0</v>
      </c>
      <c r="BP70">
        <v>18</v>
      </c>
      <c r="BQ70" t="s">
        <v>34</v>
      </c>
    </row>
    <row r="71" spans="1:69" x14ac:dyDescent="0.25">
      <c r="A71">
        <v>70</v>
      </c>
      <c r="B71">
        <v>5</v>
      </c>
      <c r="C71" t="s">
        <v>220</v>
      </c>
      <c r="D71" s="10">
        <v>2.5</v>
      </c>
      <c r="E71" s="6">
        <v>1.2</v>
      </c>
      <c r="F71" s="6">
        <f t="shared" si="10"/>
        <v>2.0833333333333335</v>
      </c>
      <c r="G71" s="78">
        <v>0</v>
      </c>
      <c r="H71" s="70">
        <v>1</v>
      </c>
      <c r="I71" s="70">
        <v>0</v>
      </c>
      <c r="J71" s="78">
        <v>976</v>
      </c>
      <c r="K71" s="70">
        <v>5</v>
      </c>
      <c r="L71" s="70">
        <f t="shared" si="11"/>
        <v>970</v>
      </c>
      <c r="M71" s="60">
        <f t="shared" si="12"/>
        <v>16</v>
      </c>
      <c r="N71" s="70">
        <v>12.16</v>
      </c>
      <c r="O71" s="70">
        <v>14.03</v>
      </c>
      <c r="P71" s="78">
        <v>1</v>
      </c>
      <c r="Q71" s="70">
        <v>0</v>
      </c>
      <c r="R71" s="78">
        <v>0</v>
      </c>
      <c r="S71" s="70">
        <v>0</v>
      </c>
      <c r="T71" s="70">
        <v>1</v>
      </c>
      <c r="U71" s="70">
        <v>1</v>
      </c>
      <c r="V71" s="70">
        <v>0</v>
      </c>
      <c r="W71" s="78">
        <v>1</v>
      </c>
      <c r="X71" s="70">
        <v>0</v>
      </c>
      <c r="Y71" s="69">
        <v>2002</v>
      </c>
      <c r="Z71" s="28" t="s">
        <v>45</v>
      </c>
      <c r="AA71" t="s">
        <v>45</v>
      </c>
      <c r="AB71" s="28">
        <v>0.59</v>
      </c>
      <c r="AC71">
        <f t="shared" si="9"/>
        <v>0.41000000000000003</v>
      </c>
      <c r="AD71" s="28">
        <v>0</v>
      </c>
      <c r="AE71" s="66">
        <f t="shared" si="6"/>
        <v>1</v>
      </c>
      <c r="AF71">
        <v>0</v>
      </c>
      <c r="AG71">
        <v>1</v>
      </c>
      <c r="AH71" s="28">
        <v>0.64</v>
      </c>
      <c r="AI71" s="12">
        <f t="shared" si="7"/>
        <v>0.36</v>
      </c>
      <c r="AJ71">
        <v>1</v>
      </c>
      <c r="AK71">
        <v>0</v>
      </c>
      <c r="AL71" s="12">
        <v>0</v>
      </c>
      <c r="AM71" s="62" t="s">
        <v>297</v>
      </c>
      <c r="AN71">
        <v>0</v>
      </c>
      <c r="AO71">
        <v>1</v>
      </c>
      <c r="AP71">
        <v>942</v>
      </c>
      <c r="AQ71">
        <v>131</v>
      </c>
      <c r="AR71">
        <v>0.29299999999999998</v>
      </c>
      <c r="AS71" s="64">
        <v>33.770000000000003</v>
      </c>
      <c r="AT71">
        <v>0</v>
      </c>
      <c r="AU71">
        <v>1</v>
      </c>
      <c r="AV71">
        <v>0</v>
      </c>
      <c r="AW71">
        <v>0</v>
      </c>
      <c r="AX71">
        <v>0</v>
      </c>
      <c r="AY71">
        <v>0</v>
      </c>
      <c r="AZ71" s="28">
        <v>0</v>
      </c>
      <c r="BA71">
        <v>0</v>
      </c>
      <c r="BB71">
        <v>0</v>
      </c>
      <c r="BC71" s="28">
        <v>1</v>
      </c>
      <c r="BD71">
        <v>1</v>
      </c>
      <c r="BE71">
        <v>0</v>
      </c>
      <c r="BF71">
        <v>0</v>
      </c>
      <c r="BG71">
        <v>1</v>
      </c>
      <c r="BH71">
        <v>0</v>
      </c>
      <c r="BI71">
        <v>0</v>
      </c>
      <c r="BJ71">
        <v>0</v>
      </c>
      <c r="BK71" s="16">
        <v>0</v>
      </c>
      <c r="BL71">
        <v>0.76700000000000002</v>
      </c>
      <c r="BM71">
        <v>176</v>
      </c>
      <c r="BN71">
        <v>1</v>
      </c>
      <c r="BO71">
        <v>0</v>
      </c>
      <c r="BP71">
        <v>18</v>
      </c>
      <c r="BQ71" t="s">
        <v>34</v>
      </c>
    </row>
    <row r="72" spans="1:69" x14ac:dyDescent="0.25">
      <c r="A72">
        <v>71</v>
      </c>
      <c r="B72">
        <v>5</v>
      </c>
      <c r="C72" t="s">
        <v>220</v>
      </c>
      <c r="D72" s="10">
        <v>2.7</v>
      </c>
      <c r="E72" s="6">
        <v>1.2</v>
      </c>
      <c r="F72" s="6">
        <f t="shared" si="10"/>
        <v>2.2500000000000004</v>
      </c>
      <c r="G72" s="78">
        <v>0</v>
      </c>
      <c r="H72" s="70">
        <v>1</v>
      </c>
      <c r="I72" s="70">
        <v>0</v>
      </c>
      <c r="J72" s="78">
        <v>976</v>
      </c>
      <c r="K72" s="70">
        <v>7</v>
      </c>
      <c r="L72" s="70">
        <f t="shared" si="11"/>
        <v>968</v>
      </c>
      <c r="M72" s="60">
        <f t="shared" si="12"/>
        <v>16</v>
      </c>
      <c r="N72" s="70">
        <v>12.16</v>
      </c>
      <c r="O72" s="70">
        <v>14.03</v>
      </c>
      <c r="P72" s="78">
        <v>1</v>
      </c>
      <c r="Q72" s="70">
        <v>0</v>
      </c>
      <c r="R72" s="78">
        <v>0</v>
      </c>
      <c r="S72" s="70">
        <v>0</v>
      </c>
      <c r="T72" s="70">
        <v>1</v>
      </c>
      <c r="U72" s="70">
        <v>1</v>
      </c>
      <c r="V72" s="70">
        <v>0</v>
      </c>
      <c r="W72" s="78">
        <v>1</v>
      </c>
      <c r="X72" s="70">
        <v>0</v>
      </c>
      <c r="Y72" s="69">
        <v>2002</v>
      </c>
      <c r="Z72" s="28" t="s">
        <v>45</v>
      </c>
      <c r="AA72" t="s">
        <v>45</v>
      </c>
      <c r="AB72" s="28">
        <v>0.59</v>
      </c>
      <c r="AC72">
        <f t="shared" si="9"/>
        <v>0.41000000000000003</v>
      </c>
      <c r="AD72" s="28">
        <v>0</v>
      </c>
      <c r="AE72" s="66">
        <f t="shared" si="6"/>
        <v>1</v>
      </c>
      <c r="AF72">
        <v>0</v>
      </c>
      <c r="AG72">
        <v>1</v>
      </c>
      <c r="AH72" s="28">
        <v>0.64</v>
      </c>
      <c r="AI72" s="12">
        <f t="shared" si="7"/>
        <v>0.36</v>
      </c>
      <c r="AJ72">
        <v>1</v>
      </c>
      <c r="AK72">
        <v>0</v>
      </c>
      <c r="AL72" s="12">
        <v>0</v>
      </c>
      <c r="AM72" s="62" t="s">
        <v>297</v>
      </c>
      <c r="AN72">
        <v>0</v>
      </c>
      <c r="AO72">
        <v>1</v>
      </c>
      <c r="AP72">
        <v>942</v>
      </c>
      <c r="AQ72">
        <v>131</v>
      </c>
      <c r="AR72">
        <v>0.29299999999999998</v>
      </c>
      <c r="AS72" s="64">
        <v>33.770000000000003</v>
      </c>
      <c r="AT72">
        <v>0</v>
      </c>
      <c r="AU72">
        <v>1</v>
      </c>
      <c r="AV72">
        <v>0</v>
      </c>
      <c r="AW72">
        <v>0</v>
      </c>
      <c r="AX72">
        <v>0</v>
      </c>
      <c r="AY72">
        <v>0</v>
      </c>
      <c r="AZ72" s="28">
        <v>0</v>
      </c>
      <c r="BA72">
        <v>0</v>
      </c>
      <c r="BB72">
        <v>0</v>
      </c>
      <c r="BC72" s="28">
        <v>1</v>
      </c>
      <c r="BD72">
        <v>1</v>
      </c>
      <c r="BE72">
        <v>1</v>
      </c>
      <c r="BF72">
        <v>0</v>
      </c>
      <c r="BG72">
        <v>1</v>
      </c>
      <c r="BH72">
        <v>1</v>
      </c>
      <c r="BI72">
        <v>0</v>
      </c>
      <c r="BJ72">
        <v>0</v>
      </c>
      <c r="BK72" s="16">
        <v>0</v>
      </c>
      <c r="BL72">
        <v>0.76700000000000002</v>
      </c>
      <c r="BM72">
        <v>176</v>
      </c>
      <c r="BN72">
        <v>1</v>
      </c>
      <c r="BO72">
        <v>0</v>
      </c>
      <c r="BP72">
        <v>18</v>
      </c>
      <c r="BQ72" t="s">
        <v>34</v>
      </c>
    </row>
    <row r="73" spans="1:69" x14ac:dyDescent="0.25">
      <c r="A73">
        <v>72</v>
      </c>
      <c r="B73">
        <v>5</v>
      </c>
      <c r="C73" t="s">
        <v>220</v>
      </c>
      <c r="D73" s="10">
        <v>3.2</v>
      </c>
      <c r="E73" s="6">
        <v>1.9</v>
      </c>
      <c r="F73" s="6">
        <f t="shared" si="10"/>
        <v>1.6842105263157896</v>
      </c>
      <c r="G73" s="78">
        <v>0</v>
      </c>
      <c r="H73" s="70">
        <v>1</v>
      </c>
      <c r="I73" s="70">
        <v>0</v>
      </c>
      <c r="J73" s="78">
        <v>976</v>
      </c>
      <c r="K73" s="70">
        <v>1</v>
      </c>
      <c r="L73" s="70">
        <f t="shared" si="11"/>
        <v>974</v>
      </c>
      <c r="M73" s="60">
        <f t="shared" si="12"/>
        <v>16</v>
      </c>
      <c r="N73" s="70">
        <v>12.16</v>
      </c>
      <c r="O73" s="70">
        <v>14.03</v>
      </c>
      <c r="P73" s="78">
        <v>1</v>
      </c>
      <c r="Q73" s="70">
        <v>0</v>
      </c>
      <c r="R73" s="78">
        <v>0</v>
      </c>
      <c r="S73" s="70">
        <v>0</v>
      </c>
      <c r="T73" s="70">
        <v>1</v>
      </c>
      <c r="U73" s="70">
        <v>1</v>
      </c>
      <c r="V73" s="70">
        <v>0</v>
      </c>
      <c r="W73" s="78">
        <v>1</v>
      </c>
      <c r="X73" s="70">
        <v>0</v>
      </c>
      <c r="Y73" s="69">
        <v>2002</v>
      </c>
      <c r="Z73" s="28" t="s">
        <v>45</v>
      </c>
      <c r="AA73" t="s">
        <v>45</v>
      </c>
      <c r="AB73" s="28">
        <v>0.59</v>
      </c>
      <c r="AC73">
        <f t="shared" si="9"/>
        <v>0.41000000000000003</v>
      </c>
      <c r="AD73" s="28">
        <v>0</v>
      </c>
      <c r="AE73" s="66">
        <f t="shared" si="6"/>
        <v>1</v>
      </c>
      <c r="AF73">
        <v>0</v>
      </c>
      <c r="AG73">
        <v>1</v>
      </c>
      <c r="AH73" s="28">
        <v>0.64</v>
      </c>
      <c r="AI73" s="12">
        <f t="shared" si="7"/>
        <v>0.36</v>
      </c>
      <c r="AJ73">
        <v>1</v>
      </c>
      <c r="AK73">
        <v>0</v>
      </c>
      <c r="AL73" s="12">
        <v>0</v>
      </c>
      <c r="AM73" s="62" t="s">
        <v>297</v>
      </c>
      <c r="AN73">
        <v>0</v>
      </c>
      <c r="AO73">
        <v>1</v>
      </c>
      <c r="AP73">
        <v>942</v>
      </c>
      <c r="AQ73">
        <v>131</v>
      </c>
      <c r="AR73">
        <v>0.29299999999999998</v>
      </c>
      <c r="AS73" s="64">
        <v>33.770000000000003</v>
      </c>
      <c r="AT73">
        <v>0</v>
      </c>
      <c r="AU73">
        <v>0</v>
      </c>
      <c r="AV73">
        <v>0</v>
      </c>
      <c r="AW73">
        <v>0</v>
      </c>
      <c r="AX73">
        <v>1</v>
      </c>
      <c r="AY73">
        <v>0</v>
      </c>
      <c r="AZ73" s="28">
        <v>1</v>
      </c>
      <c r="BA73">
        <v>0</v>
      </c>
      <c r="BB73">
        <v>0</v>
      </c>
      <c r="BC73" s="28">
        <v>0</v>
      </c>
      <c r="BD73">
        <v>0</v>
      </c>
      <c r="BE73">
        <v>0</v>
      </c>
      <c r="BF73">
        <v>0</v>
      </c>
      <c r="BG73">
        <v>0</v>
      </c>
      <c r="BH73">
        <v>0</v>
      </c>
      <c r="BI73">
        <v>0</v>
      </c>
      <c r="BJ73">
        <v>0</v>
      </c>
      <c r="BK73" s="16">
        <v>0</v>
      </c>
      <c r="BL73">
        <v>0.76700000000000002</v>
      </c>
      <c r="BM73">
        <v>176</v>
      </c>
      <c r="BN73">
        <v>1</v>
      </c>
      <c r="BO73">
        <v>0</v>
      </c>
      <c r="BP73">
        <v>18</v>
      </c>
      <c r="BQ73" t="s">
        <v>34</v>
      </c>
    </row>
    <row r="74" spans="1:69" x14ac:dyDescent="0.25">
      <c r="A74">
        <v>73</v>
      </c>
      <c r="B74">
        <v>5</v>
      </c>
      <c r="C74" t="s">
        <v>220</v>
      </c>
      <c r="D74" s="10">
        <v>3.3</v>
      </c>
      <c r="E74" s="6">
        <v>1.9</v>
      </c>
      <c r="F74" s="6">
        <f t="shared" si="10"/>
        <v>1.736842105263158</v>
      </c>
      <c r="G74" s="78">
        <v>0</v>
      </c>
      <c r="H74" s="70">
        <v>1</v>
      </c>
      <c r="I74" s="70">
        <v>0</v>
      </c>
      <c r="J74" s="78">
        <v>976</v>
      </c>
      <c r="K74" s="70">
        <v>3</v>
      </c>
      <c r="L74" s="70">
        <f t="shared" si="11"/>
        <v>972</v>
      </c>
      <c r="M74" s="60">
        <f t="shared" si="12"/>
        <v>16</v>
      </c>
      <c r="N74" s="70">
        <v>12.16</v>
      </c>
      <c r="O74" s="70">
        <v>14.03</v>
      </c>
      <c r="P74" s="78">
        <v>1</v>
      </c>
      <c r="Q74" s="70">
        <v>0</v>
      </c>
      <c r="R74" s="78">
        <v>0</v>
      </c>
      <c r="S74" s="70">
        <v>0</v>
      </c>
      <c r="T74" s="70">
        <v>1</v>
      </c>
      <c r="U74" s="70">
        <v>1</v>
      </c>
      <c r="V74" s="70">
        <v>0</v>
      </c>
      <c r="W74" s="78">
        <v>1</v>
      </c>
      <c r="X74" s="70">
        <v>0</v>
      </c>
      <c r="Y74" s="69">
        <v>2002</v>
      </c>
      <c r="Z74" s="28" t="s">
        <v>45</v>
      </c>
      <c r="AA74" t="s">
        <v>45</v>
      </c>
      <c r="AB74" s="28">
        <v>0.59</v>
      </c>
      <c r="AC74">
        <f t="shared" si="9"/>
        <v>0.41000000000000003</v>
      </c>
      <c r="AD74" s="28">
        <v>0</v>
      </c>
      <c r="AE74" s="66">
        <f t="shared" si="6"/>
        <v>1</v>
      </c>
      <c r="AF74">
        <v>0</v>
      </c>
      <c r="AG74">
        <v>1</v>
      </c>
      <c r="AH74" s="28">
        <v>0.64</v>
      </c>
      <c r="AI74" s="12">
        <f t="shared" si="7"/>
        <v>0.36</v>
      </c>
      <c r="AJ74">
        <v>1</v>
      </c>
      <c r="AK74">
        <v>0</v>
      </c>
      <c r="AL74" s="12">
        <v>0</v>
      </c>
      <c r="AM74" s="62" t="s">
        <v>297</v>
      </c>
      <c r="AN74">
        <v>0</v>
      </c>
      <c r="AO74">
        <v>1</v>
      </c>
      <c r="AP74">
        <v>942</v>
      </c>
      <c r="AQ74">
        <v>131</v>
      </c>
      <c r="AR74">
        <v>0.29299999999999998</v>
      </c>
      <c r="AS74" s="64">
        <v>33.770000000000003</v>
      </c>
      <c r="AT74">
        <v>0</v>
      </c>
      <c r="AU74">
        <v>0</v>
      </c>
      <c r="AV74">
        <v>0</v>
      </c>
      <c r="AW74">
        <v>0</v>
      </c>
      <c r="AX74">
        <v>1</v>
      </c>
      <c r="AY74">
        <v>0</v>
      </c>
      <c r="AZ74" s="28">
        <v>1</v>
      </c>
      <c r="BA74">
        <v>0</v>
      </c>
      <c r="BB74">
        <v>0</v>
      </c>
      <c r="BC74" s="28">
        <v>0</v>
      </c>
      <c r="BD74">
        <v>0</v>
      </c>
      <c r="BE74">
        <v>1</v>
      </c>
      <c r="BF74">
        <v>0</v>
      </c>
      <c r="BG74">
        <v>0</v>
      </c>
      <c r="BH74">
        <v>1</v>
      </c>
      <c r="BI74">
        <v>0</v>
      </c>
      <c r="BJ74">
        <v>0</v>
      </c>
      <c r="BK74" s="16">
        <v>0</v>
      </c>
      <c r="BL74">
        <v>0.76700000000000002</v>
      </c>
      <c r="BM74">
        <v>176</v>
      </c>
      <c r="BN74">
        <v>1</v>
      </c>
      <c r="BO74">
        <v>0</v>
      </c>
      <c r="BP74">
        <v>18</v>
      </c>
      <c r="BQ74" t="s">
        <v>34</v>
      </c>
    </row>
    <row r="75" spans="1:69" x14ac:dyDescent="0.25">
      <c r="A75">
        <v>74</v>
      </c>
      <c r="B75">
        <v>5</v>
      </c>
      <c r="C75" t="s">
        <v>220</v>
      </c>
      <c r="D75" s="10">
        <v>3.6</v>
      </c>
      <c r="E75" s="6">
        <v>1.8</v>
      </c>
      <c r="F75" s="6">
        <f t="shared" si="10"/>
        <v>2</v>
      </c>
      <c r="G75" s="78">
        <v>0</v>
      </c>
      <c r="H75" s="70">
        <v>1</v>
      </c>
      <c r="I75" s="70">
        <v>0</v>
      </c>
      <c r="J75" s="78">
        <v>976</v>
      </c>
      <c r="K75" s="70">
        <v>1</v>
      </c>
      <c r="L75" s="70">
        <f t="shared" si="11"/>
        <v>974</v>
      </c>
      <c r="M75" s="60">
        <f t="shared" si="12"/>
        <v>16</v>
      </c>
      <c r="N75" s="70">
        <v>12.16</v>
      </c>
      <c r="O75" s="70">
        <v>14.03</v>
      </c>
      <c r="P75" s="78">
        <v>1</v>
      </c>
      <c r="Q75" s="70">
        <v>0</v>
      </c>
      <c r="R75" s="78">
        <v>0</v>
      </c>
      <c r="S75" s="70">
        <v>0</v>
      </c>
      <c r="T75" s="70">
        <v>1</v>
      </c>
      <c r="U75" s="70">
        <v>1</v>
      </c>
      <c r="V75" s="70">
        <v>0</v>
      </c>
      <c r="W75" s="78">
        <v>1</v>
      </c>
      <c r="X75" s="70">
        <v>0</v>
      </c>
      <c r="Y75" s="69">
        <v>2002</v>
      </c>
      <c r="Z75" s="28" t="s">
        <v>45</v>
      </c>
      <c r="AA75" t="s">
        <v>45</v>
      </c>
      <c r="AB75" s="28">
        <v>0.59</v>
      </c>
      <c r="AC75">
        <f t="shared" si="9"/>
        <v>0.41000000000000003</v>
      </c>
      <c r="AD75" s="28">
        <v>0</v>
      </c>
      <c r="AE75" s="66">
        <f t="shared" si="6"/>
        <v>1</v>
      </c>
      <c r="AF75">
        <v>0</v>
      </c>
      <c r="AG75">
        <v>1</v>
      </c>
      <c r="AH75" s="28">
        <v>0.64</v>
      </c>
      <c r="AI75" s="12">
        <f t="shared" si="7"/>
        <v>0.36</v>
      </c>
      <c r="AJ75">
        <v>1</v>
      </c>
      <c r="AK75">
        <v>0</v>
      </c>
      <c r="AL75" s="12">
        <v>0</v>
      </c>
      <c r="AM75" s="62" t="s">
        <v>297</v>
      </c>
      <c r="AN75">
        <v>0</v>
      </c>
      <c r="AO75">
        <v>1</v>
      </c>
      <c r="AP75">
        <v>942</v>
      </c>
      <c r="AQ75">
        <v>131</v>
      </c>
      <c r="AR75">
        <v>0.29299999999999998</v>
      </c>
      <c r="AS75" s="64">
        <v>33.770000000000003</v>
      </c>
      <c r="AT75">
        <v>0</v>
      </c>
      <c r="AU75">
        <v>0</v>
      </c>
      <c r="AV75">
        <v>0</v>
      </c>
      <c r="AW75">
        <v>0</v>
      </c>
      <c r="AX75">
        <v>1</v>
      </c>
      <c r="AY75">
        <v>0</v>
      </c>
      <c r="AZ75" s="28">
        <v>1</v>
      </c>
      <c r="BA75">
        <v>0</v>
      </c>
      <c r="BB75">
        <v>0</v>
      </c>
      <c r="BC75" s="28">
        <v>0</v>
      </c>
      <c r="BD75">
        <v>0</v>
      </c>
      <c r="BE75">
        <v>0</v>
      </c>
      <c r="BF75">
        <v>0</v>
      </c>
      <c r="BG75">
        <v>0</v>
      </c>
      <c r="BH75">
        <v>0</v>
      </c>
      <c r="BI75">
        <v>0</v>
      </c>
      <c r="BJ75">
        <v>0</v>
      </c>
      <c r="BK75" s="16">
        <v>0</v>
      </c>
      <c r="BL75">
        <v>0.76700000000000002</v>
      </c>
      <c r="BM75">
        <v>176</v>
      </c>
      <c r="BN75">
        <v>1</v>
      </c>
      <c r="BO75">
        <v>0</v>
      </c>
      <c r="BP75">
        <v>18</v>
      </c>
      <c r="BQ75" t="s">
        <v>34</v>
      </c>
    </row>
    <row r="76" spans="1:69" x14ac:dyDescent="0.25">
      <c r="A76">
        <v>75</v>
      </c>
      <c r="B76">
        <v>5</v>
      </c>
      <c r="C76" t="s">
        <v>220</v>
      </c>
      <c r="D76" s="10">
        <v>3.8</v>
      </c>
      <c r="E76" s="6">
        <v>1.8</v>
      </c>
      <c r="F76" s="6">
        <f t="shared" si="10"/>
        <v>2.1111111111111112</v>
      </c>
      <c r="G76" s="78">
        <v>0</v>
      </c>
      <c r="H76" s="70">
        <v>1</v>
      </c>
      <c r="I76" s="70">
        <v>0</v>
      </c>
      <c r="J76" s="78">
        <v>976</v>
      </c>
      <c r="K76" s="70">
        <v>3</v>
      </c>
      <c r="L76" s="70">
        <f t="shared" si="11"/>
        <v>972</v>
      </c>
      <c r="M76" s="60">
        <f t="shared" si="12"/>
        <v>16</v>
      </c>
      <c r="N76" s="70">
        <v>12.16</v>
      </c>
      <c r="O76" s="70">
        <v>14.03</v>
      </c>
      <c r="P76" s="78">
        <v>1</v>
      </c>
      <c r="Q76" s="70">
        <v>0</v>
      </c>
      <c r="R76" s="78">
        <v>0</v>
      </c>
      <c r="S76" s="70">
        <v>0</v>
      </c>
      <c r="T76" s="70">
        <v>1</v>
      </c>
      <c r="U76" s="70">
        <v>1</v>
      </c>
      <c r="V76" s="70">
        <v>0</v>
      </c>
      <c r="W76" s="78">
        <v>1</v>
      </c>
      <c r="X76" s="70">
        <v>0</v>
      </c>
      <c r="Y76" s="69">
        <v>2002</v>
      </c>
      <c r="Z76" s="28" t="s">
        <v>45</v>
      </c>
      <c r="AA76" t="s">
        <v>45</v>
      </c>
      <c r="AB76" s="28">
        <v>0.59</v>
      </c>
      <c r="AC76">
        <f t="shared" si="9"/>
        <v>0.41000000000000003</v>
      </c>
      <c r="AD76" s="28">
        <v>0</v>
      </c>
      <c r="AE76" s="66">
        <f t="shared" si="6"/>
        <v>1</v>
      </c>
      <c r="AF76">
        <v>0</v>
      </c>
      <c r="AG76">
        <v>1</v>
      </c>
      <c r="AH76" s="28">
        <v>0.64</v>
      </c>
      <c r="AI76" s="12">
        <f t="shared" si="7"/>
        <v>0.36</v>
      </c>
      <c r="AJ76">
        <v>1</v>
      </c>
      <c r="AK76">
        <v>0</v>
      </c>
      <c r="AL76" s="12">
        <v>0</v>
      </c>
      <c r="AM76" s="62" t="s">
        <v>297</v>
      </c>
      <c r="AN76">
        <v>0</v>
      </c>
      <c r="AO76">
        <v>1</v>
      </c>
      <c r="AP76">
        <v>942</v>
      </c>
      <c r="AQ76">
        <v>131</v>
      </c>
      <c r="AR76">
        <v>0.29299999999999998</v>
      </c>
      <c r="AS76" s="64">
        <v>33.770000000000003</v>
      </c>
      <c r="AT76">
        <v>0</v>
      </c>
      <c r="AU76">
        <v>0</v>
      </c>
      <c r="AV76">
        <v>0</v>
      </c>
      <c r="AW76">
        <v>0</v>
      </c>
      <c r="AX76">
        <v>1</v>
      </c>
      <c r="AY76">
        <v>0</v>
      </c>
      <c r="AZ76" s="28">
        <v>1</v>
      </c>
      <c r="BA76">
        <v>0</v>
      </c>
      <c r="BB76">
        <v>0</v>
      </c>
      <c r="BC76" s="28">
        <v>0</v>
      </c>
      <c r="BD76">
        <v>0</v>
      </c>
      <c r="BE76">
        <v>1</v>
      </c>
      <c r="BF76">
        <v>0</v>
      </c>
      <c r="BG76">
        <v>0</v>
      </c>
      <c r="BH76">
        <v>1</v>
      </c>
      <c r="BI76">
        <v>0</v>
      </c>
      <c r="BJ76">
        <v>0</v>
      </c>
      <c r="BK76" s="16">
        <v>0</v>
      </c>
      <c r="BL76">
        <v>0.76700000000000002</v>
      </c>
      <c r="BM76">
        <v>176</v>
      </c>
      <c r="BN76">
        <v>1</v>
      </c>
      <c r="BO76">
        <v>0</v>
      </c>
      <c r="BP76">
        <v>18</v>
      </c>
      <c r="BQ76" t="s">
        <v>34</v>
      </c>
    </row>
    <row r="77" spans="1:69" x14ac:dyDescent="0.25">
      <c r="A77">
        <v>76</v>
      </c>
      <c r="B77">
        <v>5</v>
      </c>
      <c r="C77" t="s">
        <v>220</v>
      </c>
      <c r="D77" s="10">
        <v>8.5</v>
      </c>
      <c r="E77" s="6">
        <v>0.8</v>
      </c>
      <c r="F77" s="6">
        <f t="shared" si="10"/>
        <v>10.625</v>
      </c>
      <c r="G77" s="78">
        <v>0</v>
      </c>
      <c r="H77" s="70">
        <v>1</v>
      </c>
      <c r="I77" s="70">
        <v>0</v>
      </c>
      <c r="J77" s="78">
        <v>632</v>
      </c>
      <c r="K77" s="70">
        <v>6</v>
      </c>
      <c r="L77" s="70">
        <f t="shared" si="11"/>
        <v>625</v>
      </c>
      <c r="M77" s="60">
        <f t="shared" si="12"/>
        <v>16</v>
      </c>
      <c r="N77" s="70">
        <v>12.16</v>
      </c>
      <c r="O77" s="70">
        <v>14.03</v>
      </c>
      <c r="P77" s="78">
        <v>1</v>
      </c>
      <c r="Q77" s="70">
        <v>0</v>
      </c>
      <c r="R77" s="78">
        <v>0</v>
      </c>
      <c r="S77" s="70">
        <v>0</v>
      </c>
      <c r="T77" s="70">
        <v>1</v>
      </c>
      <c r="U77" s="70">
        <v>1</v>
      </c>
      <c r="V77" s="70">
        <v>0</v>
      </c>
      <c r="W77" s="78">
        <v>1</v>
      </c>
      <c r="X77" s="70">
        <v>0</v>
      </c>
      <c r="Y77" s="69">
        <v>2002</v>
      </c>
      <c r="Z77" s="28" t="s">
        <v>45</v>
      </c>
      <c r="AA77" t="s">
        <v>45</v>
      </c>
      <c r="AB77" s="28">
        <v>0.59</v>
      </c>
      <c r="AC77">
        <f t="shared" si="9"/>
        <v>0.41000000000000003</v>
      </c>
      <c r="AD77" s="28">
        <v>0</v>
      </c>
      <c r="AE77" s="66">
        <f t="shared" si="6"/>
        <v>1</v>
      </c>
      <c r="AF77">
        <v>0</v>
      </c>
      <c r="AG77">
        <v>1</v>
      </c>
      <c r="AH77" s="28">
        <v>0.64</v>
      </c>
      <c r="AI77" s="12">
        <f t="shared" si="7"/>
        <v>0.36</v>
      </c>
      <c r="AJ77">
        <v>0</v>
      </c>
      <c r="AK77">
        <v>1</v>
      </c>
      <c r="AL77" s="12">
        <v>0</v>
      </c>
      <c r="AM77" s="62" t="s">
        <v>297</v>
      </c>
      <c r="AN77">
        <v>0</v>
      </c>
      <c r="AO77">
        <v>1</v>
      </c>
      <c r="AP77">
        <v>942</v>
      </c>
      <c r="AQ77">
        <v>131</v>
      </c>
      <c r="AR77">
        <v>0.29299999999999998</v>
      </c>
      <c r="AS77" s="64">
        <v>33.770000000000003</v>
      </c>
      <c r="AT77">
        <v>1</v>
      </c>
      <c r="AU77">
        <v>0</v>
      </c>
      <c r="AV77">
        <v>0</v>
      </c>
      <c r="AW77">
        <v>0</v>
      </c>
      <c r="AX77">
        <v>0</v>
      </c>
      <c r="AY77">
        <v>0</v>
      </c>
      <c r="AZ77" s="28">
        <v>0</v>
      </c>
      <c r="BA77">
        <v>0</v>
      </c>
      <c r="BB77">
        <v>0</v>
      </c>
      <c r="BC77" s="28">
        <v>1</v>
      </c>
      <c r="BD77">
        <v>1</v>
      </c>
      <c r="BE77">
        <v>1</v>
      </c>
      <c r="BF77">
        <v>0</v>
      </c>
      <c r="BG77">
        <v>1</v>
      </c>
      <c r="BH77">
        <v>1</v>
      </c>
      <c r="BI77">
        <v>0</v>
      </c>
      <c r="BJ77">
        <v>0</v>
      </c>
      <c r="BK77" s="16">
        <v>0</v>
      </c>
      <c r="BL77">
        <v>0.76700000000000002</v>
      </c>
      <c r="BM77">
        <v>176</v>
      </c>
      <c r="BN77">
        <v>1</v>
      </c>
      <c r="BO77">
        <v>0</v>
      </c>
      <c r="BP77">
        <v>18</v>
      </c>
      <c r="BQ77" t="s">
        <v>34</v>
      </c>
    </row>
    <row r="78" spans="1:69" x14ac:dyDescent="0.25">
      <c r="A78">
        <v>77</v>
      </c>
      <c r="B78">
        <v>5</v>
      </c>
      <c r="C78" t="s">
        <v>220</v>
      </c>
      <c r="D78" s="10">
        <v>4.4000000000000004</v>
      </c>
      <c r="E78" s="6">
        <v>1.2</v>
      </c>
      <c r="F78" s="6">
        <f t="shared" si="10"/>
        <v>3.666666666666667</v>
      </c>
      <c r="G78" s="78">
        <v>0</v>
      </c>
      <c r="H78" s="70">
        <v>1</v>
      </c>
      <c r="I78" s="70">
        <v>0</v>
      </c>
      <c r="J78" s="78">
        <v>632</v>
      </c>
      <c r="K78" s="70">
        <v>3</v>
      </c>
      <c r="L78" s="70">
        <f t="shared" si="11"/>
        <v>628</v>
      </c>
      <c r="M78" s="60">
        <f t="shared" si="12"/>
        <v>16</v>
      </c>
      <c r="N78" s="70">
        <v>12.16</v>
      </c>
      <c r="O78" s="70">
        <v>14.03</v>
      </c>
      <c r="P78" s="78">
        <v>1</v>
      </c>
      <c r="Q78" s="70">
        <v>0</v>
      </c>
      <c r="R78" s="78">
        <v>0</v>
      </c>
      <c r="S78" s="70">
        <v>0</v>
      </c>
      <c r="T78" s="70">
        <v>1</v>
      </c>
      <c r="U78" s="70">
        <v>1</v>
      </c>
      <c r="V78" s="70">
        <v>0</v>
      </c>
      <c r="W78" s="78">
        <v>1</v>
      </c>
      <c r="X78" s="70">
        <v>0</v>
      </c>
      <c r="Y78" s="69">
        <v>2002</v>
      </c>
      <c r="Z78" s="28" t="s">
        <v>45</v>
      </c>
      <c r="AA78" t="s">
        <v>45</v>
      </c>
      <c r="AB78" s="28">
        <v>0.59</v>
      </c>
      <c r="AC78">
        <f t="shared" si="9"/>
        <v>0.41000000000000003</v>
      </c>
      <c r="AD78" s="28">
        <v>0</v>
      </c>
      <c r="AE78" s="66">
        <f t="shared" si="6"/>
        <v>1</v>
      </c>
      <c r="AF78">
        <v>0</v>
      </c>
      <c r="AG78">
        <v>1</v>
      </c>
      <c r="AH78" s="28">
        <v>0.64</v>
      </c>
      <c r="AI78" s="12">
        <f t="shared" si="7"/>
        <v>0.36</v>
      </c>
      <c r="AJ78">
        <v>0</v>
      </c>
      <c r="AK78">
        <v>1</v>
      </c>
      <c r="AL78" s="12">
        <v>0</v>
      </c>
      <c r="AM78" s="62" t="s">
        <v>297</v>
      </c>
      <c r="AN78">
        <v>0</v>
      </c>
      <c r="AO78">
        <v>1</v>
      </c>
      <c r="AP78">
        <v>942</v>
      </c>
      <c r="AQ78">
        <v>131</v>
      </c>
      <c r="AR78">
        <v>0.29299999999999998</v>
      </c>
      <c r="AS78" s="64">
        <v>33.770000000000003</v>
      </c>
      <c r="AT78">
        <v>0</v>
      </c>
      <c r="AU78">
        <v>0</v>
      </c>
      <c r="AV78">
        <v>1</v>
      </c>
      <c r="AW78">
        <v>0</v>
      </c>
      <c r="AX78">
        <v>0</v>
      </c>
      <c r="AY78">
        <v>0</v>
      </c>
      <c r="AZ78" s="28">
        <v>0</v>
      </c>
      <c r="BA78">
        <v>0</v>
      </c>
      <c r="BB78">
        <v>0</v>
      </c>
      <c r="BC78" s="28">
        <v>0</v>
      </c>
      <c r="BD78">
        <v>0</v>
      </c>
      <c r="BE78">
        <v>1</v>
      </c>
      <c r="BF78">
        <v>0</v>
      </c>
      <c r="BG78">
        <v>0</v>
      </c>
      <c r="BH78">
        <v>1</v>
      </c>
      <c r="BI78">
        <v>0</v>
      </c>
      <c r="BJ78">
        <v>0</v>
      </c>
      <c r="BK78" s="16">
        <v>0</v>
      </c>
      <c r="BL78">
        <v>0.76700000000000002</v>
      </c>
      <c r="BM78">
        <v>176</v>
      </c>
      <c r="BN78">
        <v>1</v>
      </c>
      <c r="BO78">
        <v>0</v>
      </c>
      <c r="BP78">
        <v>18</v>
      </c>
      <c r="BQ78" t="s">
        <v>34</v>
      </c>
    </row>
    <row r="79" spans="1:69" x14ac:dyDescent="0.25">
      <c r="A79">
        <v>78</v>
      </c>
      <c r="B79">
        <v>5</v>
      </c>
      <c r="C79" t="s">
        <v>220</v>
      </c>
      <c r="D79" s="10">
        <v>5.4</v>
      </c>
      <c r="E79" s="6">
        <v>1.7</v>
      </c>
      <c r="F79" s="6">
        <f t="shared" si="10"/>
        <v>3.1764705882352944</v>
      </c>
      <c r="G79" s="78">
        <v>0</v>
      </c>
      <c r="H79" s="70">
        <v>1</v>
      </c>
      <c r="I79" s="70">
        <v>0</v>
      </c>
      <c r="J79" s="78">
        <v>632</v>
      </c>
      <c r="K79" s="70">
        <v>3</v>
      </c>
      <c r="L79" s="70">
        <f t="shared" si="11"/>
        <v>628</v>
      </c>
      <c r="M79" s="60">
        <f t="shared" si="12"/>
        <v>16</v>
      </c>
      <c r="N79" s="70">
        <v>12.16</v>
      </c>
      <c r="O79" s="70">
        <v>14.03</v>
      </c>
      <c r="P79" s="78">
        <v>1</v>
      </c>
      <c r="Q79" s="70">
        <v>0</v>
      </c>
      <c r="R79" s="78">
        <v>0</v>
      </c>
      <c r="S79" s="70">
        <v>0</v>
      </c>
      <c r="T79" s="70">
        <v>1</v>
      </c>
      <c r="U79" s="70">
        <v>1</v>
      </c>
      <c r="V79" s="70">
        <v>0</v>
      </c>
      <c r="W79" s="78">
        <v>1</v>
      </c>
      <c r="X79" s="70">
        <v>0</v>
      </c>
      <c r="Y79" s="69">
        <v>2002</v>
      </c>
      <c r="Z79" s="28" t="s">
        <v>45</v>
      </c>
      <c r="AA79" t="s">
        <v>45</v>
      </c>
      <c r="AB79" s="28">
        <v>0.59</v>
      </c>
      <c r="AC79">
        <f t="shared" si="9"/>
        <v>0.41000000000000003</v>
      </c>
      <c r="AD79" s="28">
        <v>0</v>
      </c>
      <c r="AE79" s="66">
        <f t="shared" si="6"/>
        <v>1</v>
      </c>
      <c r="AF79">
        <v>0</v>
      </c>
      <c r="AG79">
        <v>1</v>
      </c>
      <c r="AH79" s="28">
        <v>0.64</v>
      </c>
      <c r="AI79" s="12">
        <f t="shared" si="7"/>
        <v>0.36</v>
      </c>
      <c r="AJ79">
        <v>0</v>
      </c>
      <c r="AK79">
        <v>1</v>
      </c>
      <c r="AL79" s="12">
        <v>0</v>
      </c>
      <c r="AM79" s="62" t="s">
        <v>297</v>
      </c>
      <c r="AN79">
        <v>0</v>
      </c>
      <c r="AO79">
        <v>1</v>
      </c>
      <c r="AP79">
        <v>942</v>
      </c>
      <c r="AQ79">
        <v>131</v>
      </c>
      <c r="AR79">
        <v>0.29299999999999998</v>
      </c>
      <c r="AS79" s="64">
        <v>33.770000000000003</v>
      </c>
      <c r="AT79">
        <v>0</v>
      </c>
      <c r="AU79">
        <v>0</v>
      </c>
      <c r="AV79">
        <v>0</v>
      </c>
      <c r="AW79">
        <v>0</v>
      </c>
      <c r="AX79">
        <v>1</v>
      </c>
      <c r="AY79">
        <v>0</v>
      </c>
      <c r="AZ79" s="28">
        <v>1</v>
      </c>
      <c r="BA79">
        <v>0</v>
      </c>
      <c r="BB79">
        <v>0</v>
      </c>
      <c r="BC79" s="28">
        <v>0</v>
      </c>
      <c r="BD79">
        <v>0</v>
      </c>
      <c r="BE79">
        <v>1</v>
      </c>
      <c r="BF79">
        <v>0</v>
      </c>
      <c r="BG79">
        <v>0</v>
      </c>
      <c r="BH79">
        <v>1</v>
      </c>
      <c r="BI79">
        <v>0</v>
      </c>
      <c r="BJ79">
        <v>0</v>
      </c>
      <c r="BK79" s="16">
        <v>0</v>
      </c>
      <c r="BL79">
        <v>0.76700000000000002</v>
      </c>
      <c r="BM79">
        <v>176</v>
      </c>
      <c r="BN79">
        <v>1</v>
      </c>
      <c r="BO79">
        <v>0</v>
      </c>
      <c r="BP79">
        <v>18</v>
      </c>
      <c r="BQ79" t="s">
        <v>34</v>
      </c>
    </row>
    <row r="80" spans="1:69" x14ac:dyDescent="0.25">
      <c r="A80">
        <v>79</v>
      </c>
      <c r="B80">
        <v>5</v>
      </c>
      <c r="C80" t="s">
        <v>220</v>
      </c>
      <c r="D80" s="10">
        <v>5.6</v>
      </c>
      <c r="E80" s="6">
        <v>1.8</v>
      </c>
      <c r="F80" s="6">
        <f t="shared" si="10"/>
        <v>3.1111111111111107</v>
      </c>
      <c r="G80" s="78">
        <v>0</v>
      </c>
      <c r="H80" s="70">
        <v>1</v>
      </c>
      <c r="I80" s="70">
        <v>0</v>
      </c>
      <c r="J80" s="78">
        <v>632</v>
      </c>
      <c r="K80" s="70">
        <v>3</v>
      </c>
      <c r="L80" s="70">
        <f t="shared" si="11"/>
        <v>628</v>
      </c>
      <c r="M80" s="60">
        <f t="shared" si="12"/>
        <v>16</v>
      </c>
      <c r="N80" s="70">
        <v>12.16</v>
      </c>
      <c r="O80" s="70">
        <v>14.03</v>
      </c>
      <c r="P80" s="78">
        <v>1</v>
      </c>
      <c r="Q80" s="70">
        <v>0</v>
      </c>
      <c r="R80" s="78">
        <v>0</v>
      </c>
      <c r="S80" s="70">
        <v>0</v>
      </c>
      <c r="T80" s="70">
        <v>1</v>
      </c>
      <c r="U80" s="70">
        <v>1</v>
      </c>
      <c r="V80" s="70">
        <v>0</v>
      </c>
      <c r="W80" s="78">
        <v>1</v>
      </c>
      <c r="X80" s="70">
        <v>0</v>
      </c>
      <c r="Y80" s="69">
        <v>2002</v>
      </c>
      <c r="Z80" s="28" t="s">
        <v>45</v>
      </c>
      <c r="AA80" t="s">
        <v>45</v>
      </c>
      <c r="AB80" s="28">
        <v>0.59</v>
      </c>
      <c r="AC80">
        <f t="shared" si="9"/>
        <v>0.41000000000000003</v>
      </c>
      <c r="AD80" s="28">
        <v>0</v>
      </c>
      <c r="AE80" s="66">
        <f t="shared" si="6"/>
        <v>1</v>
      </c>
      <c r="AF80">
        <v>0</v>
      </c>
      <c r="AG80">
        <v>1</v>
      </c>
      <c r="AH80" s="28">
        <v>0.64</v>
      </c>
      <c r="AI80" s="12">
        <f t="shared" si="7"/>
        <v>0.36</v>
      </c>
      <c r="AJ80">
        <v>0</v>
      </c>
      <c r="AK80">
        <v>1</v>
      </c>
      <c r="AL80" s="12">
        <v>0</v>
      </c>
      <c r="AM80" s="62" t="s">
        <v>297</v>
      </c>
      <c r="AN80">
        <v>0</v>
      </c>
      <c r="AO80">
        <v>1</v>
      </c>
      <c r="AP80">
        <v>942</v>
      </c>
      <c r="AQ80">
        <v>131</v>
      </c>
      <c r="AR80">
        <v>0.29299999999999998</v>
      </c>
      <c r="AS80" s="64">
        <v>33.770000000000003</v>
      </c>
      <c r="AT80">
        <v>0</v>
      </c>
      <c r="AU80">
        <v>0</v>
      </c>
      <c r="AV80">
        <v>0</v>
      </c>
      <c r="AW80">
        <v>0</v>
      </c>
      <c r="AX80">
        <v>1</v>
      </c>
      <c r="AY80">
        <v>0</v>
      </c>
      <c r="AZ80" s="28">
        <v>1</v>
      </c>
      <c r="BA80">
        <v>0</v>
      </c>
      <c r="BB80">
        <v>0</v>
      </c>
      <c r="BC80" s="28">
        <v>0</v>
      </c>
      <c r="BD80">
        <v>0</v>
      </c>
      <c r="BE80">
        <v>1</v>
      </c>
      <c r="BF80">
        <v>0</v>
      </c>
      <c r="BG80">
        <v>0</v>
      </c>
      <c r="BH80">
        <v>1</v>
      </c>
      <c r="BI80">
        <v>0</v>
      </c>
      <c r="BJ80">
        <v>0</v>
      </c>
      <c r="BK80" s="16">
        <v>0</v>
      </c>
      <c r="BL80">
        <v>0.76700000000000002</v>
      </c>
      <c r="BM80">
        <v>176</v>
      </c>
      <c r="BN80">
        <v>1</v>
      </c>
      <c r="BO80">
        <v>0</v>
      </c>
      <c r="BP80">
        <v>18</v>
      </c>
      <c r="BQ80" t="s">
        <v>34</v>
      </c>
    </row>
    <row r="81" spans="1:69" x14ac:dyDescent="0.25">
      <c r="A81">
        <v>80</v>
      </c>
      <c r="B81">
        <v>6</v>
      </c>
      <c r="C81" t="s">
        <v>226</v>
      </c>
      <c r="D81" s="10">
        <v>4.8</v>
      </c>
      <c r="E81" s="6">
        <f t="shared" ref="E81:E114" si="13">D81/F81</f>
        <v>0.28828828828828829</v>
      </c>
      <c r="F81" s="6">
        <v>16.649999999999999</v>
      </c>
      <c r="G81" s="78">
        <v>0</v>
      </c>
      <c r="H81" s="70">
        <v>0</v>
      </c>
      <c r="I81" s="70">
        <v>1</v>
      </c>
      <c r="J81" s="78">
        <v>1204</v>
      </c>
      <c r="K81" s="70">
        <v>5</v>
      </c>
      <c r="L81" s="70">
        <f t="shared" si="11"/>
        <v>1198</v>
      </c>
      <c r="M81" s="60">
        <f t="shared" si="12"/>
        <v>15</v>
      </c>
      <c r="N81" s="70">
        <v>12.513999999999999</v>
      </c>
      <c r="O81" s="70">
        <f t="shared" ref="O81:O109" si="14">AS81-N81-6</f>
        <v>18.317000000000004</v>
      </c>
      <c r="P81" s="78">
        <v>1</v>
      </c>
      <c r="Q81" s="70">
        <v>0</v>
      </c>
      <c r="R81" s="78">
        <v>0</v>
      </c>
      <c r="S81" s="70">
        <v>0</v>
      </c>
      <c r="T81" s="70">
        <v>1</v>
      </c>
      <c r="U81" s="70">
        <v>1</v>
      </c>
      <c r="V81" s="70">
        <v>0</v>
      </c>
      <c r="W81" s="78">
        <v>0</v>
      </c>
      <c r="X81" s="70">
        <v>1</v>
      </c>
      <c r="Y81" s="69">
        <v>1981</v>
      </c>
      <c r="Z81" s="28" t="s">
        <v>45</v>
      </c>
      <c r="AA81" t="s">
        <v>45</v>
      </c>
      <c r="AB81" s="28">
        <v>0.46800000000000003</v>
      </c>
      <c r="AC81">
        <f t="shared" si="9"/>
        <v>0.53200000000000003</v>
      </c>
      <c r="AD81" s="28" t="s">
        <v>45</v>
      </c>
      <c r="AE81" t="s">
        <v>45</v>
      </c>
      <c r="AF81">
        <v>0</v>
      </c>
      <c r="AG81">
        <v>1</v>
      </c>
      <c r="AH81" s="28">
        <v>0.75900000000000001</v>
      </c>
      <c r="AI81" s="12">
        <f t="shared" si="7"/>
        <v>0.24099999999999999</v>
      </c>
      <c r="AJ81">
        <v>1</v>
      </c>
      <c r="AK81">
        <v>0</v>
      </c>
      <c r="AL81">
        <v>0</v>
      </c>
      <c r="AM81" s="62" t="s">
        <v>304</v>
      </c>
      <c r="AN81">
        <v>1</v>
      </c>
      <c r="AO81">
        <v>0</v>
      </c>
      <c r="AP81">
        <v>16842</v>
      </c>
      <c r="AQ81">
        <v>1807</v>
      </c>
      <c r="AR81">
        <v>0.92300000000000004</v>
      </c>
      <c r="AS81" s="64">
        <v>36.831000000000003</v>
      </c>
      <c r="AT81">
        <v>0</v>
      </c>
      <c r="AU81">
        <v>0</v>
      </c>
      <c r="AV81">
        <v>1</v>
      </c>
      <c r="AW81">
        <v>0</v>
      </c>
      <c r="AX81">
        <v>0</v>
      </c>
      <c r="AY81">
        <v>0</v>
      </c>
      <c r="AZ81" s="28">
        <v>0</v>
      </c>
      <c r="BA81">
        <v>0</v>
      </c>
      <c r="BB81">
        <v>0</v>
      </c>
      <c r="BC81" s="28">
        <v>1</v>
      </c>
      <c r="BD81">
        <v>0</v>
      </c>
      <c r="BE81">
        <v>0</v>
      </c>
      <c r="BF81">
        <v>0</v>
      </c>
      <c r="BG81">
        <v>1</v>
      </c>
      <c r="BH81">
        <v>1</v>
      </c>
      <c r="BI81">
        <v>0</v>
      </c>
      <c r="BJ81">
        <v>0</v>
      </c>
      <c r="BK81" s="16">
        <v>0</v>
      </c>
      <c r="BL81">
        <v>3.0070000000000001</v>
      </c>
      <c r="BM81">
        <v>372</v>
      </c>
      <c r="BN81">
        <v>1</v>
      </c>
      <c r="BO81">
        <v>0</v>
      </c>
      <c r="BP81">
        <v>1</v>
      </c>
      <c r="BQ81" t="s">
        <v>34</v>
      </c>
    </row>
    <row r="82" spans="1:69" x14ac:dyDescent="0.25">
      <c r="A82">
        <v>81</v>
      </c>
      <c r="B82">
        <v>6</v>
      </c>
      <c r="C82" t="s">
        <v>226</v>
      </c>
      <c r="D82" s="10">
        <v>2.5</v>
      </c>
      <c r="E82" s="6">
        <f t="shared" si="13"/>
        <v>0.50813008130081305</v>
      </c>
      <c r="F82" s="6">
        <v>4.92</v>
      </c>
      <c r="G82" s="78">
        <v>0</v>
      </c>
      <c r="H82" s="70">
        <v>0</v>
      </c>
      <c r="I82" s="70">
        <v>1</v>
      </c>
      <c r="J82" s="78">
        <v>602</v>
      </c>
      <c r="K82" s="70">
        <v>2</v>
      </c>
      <c r="L82" s="70">
        <f t="shared" si="11"/>
        <v>599</v>
      </c>
      <c r="M82" s="60">
        <f t="shared" si="12"/>
        <v>15</v>
      </c>
      <c r="N82" s="70">
        <v>12.513999999999999</v>
      </c>
      <c r="O82" s="70">
        <f t="shared" si="14"/>
        <v>18.317000000000004</v>
      </c>
      <c r="P82" s="78">
        <v>1</v>
      </c>
      <c r="Q82" s="70">
        <v>0</v>
      </c>
      <c r="R82" s="78">
        <v>0</v>
      </c>
      <c r="S82" s="70">
        <v>0</v>
      </c>
      <c r="T82" s="70">
        <v>1</v>
      </c>
      <c r="U82" s="70">
        <v>1</v>
      </c>
      <c r="V82" s="70">
        <v>0</v>
      </c>
      <c r="W82" s="78">
        <v>0</v>
      </c>
      <c r="X82" s="70">
        <v>1</v>
      </c>
      <c r="Y82" s="69">
        <v>1981</v>
      </c>
      <c r="Z82" s="28" t="s">
        <v>45</v>
      </c>
      <c r="AA82" t="s">
        <v>45</v>
      </c>
      <c r="AB82" s="28">
        <v>0.46800000000000003</v>
      </c>
      <c r="AC82">
        <f t="shared" si="9"/>
        <v>0.53200000000000003</v>
      </c>
      <c r="AD82" s="28" t="s">
        <v>45</v>
      </c>
      <c r="AE82" t="s">
        <v>45</v>
      </c>
      <c r="AF82">
        <v>0</v>
      </c>
      <c r="AG82">
        <v>1</v>
      </c>
      <c r="AH82" s="28">
        <v>0.75900000000000001</v>
      </c>
      <c r="AI82" s="12">
        <f t="shared" si="7"/>
        <v>0.24099999999999999</v>
      </c>
      <c r="AJ82">
        <v>1</v>
      </c>
      <c r="AK82">
        <v>0</v>
      </c>
      <c r="AL82">
        <v>0</v>
      </c>
      <c r="AM82" s="62" t="s">
        <v>304</v>
      </c>
      <c r="AN82">
        <v>1</v>
      </c>
      <c r="AO82">
        <v>0</v>
      </c>
      <c r="AP82">
        <v>16842</v>
      </c>
      <c r="AQ82">
        <v>1807</v>
      </c>
      <c r="AR82">
        <v>0.92300000000000004</v>
      </c>
      <c r="AS82" s="64">
        <v>36.831000000000003</v>
      </c>
      <c r="AT82">
        <v>0</v>
      </c>
      <c r="AU82">
        <v>0</v>
      </c>
      <c r="AV82">
        <v>1</v>
      </c>
      <c r="AW82">
        <v>0</v>
      </c>
      <c r="AX82">
        <v>0</v>
      </c>
      <c r="AY82">
        <v>0</v>
      </c>
      <c r="AZ82" s="28">
        <v>0</v>
      </c>
      <c r="BA82">
        <v>0</v>
      </c>
      <c r="BB82">
        <v>0</v>
      </c>
      <c r="BC82" s="28">
        <v>0</v>
      </c>
      <c r="BD82">
        <v>0</v>
      </c>
      <c r="BE82">
        <v>0</v>
      </c>
      <c r="BF82">
        <v>0</v>
      </c>
      <c r="BG82">
        <v>0</v>
      </c>
      <c r="BH82">
        <v>1</v>
      </c>
      <c r="BI82">
        <v>0</v>
      </c>
      <c r="BJ82">
        <v>0</v>
      </c>
      <c r="BK82" s="16">
        <v>0</v>
      </c>
      <c r="BL82">
        <v>3.0070000000000001</v>
      </c>
      <c r="BM82">
        <v>372</v>
      </c>
      <c r="BN82">
        <v>1</v>
      </c>
      <c r="BO82">
        <v>0</v>
      </c>
      <c r="BP82">
        <v>1</v>
      </c>
      <c r="BQ82" t="s">
        <v>34</v>
      </c>
    </row>
    <row r="83" spans="1:69" x14ac:dyDescent="0.25">
      <c r="A83">
        <v>82</v>
      </c>
      <c r="B83">
        <v>6</v>
      </c>
      <c r="C83" t="s">
        <v>226</v>
      </c>
      <c r="D83" s="10">
        <v>6</v>
      </c>
      <c r="E83" s="6">
        <f t="shared" si="13"/>
        <v>0.27985074626865669</v>
      </c>
      <c r="F83" s="6">
        <v>21.44</v>
      </c>
      <c r="G83" s="78">
        <v>0</v>
      </c>
      <c r="H83" s="70">
        <v>0</v>
      </c>
      <c r="I83" s="70">
        <v>1</v>
      </c>
      <c r="J83" s="78">
        <v>1176</v>
      </c>
      <c r="K83" s="70">
        <v>5</v>
      </c>
      <c r="L83" s="70">
        <f t="shared" si="11"/>
        <v>1170</v>
      </c>
      <c r="M83" s="60">
        <f t="shared" si="12"/>
        <v>15</v>
      </c>
      <c r="N83" s="70">
        <v>12.695</v>
      </c>
      <c r="O83" s="70">
        <f t="shared" si="14"/>
        <v>16.643000000000001</v>
      </c>
      <c r="P83" s="78">
        <v>1</v>
      </c>
      <c r="Q83" s="70">
        <v>0</v>
      </c>
      <c r="R83" s="78">
        <v>0</v>
      </c>
      <c r="S83" s="70">
        <v>0</v>
      </c>
      <c r="T83" s="70">
        <v>1</v>
      </c>
      <c r="U83" s="70">
        <v>1</v>
      </c>
      <c r="V83" s="70">
        <v>0</v>
      </c>
      <c r="W83" s="78">
        <v>0</v>
      </c>
      <c r="X83" s="70">
        <v>1</v>
      </c>
      <c r="Y83" s="69">
        <v>1981</v>
      </c>
      <c r="Z83" s="28" t="s">
        <v>45</v>
      </c>
      <c r="AA83" t="s">
        <v>45</v>
      </c>
      <c r="AB83" s="28">
        <v>0.505</v>
      </c>
      <c r="AC83">
        <f t="shared" si="9"/>
        <v>0.495</v>
      </c>
      <c r="AD83" s="28" t="s">
        <v>45</v>
      </c>
      <c r="AE83" t="s">
        <v>45</v>
      </c>
      <c r="AF83">
        <v>0</v>
      </c>
      <c r="AG83">
        <v>1</v>
      </c>
      <c r="AH83" s="28">
        <v>0.72199999999999998</v>
      </c>
      <c r="AI83" s="12">
        <f t="shared" si="7"/>
        <v>0.27800000000000002</v>
      </c>
      <c r="AJ83">
        <v>0</v>
      </c>
      <c r="AK83">
        <v>1</v>
      </c>
      <c r="AL83">
        <v>0</v>
      </c>
      <c r="AM83" s="62" t="s">
        <v>304</v>
      </c>
      <c r="AN83">
        <v>1</v>
      </c>
      <c r="AO83">
        <v>0</v>
      </c>
      <c r="AP83">
        <v>16842</v>
      </c>
      <c r="AQ83">
        <v>1807</v>
      </c>
      <c r="AR83">
        <v>0.92300000000000004</v>
      </c>
      <c r="AS83" s="64">
        <v>35.338000000000001</v>
      </c>
      <c r="AT83">
        <v>0</v>
      </c>
      <c r="AU83">
        <v>0</v>
      </c>
      <c r="AV83">
        <v>1</v>
      </c>
      <c r="AW83">
        <v>0</v>
      </c>
      <c r="AX83">
        <v>0</v>
      </c>
      <c r="AY83">
        <v>0</v>
      </c>
      <c r="AZ83" s="28">
        <v>0</v>
      </c>
      <c r="BA83">
        <v>0</v>
      </c>
      <c r="BB83">
        <v>0</v>
      </c>
      <c r="BC83" s="28">
        <v>1</v>
      </c>
      <c r="BD83">
        <v>0</v>
      </c>
      <c r="BE83">
        <v>0</v>
      </c>
      <c r="BF83">
        <v>0</v>
      </c>
      <c r="BG83">
        <v>1</v>
      </c>
      <c r="BH83">
        <v>1</v>
      </c>
      <c r="BI83">
        <v>0</v>
      </c>
      <c r="BJ83">
        <v>0</v>
      </c>
      <c r="BK83" s="16">
        <v>0</v>
      </c>
      <c r="BL83">
        <v>3.0070000000000001</v>
      </c>
      <c r="BM83">
        <v>372</v>
      </c>
      <c r="BN83">
        <v>1</v>
      </c>
      <c r="BO83">
        <v>0</v>
      </c>
      <c r="BP83">
        <v>1</v>
      </c>
      <c r="BQ83" t="s">
        <v>34</v>
      </c>
    </row>
    <row r="84" spans="1:69" x14ac:dyDescent="0.25">
      <c r="A84">
        <v>83</v>
      </c>
      <c r="B84">
        <v>6</v>
      </c>
      <c r="C84" t="s">
        <v>226</v>
      </c>
      <c r="D84" s="10">
        <v>4.5</v>
      </c>
      <c r="E84" s="6">
        <f t="shared" si="13"/>
        <v>0.48335123523093443</v>
      </c>
      <c r="F84" s="6">
        <v>9.31</v>
      </c>
      <c r="G84" s="78">
        <v>0</v>
      </c>
      <c r="H84" s="70">
        <v>0</v>
      </c>
      <c r="I84" s="70">
        <v>1</v>
      </c>
      <c r="J84" s="78">
        <v>568</v>
      </c>
      <c r="K84" s="70">
        <v>3</v>
      </c>
      <c r="L84" s="70">
        <f t="shared" si="11"/>
        <v>564</v>
      </c>
      <c r="M84" s="60">
        <f t="shared" si="12"/>
        <v>15</v>
      </c>
      <c r="N84" s="70">
        <v>12.695</v>
      </c>
      <c r="O84" s="70">
        <f t="shared" si="14"/>
        <v>16.643000000000001</v>
      </c>
      <c r="P84" s="78">
        <v>1</v>
      </c>
      <c r="Q84" s="70">
        <v>0</v>
      </c>
      <c r="R84" s="78">
        <v>0</v>
      </c>
      <c r="S84" s="70">
        <v>0</v>
      </c>
      <c r="T84" s="70">
        <v>1</v>
      </c>
      <c r="U84" s="70">
        <v>1</v>
      </c>
      <c r="V84" s="70">
        <v>0</v>
      </c>
      <c r="W84" s="78">
        <v>0</v>
      </c>
      <c r="X84" s="70">
        <v>1</v>
      </c>
      <c r="Y84" s="69">
        <v>1981</v>
      </c>
      <c r="Z84" s="28" t="s">
        <v>45</v>
      </c>
      <c r="AA84" t="s">
        <v>45</v>
      </c>
      <c r="AB84" s="28">
        <v>0.505</v>
      </c>
      <c r="AC84">
        <f t="shared" si="9"/>
        <v>0.495</v>
      </c>
      <c r="AD84" s="28" t="s">
        <v>45</v>
      </c>
      <c r="AE84" t="s">
        <v>45</v>
      </c>
      <c r="AF84">
        <v>0</v>
      </c>
      <c r="AG84">
        <v>1</v>
      </c>
      <c r="AH84" s="28">
        <v>0.72199999999999998</v>
      </c>
      <c r="AI84" s="12">
        <f t="shared" si="7"/>
        <v>0.27800000000000002</v>
      </c>
      <c r="AJ84">
        <v>0</v>
      </c>
      <c r="AK84">
        <v>1</v>
      </c>
      <c r="AL84">
        <v>0</v>
      </c>
      <c r="AM84" s="62" t="s">
        <v>304</v>
      </c>
      <c r="AN84">
        <v>1</v>
      </c>
      <c r="AO84">
        <v>0</v>
      </c>
      <c r="AP84">
        <v>16842</v>
      </c>
      <c r="AQ84">
        <v>1807</v>
      </c>
      <c r="AR84">
        <v>0.92300000000000004</v>
      </c>
      <c r="AS84" s="64">
        <v>35.338000000000001</v>
      </c>
      <c r="AT84">
        <v>0</v>
      </c>
      <c r="AU84">
        <v>0</v>
      </c>
      <c r="AV84">
        <v>1</v>
      </c>
      <c r="AW84">
        <v>0</v>
      </c>
      <c r="AX84">
        <v>0</v>
      </c>
      <c r="AY84">
        <v>0</v>
      </c>
      <c r="AZ84" s="28">
        <v>0</v>
      </c>
      <c r="BA84">
        <v>0</v>
      </c>
      <c r="BB84">
        <v>0</v>
      </c>
      <c r="BC84" s="28">
        <v>0</v>
      </c>
      <c r="BD84">
        <v>0</v>
      </c>
      <c r="BE84">
        <v>0</v>
      </c>
      <c r="BF84">
        <v>0</v>
      </c>
      <c r="BG84">
        <v>0</v>
      </c>
      <c r="BH84">
        <v>1</v>
      </c>
      <c r="BI84">
        <v>0</v>
      </c>
      <c r="BJ84">
        <v>0</v>
      </c>
      <c r="BK84" s="16">
        <v>0</v>
      </c>
      <c r="BL84">
        <v>3.0070000000000001</v>
      </c>
      <c r="BM84">
        <v>372</v>
      </c>
      <c r="BN84">
        <v>1</v>
      </c>
      <c r="BO84">
        <v>0</v>
      </c>
      <c r="BP84">
        <v>1</v>
      </c>
      <c r="BQ84" t="s">
        <v>34</v>
      </c>
    </row>
    <row r="85" spans="1:69" x14ac:dyDescent="0.25">
      <c r="A85">
        <v>84</v>
      </c>
      <c r="B85">
        <v>6</v>
      </c>
      <c r="C85" t="s">
        <v>226</v>
      </c>
      <c r="D85" s="79">
        <v>6.4</v>
      </c>
      <c r="E85" s="6">
        <f t="shared" si="13"/>
        <v>0.24024024024024024</v>
      </c>
      <c r="F85" s="6">
        <v>26.64</v>
      </c>
      <c r="G85" s="78">
        <v>0</v>
      </c>
      <c r="H85" s="70">
        <v>0</v>
      </c>
      <c r="I85" s="70">
        <v>1</v>
      </c>
      <c r="J85" s="78">
        <v>1204</v>
      </c>
      <c r="K85" s="70">
        <v>4</v>
      </c>
      <c r="L85" s="70">
        <f t="shared" si="11"/>
        <v>1199</v>
      </c>
      <c r="M85" s="60">
        <f t="shared" si="12"/>
        <v>15</v>
      </c>
      <c r="N85" s="70">
        <v>12.513999999999999</v>
      </c>
      <c r="O85" s="70">
        <f t="shared" si="14"/>
        <v>18.317000000000004</v>
      </c>
      <c r="P85" s="78">
        <v>1</v>
      </c>
      <c r="Q85" s="70">
        <v>0</v>
      </c>
      <c r="R85" s="78">
        <v>0</v>
      </c>
      <c r="S85" s="70">
        <v>0</v>
      </c>
      <c r="T85" s="70">
        <v>1</v>
      </c>
      <c r="U85" s="70">
        <v>1</v>
      </c>
      <c r="V85" s="70">
        <v>0</v>
      </c>
      <c r="W85" s="78">
        <v>0</v>
      </c>
      <c r="X85" s="70">
        <v>1</v>
      </c>
      <c r="Y85" s="69">
        <v>1981</v>
      </c>
      <c r="Z85" s="28" t="s">
        <v>45</v>
      </c>
      <c r="AA85" t="s">
        <v>45</v>
      </c>
      <c r="AB85" s="28">
        <v>0.46800000000000003</v>
      </c>
      <c r="AC85">
        <f t="shared" si="9"/>
        <v>0.53200000000000003</v>
      </c>
      <c r="AD85" s="28" t="s">
        <v>45</v>
      </c>
      <c r="AE85" t="s">
        <v>45</v>
      </c>
      <c r="AF85">
        <v>0</v>
      </c>
      <c r="AG85">
        <v>1</v>
      </c>
      <c r="AH85" s="28">
        <v>0.75900000000000001</v>
      </c>
      <c r="AI85" s="12">
        <f t="shared" si="7"/>
        <v>0.24099999999999999</v>
      </c>
      <c r="AJ85">
        <v>1</v>
      </c>
      <c r="AK85">
        <v>0</v>
      </c>
      <c r="AL85">
        <v>0</v>
      </c>
      <c r="AM85" s="62" t="s">
        <v>304</v>
      </c>
      <c r="AN85">
        <v>1</v>
      </c>
      <c r="AO85">
        <v>0</v>
      </c>
      <c r="AP85">
        <v>16842</v>
      </c>
      <c r="AQ85">
        <v>1807</v>
      </c>
      <c r="AR85">
        <v>0.92300000000000004</v>
      </c>
      <c r="AS85" s="64">
        <v>36.831000000000003</v>
      </c>
      <c r="AT85">
        <v>1</v>
      </c>
      <c r="AU85">
        <v>0</v>
      </c>
      <c r="AV85">
        <v>0</v>
      </c>
      <c r="AW85">
        <v>0</v>
      </c>
      <c r="AX85">
        <v>0</v>
      </c>
      <c r="AY85">
        <v>0</v>
      </c>
      <c r="AZ85" s="28">
        <v>0</v>
      </c>
      <c r="BA85">
        <v>0</v>
      </c>
      <c r="BB85">
        <v>0</v>
      </c>
      <c r="BC85" s="28">
        <v>1</v>
      </c>
      <c r="BD85">
        <v>0</v>
      </c>
      <c r="BE85">
        <v>0</v>
      </c>
      <c r="BF85">
        <v>0</v>
      </c>
      <c r="BG85">
        <v>1</v>
      </c>
      <c r="BH85">
        <v>1</v>
      </c>
      <c r="BI85">
        <v>0</v>
      </c>
      <c r="BJ85">
        <v>0</v>
      </c>
      <c r="BK85" s="16">
        <v>0</v>
      </c>
      <c r="BL85">
        <v>3.0070000000000001</v>
      </c>
      <c r="BM85">
        <v>372</v>
      </c>
      <c r="BN85">
        <v>1</v>
      </c>
      <c r="BO85">
        <v>0</v>
      </c>
      <c r="BP85">
        <v>1</v>
      </c>
      <c r="BQ85" t="s">
        <v>34</v>
      </c>
    </row>
    <row r="86" spans="1:69" x14ac:dyDescent="0.25">
      <c r="A86">
        <v>85</v>
      </c>
      <c r="B86">
        <v>6</v>
      </c>
      <c r="C86" t="s">
        <v>226</v>
      </c>
      <c r="D86" s="79">
        <v>2.5</v>
      </c>
      <c r="E86" s="6">
        <f t="shared" si="13"/>
        <v>0.50813008130081305</v>
      </c>
      <c r="F86" s="6">
        <v>4.92</v>
      </c>
      <c r="G86" s="78">
        <v>0</v>
      </c>
      <c r="H86" s="70">
        <v>0</v>
      </c>
      <c r="I86" s="70">
        <v>1</v>
      </c>
      <c r="J86" s="78">
        <v>602</v>
      </c>
      <c r="K86" s="70">
        <v>2</v>
      </c>
      <c r="L86" s="70">
        <f t="shared" si="11"/>
        <v>599</v>
      </c>
      <c r="M86" s="60">
        <f t="shared" si="12"/>
        <v>15</v>
      </c>
      <c r="N86" s="70">
        <v>12.513999999999999</v>
      </c>
      <c r="O86" s="70">
        <f t="shared" si="14"/>
        <v>18.317000000000004</v>
      </c>
      <c r="P86" s="78">
        <v>1</v>
      </c>
      <c r="Q86" s="70">
        <v>0</v>
      </c>
      <c r="R86" s="78">
        <v>0</v>
      </c>
      <c r="S86" s="70">
        <v>0</v>
      </c>
      <c r="T86" s="70">
        <v>1</v>
      </c>
      <c r="U86" s="70">
        <v>1</v>
      </c>
      <c r="V86" s="70">
        <v>0</v>
      </c>
      <c r="W86" s="78">
        <v>0</v>
      </c>
      <c r="X86" s="70">
        <v>1</v>
      </c>
      <c r="Y86" s="69">
        <v>1981</v>
      </c>
      <c r="Z86" s="28" t="s">
        <v>45</v>
      </c>
      <c r="AA86" t="s">
        <v>45</v>
      </c>
      <c r="AB86" s="28">
        <v>0.46800000000000003</v>
      </c>
      <c r="AC86">
        <f t="shared" si="9"/>
        <v>0.53200000000000003</v>
      </c>
      <c r="AD86" s="28" t="s">
        <v>45</v>
      </c>
      <c r="AE86" t="s">
        <v>45</v>
      </c>
      <c r="AF86">
        <v>0</v>
      </c>
      <c r="AG86">
        <v>1</v>
      </c>
      <c r="AH86" s="28">
        <v>0.75900000000000001</v>
      </c>
      <c r="AI86" s="12">
        <f t="shared" si="7"/>
        <v>0.24099999999999999</v>
      </c>
      <c r="AJ86">
        <v>1</v>
      </c>
      <c r="AK86">
        <v>0</v>
      </c>
      <c r="AL86">
        <v>0</v>
      </c>
      <c r="AM86" s="62" t="s">
        <v>304</v>
      </c>
      <c r="AN86">
        <v>1</v>
      </c>
      <c r="AO86">
        <v>0</v>
      </c>
      <c r="AP86">
        <v>16842</v>
      </c>
      <c r="AQ86">
        <v>1807</v>
      </c>
      <c r="AR86">
        <v>0.92300000000000004</v>
      </c>
      <c r="AS86" s="64">
        <v>36.831000000000003</v>
      </c>
      <c r="AT86">
        <v>0</v>
      </c>
      <c r="AU86">
        <v>0</v>
      </c>
      <c r="AV86">
        <v>1</v>
      </c>
      <c r="AW86">
        <v>0</v>
      </c>
      <c r="AX86">
        <v>0</v>
      </c>
      <c r="AY86">
        <v>0</v>
      </c>
      <c r="AZ86" s="28">
        <v>0</v>
      </c>
      <c r="BA86">
        <v>0</v>
      </c>
      <c r="BB86">
        <v>0</v>
      </c>
      <c r="BC86" s="28">
        <v>0</v>
      </c>
      <c r="BD86">
        <v>0</v>
      </c>
      <c r="BE86">
        <v>0</v>
      </c>
      <c r="BF86">
        <v>0</v>
      </c>
      <c r="BG86">
        <v>0</v>
      </c>
      <c r="BH86">
        <v>1</v>
      </c>
      <c r="BI86">
        <v>0</v>
      </c>
      <c r="BJ86">
        <v>0</v>
      </c>
      <c r="BK86" s="16">
        <v>0</v>
      </c>
      <c r="BL86">
        <v>3.0070000000000001</v>
      </c>
      <c r="BM86">
        <v>372</v>
      </c>
      <c r="BN86">
        <v>1</v>
      </c>
      <c r="BO86">
        <v>0</v>
      </c>
      <c r="BP86">
        <v>1</v>
      </c>
      <c r="BQ86" t="s">
        <v>34</v>
      </c>
    </row>
    <row r="87" spans="1:69" x14ac:dyDescent="0.25">
      <c r="A87">
        <v>86</v>
      </c>
      <c r="B87">
        <v>6</v>
      </c>
      <c r="C87" t="s">
        <v>226</v>
      </c>
      <c r="D87" s="79">
        <v>4.8</v>
      </c>
      <c r="E87" s="6">
        <f t="shared" si="13"/>
        <v>0.28828828828828829</v>
      </c>
      <c r="F87" s="6">
        <v>16.649999999999999</v>
      </c>
      <c r="G87" s="78">
        <v>0</v>
      </c>
      <c r="H87" s="70">
        <v>0</v>
      </c>
      <c r="I87" s="70">
        <v>1</v>
      </c>
      <c r="J87" s="78">
        <v>1204</v>
      </c>
      <c r="K87" s="70">
        <v>5</v>
      </c>
      <c r="L87" s="70">
        <f t="shared" si="11"/>
        <v>1198</v>
      </c>
      <c r="M87" s="60">
        <f t="shared" si="12"/>
        <v>15</v>
      </c>
      <c r="N87" s="70">
        <v>12.513999999999999</v>
      </c>
      <c r="O87" s="70">
        <f t="shared" si="14"/>
        <v>18.317000000000004</v>
      </c>
      <c r="P87" s="78">
        <v>1</v>
      </c>
      <c r="Q87" s="70">
        <v>0</v>
      </c>
      <c r="R87" s="78">
        <v>0</v>
      </c>
      <c r="S87" s="70">
        <v>0</v>
      </c>
      <c r="T87" s="70">
        <v>1</v>
      </c>
      <c r="U87" s="70">
        <v>1</v>
      </c>
      <c r="V87" s="70">
        <v>0</v>
      </c>
      <c r="W87" s="78">
        <v>0</v>
      </c>
      <c r="X87" s="70">
        <v>1</v>
      </c>
      <c r="Y87" s="69">
        <v>1981</v>
      </c>
      <c r="Z87" s="28" t="s">
        <v>45</v>
      </c>
      <c r="AA87" t="s">
        <v>45</v>
      </c>
      <c r="AB87" s="28">
        <v>0.46800000000000003</v>
      </c>
      <c r="AC87">
        <f t="shared" si="9"/>
        <v>0.53200000000000003</v>
      </c>
      <c r="AD87" s="28" t="s">
        <v>45</v>
      </c>
      <c r="AE87" t="s">
        <v>45</v>
      </c>
      <c r="AF87">
        <v>0</v>
      </c>
      <c r="AG87">
        <v>1</v>
      </c>
      <c r="AH87" s="28">
        <v>0.75900000000000001</v>
      </c>
      <c r="AI87" s="12">
        <f t="shared" si="7"/>
        <v>0.24099999999999999</v>
      </c>
      <c r="AJ87">
        <v>1</v>
      </c>
      <c r="AK87">
        <v>0</v>
      </c>
      <c r="AL87">
        <v>0</v>
      </c>
      <c r="AM87" s="62" t="s">
        <v>304</v>
      </c>
      <c r="AN87">
        <v>1</v>
      </c>
      <c r="AO87">
        <v>0</v>
      </c>
      <c r="AP87">
        <v>16842</v>
      </c>
      <c r="AQ87">
        <v>1807</v>
      </c>
      <c r="AR87">
        <v>0.92300000000000004</v>
      </c>
      <c r="AS87" s="64">
        <v>36.831000000000003</v>
      </c>
      <c r="AT87">
        <v>0</v>
      </c>
      <c r="AU87">
        <v>0</v>
      </c>
      <c r="AV87">
        <v>1</v>
      </c>
      <c r="AW87">
        <v>0</v>
      </c>
      <c r="AX87">
        <v>0</v>
      </c>
      <c r="AY87">
        <v>0</v>
      </c>
      <c r="AZ87" s="28">
        <v>0</v>
      </c>
      <c r="BA87">
        <v>0</v>
      </c>
      <c r="BB87">
        <v>0</v>
      </c>
      <c r="BC87" s="28">
        <v>1</v>
      </c>
      <c r="BD87">
        <v>0</v>
      </c>
      <c r="BE87">
        <v>0</v>
      </c>
      <c r="BF87">
        <v>0</v>
      </c>
      <c r="BG87">
        <v>1</v>
      </c>
      <c r="BH87">
        <v>1</v>
      </c>
      <c r="BI87">
        <v>0</v>
      </c>
      <c r="BJ87">
        <v>0</v>
      </c>
      <c r="BK87" s="16">
        <v>0</v>
      </c>
      <c r="BL87">
        <v>3.0070000000000001</v>
      </c>
      <c r="BM87">
        <v>372</v>
      </c>
      <c r="BN87">
        <v>1</v>
      </c>
      <c r="BO87">
        <v>0</v>
      </c>
      <c r="BP87">
        <v>1</v>
      </c>
      <c r="BQ87" t="s">
        <v>34</v>
      </c>
    </row>
    <row r="88" spans="1:69" x14ac:dyDescent="0.25">
      <c r="A88">
        <v>87</v>
      </c>
      <c r="B88">
        <v>6</v>
      </c>
      <c r="C88" t="s">
        <v>226</v>
      </c>
      <c r="D88" s="79">
        <v>7.3</v>
      </c>
      <c r="E88" s="6">
        <f t="shared" si="13"/>
        <v>0.28250773993808048</v>
      </c>
      <c r="F88" s="6">
        <v>25.84</v>
      </c>
      <c r="G88" s="78">
        <v>0</v>
      </c>
      <c r="H88" s="70">
        <v>0</v>
      </c>
      <c r="I88" s="70">
        <v>1</v>
      </c>
      <c r="J88" s="78">
        <v>1204</v>
      </c>
      <c r="K88" s="70">
        <v>5</v>
      </c>
      <c r="L88" s="70">
        <f t="shared" si="11"/>
        <v>1198</v>
      </c>
      <c r="M88" s="60">
        <f t="shared" si="12"/>
        <v>15</v>
      </c>
      <c r="N88" s="70">
        <v>12.513999999999999</v>
      </c>
      <c r="O88" s="70">
        <f t="shared" si="14"/>
        <v>18.317000000000004</v>
      </c>
      <c r="P88" s="78">
        <v>1</v>
      </c>
      <c r="Q88" s="70">
        <v>0</v>
      </c>
      <c r="R88" s="78">
        <v>0</v>
      </c>
      <c r="S88" s="70">
        <v>0</v>
      </c>
      <c r="T88" s="70">
        <v>1</v>
      </c>
      <c r="U88" s="70">
        <v>1</v>
      </c>
      <c r="V88" s="70">
        <v>0</v>
      </c>
      <c r="W88" s="78">
        <v>0</v>
      </c>
      <c r="X88" s="70">
        <v>1</v>
      </c>
      <c r="Y88" s="69">
        <v>1981</v>
      </c>
      <c r="Z88" s="28" t="s">
        <v>45</v>
      </c>
      <c r="AA88" t="s">
        <v>45</v>
      </c>
      <c r="AB88" s="28">
        <v>0.46800000000000003</v>
      </c>
      <c r="AC88">
        <f t="shared" si="9"/>
        <v>0.53200000000000003</v>
      </c>
      <c r="AD88" s="28" t="s">
        <v>45</v>
      </c>
      <c r="AE88" t="s">
        <v>45</v>
      </c>
      <c r="AF88">
        <v>0</v>
      </c>
      <c r="AG88">
        <v>1</v>
      </c>
      <c r="AH88" s="28">
        <v>0.75900000000000001</v>
      </c>
      <c r="AI88" s="12">
        <f t="shared" si="7"/>
        <v>0.24099999999999999</v>
      </c>
      <c r="AJ88">
        <v>1</v>
      </c>
      <c r="AK88">
        <v>0</v>
      </c>
      <c r="AL88">
        <v>0</v>
      </c>
      <c r="AM88" s="62" t="s">
        <v>304</v>
      </c>
      <c r="AN88">
        <v>1</v>
      </c>
      <c r="AO88">
        <v>0</v>
      </c>
      <c r="AP88">
        <v>16842</v>
      </c>
      <c r="AQ88">
        <v>1807</v>
      </c>
      <c r="AR88">
        <v>0.92300000000000004</v>
      </c>
      <c r="AS88" s="64">
        <v>36.831000000000003</v>
      </c>
      <c r="AT88">
        <v>0</v>
      </c>
      <c r="AU88">
        <v>0</v>
      </c>
      <c r="AV88">
        <v>1</v>
      </c>
      <c r="AW88">
        <v>0</v>
      </c>
      <c r="AX88">
        <v>0</v>
      </c>
      <c r="AY88">
        <v>0</v>
      </c>
      <c r="AZ88" s="28">
        <v>0</v>
      </c>
      <c r="BA88">
        <v>0</v>
      </c>
      <c r="BB88">
        <v>0</v>
      </c>
      <c r="BC88" s="28">
        <v>1</v>
      </c>
      <c r="BD88">
        <v>0</v>
      </c>
      <c r="BE88">
        <v>0</v>
      </c>
      <c r="BF88">
        <v>0</v>
      </c>
      <c r="BG88">
        <v>1</v>
      </c>
      <c r="BH88">
        <v>1</v>
      </c>
      <c r="BI88">
        <v>0</v>
      </c>
      <c r="BJ88">
        <v>0</v>
      </c>
      <c r="BK88" s="16">
        <v>0</v>
      </c>
      <c r="BL88">
        <v>3.0070000000000001</v>
      </c>
      <c r="BM88">
        <v>372</v>
      </c>
      <c r="BN88">
        <v>1</v>
      </c>
      <c r="BO88">
        <v>0</v>
      </c>
      <c r="BP88">
        <v>1</v>
      </c>
      <c r="BQ88" t="s">
        <v>34</v>
      </c>
    </row>
    <row r="89" spans="1:69" x14ac:dyDescent="0.25">
      <c r="A89">
        <v>88</v>
      </c>
      <c r="B89">
        <v>6</v>
      </c>
      <c r="C89" t="s">
        <v>226</v>
      </c>
      <c r="D89" s="79">
        <v>7.8</v>
      </c>
      <c r="E89" s="6">
        <f t="shared" si="13"/>
        <v>0.92746730083234241</v>
      </c>
      <c r="F89" s="6">
        <v>8.41</v>
      </c>
      <c r="G89" s="78">
        <v>0</v>
      </c>
      <c r="H89" s="70">
        <v>0</v>
      </c>
      <c r="I89" s="70">
        <v>1</v>
      </c>
      <c r="J89" s="78">
        <v>1204</v>
      </c>
      <c r="K89" s="70">
        <v>6</v>
      </c>
      <c r="L89" s="70">
        <f t="shared" si="11"/>
        <v>1197</v>
      </c>
      <c r="M89" s="60">
        <f t="shared" si="12"/>
        <v>15</v>
      </c>
      <c r="N89" s="70">
        <v>12.513999999999999</v>
      </c>
      <c r="O89" s="70">
        <f t="shared" si="14"/>
        <v>18.317000000000004</v>
      </c>
      <c r="P89" s="78">
        <v>1</v>
      </c>
      <c r="Q89" s="70">
        <v>0</v>
      </c>
      <c r="R89" s="78">
        <v>0</v>
      </c>
      <c r="S89" s="70">
        <v>0</v>
      </c>
      <c r="T89" s="70">
        <v>1</v>
      </c>
      <c r="U89" s="70">
        <v>1</v>
      </c>
      <c r="V89" s="70">
        <v>0</v>
      </c>
      <c r="W89" s="78">
        <v>0</v>
      </c>
      <c r="X89" s="70">
        <v>1</v>
      </c>
      <c r="Y89" s="69">
        <v>1981</v>
      </c>
      <c r="Z89" s="28" t="s">
        <v>45</v>
      </c>
      <c r="AA89" t="s">
        <v>45</v>
      </c>
      <c r="AB89" s="28">
        <v>0.46800000000000003</v>
      </c>
      <c r="AC89">
        <f t="shared" si="9"/>
        <v>0.53200000000000003</v>
      </c>
      <c r="AD89" s="28" t="s">
        <v>45</v>
      </c>
      <c r="AE89" t="s">
        <v>45</v>
      </c>
      <c r="AF89">
        <v>0</v>
      </c>
      <c r="AG89">
        <v>1</v>
      </c>
      <c r="AH89" s="28">
        <v>0.75900000000000001</v>
      </c>
      <c r="AI89" s="12">
        <f t="shared" si="7"/>
        <v>0.24099999999999999</v>
      </c>
      <c r="AJ89">
        <v>1</v>
      </c>
      <c r="AK89">
        <v>0</v>
      </c>
      <c r="AL89">
        <v>0</v>
      </c>
      <c r="AM89" s="62" t="s">
        <v>304</v>
      </c>
      <c r="AN89">
        <v>1</v>
      </c>
      <c r="AO89">
        <v>0</v>
      </c>
      <c r="AP89">
        <v>16842</v>
      </c>
      <c r="AQ89">
        <v>1807</v>
      </c>
      <c r="AR89">
        <v>0.92300000000000004</v>
      </c>
      <c r="AS89" s="64">
        <v>36.831000000000003</v>
      </c>
      <c r="AT89">
        <v>0</v>
      </c>
      <c r="AU89">
        <v>0</v>
      </c>
      <c r="AV89">
        <v>1</v>
      </c>
      <c r="AW89">
        <v>0</v>
      </c>
      <c r="AX89">
        <v>0</v>
      </c>
      <c r="AY89">
        <v>0</v>
      </c>
      <c r="AZ89" s="28">
        <v>0</v>
      </c>
      <c r="BA89">
        <v>0</v>
      </c>
      <c r="BB89">
        <v>0</v>
      </c>
      <c r="BC89" s="28">
        <v>1</v>
      </c>
      <c r="BD89">
        <v>0</v>
      </c>
      <c r="BE89">
        <v>0</v>
      </c>
      <c r="BF89">
        <v>0</v>
      </c>
      <c r="BG89">
        <v>1</v>
      </c>
      <c r="BH89">
        <v>1</v>
      </c>
      <c r="BI89">
        <v>0</v>
      </c>
      <c r="BJ89">
        <v>0</v>
      </c>
      <c r="BK89" s="16">
        <v>0</v>
      </c>
      <c r="BL89">
        <v>3.0070000000000001</v>
      </c>
      <c r="BM89">
        <v>372</v>
      </c>
      <c r="BN89">
        <v>1</v>
      </c>
      <c r="BO89">
        <v>0</v>
      </c>
      <c r="BP89">
        <v>1</v>
      </c>
      <c r="BQ89" t="s">
        <v>34</v>
      </c>
    </row>
    <row r="90" spans="1:69" x14ac:dyDescent="0.25">
      <c r="A90">
        <v>89</v>
      </c>
      <c r="B90">
        <v>6</v>
      </c>
      <c r="C90" t="s">
        <v>226</v>
      </c>
      <c r="D90" s="79">
        <v>8.3000000000000007</v>
      </c>
      <c r="E90" s="6">
        <f t="shared" si="13"/>
        <v>1.9856459330143543</v>
      </c>
      <c r="F90" s="6">
        <v>4.18</v>
      </c>
      <c r="G90" s="78">
        <v>0</v>
      </c>
      <c r="H90" s="70">
        <v>0</v>
      </c>
      <c r="I90" s="70">
        <v>1</v>
      </c>
      <c r="J90" s="78">
        <v>602</v>
      </c>
      <c r="K90" s="70">
        <v>3</v>
      </c>
      <c r="L90" s="70">
        <f t="shared" si="11"/>
        <v>598</v>
      </c>
      <c r="M90" s="60">
        <f t="shared" si="12"/>
        <v>15</v>
      </c>
      <c r="N90" s="70">
        <v>12.513999999999999</v>
      </c>
      <c r="O90" s="70">
        <f t="shared" si="14"/>
        <v>18.317000000000004</v>
      </c>
      <c r="P90" s="78">
        <v>1</v>
      </c>
      <c r="Q90" s="70">
        <v>0</v>
      </c>
      <c r="R90" s="78">
        <v>0</v>
      </c>
      <c r="S90" s="70">
        <v>0</v>
      </c>
      <c r="T90" s="70">
        <v>1</v>
      </c>
      <c r="U90" s="70">
        <v>1</v>
      </c>
      <c r="V90" s="70">
        <v>0</v>
      </c>
      <c r="W90" s="78">
        <v>0</v>
      </c>
      <c r="X90" s="70">
        <v>1</v>
      </c>
      <c r="Y90" s="69">
        <v>1981</v>
      </c>
      <c r="Z90" s="28" t="s">
        <v>45</v>
      </c>
      <c r="AA90" t="s">
        <v>45</v>
      </c>
      <c r="AB90" s="28">
        <v>0.46800000000000003</v>
      </c>
      <c r="AC90">
        <f t="shared" si="9"/>
        <v>0.53200000000000003</v>
      </c>
      <c r="AD90" s="28" t="s">
        <v>45</v>
      </c>
      <c r="AE90" t="s">
        <v>45</v>
      </c>
      <c r="AF90">
        <v>0</v>
      </c>
      <c r="AG90">
        <v>1</v>
      </c>
      <c r="AH90" s="28">
        <v>0.75900000000000001</v>
      </c>
      <c r="AI90" s="12">
        <f t="shared" si="7"/>
        <v>0.24099999999999999</v>
      </c>
      <c r="AJ90">
        <v>1</v>
      </c>
      <c r="AK90">
        <v>0</v>
      </c>
      <c r="AL90">
        <v>0</v>
      </c>
      <c r="AM90" s="62" t="s">
        <v>304</v>
      </c>
      <c r="AN90">
        <v>1</v>
      </c>
      <c r="AO90">
        <v>0</v>
      </c>
      <c r="AP90">
        <v>16842</v>
      </c>
      <c r="AQ90">
        <v>1807</v>
      </c>
      <c r="AR90">
        <v>0.92300000000000004</v>
      </c>
      <c r="AS90" s="64">
        <v>36.831000000000003</v>
      </c>
      <c r="AT90">
        <v>0</v>
      </c>
      <c r="AU90">
        <v>0</v>
      </c>
      <c r="AV90">
        <v>1</v>
      </c>
      <c r="AW90">
        <v>0</v>
      </c>
      <c r="AX90">
        <v>0</v>
      </c>
      <c r="AY90">
        <v>0</v>
      </c>
      <c r="AZ90" s="28">
        <v>0</v>
      </c>
      <c r="BA90">
        <v>0</v>
      </c>
      <c r="BB90">
        <v>0</v>
      </c>
      <c r="BC90" s="28">
        <v>0</v>
      </c>
      <c r="BD90">
        <v>0</v>
      </c>
      <c r="BE90">
        <v>0</v>
      </c>
      <c r="BF90">
        <v>0</v>
      </c>
      <c r="BG90">
        <v>0</v>
      </c>
      <c r="BH90">
        <v>1</v>
      </c>
      <c r="BI90">
        <v>0</v>
      </c>
      <c r="BJ90">
        <v>0</v>
      </c>
      <c r="BK90" s="16">
        <v>0</v>
      </c>
      <c r="BL90">
        <v>3.0070000000000001</v>
      </c>
      <c r="BM90">
        <v>372</v>
      </c>
      <c r="BN90">
        <v>1</v>
      </c>
      <c r="BO90">
        <v>0</v>
      </c>
      <c r="BP90">
        <v>1</v>
      </c>
      <c r="BQ90" t="s">
        <v>34</v>
      </c>
    </row>
    <row r="91" spans="1:69" x14ac:dyDescent="0.25">
      <c r="A91">
        <v>90</v>
      </c>
      <c r="B91">
        <v>6</v>
      </c>
      <c r="C91" t="s">
        <v>226</v>
      </c>
      <c r="D91" s="79">
        <v>4.5</v>
      </c>
      <c r="E91" s="6">
        <f t="shared" si="13"/>
        <v>0.92402464065708412</v>
      </c>
      <c r="F91" s="6">
        <v>4.87</v>
      </c>
      <c r="G91" s="78">
        <v>0</v>
      </c>
      <c r="H91" s="70">
        <v>0</v>
      </c>
      <c r="I91" s="70">
        <v>1</v>
      </c>
      <c r="J91" s="78">
        <v>602</v>
      </c>
      <c r="K91" s="70">
        <v>3</v>
      </c>
      <c r="L91" s="70">
        <f t="shared" si="11"/>
        <v>598</v>
      </c>
      <c r="M91" s="60">
        <f t="shared" si="12"/>
        <v>15</v>
      </c>
      <c r="N91" s="70">
        <v>12.513999999999999</v>
      </c>
      <c r="O91" s="70">
        <f t="shared" si="14"/>
        <v>18.317000000000004</v>
      </c>
      <c r="P91" s="78">
        <v>1</v>
      </c>
      <c r="Q91" s="70">
        <v>0</v>
      </c>
      <c r="R91" s="78">
        <v>0</v>
      </c>
      <c r="S91" s="70">
        <v>0</v>
      </c>
      <c r="T91" s="70">
        <v>1</v>
      </c>
      <c r="U91" s="70">
        <v>1</v>
      </c>
      <c r="V91" s="70">
        <v>0</v>
      </c>
      <c r="W91" s="78">
        <v>0</v>
      </c>
      <c r="X91" s="70">
        <v>1</v>
      </c>
      <c r="Y91" s="69">
        <v>1981</v>
      </c>
      <c r="Z91" s="28" t="s">
        <v>45</v>
      </c>
      <c r="AA91" t="s">
        <v>45</v>
      </c>
      <c r="AB91" s="28">
        <v>0.46800000000000003</v>
      </c>
      <c r="AC91">
        <f t="shared" si="9"/>
        <v>0.53200000000000003</v>
      </c>
      <c r="AD91" s="28" t="s">
        <v>45</v>
      </c>
      <c r="AE91" t="s">
        <v>45</v>
      </c>
      <c r="AF91">
        <v>0</v>
      </c>
      <c r="AG91">
        <v>1</v>
      </c>
      <c r="AH91" s="28">
        <v>0.75900000000000001</v>
      </c>
      <c r="AI91" s="12">
        <f t="shared" si="7"/>
        <v>0.24099999999999999</v>
      </c>
      <c r="AJ91">
        <v>1</v>
      </c>
      <c r="AK91">
        <v>0</v>
      </c>
      <c r="AL91">
        <v>0</v>
      </c>
      <c r="AM91" s="62" t="s">
        <v>304</v>
      </c>
      <c r="AN91">
        <v>1</v>
      </c>
      <c r="AO91">
        <v>0</v>
      </c>
      <c r="AP91">
        <v>16842</v>
      </c>
      <c r="AQ91">
        <v>1807</v>
      </c>
      <c r="AR91">
        <v>0.92300000000000004</v>
      </c>
      <c r="AS91" s="64">
        <v>36.831000000000003</v>
      </c>
      <c r="AT91">
        <v>0</v>
      </c>
      <c r="AU91">
        <v>0</v>
      </c>
      <c r="AV91">
        <v>1</v>
      </c>
      <c r="AW91">
        <v>0</v>
      </c>
      <c r="AX91">
        <v>0</v>
      </c>
      <c r="AY91">
        <v>0</v>
      </c>
      <c r="AZ91" s="28">
        <v>0</v>
      </c>
      <c r="BA91">
        <v>0</v>
      </c>
      <c r="BB91">
        <v>0</v>
      </c>
      <c r="BC91" s="28">
        <v>0</v>
      </c>
      <c r="BD91">
        <v>0</v>
      </c>
      <c r="BE91">
        <v>0</v>
      </c>
      <c r="BF91">
        <v>0</v>
      </c>
      <c r="BG91">
        <v>0</v>
      </c>
      <c r="BH91">
        <v>1</v>
      </c>
      <c r="BI91">
        <v>0</v>
      </c>
      <c r="BJ91">
        <v>0</v>
      </c>
      <c r="BK91" s="16">
        <v>0</v>
      </c>
      <c r="BL91">
        <v>3.0070000000000001</v>
      </c>
      <c r="BM91">
        <v>372</v>
      </c>
      <c r="BN91">
        <v>1</v>
      </c>
      <c r="BO91">
        <v>0</v>
      </c>
      <c r="BP91">
        <v>1</v>
      </c>
      <c r="BQ91" t="s">
        <v>34</v>
      </c>
    </row>
    <row r="92" spans="1:69" x14ac:dyDescent="0.25">
      <c r="A92">
        <v>91</v>
      </c>
      <c r="B92">
        <v>6</v>
      </c>
      <c r="C92" t="s">
        <v>226</v>
      </c>
      <c r="D92" s="79">
        <v>7.9</v>
      </c>
      <c r="E92" s="6">
        <f t="shared" si="13"/>
        <v>0.32510288065843623</v>
      </c>
      <c r="F92" s="6">
        <v>24.3</v>
      </c>
      <c r="G92" s="78">
        <v>0</v>
      </c>
      <c r="H92" s="70">
        <v>0</v>
      </c>
      <c r="I92" s="70">
        <v>1</v>
      </c>
      <c r="J92" s="78">
        <v>1136</v>
      </c>
      <c r="K92" s="70">
        <v>5</v>
      </c>
      <c r="L92" s="70">
        <f t="shared" si="11"/>
        <v>1130</v>
      </c>
      <c r="M92" s="60">
        <f t="shared" si="12"/>
        <v>15</v>
      </c>
      <c r="N92" s="70">
        <v>12.695</v>
      </c>
      <c r="O92" s="70">
        <f t="shared" si="14"/>
        <v>16.643000000000001</v>
      </c>
      <c r="P92" s="78">
        <v>1</v>
      </c>
      <c r="Q92" s="70">
        <v>0</v>
      </c>
      <c r="R92" s="78">
        <v>0</v>
      </c>
      <c r="S92" s="70">
        <v>0</v>
      </c>
      <c r="T92" s="70">
        <v>1</v>
      </c>
      <c r="U92" s="70">
        <v>1</v>
      </c>
      <c r="V92" s="70">
        <v>0</v>
      </c>
      <c r="W92" s="78">
        <v>0</v>
      </c>
      <c r="X92" s="70">
        <v>1</v>
      </c>
      <c r="Y92" s="69">
        <v>1981</v>
      </c>
      <c r="Z92" s="28" t="s">
        <v>45</v>
      </c>
      <c r="AA92" t="s">
        <v>45</v>
      </c>
      <c r="AB92" s="28">
        <v>0.505</v>
      </c>
      <c r="AC92">
        <f t="shared" si="9"/>
        <v>0.495</v>
      </c>
      <c r="AD92" s="28" t="s">
        <v>45</v>
      </c>
      <c r="AE92" t="s">
        <v>45</v>
      </c>
      <c r="AF92">
        <v>0</v>
      </c>
      <c r="AG92">
        <v>1</v>
      </c>
      <c r="AH92" s="28">
        <v>0.72199999999999998</v>
      </c>
      <c r="AI92" s="12">
        <f t="shared" si="7"/>
        <v>0.27800000000000002</v>
      </c>
      <c r="AJ92">
        <v>0</v>
      </c>
      <c r="AK92">
        <v>1</v>
      </c>
      <c r="AL92">
        <v>0</v>
      </c>
      <c r="AM92" s="62" t="s">
        <v>304</v>
      </c>
      <c r="AN92">
        <v>1</v>
      </c>
      <c r="AO92">
        <v>0</v>
      </c>
      <c r="AP92">
        <v>16842</v>
      </c>
      <c r="AQ92">
        <v>1807</v>
      </c>
      <c r="AR92">
        <v>0.92300000000000004</v>
      </c>
      <c r="AS92" s="64">
        <v>35.338000000000001</v>
      </c>
      <c r="AT92">
        <v>0</v>
      </c>
      <c r="AU92">
        <v>0</v>
      </c>
      <c r="AV92">
        <v>1</v>
      </c>
      <c r="AW92">
        <v>0</v>
      </c>
      <c r="AX92">
        <v>0</v>
      </c>
      <c r="AY92">
        <v>0</v>
      </c>
      <c r="AZ92" s="28">
        <v>0</v>
      </c>
      <c r="BA92">
        <v>0</v>
      </c>
      <c r="BB92">
        <v>0</v>
      </c>
      <c r="BC92" s="28">
        <v>1</v>
      </c>
      <c r="BD92">
        <v>0</v>
      </c>
      <c r="BE92">
        <v>0</v>
      </c>
      <c r="BF92">
        <v>0</v>
      </c>
      <c r="BG92">
        <v>1</v>
      </c>
      <c r="BH92">
        <v>1</v>
      </c>
      <c r="BI92">
        <v>0</v>
      </c>
      <c r="BJ92">
        <v>0</v>
      </c>
      <c r="BK92" s="16">
        <v>0</v>
      </c>
      <c r="BL92">
        <v>3.0070000000000001</v>
      </c>
      <c r="BM92">
        <v>372</v>
      </c>
      <c r="BN92">
        <v>1</v>
      </c>
      <c r="BO92">
        <v>0</v>
      </c>
      <c r="BP92">
        <v>1</v>
      </c>
      <c r="BQ92" t="s">
        <v>34</v>
      </c>
    </row>
    <row r="93" spans="1:69" x14ac:dyDescent="0.25">
      <c r="A93">
        <v>92</v>
      </c>
      <c r="B93">
        <v>6</v>
      </c>
      <c r="C93" t="s">
        <v>226</v>
      </c>
      <c r="D93" s="79">
        <v>7.9</v>
      </c>
      <c r="E93" s="6">
        <f t="shared" si="13"/>
        <v>0.4376731301939058</v>
      </c>
      <c r="F93" s="6">
        <v>18.05</v>
      </c>
      <c r="G93" s="78">
        <v>0</v>
      </c>
      <c r="H93" s="70">
        <v>0</v>
      </c>
      <c r="I93" s="70">
        <v>1</v>
      </c>
      <c r="J93" s="78">
        <v>1136</v>
      </c>
      <c r="K93" s="70">
        <v>6</v>
      </c>
      <c r="L93" s="70">
        <f t="shared" si="11"/>
        <v>1129</v>
      </c>
      <c r="M93" s="60">
        <f t="shared" si="12"/>
        <v>15</v>
      </c>
      <c r="N93" s="70">
        <v>12.695</v>
      </c>
      <c r="O93" s="70">
        <f t="shared" si="14"/>
        <v>16.643000000000001</v>
      </c>
      <c r="P93" s="78">
        <v>1</v>
      </c>
      <c r="Q93" s="70">
        <v>0</v>
      </c>
      <c r="R93" s="78">
        <v>0</v>
      </c>
      <c r="S93" s="70">
        <v>0</v>
      </c>
      <c r="T93" s="70">
        <v>1</v>
      </c>
      <c r="U93" s="70">
        <v>1</v>
      </c>
      <c r="V93" s="70">
        <v>0</v>
      </c>
      <c r="W93" s="78">
        <v>0</v>
      </c>
      <c r="X93" s="70">
        <v>1</v>
      </c>
      <c r="Y93" s="69">
        <v>1981</v>
      </c>
      <c r="Z93" s="28" t="s">
        <v>45</v>
      </c>
      <c r="AA93" t="s">
        <v>45</v>
      </c>
      <c r="AB93" s="28">
        <v>0.505</v>
      </c>
      <c r="AC93">
        <f t="shared" si="9"/>
        <v>0.495</v>
      </c>
      <c r="AD93" s="28" t="s">
        <v>45</v>
      </c>
      <c r="AE93" t="s">
        <v>45</v>
      </c>
      <c r="AF93">
        <v>0</v>
      </c>
      <c r="AG93">
        <v>1</v>
      </c>
      <c r="AH93" s="28">
        <v>0.72199999999999998</v>
      </c>
      <c r="AI93" s="12">
        <f t="shared" si="7"/>
        <v>0.27800000000000002</v>
      </c>
      <c r="AJ93">
        <v>0</v>
      </c>
      <c r="AK93">
        <v>1</v>
      </c>
      <c r="AL93">
        <v>0</v>
      </c>
      <c r="AM93" s="62" t="s">
        <v>304</v>
      </c>
      <c r="AN93">
        <v>1</v>
      </c>
      <c r="AO93">
        <v>0</v>
      </c>
      <c r="AP93">
        <v>16842</v>
      </c>
      <c r="AQ93">
        <v>1807</v>
      </c>
      <c r="AR93">
        <v>0.92300000000000004</v>
      </c>
      <c r="AS93" s="64">
        <v>35.338000000000001</v>
      </c>
      <c r="AT93">
        <v>0</v>
      </c>
      <c r="AU93">
        <v>0</v>
      </c>
      <c r="AV93">
        <v>1</v>
      </c>
      <c r="AW93">
        <v>0</v>
      </c>
      <c r="AX93">
        <v>0</v>
      </c>
      <c r="AY93">
        <v>0</v>
      </c>
      <c r="AZ93" s="28">
        <v>0</v>
      </c>
      <c r="BA93">
        <v>0</v>
      </c>
      <c r="BB93">
        <v>0</v>
      </c>
      <c r="BC93" s="28">
        <v>1</v>
      </c>
      <c r="BD93">
        <v>0</v>
      </c>
      <c r="BE93">
        <v>0</v>
      </c>
      <c r="BF93">
        <v>0</v>
      </c>
      <c r="BG93">
        <v>1</v>
      </c>
      <c r="BH93">
        <v>1</v>
      </c>
      <c r="BI93">
        <v>0</v>
      </c>
      <c r="BJ93">
        <v>0</v>
      </c>
      <c r="BK93" s="16">
        <v>0</v>
      </c>
      <c r="BL93">
        <v>3.0070000000000001</v>
      </c>
      <c r="BM93">
        <v>372</v>
      </c>
      <c r="BN93">
        <v>1</v>
      </c>
      <c r="BO93">
        <v>0</v>
      </c>
      <c r="BP93">
        <v>1</v>
      </c>
      <c r="BQ93" t="s">
        <v>34</v>
      </c>
    </row>
    <row r="94" spans="1:69" x14ac:dyDescent="0.25">
      <c r="A94">
        <v>93</v>
      </c>
      <c r="B94">
        <v>6</v>
      </c>
      <c r="C94" t="s">
        <v>226</v>
      </c>
      <c r="D94" s="79">
        <v>7.8</v>
      </c>
      <c r="E94" s="6">
        <f t="shared" si="13"/>
        <v>0.87346024636058228</v>
      </c>
      <c r="F94" s="6">
        <v>8.93</v>
      </c>
      <c r="G94" s="78">
        <v>0</v>
      </c>
      <c r="H94" s="70">
        <v>0</v>
      </c>
      <c r="I94" s="70">
        <v>1</v>
      </c>
      <c r="J94" s="78">
        <v>568</v>
      </c>
      <c r="K94" s="70">
        <v>3</v>
      </c>
      <c r="L94" s="70">
        <f t="shared" si="11"/>
        <v>564</v>
      </c>
      <c r="M94" s="60">
        <f t="shared" si="12"/>
        <v>15</v>
      </c>
      <c r="N94" s="70">
        <v>12.695</v>
      </c>
      <c r="O94" s="70">
        <f t="shared" si="14"/>
        <v>16.643000000000001</v>
      </c>
      <c r="P94" s="78">
        <v>1</v>
      </c>
      <c r="Q94" s="70">
        <v>0</v>
      </c>
      <c r="R94" s="78">
        <v>0</v>
      </c>
      <c r="S94" s="70">
        <v>0</v>
      </c>
      <c r="T94" s="70">
        <v>1</v>
      </c>
      <c r="U94" s="70">
        <v>1</v>
      </c>
      <c r="V94" s="70">
        <v>0</v>
      </c>
      <c r="W94" s="78">
        <v>0</v>
      </c>
      <c r="X94" s="70">
        <v>1</v>
      </c>
      <c r="Y94" s="69">
        <v>1981</v>
      </c>
      <c r="Z94" s="28" t="s">
        <v>45</v>
      </c>
      <c r="AA94" t="s">
        <v>45</v>
      </c>
      <c r="AB94" s="28">
        <v>0.505</v>
      </c>
      <c r="AC94">
        <f t="shared" si="9"/>
        <v>0.495</v>
      </c>
      <c r="AD94" s="28" t="s">
        <v>45</v>
      </c>
      <c r="AE94" t="s">
        <v>45</v>
      </c>
      <c r="AF94">
        <v>0</v>
      </c>
      <c r="AG94">
        <v>1</v>
      </c>
      <c r="AH94" s="28">
        <v>0.72199999999999998</v>
      </c>
      <c r="AI94" s="12">
        <f t="shared" si="7"/>
        <v>0.27800000000000002</v>
      </c>
      <c r="AJ94">
        <v>0</v>
      </c>
      <c r="AK94">
        <v>1</v>
      </c>
      <c r="AL94">
        <v>0</v>
      </c>
      <c r="AM94" s="62" t="s">
        <v>304</v>
      </c>
      <c r="AN94">
        <v>1</v>
      </c>
      <c r="AO94">
        <v>0</v>
      </c>
      <c r="AP94">
        <v>16842</v>
      </c>
      <c r="AQ94">
        <v>1807</v>
      </c>
      <c r="AR94">
        <v>0.92300000000000004</v>
      </c>
      <c r="AS94" s="64">
        <v>35.338000000000001</v>
      </c>
      <c r="AT94">
        <v>0</v>
      </c>
      <c r="AU94">
        <v>0</v>
      </c>
      <c r="AV94">
        <v>1</v>
      </c>
      <c r="AW94">
        <v>0</v>
      </c>
      <c r="AX94">
        <v>0</v>
      </c>
      <c r="AY94">
        <v>0</v>
      </c>
      <c r="AZ94" s="28">
        <v>0</v>
      </c>
      <c r="BA94">
        <v>0</v>
      </c>
      <c r="BB94">
        <v>0</v>
      </c>
      <c r="BC94" s="28">
        <v>0</v>
      </c>
      <c r="BD94">
        <v>0</v>
      </c>
      <c r="BE94">
        <v>0</v>
      </c>
      <c r="BF94">
        <v>0</v>
      </c>
      <c r="BG94">
        <v>0</v>
      </c>
      <c r="BH94">
        <v>1</v>
      </c>
      <c r="BI94">
        <v>0</v>
      </c>
      <c r="BJ94">
        <v>0</v>
      </c>
      <c r="BK94" s="16">
        <v>0</v>
      </c>
      <c r="BL94">
        <v>3.0070000000000001</v>
      </c>
      <c r="BM94">
        <v>372</v>
      </c>
      <c r="BN94">
        <v>1</v>
      </c>
      <c r="BO94">
        <v>0</v>
      </c>
      <c r="BP94">
        <v>1</v>
      </c>
      <c r="BQ94" t="s">
        <v>34</v>
      </c>
    </row>
    <row r="95" spans="1:69" x14ac:dyDescent="0.25">
      <c r="A95">
        <v>94</v>
      </c>
      <c r="B95">
        <v>6</v>
      </c>
      <c r="C95" t="s">
        <v>226</v>
      </c>
      <c r="D95" s="79">
        <v>7.4</v>
      </c>
      <c r="E95" s="6">
        <f t="shared" si="13"/>
        <v>0.79059829059829068</v>
      </c>
      <c r="F95" s="6">
        <v>9.36</v>
      </c>
      <c r="G95" s="78">
        <v>0</v>
      </c>
      <c r="H95" s="70">
        <v>0</v>
      </c>
      <c r="I95" s="70">
        <v>1</v>
      </c>
      <c r="J95" s="78">
        <v>568</v>
      </c>
      <c r="K95" s="70">
        <v>3</v>
      </c>
      <c r="L95" s="70">
        <f t="shared" si="11"/>
        <v>564</v>
      </c>
      <c r="M95" s="60">
        <f t="shared" si="12"/>
        <v>15</v>
      </c>
      <c r="N95" s="70">
        <v>12.695</v>
      </c>
      <c r="O95" s="70">
        <f t="shared" si="14"/>
        <v>16.643000000000001</v>
      </c>
      <c r="P95" s="78">
        <v>1</v>
      </c>
      <c r="Q95" s="70">
        <v>0</v>
      </c>
      <c r="R95" s="78">
        <v>0</v>
      </c>
      <c r="S95" s="70">
        <v>0</v>
      </c>
      <c r="T95" s="70">
        <v>1</v>
      </c>
      <c r="U95" s="70">
        <v>1</v>
      </c>
      <c r="V95" s="70">
        <v>0</v>
      </c>
      <c r="W95" s="78">
        <v>0</v>
      </c>
      <c r="X95" s="70">
        <v>1</v>
      </c>
      <c r="Y95" s="69">
        <v>1981</v>
      </c>
      <c r="Z95" s="28" t="s">
        <v>45</v>
      </c>
      <c r="AA95" t="s">
        <v>45</v>
      </c>
      <c r="AB95" s="28">
        <v>0.505</v>
      </c>
      <c r="AC95">
        <f t="shared" si="9"/>
        <v>0.495</v>
      </c>
      <c r="AD95" s="28" t="s">
        <v>45</v>
      </c>
      <c r="AE95" t="s">
        <v>45</v>
      </c>
      <c r="AF95">
        <v>0</v>
      </c>
      <c r="AG95">
        <v>1</v>
      </c>
      <c r="AH95" s="28">
        <v>0.72199999999999998</v>
      </c>
      <c r="AI95" s="12">
        <f t="shared" si="7"/>
        <v>0.27800000000000002</v>
      </c>
      <c r="AJ95">
        <v>0</v>
      </c>
      <c r="AK95">
        <v>1</v>
      </c>
      <c r="AL95">
        <v>0</v>
      </c>
      <c r="AM95" s="62" t="s">
        <v>304</v>
      </c>
      <c r="AN95">
        <v>1</v>
      </c>
      <c r="AO95">
        <v>0</v>
      </c>
      <c r="AP95">
        <v>16842</v>
      </c>
      <c r="AQ95">
        <v>1807</v>
      </c>
      <c r="AR95">
        <v>0.92300000000000004</v>
      </c>
      <c r="AS95" s="64">
        <v>35.338000000000001</v>
      </c>
      <c r="AT95">
        <v>0</v>
      </c>
      <c r="AU95">
        <v>0</v>
      </c>
      <c r="AV95">
        <v>1</v>
      </c>
      <c r="AW95">
        <v>0</v>
      </c>
      <c r="AX95">
        <v>0</v>
      </c>
      <c r="AY95">
        <v>0</v>
      </c>
      <c r="AZ95" s="28">
        <v>0</v>
      </c>
      <c r="BA95">
        <v>0</v>
      </c>
      <c r="BB95">
        <v>0</v>
      </c>
      <c r="BC95" s="28">
        <v>0</v>
      </c>
      <c r="BD95">
        <v>0</v>
      </c>
      <c r="BE95">
        <v>0</v>
      </c>
      <c r="BF95">
        <v>0</v>
      </c>
      <c r="BG95">
        <v>0</v>
      </c>
      <c r="BH95">
        <v>1</v>
      </c>
      <c r="BI95">
        <v>0</v>
      </c>
      <c r="BJ95">
        <v>0</v>
      </c>
      <c r="BK95" s="16">
        <v>0</v>
      </c>
      <c r="BL95">
        <v>3.0070000000000001</v>
      </c>
      <c r="BM95">
        <v>372</v>
      </c>
      <c r="BN95">
        <v>1</v>
      </c>
      <c r="BO95">
        <v>0</v>
      </c>
      <c r="BP95">
        <v>1</v>
      </c>
      <c r="BQ95" t="s">
        <v>34</v>
      </c>
    </row>
    <row r="96" spans="1:69" x14ac:dyDescent="0.25">
      <c r="A96">
        <v>95</v>
      </c>
      <c r="B96">
        <v>7</v>
      </c>
      <c r="C96" t="s">
        <v>232</v>
      </c>
      <c r="D96" s="79">
        <v>5.5</v>
      </c>
      <c r="E96" s="6">
        <f t="shared" si="13"/>
        <v>0.20446096654275095</v>
      </c>
      <c r="F96" s="6">
        <v>26.9</v>
      </c>
      <c r="G96" s="78">
        <v>0</v>
      </c>
      <c r="H96" s="70">
        <v>0</v>
      </c>
      <c r="I96" s="70">
        <v>1</v>
      </c>
      <c r="J96" s="78">
        <v>3048</v>
      </c>
      <c r="K96" s="70">
        <v>1</v>
      </c>
      <c r="L96" s="70">
        <f t="shared" si="11"/>
        <v>3046</v>
      </c>
      <c r="M96" s="60">
        <f t="shared" si="12"/>
        <v>14</v>
      </c>
      <c r="N96" s="70">
        <v>14.5</v>
      </c>
      <c r="O96" s="70">
        <f t="shared" si="14"/>
        <v>30.5</v>
      </c>
      <c r="P96" s="78">
        <v>1</v>
      </c>
      <c r="Q96" s="70">
        <v>0</v>
      </c>
      <c r="R96" s="70">
        <v>0</v>
      </c>
      <c r="S96" s="70">
        <v>0</v>
      </c>
      <c r="T96" s="70">
        <v>1</v>
      </c>
      <c r="U96" s="70">
        <v>1</v>
      </c>
      <c r="V96" s="70">
        <v>0</v>
      </c>
      <c r="W96" s="78">
        <v>0</v>
      </c>
      <c r="X96" s="70">
        <v>1</v>
      </c>
      <c r="Y96" s="69">
        <v>1986</v>
      </c>
      <c r="Z96" s="28" t="s">
        <v>45</v>
      </c>
      <c r="AA96" t="s">
        <v>45</v>
      </c>
      <c r="AB96" s="28">
        <v>1</v>
      </c>
      <c r="AC96">
        <v>0</v>
      </c>
      <c r="AD96" s="28">
        <v>1</v>
      </c>
      <c r="AE96">
        <v>0</v>
      </c>
      <c r="AF96">
        <v>0</v>
      </c>
      <c r="AG96">
        <v>1</v>
      </c>
      <c r="AH96" s="28">
        <f t="shared" ref="AH96:AH109" si="15">1-AI96</f>
        <v>0.84599999999999997</v>
      </c>
      <c r="AI96" s="12">
        <v>0.154</v>
      </c>
      <c r="AJ96">
        <v>0.55969999999999998</v>
      </c>
      <c r="AK96">
        <f t="shared" ref="AK96:AK109" si="16">1-AJ96</f>
        <v>0.44030000000000002</v>
      </c>
      <c r="AL96">
        <v>0</v>
      </c>
      <c r="AM96" s="62" t="s">
        <v>67</v>
      </c>
      <c r="AN96">
        <v>1</v>
      </c>
      <c r="AO96">
        <v>0</v>
      </c>
      <c r="AP96">
        <v>22873</v>
      </c>
      <c r="AQ96">
        <v>1435</v>
      </c>
      <c r="AR96">
        <v>0.91900000000000004</v>
      </c>
      <c r="AS96" s="64">
        <v>51</v>
      </c>
      <c r="AT96">
        <v>0</v>
      </c>
      <c r="AU96">
        <v>1</v>
      </c>
      <c r="AV96">
        <v>0</v>
      </c>
      <c r="AW96">
        <v>0</v>
      </c>
      <c r="AX96">
        <v>0</v>
      </c>
      <c r="AY96">
        <v>0</v>
      </c>
      <c r="AZ96" s="28">
        <v>0</v>
      </c>
      <c r="BA96">
        <v>0</v>
      </c>
      <c r="BB96">
        <v>0</v>
      </c>
      <c r="BC96" s="28">
        <v>0</v>
      </c>
      <c r="BD96">
        <v>0</v>
      </c>
      <c r="BE96">
        <v>0</v>
      </c>
      <c r="BF96">
        <v>0</v>
      </c>
      <c r="BG96">
        <v>0</v>
      </c>
      <c r="BH96">
        <v>0</v>
      </c>
      <c r="BI96">
        <v>0</v>
      </c>
      <c r="BJ96">
        <v>0</v>
      </c>
      <c r="BK96" s="16">
        <v>0</v>
      </c>
      <c r="BL96">
        <v>1.8520000000000001</v>
      </c>
      <c r="BM96">
        <v>616</v>
      </c>
      <c r="BN96">
        <v>1</v>
      </c>
      <c r="BO96">
        <v>0</v>
      </c>
      <c r="BP96">
        <v>0</v>
      </c>
      <c r="BQ96" t="s">
        <v>34</v>
      </c>
    </row>
    <row r="97" spans="1:69" x14ac:dyDescent="0.25">
      <c r="A97">
        <v>96</v>
      </c>
      <c r="B97">
        <v>7</v>
      </c>
      <c r="C97" t="s">
        <v>232</v>
      </c>
      <c r="D97" s="79">
        <v>5.0999999999999996</v>
      </c>
      <c r="E97" s="6">
        <f t="shared" si="13"/>
        <v>0.23611111111111108</v>
      </c>
      <c r="F97" s="6">
        <v>21.6</v>
      </c>
      <c r="G97" s="78">
        <v>0</v>
      </c>
      <c r="H97" s="70">
        <v>0</v>
      </c>
      <c r="I97" s="70">
        <v>1</v>
      </c>
      <c r="J97" s="78">
        <v>2588</v>
      </c>
      <c r="K97" s="70">
        <v>1</v>
      </c>
      <c r="L97" s="70">
        <f t="shared" si="11"/>
        <v>2586</v>
      </c>
      <c r="M97" s="60">
        <f t="shared" si="12"/>
        <v>14</v>
      </c>
      <c r="N97" s="70">
        <v>13.6</v>
      </c>
      <c r="O97" s="70">
        <f t="shared" si="14"/>
        <v>31.4</v>
      </c>
      <c r="P97" s="78">
        <v>1</v>
      </c>
      <c r="Q97" s="70">
        <v>0</v>
      </c>
      <c r="R97" s="70">
        <v>0</v>
      </c>
      <c r="S97" s="70">
        <v>0</v>
      </c>
      <c r="T97" s="70">
        <v>1</v>
      </c>
      <c r="U97" s="70">
        <v>1</v>
      </c>
      <c r="V97" s="70">
        <v>0</v>
      </c>
      <c r="W97" s="78">
        <v>0</v>
      </c>
      <c r="X97" s="70">
        <v>1</v>
      </c>
      <c r="Y97" s="69">
        <v>1986</v>
      </c>
      <c r="Z97" s="28" t="s">
        <v>45</v>
      </c>
      <c r="AA97" t="s">
        <v>45</v>
      </c>
      <c r="AB97" s="28">
        <v>1</v>
      </c>
      <c r="AC97">
        <v>0</v>
      </c>
      <c r="AD97" s="28">
        <v>1</v>
      </c>
      <c r="AE97">
        <v>0</v>
      </c>
      <c r="AF97">
        <v>0</v>
      </c>
      <c r="AG97">
        <v>1</v>
      </c>
      <c r="AH97" s="28">
        <f t="shared" si="15"/>
        <v>0.84599999999999997</v>
      </c>
      <c r="AI97" s="12">
        <v>0.154</v>
      </c>
      <c r="AJ97">
        <v>0.53700000000000003</v>
      </c>
      <c r="AK97">
        <f t="shared" si="16"/>
        <v>0.46299999999999997</v>
      </c>
      <c r="AL97">
        <v>0</v>
      </c>
      <c r="AM97" s="62" t="s">
        <v>67</v>
      </c>
      <c r="AN97">
        <v>1</v>
      </c>
      <c r="AO97">
        <v>0</v>
      </c>
      <c r="AP97">
        <v>22873</v>
      </c>
      <c r="AQ97">
        <v>1435</v>
      </c>
      <c r="AR97">
        <v>0.91900000000000004</v>
      </c>
      <c r="AS97" s="64">
        <v>51</v>
      </c>
      <c r="AT97">
        <v>0</v>
      </c>
      <c r="AU97">
        <v>1</v>
      </c>
      <c r="AV97">
        <v>0</v>
      </c>
      <c r="AW97">
        <v>0</v>
      </c>
      <c r="AX97">
        <v>0</v>
      </c>
      <c r="AY97">
        <v>0</v>
      </c>
      <c r="AZ97" s="28">
        <v>0</v>
      </c>
      <c r="BA97">
        <v>0</v>
      </c>
      <c r="BB97">
        <v>0</v>
      </c>
      <c r="BC97" s="28">
        <v>0</v>
      </c>
      <c r="BD97">
        <v>0</v>
      </c>
      <c r="BE97">
        <v>0</v>
      </c>
      <c r="BF97">
        <v>0</v>
      </c>
      <c r="BG97">
        <v>0</v>
      </c>
      <c r="BH97">
        <v>0</v>
      </c>
      <c r="BI97">
        <v>0</v>
      </c>
      <c r="BJ97">
        <v>0</v>
      </c>
      <c r="BK97" s="16">
        <v>0</v>
      </c>
      <c r="BL97">
        <v>1.8520000000000001</v>
      </c>
      <c r="BM97">
        <v>616</v>
      </c>
      <c r="BN97">
        <v>1</v>
      </c>
      <c r="BO97">
        <v>0</v>
      </c>
      <c r="BP97">
        <v>0</v>
      </c>
      <c r="BQ97" t="s">
        <v>34</v>
      </c>
    </row>
    <row r="98" spans="1:69" x14ac:dyDescent="0.25">
      <c r="A98">
        <v>97</v>
      </c>
      <c r="B98">
        <v>7</v>
      </c>
      <c r="C98" t="s">
        <v>232</v>
      </c>
      <c r="D98" s="79">
        <v>4.0999999999999996</v>
      </c>
      <c r="E98" s="6">
        <f t="shared" si="13"/>
        <v>0.41836734693877542</v>
      </c>
      <c r="F98" s="6">
        <v>9.8000000000000007</v>
      </c>
      <c r="G98" s="78">
        <v>0</v>
      </c>
      <c r="H98" s="70">
        <v>0</v>
      </c>
      <c r="I98" s="70">
        <v>1</v>
      </c>
      <c r="J98" s="78">
        <v>3048</v>
      </c>
      <c r="K98" s="70">
        <v>1</v>
      </c>
      <c r="L98" s="70">
        <f t="shared" si="11"/>
        <v>3046</v>
      </c>
      <c r="M98" s="60">
        <f t="shared" si="12"/>
        <v>14</v>
      </c>
      <c r="N98" s="70">
        <v>14.5</v>
      </c>
      <c r="O98" s="70">
        <f t="shared" si="14"/>
        <v>30.5</v>
      </c>
      <c r="P98" s="78">
        <v>1</v>
      </c>
      <c r="Q98" s="70">
        <v>0</v>
      </c>
      <c r="R98" s="70">
        <v>0</v>
      </c>
      <c r="S98" s="70">
        <v>0</v>
      </c>
      <c r="T98" s="70">
        <v>1</v>
      </c>
      <c r="U98" s="70">
        <v>1</v>
      </c>
      <c r="V98" s="70">
        <v>0</v>
      </c>
      <c r="W98" s="78">
        <v>0</v>
      </c>
      <c r="X98" s="70">
        <v>1</v>
      </c>
      <c r="Y98" s="69">
        <v>1986</v>
      </c>
      <c r="Z98" s="28" t="s">
        <v>45</v>
      </c>
      <c r="AA98" t="s">
        <v>45</v>
      </c>
      <c r="AB98" s="28">
        <v>1</v>
      </c>
      <c r="AC98">
        <v>0</v>
      </c>
      <c r="AD98" s="28">
        <v>1</v>
      </c>
      <c r="AE98">
        <v>0</v>
      </c>
      <c r="AF98">
        <v>0</v>
      </c>
      <c r="AG98">
        <v>1</v>
      </c>
      <c r="AH98" s="28">
        <f t="shared" si="15"/>
        <v>0.84599999999999997</v>
      </c>
      <c r="AI98" s="12">
        <v>0.154</v>
      </c>
      <c r="AJ98">
        <v>0.55969999999999998</v>
      </c>
      <c r="AK98">
        <f t="shared" si="16"/>
        <v>0.44030000000000002</v>
      </c>
      <c r="AL98">
        <v>0</v>
      </c>
      <c r="AM98" s="62" t="s">
        <v>67</v>
      </c>
      <c r="AN98">
        <v>1</v>
      </c>
      <c r="AO98">
        <v>0</v>
      </c>
      <c r="AP98">
        <v>22873</v>
      </c>
      <c r="AQ98">
        <v>1435</v>
      </c>
      <c r="AR98">
        <v>0.91900000000000004</v>
      </c>
      <c r="AS98" s="64">
        <v>51</v>
      </c>
      <c r="AT98">
        <v>0</v>
      </c>
      <c r="AU98">
        <v>0</v>
      </c>
      <c r="AV98">
        <v>1</v>
      </c>
      <c r="AW98">
        <v>0</v>
      </c>
      <c r="AX98">
        <v>0</v>
      </c>
      <c r="AY98">
        <v>0</v>
      </c>
      <c r="AZ98" s="28">
        <v>0</v>
      </c>
      <c r="BA98">
        <v>0</v>
      </c>
      <c r="BB98">
        <v>0</v>
      </c>
      <c r="BC98" s="28">
        <v>0</v>
      </c>
      <c r="BD98">
        <v>0</v>
      </c>
      <c r="BE98">
        <v>0</v>
      </c>
      <c r="BF98">
        <v>0</v>
      </c>
      <c r="BG98">
        <v>0</v>
      </c>
      <c r="BH98">
        <v>0</v>
      </c>
      <c r="BI98">
        <v>0</v>
      </c>
      <c r="BJ98">
        <v>0</v>
      </c>
      <c r="BK98" s="16">
        <v>0</v>
      </c>
      <c r="BL98">
        <v>1.8520000000000001</v>
      </c>
      <c r="BM98">
        <v>616</v>
      </c>
      <c r="BN98">
        <v>1</v>
      </c>
      <c r="BO98">
        <v>0</v>
      </c>
      <c r="BP98">
        <v>0</v>
      </c>
      <c r="BQ98" t="s">
        <v>34</v>
      </c>
    </row>
    <row r="99" spans="1:69" x14ac:dyDescent="0.25">
      <c r="A99">
        <v>98</v>
      </c>
      <c r="B99">
        <v>7</v>
      </c>
      <c r="C99" t="s">
        <v>232</v>
      </c>
      <c r="D99" s="79">
        <v>4.3</v>
      </c>
      <c r="E99" s="6">
        <f t="shared" si="13"/>
        <v>0.40186915887850466</v>
      </c>
      <c r="F99" s="6">
        <v>10.7</v>
      </c>
      <c r="G99" s="78">
        <v>0</v>
      </c>
      <c r="H99" s="70">
        <v>0</v>
      </c>
      <c r="I99" s="70">
        <v>1</v>
      </c>
      <c r="J99" s="78">
        <v>2588</v>
      </c>
      <c r="K99" s="70">
        <v>1</v>
      </c>
      <c r="L99" s="70">
        <f t="shared" si="11"/>
        <v>2586</v>
      </c>
      <c r="M99" s="60">
        <f t="shared" si="12"/>
        <v>14</v>
      </c>
      <c r="N99" s="70">
        <v>13.6</v>
      </c>
      <c r="O99" s="70">
        <f t="shared" si="14"/>
        <v>31.4</v>
      </c>
      <c r="P99" s="78">
        <v>1</v>
      </c>
      <c r="Q99" s="70">
        <v>0</v>
      </c>
      <c r="R99" s="70">
        <v>0</v>
      </c>
      <c r="S99" s="70">
        <v>0</v>
      </c>
      <c r="T99" s="70">
        <v>1</v>
      </c>
      <c r="U99" s="70">
        <v>1</v>
      </c>
      <c r="V99" s="70">
        <v>0</v>
      </c>
      <c r="W99" s="78">
        <v>0</v>
      </c>
      <c r="X99" s="70">
        <v>1</v>
      </c>
      <c r="Y99" s="69">
        <v>1986</v>
      </c>
      <c r="Z99" s="28" t="s">
        <v>45</v>
      </c>
      <c r="AA99" t="s">
        <v>45</v>
      </c>
      <c r="AB99" s="28">
        <v>1</v>
      </c>
      <c r="AC99">
        <v>0</v>
      </c>
      <c r="AD99" s="28">
        <v>1</v>
      </c>
      <c r="AE99">
        <v>0</v>
      </c>
      <c r="AF99">
        <v>0</v>
      </c>
      <c r="AG99">
        <v>1</v>
      </c>
      <c r="AH99" s="28">
        <f t="shared" si="15"/>
        <v>0.84599999999999997</v>
      </c>
      <c r="AI99" s="12">
        <v>0.154</v>
      </c>
      <c r="AJ99">
        <v>0.53700000000000003</v>
      </c>
      <c r="AK99">
        <f t="shared" si="16"/>
        <v>0.46299999999999997</v>
      </c>
      <c r="AL99">
        <v>0</v>
      </c>
      <c r="AM99" s="62" t="s">
        <v>67</v>
      </c>
      <c r="AN99">
        <v>1</v>
      </c>
      <c r="AO99">
        <v>0</v>
      </c>
      <c r="AP99">
        <v>22873</v>
      </c>
      <c r="AQ99">
        <v>1435</v>
      </c>
      <c r="AR99">
        <v>0.91900000000000004</v>
      </c>
      <c r="AS99" s="64">
        <v>51</v>
      </c>
      <c r="AT99">
        <v>0</v>
      </c>
      <c r="AU99">
        <v>0</v>
      </c>
      <c r="AV99">
        <v>1</v>
      </c>
      <c r="AW99">
        <v>0</v>
      </c>
      <c r="AX99">
        <v>0</v>
      </c>
      <c r="AY99">
        <v>0</v>
      </c>
      <c r="AZ99" s="28">
        <v>0</v>
      </c>
      <c r="BA99">
        <v>0</v>
      </c>
      <c r="BB99">
        <v>0</v>
      </c>
      <c r="BC99" s="28">
        <v>0</v>
      </c>
      <c r="BD99">
        <v>0</v>
      </c>
      <c r="BE99">
        <v>0</v>
      </c>
      <c r="BF99">
        <v>0</v>
      </c>
      <c r="BG99">
        <v>0</v>
      </c>
      <c r="BH99">
        <v>0</v>
      </c>
      <c r="BI99">
        <v>0</v>
      </c>
      <c r="BJ99">
        <v>0</v>
      </c>
      <c r="BK99" s="16">
        <v>0</v>
      </c>
      <c r="BL99">
        <v>1.8520000000000001</v>
      </c>
      <c r="BM99">
        <v>616</v>
      </c>
      <c r="BN99">
        <v>1</v>
      </c>
      <c r="BO99">
        <v>0</v>
      </c>
      <c r="BP99">
        <v>0</v>
      </c>
      <c r="BQ99" t="s">
        <v>34</v>
      </c>
    </row>
    <row r="100" spans="1:69" x14ac:dyDescent="0.25">
      <c r="A100">
        <v>99</v>
      </c>
      <c r="B100">
        <v>7</v>
      </c>
      <c r="C100" t="s">
        <v>232</v>
      </c>
      <c r="D100" s="79">
        <v>7.6</v>
      </c>
      <c r="E100" s="6">
        <f t="shared" si="13"/>
        <v>0.44970414201183434</v>
      </c>
      <c r="F100" s="6">
        <v>16.899999999999999</v>
      </c>
      <c r="G100" s="78">
        <v>0</v>
      </c>
      <c r="H100" s="70">
        <v>0</v>
      </c>
      <c r="I100" s="70">
        <v>1</v>
      </c>
      <c r="J100" s="78">
        <v>3048</v>
      </c>
      <c r="K100" s="70">
        <v>1</v>
      </c>
      <c r="L100" s="70">
        <f t="shared" si="11"/>
        <v>3046</v>
      </c>
      <c r="M100" s="60">
        <f t="shared" si="12"/>
        <v>14</v>
      </c>
      <c r="N100" s="70">
        <v>14.5</v>
      </c>
      <c r="O100" s="70">
        <f t="shared" si="14"/>
        <v>30.5</v>
      </c>
      <c r="P100" s="78">
        <v>1</v>
      </c>
      <c r="Q100" s="70">
        <v>0</v>
      </c>
      <c r="R100" s="70">
        <v>0</v>
      </c>
      <c r="S100" s="70">
        <v>0</v>
      </c>
      <c r="T100" s="70">
        <v>1</v>
      </c>
      <c r="U100" s="70">
        <v>1</v>
      </c>
      <c r="V100" s="70">
        <v>0</v>
      </c>
      <c r="W100" s="78">
        <v>0</v>
      </c>
      <c r="X100" s="70">
        <v>1</v>
      </c>
      <c r="Y100" s="69">
        <v>1986</v>
      </c>
      <c r="Z100" s="28" t="s">
        <v>45</v>
      </c>
      <c r="AA100" t="s">
        <v>45</v>
      </c>
      <c r="AB100" s="28">
        <v>1</v>
      </c>
      <c r="AC100">
        <v>0</v>
      </c>
      <c r="AD100" s="28">
        <v>1</v>
      </c>
      <c r="AE100">
        <v>0</v>
      </c>
      <c r="AF100">
        <v>0</v>
      </c>
      <c r="AG100">
        <v>1</v>
      </c>
      <c r="AH100" s="28">
        <f t="shared" si="15"/>
        <v>0.84599999999999997</v>
      </c>
      <c r="AI100" s="12">
        <v>0.154</v>
      </c>
      <c r="AJ100">
        <v>0.55969999999999998</v>
      </c>
      <c r="AK100">
        <f t="shared" si="16"/>
        <v>0.44030000000000002</v>
      </c>
      <c r="AL100">
        <v>0</v>
      </c>
      <c r="AM100" s="62" t="s">
        <v>67</v>
      </c>
      <c r="AN100">
        <v>1</v>
      </c>
      <c r="AO100">
        <v>0</v>
      </c>
      <c r="AP100">
        <v>22873</v>
      </c>
      <c r="AQ100">
        <v>1435</v>
      </c>
      <c r="AR100">
        <v>0.91900000000000004</v>
      </c>
      <c r="AS100" s="64">
        <v>51</v>
      </c>
      <c r="AT100">
        <v>0</v>
      </c>
      <c r="AU100">
        <v>1</v>
      </c>
      <c r="AV100">
        <v>0</v>
      </c>
      <c r="AW100">
        <v>0</v>
      </c>
      <c r="AX100">
        <v>0</v>
      </c>
      <c r="AY100">
        <v>0</v>
      </c>
      <c r="AZ100" s="28">
        <v>0</v>
      </c>
      <c r="BA100">
        <v>0</v>
      </c>
      <c r="BB100">
        <v>0</v>
      </c>
      <c r="BC100" s="28">
        <v>0</v>
      </c>
      <c r="BD100">
        <v>0</v>
      </c>
      <c r="BE100">
        <v>0</v>
      </c>
      <c r="BF100">
        <v>0</v>
      </c>
      <c r="BG100">
        <v>0</v>
      </c>
      <c r="BH100">
        <v>0</v>
      </c>
      <c r="BI100">
        <v>0</v>
      </c>
      <c r="BJ100">
        <v>0</v>
      </c>
      <c r="BK100" s="16">
        <v>0</v>
      </c>
      <c r="BL100">
        <v>1.8520000000000001</v>
      </c>
      <c r="BM100">
        <v>616</v>
      </c>
      <c r="BN100">
        <v>1</v>
      </c>
      <c r="BO100">
        <v>0</v>
      </c>
      <c r="BP100">
        <v>0</v>
      </c>
      <c r="BQ100" t="s">
        <v>34</v>
      </c>
    </row>
    <row r="101" spans="1:69" x14ac:dyDescent="0.25">
      <c r="A101">
        <v>100</v>
      </c>
      <c r="B101">
        <v>7</v>
      </c>
      <c r="C101" t="s">
        <v>232</v>
      </c>
      <c r="D101" s="79">
        <v>8</v>
      </c>
      <c r="E101" s="6">
        <f t="shared" si="13"/>
        <v>0.48192771084337344</v>
      </c>
      <c r="F101" s="6">
        <v>16.600000000000001</v>
      </c>
      <c r="G101" s="78">
        <v>0</v>
      </c>
      <c r="H101" s="70">
        <v>0</v>
      </c>
      <c r="I101" s="70">
        <v>1</v>
      </c>
      <c r="J101" s="78">
        <v>2588</v>
      </c>
      <c r="K101" s="70">
        <v>1</v>
      </c>
      <c r="L101" s="70">
        <f t="shared" si="11"/>
        <v>2586</v>
      </c>
      <c r="M101" s="60">
        <f t="shared" si="12"/>
        <v>14</v>
      </c>
      <c r="N101" s="70">
        <v>13.6</v>
      </c>
      <c r="O101" s="70">
        <f t="shared" si="14"/>
        <v>31.4</v>
      </c>
      <c r="P101" s="78">
        <v>1</v>
      </c>
      <c r="Q101" s="70">
        <v>0</v>
      </c>
      <c r="R101" s="70">
        <v>0</v>
      </c>
      <c r="S101" s="70">
        <v>0</v>
      </c>
      <c r="T101" s="70">
        <v>1</v>
      </c>
      <c r="U101" s="70">
        <v>1</v>
      </c>
      <c r="V101" s="70">
        <v>0</v>
      </c>
      <c r="W101" s="78">
        <v>0</v>
      </c>
      <c r="X101" s="70">
        <v>1</v>
      </c>
      <c r="Y101" s="69">
        <v>1986</v>
      </c>
      <c r="Z101" s="28" t="s">
        <v>45</v>
      </c>
      <c r="AA101" t="s">
        <v>45</v>
      </c>
      <c r="AB101" s="28">
        <v>1</v>
      </c>
      <c r="AC101">
        <v>0</v>
      </c>
      <c r="AD101" s="28">
        <v>1</v>
      </c>
      <c r="AE101">
        <v>0</v>
      </c>
      <c r="AF101">
        <v>0</v>
      </c>
      <c r="AG101">
        <v>1</v>
      </c>
      <c r="AH101" s="28">
        <f t="shared" si="15"/>
        <v>0.84599999999999997</v>
      </c>
      <c r="AI101" s="12">
        <v>0.154</v>
      </c>
      <c r="AJ101">
        <v>0.53700000000000003</v>
      </c>
      <c r="AK101">
        <f t="shared" si="16"/>
        <v>0.46299999999999997</v>
      </c>
      <c r="AL101">
        <v>0</v>
      </c>
      <c r="AM101" s="62" t="s">
        <v>67</v>
      </c>
      <c r="AN101">
        <v>1</v>
      </c>
      <c r="AO101">
        <v>0</v>
      </c>
      <c r="AP101">
        <v>22873</v>
      </c>
      <c r="AQ101">
        <v>1435</v>
      </c>
      <c r="AR101">
        <v>0.91900000000000004</v>
      </c>
      <c r="AS101" s="64">
        <v>51</v>
      </c>
      <c r="AT101">
        <v>0</v>
      </c>
      <c r="AU101">
        <v>1</v>
      </c>
      <c r="AV101">
        <v>0</v>
      </c>
      <c r="AW101">
        <v>0</v>
      </c>
      <c r="AX101">
        <v>0</v>
      </c>
      <c r="AY101">
        <v>0</v>
      </c>
      <c r="AZ101" s="28">
        <v>0</v>
      </c>
      <c r="BA101">
        <v>0</v>
      </c>
      <c r="BB101">
        <v>0</v>
      </c>
      <c r="BC101" s="28">
        <v>0</v>
      </c>
      <c r="BD101">
        <v>0</v>
      </c>
      <c r="BE101">
        <v>0</v>
      </c>
      <c r="BF101">
        <v>0</v>
      </c>
      <c r="BG101">
        <v>0</v>
      </c>
      <c r="BH101">
        <v>0</v>
      </c>
      <c r="BI101">
        <v>0</v>
      </c>
      <c r="BJ101">
        <v>0</v>
      </c>
      <c r="BK101" s="16">
        <v>0</v>
      </c>
      <c r="BL101">
        <v>1.8520000000000001</v>
      </c>
      <c r="BM101">
        <v>616</v>
      </c>
      <c r="BN101">
        <v>1</v>
      </c>
      <c r="BO101">
        <v>0</v>
      </c>
      <c r="BP101">
        <v>0</v>
      </c>
      <c r="BQ101" t="s">
        <v>34</v>
      </c>
    </row>
    <row r="102" spans="1:69" x14ac:dyDescent="0.25">
      <c r="A102">
        <v>101</v>
      </c>
      <c r="B102">
        <v>7</v>
      </c>
      <c r="C102" t="s">
        <v>232</v>
      </c>
      <c r="D102" s="79">
        <v>3.1</v>
      </c>
      <c r="E102" s="6">
        <f t="shared" si="13"/>
        <v>0.70454545454545447</v>
      </c>
      <c r="F102" s="6">
        <v>4.4000000000000004</v>
      </c>
      <c r="G102" s="78">
        <v>0</v>
      </c>
      <c r="H102" s="70">
        <v>0</v>
      </c>
      <c r="I102" s="70">
        <v>1</v>
      </c>
      <c r="J102" s="78">
        <v>3048</v>
      </c>
      <c r="K102" s="70">
        <v>1</v>
      </c>
      <c r="L102" s="70">
        <f t="shared" si="11"/>
        <v>3046</v>
      </c>
      <c r="M102" s="60">
        <f t="shared" si="12"/>
        <v>14</v>
      </c>
      <c r="N102" s="70">
        <v>14.5</v>
      </c>
      <c r="O102" s="70">
        <f t="shared" si="14"/>
        <v>30.5</v>
      </c>
      <c r="P102" s="78">
        <v>1</v>
      </c>
      <c r="Q102" s="70">
        <v>0</v>
      </c>
      <c r="R102" s="70">
        <v>0</v>
      </c>
      <c r="S102" s="70">
        <v>0</v>
      </c>
      <c r="T102" s="70">
        <v>1</v>
      </c>
      <c r="U102" s="70">
        <v>1</v>
      </c>
      <c r="V102" s="70">
        <v>0</v>
      </c>
      <c r="W102" s="78">
        <v>0</v>
      </c>
      <c r="X102" s="70">
        <v>1</v>
      </c>
      <c r="Y102" s="69">
        <v>1986</v>
      </c>
      <c r="Z102" s="28" t="s">
        <v>45</v>
      </c>
      <c r="AA102" t="s">
        <v>45</v>
      </c>
      <c r="AB102" s="28">
        <v>1</v>
      </c>
      <c r="AC102">
        <v>0</v>
      </c>
      <c r="AD102" s="28">
        <v>1</v>
      </c>
      <c r="AE102">
        <v>0</v>
      </c>
      <c r="AF102">
        <v>0</v>
      </c>
      <c r="AG102">
        <v>1</v>
      </c>
      <c r="AH102" s="28">
        <f t="shared" si="15"/>
        <v>0.84599999999999997</v>
      </c>
      <c r="AI102" s="12">
        <v>0.154</v>
      </c>
      <c r="AJ102">
        <v>0.55969999999999998</v>
      </c>
      <c r="AK102">
        <f t="shared" si="16"/>
        <v>0.44030000000000002</v>
      </c>
      <c r="AL102">
        <v>0</v>
      </c>
      <c r="AM102" s="62" t="s">
        <v>67</v>
      </c>
      <c r="AN102">
        <v>1</v>
      </c>
      <c r="AO102">
        <v>0</v>
      </c>
      <c r="AP102">
        <v>22873</v>
      </c>
      <c r="AQ102">
        <v>1435</v>
      </c>
      <c r="AR102">
        <v>0.91900000000000004</v>
      </c>
      <c r="AS102" s="64">
        <v>51</v>
      </c>
      <c r="AT102">
        <v>0</v>
      </c>
      <c r="AU102">
        <v>0</v>
      </c>
      <c r="AV102">
        <v>1</v>
      </c>
      <c r="AW102">
        <v>0</v>
      </c>
      <c r="AX102">
        <v>0</v>
      </c>
      <c r="AY102">
        <v>0</v>
      </c>
      <c r="AZ102" s="28">
        <v>0</v>
      </c>
      <c r="BA102">
        <v>0</v>
      </c>
      <c r="BB102">
        <v>0</v>
      </c>
      <c r="BC102" s="28">
        <v>0</v>
      </c>
      <c r="BD102">
        <v>0</v>
      </c>
      <c r="BE102">
        <v>0</v>
      </c>
      <c r="BF102">
        <v>0</v>
      </c>
      <c r="BG102">
        <v>0</v>
      </c>
      <c r="BH102">
        <v>0</v>
      </c>
      <c r="BI102">
        <v>0</v>
      </c>
      <c r="BJ102">
        <v>0</v>
      </c>
      <c r="BK102" s="16">
        <v>0</v>
      </c>
      <c r="BL102">
        <v>1.8520000000000001</v>
      </c>
      <c r="BM102">
        <v>616</v>
      </c>
      <c r="BN102">
        <v>1</v>
      </c>
      <c r="BO102">
        <v>0</v>
      </c>
      <c r="BP102">
        <v>0</v>
      </c>
      <c r="BQ102" t="s">
        <v>34</v>
      </c>
    </row>
    <row r="103" spans="1:69" x14ac:dyDescent="0.25">
      <c r="A103">
        <v>102</v>
      </c>
      <c r="B103">
        <v>7</v>
      </c>
      <c r="C103" t="s">
        <v>232</v>
      </c>
      <c r="D103" s="79">
        <v>6.3</v>
      </c>
      <c r="E103" s="6">
        <f t="shared" si="13"/>
        <v>0.7078651685393258</v>
      </c>
      <c r="F103" s="6">
        <v>8.9</v>
      </c>
      <c r="G103" s="78">
        <v>0</v>
      </c>
      <c r="H103" s="70">
        <v>0</v>
      </c>
      <c r="I103" s="70">
        <v>1</v>
      </c>
      <c r="J103" s="78">
        <v>2588</v>
      </c>
      <c r="K103" s="70">
        <v>1</v>
      </c>
      <c r="L103" s="70">
        <f t="shared" si="11"/>
        <v>2586</v>
      </c>
      <c r="M103" s="60">
        <f t="shared" si="12"/>
        <v>14</v>
      </c>
      <c r="N103" s="70">
        <v>13.6</v>
      </c>
      <c r="O103" s="70">
        <f t="shared" si="14"/>
        <v>31.4</v>
      </c>
      <c r="P103" s="78">
        <v>1</v>
      </c>
      <c r="Q103" s="70">
        <v>0</v>
      </c>
      <c r="R103" s="70">
        <v>0</v>
      </c>
      <c r="S103" s="70">
        <v>0</v>
      </c>
      <c r="T103" s="70">
        <v>1</v>
      </c>
      <c r="U103" s="70">
        <v>1</v>
      </c>
      <c r="V103" s="70">
        <v>0</v>
      </c>
      <c r="W103" s="78">
        <v>0</v>
      </c>
      <c r="X103" s="70">
        <v>1</v>
      </c>
      <c r="Y103" s="69">
        <v>1986</v>
      </c>
      <c r="Z103" s="28" t="s">
        <v>45</v>
      </c>
      <c r="AA103" t="s">
        <v>45</v>
      </c>
      <c r="AB103" s="28">
        <v>1</v>
      </c>
      <c r="AC103">
        <v>0</v>
      </c>
      <c r="AD103" s="28">
        <v>1</v>
      </c>
      <c r="AE103">
        <v>0</v>
      </c>
      <c r="AF103">
        <v>0</v>
      </c>
      <c r="AG103">
        <v>1</v>
      </c>
      <c r="AH103" s="28">
        <f t="shared" si="15"/>
        <v>0.84599999999999997</v>
      </c>
      <c r="AI103" s="12">
        <v>0.154</v>
      </c>
      <c r="AJ103">
        <v>0.53700000000000003</v>
      </c>
      <c r="AK103">
        <f t="shared" si="16"/>
        <v>0.46299999999999997</v>
      </c>
      <c r="AL103">
        <v>0</v>
      </c>
      <c r="AM103" s="62" t="s">
        <v>67</v>
      </c>
      <c r="AN103">
        <v>1</v>
      </c>
      <c r="AO103">
        <v>0</v>
      </c>
      <c r="AP103">
        <v>22873</v>
      </c>
      <c r="AQ103">
        <v>1435</v>
      </c>
      <c r="AR103">
        <v>0.91900000000000004</v>
      </c>
      <c r="AS103" s="64">
        <v>51</v>
      </c>
      <c r="AT103">
        <v>0</v>
      </c>
      <c r="AU103">
        <v>0</v>
      </c>
      <c r="AV103">
        <v>1</v>
      </c>
      <c r="AW103">
        <v>0</v>
      </c>
      <c r="AX103">
        <v>0</v>
      </c>
      <c r="AY103">
        <v>0</v>
      </c>
      <c r="AZ103" s="28">
        <v>0</v>
      </c>
      <c r="BA103">
        <v>0</v>
      </c>
      <c r="BB103">
        <v>0</v>
      </c>
      <c r="BC103" s="28">
        <v>0</v>
      </c>
      <c r="BD103">
        <v>0</v>
      </c>
      <c r="BE103">
        <v>0</v>
      </c>
      <c r="BF103">
        <v>0</v>
      </c>
      <c r="BG103">
        <v>0</v>
      </c>
      <c r="BH103">
        <v>0</v>
      </c>
      <c r="BI103">
        <v>0</v>
      </c>
      <c r="BJ103">
        <v>0</v>
      </c>
      <c r="BK103" s="16">
        <v>0</v>
      </c>
      <c r="BL103">
        <v>1.8520000000000001</v>
      </c>
      <c r="BM103">
        <v>616</v>
      </c>
      <c r="BN103">
        <v>1</v>
      </c>
      <c r="BO103">
        <v>0</v>
      </c>
      <c r="BP103">
        <v>0</v>
      </c>
      <c r="BQ103" t="s">
        <v>34</v>
      </c>
    </row>
    <row r="104" spans="1:69" x14ac:dyDescent="0.25">
      <c r="A104">
        <v>103</v>
      </c>
      <c r="B104">
        <v>7</v>
      </c>
      <c r="C104" t="s">
        <v>232</v>
      </c>
      <c r="D104" s="79">
        <v>7.1</v>
      </c>
      <c r="E104" s="6">
        <f t="shared" si="13"/>
        <v>0.23666666666666666</v>
      </c>
      <c r="F104" s="6">
        <v>30</v>
      </c>
      <c r="G104" s="78">
        <v>0</v>
      </c>
      <c r="H104" s="70">
        <v>0</v>
      </c>
      <c r="I104" s="70">
        <v>1</v>
      </c>
      <c r="J104" s="78">
        <v>3048</v>
      </c>
      <c r="K104" s="70">
        <v>1</v>
      </c>
      <c r="L104" s="70">
        <f t="shared" si="11"/>
        <v>3046</v>
      </c>
      <c r="M104" s="60">
        <f t="shared" si="12"/>
        <v>14</v>
      </c>
      <c r="N104" s="70">
        <v>14.5</v>
      </c>
      <c r="O104" s="70">
        <f t="shared" si="14"/>
        <v>30.5</v>
      </c>
      <c r="P104" s="78">
        <v>1</v>
      </c>
      <c r="Q104" s="70">
        <v>0</v>
      </c>
      <c r="R104" s="70">
        <v>0</v>
      </c>
      <c r="S104" s="70">
        <v>0</v>
      </c>
      <c r="T104" s="70">
        <v>1</v>
      </c>
      <c r="U104" s="70">
        <v>1</v>
      </c>
      <c r="V104" s="70">
        <v>0</v>
      </c>
      <c r="W104" s="78">
        <v>0</v>
      </c>
      <c r="X104" s="70">
        <v>1</v>
      </c>
      <c r="Y104" s="69">
        <v>1986</v>
      </c>
      <c r="Z104" s="28" t="s">
        <v>45</v>
      </c>
      <c r="AA104" t="s">
        <v>45</v>
      </c>
      <c r="AB104" s="28">
        <v>1</v>
      </c>
      <c r="AC104">
        <v>0</v>
      </c>
      <c r="AD104" s="28">
        <v>1</v>
      </c>
      <c r="AE104">
        <v>0</v>
      </c>
      <c r="AF104">
        <v>0</v>
      </c>
      <c r="AG104">
        <v>1</v>
      </c>
      <c r="AH104" s="28">
        <f t="shared" si="15"/>
        <v>0.84599999999999997</v>
      </c>
      <c r="AI104" s="12">
        <v>0.154</v>
      </c>
      <c r="AJ104">
        <v>0.55969999999999998</v>
      </c>
      <c r="AK104">
        <f t="shared" si="16"/>
        <v>0.44030000000000002</v>
      </c>
      <c r="AL104">
        <v>0</v>
      </c>
      <c r="AM104" s="62" t="s">
        <v>67</v>
      </c>
      <c r="AN104">
        <v>1</v>
      </c>
      <c r="AO104">
        <v>0</v>
      </c>
      <c r="AP104">
        <v>22873</v>
      </c>
      <c r="AQ104">
        <v>1435</v>
      </c>
      <c r="AR104">
        <v>0.91900000000000004</v>
      </c>
      <c r="AS104" s="64">
        <v>51</v>
      </c>
      <c r="AT104">
        <v>0</v>
      </c>
      <c r="AU104">
        <v>1</v>
      </c>
      <c r="AV104">
        <v>0</v>
      </c>
      <c r="AW104">
        <v>0</v>
      </c>
      <c r="AX104">
        <v>0</v>
      </c>
      <c r="AY104">
        <v>0</v>
      </c>
      <c r="AZ104" s="28">
        <v>0</v>
      </c>
      <c r="BA104">
        <v>0</v>
      </c>
      <c r="BB104">
        <v>0</v>
      </c>
      <c r="BC104" s="28">
        <v>0</v>
      </c>
      <c r="BD104">
        <v>0</v>
      </c>
      <c r="BE104">
        <v>0</v>
      </c>
      <c r="BF104">
        <v>0</v>
      </c>
      <c r="BG104">
        <v>0</v>
      </c>
      <c r="BH104">
        <v>0</v>
      </c>
      <c r="BI104">
        <v>0</v>
      </c>
      <c r="BJ104">
        <v>0</v>
      </c>
      <c r="BK104" s="16">
        <v>0</v>
      </c>
      <c r="BL104">
        <v>1.8520000000000001</v>
      </c>
      <c r="BM104">
        <v>616</v>
      </c>
      <c r="BN104">
        <v>1</v>
      </c>
      <c r="BO104">
        <v>0</v>
      </c>
      <c r="BP104">
        <v>0</v>
      </c>
      <c r="BQ104" t="s">
        <v>34</v>
      </c>
    </row>
    <row r="105" spans="1:69" x14ac:dyDescent="0.25">
      <c r="A105">
        <v>104</v>
      </c>
      <c r="B105">
        <v>7</v>
      </c>
      <c r="C105" t="s">
        <v>232</v>
      </c>
      <c r="D105" s="79">
        <v>7.3</v>
      </c>
      <c r="E105" s="6">
        <f t="shared" si="13"/>
        <v>0.2786259541984733</v>
      </c>
      <c r="F105" s="6">
        <v>26.2</v>
      </c>
      <c r="G105" s="78">
        <v>0</v>
      </c>
      <c r="H105" s="70">
        <v>0</v>
      </c>
      <c r="I105" s="70">
        <v>1</v>
      </c>
      <c r="J105" s="78">
        <v>2588</v>
      </c>
      <c r="K105" s="70">
        <v>1</v>
      </c>
      <c r="L105" s="70">
        <f t="shared" si="11"/>
        <v>2586</v>
      </c>
      <c r="M105" s="60">
        <f t="shared" si="12"/>
        <v>14</v>
      </c>
      <c r="N105" s="70">
        <v>13.6</v>
      </c>
      <c r="O105" s="70">
        <f t="shared" si="14"/>
        <v>31.4</v>
      </c>
      <c r="P105" s="78">
        <v>1</v>
      </c>
      <c r="Q105" s="70">
        <v>0</v>
      </c>
      <c r="R105" s="70">
        <v>0</v>
      </c>
      <c r="S105" s="70">
        <v>0</v>
      </c>
      <c r="T105" s="70">
        <v>1</v>
      </c>
      <c r="U105" s="70">
        <v>1</v>
      </c>
      <c r="V105" s="70">
        <v>0</v>
      </c>
      <c r="W105" s="78">
        <v>0</v>
      </c>
      <c r="X105" s="70">
        <v>1</v>
      </c>
      <c r="Y105" s="69">
        <v>1986</v>
      </c>
      <c r="Z105" s="28" t="s">
        <v>45</v>
      </c>
      <c r="AA105" t="s">
        <v>45</v>
      </c>
      <c r="AB105" s="28">
        <v>1</v>
      </c>
      <c r="AC105">
        <v>0</v>
      </c>
      <c r="AD105" s="28">
        <v>1</v>
      </c>
      <c r="AE105">
        <v>0</v>
      </c>
      <c r="AF105">
        <v>0</v>
      </c>
      <c r="AG105">
        <v>1</v>
      </c>
      <c r="AH105" s="28">
        <f t="shared" si="15"/>
        <v>0.84599999999999997</v>
      </c>
      <c r="AI105" s="12">
        <v>0.154</v>
      </c>
      <c r="AJ105">
        <v>0.53700000000000003</v>
      </c>
      <c r="AK105">
        <f t="shared" si="16"/>
        <v>0.46299999999999997</v>
      </c>
      <c r="AL105">
        <v>0</v>
      </c>
      <c r="AM105" s="62" t="s">
        <v>67</v>
      </c>
      <c r="AN105">
        <v>1</v>
      </c>
      <c r="AO105">
        <v>0</v>
      </c>
      <c r="AP105">
        <v>22873</v>
      </c>
      <c r="AQ105">
        <v>1435</v>
      </c>
      <c r="AR105">
        <v>0.91900000000000004</v>
      </c>
      <c r="AS105" s="64">
        <v>51</v>
      </c>
      <c r="AT105">
        <v>0</v>
      </c>
      <c r="AU105">
        <v>0</v>
      </c>
      <c r="AV105">
        <v>1</v>
      </c>
      <c r="AW105">
        <v>0</v>
      </c>
      <c r="AX105">
        <v>0</v>
      </c>
      <c r="AY105">
        <v>0</v>
      </c>
      <c r="AZ105" s="28">
        <v>0</v>
      </c>
      <c r="BA105">
        <v>0</v>
      </c>
      <c r="BB105">
        <v>0</v>
      </c>
      <c r="BC105" s="28">
        <v>0</v>
      </c>
      <c r="BD105">
        <v>0</v>
      </c>
      <c r="BE105">
        <v>0</v>
      </c>
      <c r="BF105">
        <v>0</v>
      </c>
      <c r="BG105">
        <v>0</v>
      </c>
      <c r="BH105">
        <v>0</v>
      </c>
      <c r="BI105">
        <v>0</v>
      </c>
      <c r="BJ105">
        <v>0</v>
      </c>
      <c r="BK105" s="16">
        <v>0</v>
      </c>
      <c r="BL105">
        <v>1.8520000000000001</v>
      </c>
      <c r="BM105">
        <v>616</v>
      </c>
      <c r="BN105">
        <v>1</v>
      </c>
      <c r="BO105">
        <v>0</v>
      </c>
      <c r="BP105">
        <v>0</v>
      </c>
      <c r="BQ105" t="s">
        <v>34</v>
      </c>
    </row>
    <row r="106" spans="1:69" x14ac:dyDescent="0.25">
      <c r="A106">
        <v>105</v>
      </c>
      <c r="B106">
        <v>7</v>
      </c>
      <c r="C106" t="s">
        <v>232</v>
      </c>
      <c r="D106" s="79">
        <v>9.4</v>
      </c>
      <c r="E106" s="6">
        <f t="shared" si="13"/>
        <v>1.0930232558139537</v>
      </c>
      <c r="F106" s="6">
        <v>8.6</v>
      </c>
      <c r="G106" s="78">
        <v>0</v>
      </c>
      <c r="H106" s="70">
        <v>0</v>
      </c>
      <c r="I106" s="70">
        <v>1</v>
      </c>
      <c r="J106" s="78">
        <v>282</v>
      </c>
      <c r="K106" s="70">
        <v>1</v>
      </c>
      <c r="L106" s="70">
        <f t="shared" si="11"/>
        <v>280</v>
      </c>
      <c r="M106" s="60">
        <f t="shared" si="12"/>
        <v>14</v>
      </c>
      <c r="N106" s="70">
        <v>13.6</v>
      </c>
      <c r="O106" s="70">
        <f t="shared" si="14"/>
        <v>31.4</v>
      </c>
      <c r="P106" s="78">
        <v>1</v>
      </c>
      <c r="Q106" s="70">
        <v>0</v>
      </c>
      <c r="R106" s="70">
        <v>0</v>
      </c>
      <c r="S106" s="70">
        <v>0</v>
      </c>
      <c r="T106" s="70">
        <v>1</v>
      </c>
      <c r="U106" s="70">
        <v>1</v>
      </c>
      <c r="V106" s="70">
        <v>0</v>
      </c>
      <c r="W106" s="78">
        <v>0</v>
      </c>
      <c r="X106" s="70">
        <v>1</v>
      </c>
      <c r="Y106" s="69">
        <v>1986</v>
      </c>
      <c r="Z106" s="28" t="s">
        <v>45</v>
      </c>
      <c r="AA106" t="s">
        <v>45</v>
      </c>
      <c r="AB106" s="28">
        <v>1</v>
      </c>
      <c r="AC106">
        <v>0</v>
      </c>
      <c r="AD106" s="28">
        <v>1</v>
      </c>
      <c r="AE106">
        <v>0</v>
      </c>
      <c r="AF106">
        <v>0</v>
      </c>
      <c r="AG106">
        <v>1</v>
      </c>
      <c r="AH106" s="28">
        <f t="shared" si="15"/>
        <v>0.84599999999999997</v>
      </c>
      <c r="AI106" s="12">
        <v>0.154</v>
      </c>
      <c r="AJ106">
        <v>0.53700000000000003</v>
      </c>
      <c r="AK106">
        <f t="shared" si="16"/>
        <v>0.46299999999999997</v>
      </c>
      <c r="AL106">
        <v>0</v>
      </c>
      <c r="AM106" s="62" t="s">
        <v>67</v>
      </c>
      <c r="AN106">
        <v>1</v>
      </c>
      <c r="AO106">
        <v>0</v>
      </c>
      <c r="AP106">
        <v>22873</v>
      </c>
      <c r="AQ106">
        <v>1435</v>
      </c>
      <c r="AR106">
        <v>0.91900000000000004</v>
      </c>
      <c r="AS106" s="64">
        <v>51</v>
      </c>
      <c r="AT106">
        <v>0</v>
      </c>
      <c r="AU106">
        <v>1</v>
      </c>
      <c r="AV106">
        <v>0</v>
      </c>
      <c r="AW106">
        <v>0</v>
      </c>
      <c r="AX106">
        <v>0</v>
      </c>
      <c r="AY106">
        <v>0</v>
      </c>
      <c r="AZ106" s="28">
        <v>0</v>
      </c>
      <c r="BA106">
        <v>0</v>
      </c>
      <c r="BB106">
        <v>0</v>
      </c>
      <c r="BC106" s="28">
        <v>0</v>
      </c>
      <c r="BD106">
        <v>0</v>
      </c>
      <c r="BE106">
        <v>0</v>
      </c>
      <c r="BF106">
        <v>0</v>
      </c>
      <c r="BG106">
        <v>0</v>
      </c>
      <c r="BH106">
        <v>0</v>
      </c>
      <c r="BI106">
        <v>0</v>
      </c>
      <c r="BJ106">
        <v>0</v>
      </c>
      <c r="BK106" s="16">
        <v>0</v>
      </c>
      <c r="BL106">
        <v>1.8520000000000001</v>
      </c>
      <c r="BM106">
        <v>616</v>
      </c>
      <c r="BN106">
        <v>1</v>
      </c>
      <c r="BO106">
        <v>0</v>
      </c>
      <c r="BP106">
        <v>0</v>
      </c>
      <c r="BQ106" t="s">
        <v>34</v>
      </c>
    </row>
    <row r="107" spans="1:69" x14ac:dyDescent="0.25">
      <c r="A107">
        <v>106</v>
      </c>
      <c r="B107">
        <v>7</v>
      </c>
      <c r="C107" t="s">
        <v>232</v>
      </c>
      <c r="D107" s="79">
        <v>10.1</v>
      </c>
      <c r="E107" s="6">
        <f t="shared" si="13"/>
        <v>1.2023809523809523</v>
      </c>
      <c r="F107" s="6">
        <v>8.4</v>
      </c>
      <c r="G107" s="78">
        <v>0</v>
      </c>
      <c r="H107" s="70">
        <v>0</v>
      </c>
      <c r="I107" s="70">
        <v>1</v>
      </c>
      <c r="J107" s="78">
        <v>282</v>
      </c>
      <c r="K107" s="70">
        <v>1</v>
      </c>
      <c r="L107" s="70">
        <f t="shared" si="11"/>
        <v>280</v>
      </c>
      <c r="M107" s="60">
        <f t="shared" si="12"/>
        <v>14</v>
      </c>
      <c r="N107" s="70">
        <v>13.6</v>
      </c>
      <c r="O107" s="70">
        <f t="shared" si="14"/>
        <v>31.4</v>
      </c>
      <c r="P107" s="78">
        <v>1</v>
      </c>
      <c r="Q107" s="70">
        <v>0</v>
      </c>
      <c r="R107" s="70">
        <v>0</v>
      </c>
      <c r="S107" s="70">
        <v>0</v>
      </c>
      <c r="T107" s="70">
        <v>1</v>
      </c>
      <c r="U107" s="70">
        <v>1</v>
      </c>
      <c r="V107" s="70">
        <v>0</v>
      </c>
      <c r="W107" s="78">
        <v>0</v>
      </c>
      <c r="X107" s="70">
        <v>1</v>
      </c>
      <c r="Y107" s="69">
        <v>1986</v>
      </c>
      <c r="Z107" s="28" t="s">
        <v>45</v>
      </c>
      <c r="AA107" t="s">
        <v>45</v>
      </c>
      <c r="AB107" s="28">
        <v>1</v>
      </c>
      <c r="AC107">
        <v>0</v>
      </c>
      <c r="AD107" s="28">
        <v>1</v>
      </c>
      <c r="AE107">
        <v>0</v>
      </c>
      <c r="AF107">
        <v>0</v>
      </c>
      <c r="AG107">
        <v>1</v>
      </c>
      <c r="AH107" s="28">
        <f t="shared" si="15"/>
        <v>0.84599999999999997</v>
      </c>
      <c r="AI107" s="12">
        <v>0.154</v>
      </c>
      <c r="AJ107">
        <v>0.53700000000000003</v>
      </c>
      <c r="AK107">
        <f t="shared" si="16"/>
        <v>0.46299999999999997</v>
      </c>
      <c r="AL107">
        <v>0</v>
      </c>
      <c r="AM107" s="62" t="s">
        <v>67</v>
      </c>
      <c r="AN107">
        <v>1</v>
      </c>
      <c r="AO107">
        <v>0</v>
      </c>
      <c r="AP107">
        <v>22873</v>
      </c>
      <c r="AQ107">
        <v>1435</v>
      </c>
      <c r="AR107">
        <v>0.91900000000000004</v>
      </c>
      <c r="AS107" s="64">
        <v>51</v>
      </c>
      <c r="AT107">
        <v>0</v>
      </c>
      <c r="AU107">
        <v>0</v>
      </c>
      <c r="AV107">
        <v>1</v>
      </c>
      <c r="AW107">
        <v>0</v>
      </c>
      <c r="AX107">
        <v>0</v>
      </c>
      <c r="AY107">
        <v>0</v>
      </c>
      <c r="AZ107" s="28">
        <v>0</v>
      </c>
      <c r="BA107">
        <v>0</v>
      </c>
      <c r="BB107">
        <v>0</v>
      </c>
      <c r="BC107" s="28">
        <v>0</v>
      </c>
      <c r="BD107">
        <v>0</v>
      </c>
      <c r="BE107">
        <v>0</v>
      </c>
      <c r="BF107">
        <v>0</v>
      </c>
      <c r="BG107">
        <v>0</v>
      </c>
      <c r="BH107">
        <v>0</v>
      </c>
      <c r="BI107">
        <v>0</v>
      </c>
      <c r="BJ107">
        <v>0</v>
      </c>
      <c r="BK107" s="16">
        <v>0</v>
      </c>
      <c r="BL107">
        <v>1.8520000000000001</v>
      </c>
      <c r="BM107">
        <v>616</v>
      </c>
      <c r="BN107">
        <v>1</v>
      </c>
      <c r="BO107">
        <v>0</v>
      </c>
      <c r="BP107">
        <v>0</v>
      </c>
      <c r="BQ107" t="s">
        <v>34</v>
      </c>
    </row>
    <row r="108" spans="1:69" x14ac:dyDescent="0.25">
      <c r="A108">
        <v>107</v>
      </c>
      <c r="B108">
        <v>7</v>
      </c>
      <c r="C108" t="s">
        <v>232</v>
      </c>
      <c r="D108" s="79">
        <v>3.5</v>
      </c>
      <c r="E108" s="6">
        <f t="shared" si="13"/>
        <v>0.44871794871794873</v>
      </c>
      <c r="F108" s="6">
        <v>7.8</v>
      </c>
      <c r="G108" s="78">
        <v>0</v>
      </c>
      <c r="H108" s="70">
        <v>0</v>
      </c>
      <c r="I108" s="70">
        <v>1</v>
      </c>
      <c r="J108" s="78">
        <v>282</v>
      </c>
      <c r="K108" s="70">
        <v>1</v>
      </c>
      <c r="L108" s="70">
        <f t="shared" si="11"/>
        <v>280</v>
      </c>
      <c r="M108" s="60">
        <f t="shared" si="12"/>
        <v>14</v>
      </c>
      <c r="N108" s="70">
        <v>13.6</v>
      </c>
      <c r="O108" s="70">
        <f t="shared" si="14"/>
        <v>31.4</v>
      </c>
      <c r="P108" s="78">
        <v>1</v>
      </c>
      <c r="Q108" s="70">
        <v>0</v>
      </c>
      <c r="R108" s="70">
        <v>0</v>
      </c>
      <c r="S108" s="70">
        <v>0</v>
      </c>
      <c r="T108" s="70">
        <v>1</v>
      </c>
      <c r="U108" s="70">
        <v>1</v>
      </c>
      <c r="V108" s="70">
        <v>0</v>
      </c>
      <c r="W108" s="78">
        <v>0</v>
      </c>
      <c r="X108" s="70">
        <v>1</v>
      </c>
      <c r="Y108" s="69">
        <v>1986</v>
      </c>
      <c r="Z108" s="28" t="s">
        <v>45</v>
      </c>
      <c r="AA108" t="s">
        <v>45</v>
      </c>
      <c r="AB108" s="28">
        <v>1</v>
      </c>
      <c r="AC108">
        <v>0</v>
      </c>
      <c r="AD108" s="28">
        <v>1</v>
      </c>
      <c r="AE108">
        <v>0</v>
      </c>
      <c r="AF108">
        <v>0</v>
      </c>
      <c r="AG108">
        <v>1</v>
      </c>
      <c r="AH108" s="28">
        <f t="shared" si="15"/>
        <v>0.84599999999999997</v>
      </c>
      <c r="AI108" s="12">
        <v>0.154</v>
      </c>
      <c r="AJ108">
        <v>0.53700000000000003</v>
      </c>
      <c r="AK108">
        <f t="shared" si="16"/>
        <v>0.46299999999999997</v>
      </c>
      <c r="AL108">
        <v>0</v>
      </c>
      <c r="AM108" s="62" t="s">
        <v>67</v>
      </c>
      <c r="AN108">
        <v>1</v>
      </c>
      <c r="AO108">
        <v>0</v>
      </c>
      <c r="AP108">
        <v>22873</v>
      </c>
      <c r="AQ108">
        <v>1435</v>
      </c>
      <c r="AR108">
        <v>0.91900000000000004</v>
      </c>
      <c r="AS108" s="64">
        <v>51</v>
      </c>
      <c r="AT108">
        <v>0</v>
      </c>
      <c r="AU108">
        <v>0</v>
      </c>
      <c r="AV108">
        <v>1</v>
      </c>
      <c r="AW108">
        <v>0</v>
      </c>
      <c r="AX108">
        <v>0</v>
      </c>
      <c r="AY108">
        <v>0</v>
      </c>
      <c r="AZ108" s="28">
        <v>0</v>
      </c>
      <c r="BA108">
        <v>0</v>
      </c>
      <c r="BB108">
        <v>0</v>
      </c>
      <c r="BC108" s="28">
        <v>0</v>
      </c>
      <c r="BD108">
        <v>0</v>
      </c>
      <c r="BE108">
        <v>0</v>
      </c>
      <c r="BF108">
        <v>0</v>
      </c>
      <c r="BG108">
        <v>0</v>
      </c>
      <c r="BH108">
        <v>0</v>
      </c>
      <c r="BI108">
        <v>0</v>
      </c>
      <c r="BJ108">
        <v>0</v>
      </c>
      <c r="BK108" s="16">
        <v>0</v>
      </c>
      <c r="BL108">
        <v>1.8520000000000001</v>
      </c>
      <c r="BM108">
        <v>616</v>
      </c>
      <c r="BN108">
        <v>1</v>
      </c>
      <c r="BO108">
        <v>0</v>
      </c>
      <c r="BP108">
        <v>0</v>
      </c>
      <c r="BQ108" t="s">
        <v>34</v>
      </c>
    </row>
    <row r="109" spans="1:69" x14ac:dyDescent="0.25">
      <c r="A109">
        <v>108</v>
      </c>
      <c r="B109">
        <v>7</v>
      </c>
      <c r="C109" t="s">
        <v>232</v>
      </c>
      <c r="D109" s="79">
        <v>5</v>
      </c>
      <c r="E109" s="6">
        <f t="shared" si="13"/>
        <v>2.9411764705882355</v>
      </c>
      <c r="F109" s="6">
        <v>1.7</v>
      </c>
      <c r="G109" s="78">
        <v>0</v>
      </c>
      <c r="H109" s="70">
        <v>0</v>
      </c>
      <c r="I109" s="70">
        <v>1</v>
      </c>
      <c r="J109" s="78">
        <v>282</v>
      </c>
      <c r="K109" s="70">
        <v>1</v>
      </c>
      <c r="L109" s="70">
        <f t="shared" si="11"/>
        <v>280</v>
      </c>
      <c r="M109" s="60">
        <f t="shared" si="12"/>
        <v>14</v>
      </c>
      <c r="N109" s="70">
        <v>13.6</v>
      </c>
      <c r="O109" s="70">
        <f t="shared" si="14"/>
        <v>31.4</v>
      </c>
      <c r="P109" s="78">
        <v>1</v>
      </c>
      <c r="Q109" s="70">
        <v>0</v>
      </c>
      <c r="R109" s="70">
        <v>0</v>
      </c>
      <c r="S109" s="70">
        <v>0</v>
      </c>
      <c r="T109" s="70">
        <v>1</v>
      </c>
      <c r="U109" s="70">
        <v>1</v>
      </c>
      <c r="V109" s="70">
        <v>0</v>
      </c>
      <c r="W109" s="78">
        <v>0</v>
      </c>
      <c r="X109" s="70">
        <v>1</v>
      </c>
      <c r="Y109" s="69">
        <v>1986</v>
      </c>
      <c r="Z109" s="28" t="s">
        <v>45</v>
      </c>
      <c r="AA109" t="s">
        <v>45</v>
      </c>
      <c r="AB109" s="28">
        <v>1</v>
      </c>
      <c r="AC109">
        <v>0</v>
      </c>
      <c r="AD109" s="28">
        <v>1</v>
      </c>
      <c r="AE109">
        <v>0</v>
      </c>
      <c r="AF109">
        <v>0</v>
      </c>
      <c r="AG109">
        <v>1</v>
      </c>
      <c r="AH109" s="28">
        <f t="shared" si="15"/>
        <v>0.84599999999999997</v>
      </c>
      <c r="AI109" s="12">
        <v>0.154</v>
      </c>
      <c r="AJ109">
        <v>0.53700000000000003</v>
      </c>
      <c r="AK109">
        <f t="shared" si="16"/>
        <v>0.46299999999999997</v>
      </c>
      <c r="AL109">
        <v>0</v>
      </c>
      <c r="AM109" s="62" t="s">
        <v>67</v>
      </c>
      <c r="AN109">
        <v>1</v>
      </c>
      <c r="AO109">
        <v>0</v>
      </c>
      <c r="AP109">
        <v>22873</v>
      </c>
      <c r="AQ109">
        <v>1435</v>
      </c>
      <c r="AR109">
        <v>0.91900000000000004</v>
      </c>
      <c r="AS109" s="64">
        <v>51</v>
      </c>
      <c r="AT109">
        <v>0</v>
      </c>
      <c r="AU109">
        <v>0</v>
      </c>
      <c r="AV109">
        <v>1</v>
      </c>
      <c r="AW109">
        <v>0</v>
      </c>
      <c r="AX109">
        <v>0</v>
      </c>
      <c r="AY109">
        <v>0</v>
      </c>
      <c r="AZ109" s="28">
        <v>0</v>
      </c>
      <c r="BA109">
        <v>0</v>
      </c>
      <c r="BB109">
        <v>0</v>
      </c>
      <c r="BC109" s="28">
        <v>0</v>
      </c>
      <c r="BD109">
        <v>0</v>
      </c>
      <c r="BE109">
        <v>0</v>
      </c>
      <c r="BF109">
        <v>0</v>
      </c>
      <c r="BG109">
        <v>0</v>
      </c>
      <c r="BH109">
        <v>0</v>
      </c>
      <c r="BI109">
        <v>0</v>
      </c>
      <c r="BJ109">
        <v>0</v>
      </c>
      <c r="BK109" s="16">
        <v>0</v>
      </c>
      <c r="BL109">
        <v>1.8520000000000001</v>
      </c>
      <c r="BM109">
        <v>616</v>
      </c>
      <c r="BN109">
        <v>1</v>
      </c>
      <c r="BO109">
        <v>0</v>
      </c>
      <c r="BP109">
        <v>0</v>
      </c>
      <c r="BQ109" t="s">
        <v>34</v>
      </c>
    </row>
    <row r="110" spans="1:69" x14ac:dyDescent="0.25">
      <c r="A110">
        <v>109</v>
      </c>
      <c r="B110">
        <v>8</v>
      </c>
      <c r="C110" t="s">
        <v>238</v>
      </c>
      <c r="D110" s="79">
        <v>11.3</v>
      </c>
      <c r="E110" s="6">
        <f t="shared" si="13"/>
        <v>0.51598173515981738</v>
      </c>
      <c r="F110" s="6">
        <v>21.9</v>
      </c>
      <c r="G110" s="78">
        <v>0</v>
      </c>
      <c r="H110" s="70">
        <v>0</v>
      </c>
      <c r="I110" s="70">
        <v>1</v>
      </c>
      <c r="J110" s="78">
        <v>1440</v>
      </c>
      <c r="K110" s="70">
        <v>3</v>
      </c>
      <c r="L110" s="70">
        <f t="shared" si="11"/>
        <v>1436</v>
      </c>
      <c r="M110" s="60">
        <f t="shared" si="12"/>
        <v>5</v>
      </c>
      <c r="N110" s="70">
        <v>14.1</v>
      </c>
      <c r="O110" s="70">
        <v>20.2</v>
      </c>
      <c r="P110" s="78">
        <v>1</v>
      </c>
      <c r="Q110" s="70">
        <v>0</v>
      </c>
      <c r="R110" s="70">
        <v>0</v>
      </c>
      <c r="S110" s="70">
        <v>0</v>
      </c>
      <c r="T110" s="70">
        <v>1</v>
      </c>
      <c r="U110" s="70">
        <v>1</v>
      </c>
      <c r="V110" s="70">
        <v>0</v>
      </c>
      <c r="W110" s="78">
        <v>1</v>
      </c>
      <c r="X110" s="70">
        <v>0</v>
      </c>
      <c r="Y110" s="69">
        <v>1994</v>
      </c>
      <c r="Z110" s="28" t="s">
        <v>45</v>
      </c>
      <c r="AA110" t="s">
        <v>45</v>
      </c>
      <c r="AB110" s="28">
        <v>0.34399999999999997</v>
      </c>
      <c r="AC110">
        <v>0.65600000000000003</v>
      </c>
      <c r="AD110" s="28">
        <v>1</v>
      </c>
      <c r="AE110">
        <v>0</v>
      </c>
      <c r="AF110">
        <v>0</v>
      </c>
      <c r="AG110">
        <v>1</v>
      </c>
      <c r="AH110" s="28" t="s">
        <v>45</v>
      </c>
      <c r="AI110" s="12" t="s">
        <v>45</v>
      </c>
      <c r="AJ110">
        <v>1</v>
      </c>
      <c r="AK110">
        <v>0</v>
      </c>
      <c r="AL110">
        <v>0</v>
      </c>
      <c r="AM110" s="62" t="s">
        <v>67</v>
      </c>
      <c r="AN110">
        <v>1</v>
      </c>
      <c r="AO110">
        <v>0</v>
      </c>
      <c r="AP110">
        <v>26357</v>
      </c>
      <c r="AQ110">
        <v>1346</v>
      </c>
      <c r="AR110">
        <v>0.92800000000000005</v>
      </c>
      <c r="AS110" s="64">
        <v>46.8</v>
      </c>
      <c r="AT110">
        <v>0</v>
      </c>
      <c r="AU110">
        <v>1</v>
      </c>
      <c r="AV110">
        <v>0</v>
      </c>
      <c r="AW110">
        <v>0</v>
      </c>
      <c r="AX110">
        <v>0</v>
      </c>
      <c r="AY110">
        <v>0</v>
      </c>
      <c r="AZ110" s="28">
        <v>0</v>
      </c>
      <c r="BA110">
        <v>0</v>
      </c>
      <c r="BB110">
        <v>0</v>
      </c>
      <c r="BC110" s="28">
        <v>1</v>
      </c>
      <c r="BD110">
        <v>0</v>
      </c>
      <c r="BE110">
        <v>0</v>
      </c>
      <c r="BF110">
        <v>0</v>
      </c>
      <c r="BG110">
        <v>1</v>
      </c>
      <c r="BH110">
        <v>0</v>
      </c>
      <c r="BI110">
        <v>0</v>
      </c>
      <c r="BJ110">
        <v>0</v>
      </c>
      <c r="BK110" s="16">
        <v>0</v>
      </c>
      <c r="BL110">
        <v>0.29799999999999999</v>
      </c>
      <c r="BM110">
        <v>196</v>
      </c>
      <c r="BN110">
        <v>1</v>
      </c>
      <c r="BO110">
        <v>0</v>
      </c>
      <c r="BP110">
        <v>5</v>
      </c>
      <c r="BQ110" t="s">
        <v>34</v>
      </c>
    </row>
    <row r="111" spans="1:69" x14ac:dyDescent="0.25">
      <c r="A111">
        <v>110</v>
      </c>
      <c r="B111">
        <v>8</v>
      </c>
      <c r="C111" t="s">
        <v>238</v>
      </c>
      <c r="D111" s="79">
        <v>11.8</v>
      </c>
      <c r="E111" s="6">
        <f t="shared" si="13"/>
        <v>0.50212765957446814</v>
      </c>
      <c r="F111" s="6">
        <v>23.5</v>
      </c>
      <c r="G111" s="78">
        <v>0</v>
      </c>
      <c r="H111" s="70">
        <v>0</v>
      </c>
      <c r="I111" s="70">
        <v>1</v>
      </c>
      <c r="J111" s="78">
        <v>1440</v>
      </c>
      <c r="K111" s="70">
        <v>4</v>
      </c>
      <c r="L111" s="70">
        <f t="shared" si="11"/>
        <v>1435</v>
      </c>
      <c r="M111" s="60">
        <f t="shared" si="12"/>
        <v>5</v>
      </c>
      <c r="N111" s="70">
        <v>14.1</v>
      </c>
      <c r="O111" s="70">
        <v>20.2</v>
      </c>
      <c r="P111" s="78">
        <v>1</v>
      </c>
      <c r="Q111" s="70">
        <v>0</v>
      </c>
      <c r="R111" s="70">
        <v>0</v>
      </c>
      <c r="S111" s="70">
        <v>0</v>
      </c>
      <c r="T111" s="70">
        <v>1</v>
      </c>
      <c r="U111" s="70">
        <v>1</v>
      </c>
      <c r="V111" s="70">
        <v>0</v>
      </c>
      <c r="W111" s="78">
        <v>0</v>
      </c>
      <c r="X111" s="70">
        <v>1</v>
      </c>
      <c r="Y111" s="69">
        <v>1994</v>
      </c>
      <c r="Z111" s="28" t="s">
        <v>45</v>
      </c>
      <c r="AA111" t="s">
        <v>45</v>
      </c>
      <c r="AB111" s="28">
        <v>0.34399999999999997</v>
      </c>
      <c r="AC111">
        <v>0.65600000000000003</v>
      </c>
      <c r="AD111" s="28">
        <v>1</v>
      </c>
      <c r="AE111">
        <v>0</v>
      </c>
      <c r="AF111">
        <v>0</v>
      </c>
      <c r="AG111">
        <v>1</v>
      </c>
      <c r="AH111" s="28" t="s">
        <v>45</v>
      </c>
      <c r="AI111" s="12" t="s">
        <v>45</v>
      </c>
      <c r="AJ111">
        <v>1</v>
      </c>
      <c r="AK111">
        <v>0</v>
      </c>
      <c r="AL111">
        <v>0</v>
      </c>
      <c r="AM111" s="62" t="s">
        <v>67</v>
      </c>
      <c r="AN111">
        <v>1</v>
      </c>
      <c r="AO111">
        <v>0</v>
      </c>
      <c r="AP111">
        <v>26357</v>
      </c>
      <c r="AQ111">
        <v>1346</v>
      </c>
      <c r="AR111">
        <v>0.92800000000000005</v>
      </c>
      <c r="AS111" s="64">
        <v>46.8</v>
      </c>
      <c r="AT111">
        <v>0</v>
      </c>
      <c r="AU111">
        <v>1</v>
      </c>
      <c r="AV111">
        <v>0</v>
      </c>
      <c r="AW111">
        <v>0</v>
      </c>
      <c r="AX111">
        <v>0</v>
      </c>
      <c r="AY111">
        <v>0</v>
      </c>
      <c r="AZ111" s="28">
        <v>0</v>
      </c>
      <c r="BA111">
        <v>0</v>
      </c>
      <c r="BB111">
        <v>0</v>
      </c>
      <c r="BC111" s="28">
        <v>0</v>
      </c>
      <c r="BD111">
        <v>0</v>
      </c>
      <c r="BE111">
        <v>1</v>
      </c>
      <c r="BF111">
        <v>0</v>
      </c>
      <c r="BG111">
        <v>1</v>
      </c>
      <c r="BH111">
        <v>0</v>
      </c>
      <c r="BI111">
        <v>0</v>
      </c>
      <c r="BJ111">
        <v>0</v>
      </c>
      <c r="BK111" s="16">
        <v>0</v>
      </c>
      <c r="BL111">
        <v>0.29799999999999999</v>
      </c>
      <c r="BM111">
        <v>196</v>
      </c>
      <c r="BN111">
        <v>1</v>
      </c>
      <c r="BO111">
        <v>0</v>
      </c>
      <c r="BP111">
        <v>5</v>
      </c>
      <c r="BQ111" t="s">
        <v>34</v>
      </c>
    </row>
    <row r="112" spans="1:69" x14ac:dyDescent="0.25">
      <c r="A112">
        <v>111</v>
      </c>
      <c r="B112">
        <v>8</v>
      </c>
      <c r="C112" t="s">
        <v>238</v>
      </c>
      <c r="D112" s="79">
        <v>10.5</v>
      </c>
      <c r="E112" s="6">
        <f t="shared" si="13"/>
        <v>1.8584070796460175</v>
      </c>
      <c r="F112" s="6">
        <v>5.65</v>
      </c>
      <c r="G112" s="78">
        <v>0</v>
      </c>
      <c r="H112" s="70">
        <v>0</v>
      </c>
      <c r="I112" s="70">
        <v>1</v>
      </c>
      <c r="J112" s="78">
        <v>720</v>
      </c>
      <c r="K112" s="70">
        <v>1</v>
      </c>
      <c r="L112" s="70">
        <f t="shared" si="11"/>
        <v>718</v>
      </c>
      <c r="M112" s="60">
        <f t="shared" si="12"/>
        <v>5</v>
      </c>
      <c r="N112" s="70">
        <v>14.1</v>
      </c>
      <c r="O112" s="70">
        <v>20.2</v>
      </c>
      <c r="P112" s="78">
        <v>1</v>
      </c>
      <c r="Q112" s="70">
        <v>0</v>
      </c>
      <c r="R112" s="70">
        <v>0</v>
      </c>
      <c r="S112" s="70">
        <v>0</v>
      </c>
      <c r="T112" s="70">
        <v>1</v>
      </c>
      <c r="U112" s="70">
        <v>1</v>
      </c>
      <c r="V112" s="70">
        <v>0</v>
      </c>
      <c r="W112" s="78">
        <v>0</v>
      </c>
      <c r="X112" s="70">
        <v>1</v>
      </c>
      <c r="Y112" s="69">
        <v>1994</v>
      </c>
      <c r="Z112" s="28" t="s">
        <v>45</v>
      </c>
      <c r="AA112" t="s">
        <v>45</v>
      </c>
      <c r="AB112" s="28">
        <v>0.34399999999999997</v>
      </c>
      <c r="AC112">
        <v>0.65600000000000003</v>
      </c>
      <c r="AD112" s="28">
        <v>1</v>
      </c>
      <c r="AE112">
        <v>0</v>
      </c>
      <c r="AF112">
        <v>0</v>
      </c>
      <c r="AG112">
        <v>1</v>
      </c>
      <c r="AH112" s="28" t="s">
        <v>45</v>
      </c>
      <c r="AI112" s="12" t="s">
        <v>45</v>
      </c>
      <c r="AJ112">
        <v>1</v>
      </c>
      <c r="AK112">
        <v>0</v>
      </c>
      <c r="AL112">
        <v>0</v>
      </c>
      <c r="AM112" s="62" t="s">
        <v>67</v>
      </c>
      <c r="AN112">
        <v>1</v>
      </c>
      <c r="AO112">
        <v>0</v>
      </c>
      <c r="AP112">
        <v>26357</v>
      </c>
      <c r="AQ112">
        <v>1346</v>
      </c>
      <c r="AR112">
        <v>0.92800000000000005</v>
      </c>
      <c r="AS112" s="64">
        <v>46.8</v>
      </c>
      <c r="AT112">
        <v>0</v>
      </c>
      <c r="AU112">
        <v>0</v>
      </c>
      <c r="AV112">
        <v>1</v>
      </c>
      <c r="AW112">
        <v>0</v>
      </c>
      <c r="AX112">
        <v>0</v>
      </c>
      <c r="AY112">
        <v>0</v>
      </c>
      <c r="AZ112" s="28">
        <v>0</v>
      </c>
      <c r="BA112">
        <v>0</v>
      </c>
      <c r="BB112">
        <v>0</v>
      </c>
      <c r="BC112" s="28">
        <v>0</v>
      </c>
      <c r="BD112">
        <v>0</v>
      </c>
      <c r="BE112">
        <v>0</v>
      </c>
      <c r="BF112">
        <v>0</v>
      </c>
      <c r="BG112">
        <v>0</v>
      </c>
      <c r="BH112">
        <v>0</v>
      </c>
      <c r="BI112">
        <v>0</v>
      </c>
      <c r="BJ112">
        <v>0</v>
      </c>
      <c r="BK112" s="16">
        <v>0</v>
      </c>
      <c r="BL112">
        <v>0.29799999999999999</v>
      </c>
      <c r="BM112">
        <v>196</v>
      </c>
      <c r="BN112">
        <v>1</v>
      </c>
      <c r="BO112">
        <v>0</v>
      </c>
      <c r="BP112">
        <v>5</v>
      </c>
      <c r="BQ112" t="s">
        <v>34</v>
      </c>
    </row>
    <row r="113" spans="1:69" x14ac:dyDescent="0.25">
      <c r="A113">
        <v>112</v>
      </c>
      <c r="B113">
        <v>8</v>
      </c>
      <c r="C113" t="s">
        <v>238</v>
      </c>
      <c r="D113" s="79">
        <v>10.4</v>
      </c>
      <c r="E113" s="6">
        <f t="shared" si="13"/>
        <v>1.6965742251223492</v>
      </c>
      <c r="F113" s="6">
        <v>6.13</v>
      </c>
      <c r="G113" s="78">
        <v>0</v>
      </c>
      <c r="H113" s="70">
        <v>0</v>
      </c>
      <c r="I113" s="70">
        <v>1</v>
      </c>
      <c r="J113" s="78">
        <v>720</v>
      </c>
      <c r="K113" s="70">
        <v>3</v>
      </c>
      <c r="L113" s="70">
        <f t="shared" si="11"/>
        <v>716</v>
      </c>
      <c r="M113" s="60">
        <f t="shared" si="12"/>
        <v>5</v>
      </c>
      <c r="N113" s="70">
        <v>14.1</v>
      </c>
      <c r="O113" s="70">
        <v>20.2</v>
      </c>
      <c r="P113" s="78">
        <v>1</v>
      </c>
      <c r="Q113" s="70">
        <v>0</v>
      </c>
      <c r="R113" s="70">
        <v>0</v>
      </c>
      <c r="S113" s="70">
        <v>0</v>
      </c>
      <c r="T113" s="70">
        <v>1</v>
      </c>
      <c r="U113" s="70">
        <v>1</v>
      </c>
      <c r="V113" s="70">
        <v>0</v>
      </c>
      <c r="W113" s="78">
        <v>0</v>
      </c>
      <c r="X113" s="70">
        <v>1</v>
      </c>
      <c r="Y113" s="69">
        <v>1994</v>
      </c>
      <c r="Z113" s="28" t="s">
        <v>45</v>
      </c>
      <c r="AA113" t="s">
        <v>45</v>
      </c>
      <c r="AB113" s="28">
        <v>0.34399999999999997</v>
      </c>
      <c r="AC113">
        <v>0.65600000000000003</v>
      </c>
      <c r="AD113" s="28">
        <v>1</v>
      </c>
      <c r="AE113">
        <v>0</v>
      </c>
      <c r="AF113">
        <v>0</v>
      </c>
      <c r="AG113">
        <v>1</v>
      </c>
      <c r="AH113" s="28" t="s">
        <v>45</v>
      </c>
      <c r="AI113" s="12" t="s">
        <v>45</v>
      </c>
      <c r="AJ113">
        <v>1</v>
      </c>
      <c r="AK113">
        <v>0</v>
      </c>
      <c r="AL113">
        <v>0</v>
      </c>
      <c r="AM113" s="62" t="s">
        <v>67</v>
      </c>
      <c r="AN113">
        <v>1</v>
      </c>
      <c r="AO113">
        <v>0</v>
      </c>
      <c r="AP113">
        <v>26357</v>
      </c>
      <c r="AQ113">
        <v>1346</v>
      </c>
      <c r="AR113">
        <v>0.92800000000000005</v>
      </c>
      <c r="AS113" s="64">
        <v>46.8</v>
      </c>
      <c r="AT113">
        <v>0</v>
      </c>
      <c r="AU113">
        <v>0</v>
      </c>
      <c r="AV113">
        <v>1</v>
      </c>
      <c r="AW113">
        <v>0</v>
      </c>
      <c r="AX113">
        <v>0</v>
      </c>
      <c r="AY113">
        <v>0</v>
      </c>
      <c r="AZ113" s="28">
        <v>0</v>
      </c>
      <c r="BA113">
        <v>0</v>
      </c>
      <c r="BB113">
        <v>0</v>
      </c>
      <c r="BC113" s="28">
        <v>0</v>
      </c>
      <c r="BD113">
        <v>0</v>
      </c>
      <c r="BE113">
        <v>1</v>
      </c>
      <c r="BF113">
        <v>0</v>
      </c>
      <c r="BG113">
        <v>0</v>
      </c>
      <c r="BH113">
        <v>0</v>
      </c>
      <c r="BI113">
        <v>0</v>
      </c>
      <c r="BJ113">
        <v>0</v>
      </c>
      <c r="BK113" s="16">
        <v>0</v>
      </c>
      <c r="BL113">
        <v>0.29799999999999999</v>
      </c>
      <c r="BM113">
        <v>196</v>
      </c>
      <c r="BN113">
        <v>1</v>
      </c>
      <c r="BO113">
        <v>0</v>
      </c>
      <c r="BP113">
        <v>5</v>
      </c>
      <c r="BQ113" t="s">
        <v>34</v>
      </c>
    </row>
    <row r="114" spans="1:69" x14ac:dyDescent="0.25">
      <c r="A114">
        <v>113</v>
      </c>
      <c r="B114">
        <v>8</v>
      </c>
      <c r="C114" t="s">
        <v>238</v>
      </c>
      <c r="D114" s="79">
        <v>10.4</v>
      </c>
      <c r="E114" s="6">
        <f t="shared" si="13"/>
        <v>1.7449664429530203</v>
      </c>
      <c r="F114" s="6">
        <v>5.96</v>
      </c>
      <c r="G114" s="78">
        <v>0</v>
      </c>
      <c r="H114" s="70">
        <v>0</v>
      </c>
      <c r="I114" s="70">
        <v>1</v>
      </c>
      <c r="J114" s="78">
        <v>720</v>
      </c>
      <c r="K114" s="70">
        <v>3</v>
      </c>
      <c r="L114" s="70">
        <f t="shared" si="11"/>
        <v>716</v>
      </c>
      <c r="M114" s="60">
        <f t="shared" si="12"/>
        <v>5</v>
      </c>
      <c r="N114" s="70">
        <v>14.1</v>
      </c>
      <c r="O114" s="70">
        <v>20.2</v>
      </c>
      <c r="P114" s="78">
        <v>1</v>
      </c>
      <c r="Q114" s="70">
        <v>0</v>
      </c>
      <c r="R114" s="70">
        <v>0</v>
      </c>
      <c r="S114" s="70">
        <v>0</v>
      </c>
      <c r="T114" s="70">
        <v>1</v>
      </c>
      <c r="U114" s="70">
        <v>1</v>
      </c>
      <c r="V114" s="70">
        <v>0</v>
      </c>
      <c r="W114" s="78">
        <v>0</v>
      </c>
      <c r="X114" s="70">
        <v>1</v>
      </c>
      <c r="Y114" s="69">
        <v>1994</v>
      </c>
      <c r="Z114" s="28" t="s">
        <v>45</v>
      </c>
      <c r="AA114" t="s">
        <v>45</v>
      </c>
      <c r="AB114" s="28">
        <v>0.34399999999999997</v>
      </c>
      <c r="AC114">
        <v>0.65600000000000003</v>
      </c>
      <c r="AD114" s="28">
        <v>1</v>
      </c>
      <c r="AE114">
        <v>0</v>
      </c>
      <c r="AF114">
        <v>0</v>
      </c>
      <c r="AG114">
        <v>1</v>
      </c>
      <c r="AH114" s="28" t="s">
        <v>45</v>
      </c>
      <c r="AI114" s="12" t="s">
        <v>45</v>
      </c>
      <c r="AJ114">
        <v>1</v>
      </c>
      <c r="AK114">
        <v>0</v>
      </c>
      <c r="AL114">
        <v>0</v>
      </c>
      <c r="AM114" s="62" t="s">
        <v>67</v>
      </c>
      <c r="AN114">
        <v>1</v>
      </c>
      <c r="AO114">
        <v>0</v>
      </c>
      <c r="AP114">
        <v>26357</v>
      </c>
      <c r="AQ114">
        <v>1346</v>
      </c>
      <c r="AR114">
        <v>0.92800000000000005</v>
      </c>
      <c r="AS114" s="64">
        <v>46.8</v>
      </c>
      <c r="AT114">
        <v>0</v>
      </c>
      <c r="AU114">
        <v>0</v>
      </c>
      <c r="AV114">
        <v>1</v>
      </c>
      <c r="AW114">
        <v>0</v>
      </c>
      <c r="AX114">
        <v>0</v>
      </c>
      <c r="AY114">
        <v>0</v>
      </c>
      <c r="AZ114" s="28">
        <v>0</v>
      </c>
      <c r="BA114">
        <v>0</v>
      </c>
      <c r="BB114">
        <v>0</v>
      </c>
      <c r="BC114" s="28">
        <v>0</v>
      </c>
      <c r="BD114">
        <v>0</v>
      </c>
      <c r="BE114">
        <v>1</v>
      </c>
      <c r="BF114">
        <v>0</v>
      </c>
      <c r="BG114">
        <v>0</v>
      </c>
      <c r="BH114">
        <v>0</v>
      </c>
      <c r="BI114">
        <v>0</v>
      </c>
      <c r="BJ114">
        <v>0</v>
      </c>
      <c r="BK114" s="16">
        <v>0</v>
      </c>
      <c r="BL114">
        <v>0.29799999999999999</v>
      </c>
      <c r="BM114">
        <v>196</v>
      </c>
      <c r="BN114">
        <v>1</v>
      </c>
      <c r="BO114">
        <v>0</v>
      </c>
      <c r="BP114">
        <v>5</v>
      </c>
      <c r="BQ114" t="s">
        <v>34</v>
      </c>
    </row>
    <row r="115" spans="1:69" x14ac:dyDescent="0.25">
      <c r="A115">
        <v>114</v>
      </c>
      <c r="B115">
        <v>9</v>
      </c>
      <c r="C115" t="s">
        <v>244</v>
      </c>
      <c r="D115" s="79">
        <v>10</v>
      </c>
      <c r="E115" s="6">
        <v>0.7</v>
      </c>
      <c r="F115" s="6">
        <f t="shared" ref="F115:F166" si="17">D115/E115</f>
        <v>14.285714285714286</v>
      </c>
      <c r="G115" s="78">
        <v>0</v>
      </c>
      <c r="H115" s="70">
        <v>0</v>
      </c>
      <c r="I115" s="70">
        <v>1</v>
      </c>
      <c r="J115" s="78">
        <v>2257</v>
      </c>
      <c r="K115" s="70">
        <v>7</v>
      </c>
      <c r="L115" s="70">
        <f t="shared" si="11"/>
        <v>2249</v>
      </c>
      <c r="M115" s="60">
        <f t="shared" si="12"/>
        <v>14</v>
      </c>
      <c r="N115" s="70">
        <v>14.64</v>
      </c>
      <c r="O115" s="70">
        <v>10.18</v>
      </c>
      <c r="P115" s="78">
        <v>1</v>
      </c>
      <c r="Q115" s="70">
        <v>0</v>
      </c>
      <c r="R115" s="70">
        <v>0</v>
      </c>
      <c r="S115" s="70">
        <v>0</v>
      </c>
      <c r="T115" s="70">
        <v>1</v>
      </c>
      <c r="U115" s="70">
        <v>1</v>
      </c>
      <c r="V115" s="70">
        <v>0</v>
      </c>
      <c r="W115" s="78">
        <v>1</v>
      </c>
      <c r="X115" s="70">
        <v>0</v>
      </c>
      <c r="Y115" s="69">
        <v>2012</v>
      </c>
      <c r="Z115" s="28" t="s">
        <v>45</v>
      </c>
      <c r="AA115" t="s">
        <v>45</v>
      </c>
      <c r="AB115" s="28">
        <v>0.55000000000000004</v>
      </c>
      <c r="AC115">
        <f t="shared" ref="AC115:AC128" si="18">1-AB115</f>
        <v>0.44999999999999996</v>
      </c>
      <c r="AD115" s="28">
        <v>0</v>
      </c>
      <c r="AE115">
        <v>1</v>
      </c>
      <c r="AF115">
        <v>0</v>
      </c>
      <c r="AG115">
        <v>1</v>
      </c>
      <c r="AH115" s="28">
        <v>0.67</v>
      </c>
      <c r="AI115" s="12">
        <f t="shared" ref="AI115:AI178" si="19">1-AH115</f>
        <v>0.32999999999999996</v>
      </c>
      <c r="AJ115">
        <v>1</v>
      </c>
      <c r="AK115">
        <f t="shared" ref="AK115:AK128" si="20">1-AJ115</f>
        <v>0</v>
      </c>
      <c r="AL115">
        <v>0</v>
      </c>
      <c r="AM115" s="62" t="s">
        <v>318</v>
      </c>
      <c r="AN115">
        <v>1</v>
      </c>
      <c r="AO115">
        <v>0</v>
      </c>
      <c r="AP115">
        <v>19144</v>
      </c>
      <c r="AQ115">
        <v>1210</v>
      </c>
      <c r="AR115">
        <v>0.63900000000000001</v>
      </c>
      <c r="AS115" s="64">
        <v>39.43</v>
      </c>
      <c r="AT115">
        <v>1</v>
      </c>
      <c r="AU115">
        <v>0</v>
      </c>
      <c r="AV115">
        <v>0</v>
      </c>
      <c r="AW115">
        <v>0</v>
      </c>
      <c r="AX115">
        <v>0</v>
      </c>
      <c r="AY115">
        <v>0</v>
      </c>
      <c r="AZ115" s="28">
        <v>0</v>
      </c>
      <c r="BA115">
        <v>0</v>
      </c>
      <c r="BB115">
        <v>0</v>
      </c>
      <c r="BC115" s="28">
        <v>1</v>
      </c>
      <c r="BD115">
        <v>1</v>
      </c>
      <c r="BE115">
        <v>1</v>
      </c>
      <c r="BF115">
        <v>0</v>
      </c>
      <c r="BG115">
        <v>1</v>
      </c>
      <c r="BH115">
        <v>1</v>
      </c>
      <c r="BI115">
        <v>0</v>
      </c>
      <c r="BJ115">
        <v>0</v>
      </c>
      <c r="BK115" s="16">
        <v>0</v>
      </c>
      <c r="BL115">
        <v>0</v>
      </c>
      <c r="BM115">
        <v>18</v>
      </c>
      <c r="BN115">
        <v>0</v>
      </c>
      <c r="BO115">
        <v>1</v>
      </c>
      <c r="BP115">
        <v>18</v>
      </c>
      <c r="BQ115" t="s">
        <v>34</v>
      </c>
    </row>
    <row r="116" spans="1:69" x14ac:dyDescent="0.25">
      <c r="A116">
        <v>115</v>
      </c>
      <c r="B116">
        <v>9</v>
      </c>
      <c r="C116" t="s">
        <v>244</v>
      </c>
      <c r="D116" s="79">
        <v>4.5</v>
      </c>
      <c r="E116" s="6">
        <v>1.2</v>
      </c>
      <c r="F116" s="6">
        <f t="shared" si="17"/>
        <v>3.75</v>
      </c>
      <c r="G116" s="78">
        <v>0</v>
      </c>
      <c r="H116" s="70">
        <v>0</v>
      </c>
      <c r="I116" s="70">
        <v>1</v>
      </c>
      <c r="J116" s="78">
        <v>2257</v>
      </c>
      <c r="K116" s="70">
        <v>4</v>
      </c>
      <c r="L116" s="70">
        <f t="shared" si="11"/>
        <v>2252</v>
      </c>
      <c r="M116" s="60">
        <f t="shared" si="12"/>
        <v>14</v>
      </c>
      <c r="N116" s="70">
        <v>14.64</v>
      </c>
      <c r="O116" s="70">
        <v>10.18</v>
      </c>
      <c r="P116" s="78">
        <v>1</v>
      </c>
      <c r="Q116" s="70">
        <v>0</v>
      </c>
      <c r="R116" s="70">
        <v>0</v>
      </c>
      <c r="S116" s="70">
        <v>0</v>
      </c>
      <c r="T116" s="70">
        <v>1</v>
      </c>
      <c r="U116" s="70">
        <v>1</v>
      </c>
      <c r="V116" s="70">
        <v>0</v>
      </c>
      <c r="W116" s="78">
        <v>1</v>
      </c>
      <c r="X116" s="70">
        <v>0</v>
      </c>
      <c r="Y116" s="69">
        <v>2012</v>
      </c>
      <c r="Z116" s="28" t="s">
        <v>45</v>
      </c>
      <c r="AA116" t="s">
        <v>45</v>
      </c>
      <c r="AB116" s="28">
        <v>0.55000000000000004</v>
      </c>
      <c r="AC116">
        <f t="shared" si="18"/>
        <v>0.44999999999999996</v>
      </c>
      <c r="AD116" s="28">
        <v>0</v>
      </c>
      <c r="AE116">
        <v>1</v>
      </c>
      <c r="AF116">
        <v>0</v>
      </c>
      <c r="AG116">
        <v>1</v>
      </c>
      <c r="AH116" s="28">
        <v>0.67</v>
      </c>
      <c r="AI116" s="12">
        <f t="shared" si="19"/>
        <v>0.32999999999999996</v>
      </c>
      <c r="AJ116">
        <v>1</v>
      </c>
      <c r="AK116">
        <f t="shared" si="20"/>
        <v>0</v>
      </c>
      <c r="AL116">
        <v>0</v>
      </c>
      <c r="AM116" s="62" t="s">
        <v>318</v>
      </c>
      <c r="AN116">
        <v>1</v>
      </c>
      <c r="AO116">
        <v>0</v>
      </c>
      <c r="AP116">
        <v>19144</v>
      </c>
      <c r="AQ116">
        <v>1210</v>
      </c>
      <c r="AR116">
        <v>0.63900000000000001</v>
      </c>
      <c r="AS116" s="64">
        <v>39.43</v>
      </c>
      <c r="AT116">
        <v>0</v>
      </c>
      <c r="AU116">
        <v>0</v>
      </c>
      <c r="AV116">
        <v>1</v>
      </c>
      <c r="AW116">
        <v>0</v>
      </c>
      <c r="AX116">
        <v>0</v>
      </c>
      <c r="AY116">
        <v>0</v>
      </c>
      <c r="AZ116" s="28">
        <v>0</v>
      </c>
      <c r="BA116">
        <v>0</v>
      </c>
      <c r="BB116">
        <v>0</v>
      </c>
      <c r="BC116" s="28">
        <v>0</v>
      </c>
      <c r="BD116">
        <v>0</v>
      </c>
      <c r="BE116">
        <v>1</v>
      </c>
      <c r="BF116">
        <v>0</v>
      </c>
      <c r="BG116">
        <v>0</v>
      </c>
      <c r="BH116">
        <v>1</v>
      </c>
      <c r="BI116">
        <v>0</v>
      </c>
      <c r="BJ116">
        <v>0</v>
      </c>
      <c r="BK116" s="16">
        <v>0</v>
      </c>
      <c r="BL116">
        <v>0</v>
      </c>
      <c r="BM116">
        <v>18</v>
      </c>
      <c r="BN116">
        <v>0</v>
      </c>
      <c r="BO116">
        <v>1</v>
      </c>
      <c r="BP116">
        <v>18</v>
      </c>
      <c r="BQ116" t="s">
        <v>34</v>
      </c>
    </row>
    <row r="117" spans="1:69" x14ac:dyDescent="0.25">
      <c r="A117">
        <v>116</v>
      </c>
      <c r="B117">
        <v>9</v>
      </c>
      <c r="C117" t="s">
        <v>244</v>
      </c>
      <c r="D117" s="79">
        <v>4.5999999999999996</v>
      </c>
      <c r="E117" s="6">
        <v>1.2</v>
      </c>
      <c r="F117" s="6">
        <f t="shared" si="17"/>
        <v>3.833333333333333</v>
      </c>
      <c r="G117" s="78">
        <v>0</v>
      </c>
      <c r="H117" s="70">
        <v>0</v>
      </c>
      <c r="I117" s="70">
        <v>1</v>
      </c>
      <c r="J117" s="78">
        <v>2257</v>
      </c>
      <c r="K117" s="70">
        <v>8</v>
      </c>
      <c r="L117" s="70">
        <f t="shared" si="11"/>
        <v>2248</v>
      </c>
      <c r="M117" s="60">
        <f t="shared" si="12"/>
        <v>14</v>
      </c>
      <c r="N117" s="70">
        <v>14.64</v>
      </c>
      <c r="O117" s="70">
        <v>10.18</v>
      </c>
      <c r="P117" s="78">
        <v>1</v>
      </c>
      <c r="Q117" s="70">
        <v>0</v>
      </c>
      <c r="R117" s="70">
        <v>0</v>
      </c>
      <c r="S117" s="70">
        <v>0</v>
      </c>
      <c r="T117" s="70">
        <v>1</v>
      </c>
      <c r="U117" s="70">
        <v>1</v>
      </c>
      <c r="V117" s="70">
        <v>0</v>
      </c>
      <c r="W117" s="78">
        <v>1</v>
      </c>
      <c r="X117" s="70">
        <v>0</v>
      </c>
      <c r="Y117" s="69">
        <v>2012</v>
      </c>
      <c r="Z117" s="28" t="s">
        <v>45</v>
      </c>
      <c r="AA117" t="s">
        <v>45</v>
      </c>
      <c r="AB117" s="28">
        <v>0.55000000000000004</v>
      </c>
      <c r="AC117">
        <f t="shared" si="18"/>
        <v>0.44999999999999996</v>
      </c>
      <c r="AD117" s="28">
        <v>0</v>
      </c>
      <c r="AE117">
        <v>1</v>
      </c>
      <c r="AF117">
        <v>0</v>
      </c>
      <c r="AG117">
        <v>1</v>
      </c>
      <c r="AH117" s="28">
        <v>0.67</v>
      </c>
      <c r="AI117" s="12">
        <f t="shared" si="19"/>
        <v>0.32999999999999996</v>
      </c>
      <c r="AJ117">
        <v>1</v>
      </c>
      <c r="AK117">
        <f t="shared" si="20"/>
        <v>0</v>
      </c>
      <c r="AL117">
        <v>0</v>
      </c>
      <c r="AM117" s="62" t="s">
        <v>318</v>
      </c>
      <c r="AN117">
        <v>1</v>
      </c>
      <c r="AO117">
        <v>0</v>
      </c>
      <c r="AP117">
        <v>19144</v>
      </c>
      <c r="AQ117">
        <v>1210</v>
      </c>
      <c r="AR117">
        <v>0.63900000000000001</v>
      </c>
      <c r="AS117" s="64">
        <v>39.43</v>
      </c>
      <c r="AT117">
        <v>0</v>
      </c>
      <c r="AU117">
        <v>1</v>
      </c>
      <c r="AV117">
        <v>0</v>
      </c>
      <c r="AW117">
        <v>0</v>
      </c>
      <c r="AX117">
        <v>0</v>
      </c>
      <c r="AY117">
        <v>0</v>
      </c>
      <c r="AZ117" s="28">
        <v>0</v>
      </c>
      <c r="BA117">
        <v>0</v>
      </c>
      <c r="BB117">
        <v>0</v>
      </c>
      <c r="BC117" s="28">
        <v>1</v>
      </c>
      <c r="BD117">
        <v>1</v>
      </c>
      <c r="BE117">
        <v>1</v>
      </c>
      <c r="BF117">
        <v>0</v>
      </c>
      <c r="BG117">
        <v>1</v>
      </c>
      <c r="BH117">
        <v>1</v>
      </c>
      <c r="BI117">
        <v>0</v>
      </c>
      <c r="BJ117">
        <v>0</v>
      </c>
      <c r="BK117" s="16">
        <v>0</v>
      </c>
      <c r="BL117">
        <v>0</v>
      </c>
      <c r="BM117">
        <v>18</v>
      </c>
      <c r="BN117">
        <v>0</v>
      </c>
      <c r="BO117">
        <v>1</v>
      </c>
      <c r="BP117">
        <v>18</v>
      </c>
      <c r="BQ117" t="s">
        <v>34</v>
      </c>
    </row>
    <row r="118" spans="1:69" x14ac:dyDescent="0.25">
      <c r="A118">
        <v>117</v>
      </c>
      <c r="B118">
        <v>9</v>
      </c>
      <c r="C118" t="s">
        <v>244</v>
      </c>
      <c r="D118" s="79">
        <v>9.3000000000000007</v>
      </c>
      <c r="E118" s="6">
        <v>4.5</v>
      </c>
      <c r="F118" s="6">
        <f t="shared" si="17"/>
        <v>2.0666666666666669</v>
      </c>
      <c r="G118" s="78">
        <v>0</v>
      </c>
      <c r="H118" s="70">
        <v>0</v>
      </c>
      <c r="I118" s="70">
        <v>1</v>
      </c>
      <c r="J118" s="78">
        <v>1320</v>
      </c>
      <c r="K118" s="70">
        <v>4</v>
      </c>
      <c r="L118" s="70">
        <f t="shared" si="11"/>
        <v>1315</v>
      </c>
      <c r="M118" s="60">
        <f t="shared" si="12"/>
        <v>14</v>
      </c>
      <c r="N118" s="70">
        <v>14.64</v>
      </c>
      <c r="O118" s="70">
        <v>10.18</v>
      </c>
      <c r="P118" s="78">
        <v>1</v>
      </c>
      <c r="Q118" s="70">
        <v>0</v>
      </c>
      <c r="R118" s="70">
        <v>0</v>
      </c>
      <c r="S118" s="70">
        <v>0</v>
      </c>
      <c r="T118" s="70">
        <v>1</v>
      </c>
      <c r="U118" s="70">
        <v>1</v>
      </c>
      <c r="V118" s="70">
        <v>0</v>
      </c>
      <c r="W118" s="78">
        <v>1</v>
      </c>
      <c r="X118" s="70">
        <v>0</v>
      </c>
      <c r="Y118" s="69">
        <v>2012</v>
      </c>
      <c r="Z118" s="28" t="s">
        <v>45</v>
      </c>
      <c r="AA118" t="s">
        <v>45</v>
      </c>
      <c r="AB118" s="28">
        <v>0.55000000000000004</v>
      </c>
      <c r="AC118">
        <f t="shared" si="18"/>
        <v>0.44999999999999996</v>
      </c>
      <c r="AD118" s="28">
        <v>0</v>
      </c>
      <c r="AE118">
        <v>1</v>
      </c>
      <c r="AF118">
        <v>0</v>
      </c>
      <c r="AG118">
        <v>1</v>
      </c>
      <c r="AH118" s="28">
        <v>0.67</v>
      </c>
      <c r="AI118" s="12">
        <f t="shared" si="19"/>
        <v>0.32999999999999996</v>
      </c>
      <c r="AJ118">
        <v>1</v>
      </c>
      <c r="AK118">
        <f t="shared" si="20"/>
        <v>0</v>
      </c>
      <c r="AL118">
        <v>0</v>
      </c>
      <c r="AM118" s="62" t="s">
        <v>318</v>
      </c>
      <c r="AN118">
        <v>1</v>
      </c>
      <c r="AO118">
        <v>0</v>
      </c>
      <c r="AP118">
        <v>19144</v>
      </c>
      <c r="AQ118">
        <v>1210</v>
      </c>
      <c r="AR118">
        <v>0.63900000000000001</v>
      </c>
      <c r="AS118" s="64">
        <v>39.43</v>
      </c>
      <c r="AT118">
        <v>0</v>
      </c>
      <c r="AU118">
        <v>0</v>
      </c>
      <c r="AV118">
        <v>0</v>
      </c>
      <c r="AW118">
        <v>0</v>
      </c>
      <c r="AX118">
        <v>1</v>
      </c>
      <c r="AY118">
        <v>0</v>
      </c>
      <c r="AZ118" s="28">
        <v>0</v>
      </c>
      <c r="BA118">
        <v>1</v>
      </c>
      <c r="BB118">
        <v>0</v>
      </c>
      <c r="BC118" s="28">
        <v>0</v>
      </c>
      <c r="BD118">
        <v>0</v>
      </c>
      <c r="BE118">
        <v>1</v>
      </c>
      <c r="BF118">
        <v>0</v>
      </c>
      <c r="BG118">
        <v>0</v>
      </c>
      <c r="BH118">
        <v>1</v>
      </c>
      <c r="BI118">
        <v>0</v>
      </c>
      <c r="BJ118">
        <v>0</v>
      </c>
      <c r="BK118" s="16">
        <v>0</v>
      </c>
      <c r="BL118">
        <v>0</v>
      </c>
      <c r="BM118">
        <v>18</v>
      </c>
      <c r="BN118">
        <v>0</v>
      </c>
      <c r="BO118">
        <v>1</v>
      </c>
      <c r="BP118">
        <v>18</v>
      </c>
      <c r="BQ118" t="s">
        <v>34</v>
      </c>
    </row>
    <row r="119" spans="1:69" x14ac:dyDescent="0.25">
      <c r="A119">
        <v>118</v>
      </c>
      <c r="B119">
        <v>9</v>
      </c>
      <c r="C119" t="s">
        <v>244</v>
      </c>
      <c r="D119" s="79">
        <v>5.4</v>
      </c>
      <c r="E119" s="6">
        <v>1.9</v>
      </c>
      <c r="F119" s="6">
        <f t="shared" si="17"/>
        <v>2.8421052631578951</v>
      </c>
      <c r="G119" s="78">
        <v>0</v>
      </c>
      <c r="H119" s="70">
        <v>0</v>
      </c>
      <c r="I119" s="70">
        <v>1</v>
      </c>
      <c r="J119" s="78">
        <v>1390</v>
      </c>
      <c r="K119" s="70">
        <v>5</v>
      </c>
      <c r="L119" s="70">
        <f t="shared" si="11"/>
        <v>1384</v>
      </c>
      <c r="M119" s="60">
        <f t="shared" si="12"/>
        <v>14</v>
      </c>
      <c r="N119" s="70">
        <v>14.61</v>
      </c>
      <c r="O119" s="70">
        <v>9.7799999999999994</v>
      </c>
      <c r="P119" s="78">
        <v>1</v>
      </c>
      <c r="Q119" s="70">
        <v>0</v>
      </c>
      <c r="R119" s="70">
        <v>0</v>
      </c>
      <c r="S119" s="70">
        <v>0</v>
      </c>
      <c r="T119" s="70">
        <v>1</v>
      </c>
      <c r="U119" s="70">
        <v>1</v>
      </c>
      <c r="V119" s="70">
        <v>0</v>
      </c>
      <c r="W119" s="78">
        <v>1</v>
      </c>
      <c r="X119" s="70">
        <v>0</v>
      </c>
      <c r="Y119" s="69">
        <v>2012</v>
      </c>
      <c r="Z119" s="28" t="s">
        <v>45</v>
      </c>
      <c r="AA119" t="s">
        <v>45</v>
      </c>
      <c r="AB119" s="28">
        <v>0.5</v>
      </c>
      <c r="AC119">
        <f t="shared" si="18"/>
        <v>0.5</v>
      </c>
      <c r="AD119" s="28">
        <v>0</v>
      </c>
      <c r="AE119">
        <v>1</v>
      </c>
      <c r="AF119">
        <v>0</v>
      </c>
      <c r="AG119">
        <v>1</v>
      </c>
      <c r="AH119" s="28">
        <v>0.64</v>
      </c>
      <c r="AI119" s="12">
        <f t="shared" si="19"/>
        <v>0.36</v>
      </c>
      <c r="AJ119">
        <v>0</v>
      </c>
      <c r="AK119">
        <f t="shared" si="20"/>
        <v>1</v>
      </c>
      <c r="AL119">
        <v>0</v>
      </c>
      <c r="AM119" s="62" t="s">
        <v>318</v>
      </c>
      <c r="AN119">
        <v>1</v>
      </c>
      <c r="AO119">
        <v>0</v>
      </c>
      <c r="AP119">
        <v>19144</v>
      </c>
      <c r="AQ119">
        <v>1210</v>
      </c>
      <c r="AR119">
        <v>0.63900000000000001</v>
      </c>
      <c r="AS119" s="64">
        <v>39.36</v>
      </c>
      <c r="AT119">
        <v>0</v>
      </c>
      <c r="AU119">
        <v>0</v>
      </c>
      <c r="AV119">
        <v>1</v>
      </c>
      <c r="AW119">
        <v>0</v>
      </c>
      <c r="AX119">
        <v>0</v>
      </c>
      <c r="AY119">
        <v>0</v>
      </c>
      <c r="AZ119" s="28">
        <v>0</v>
      </c>
      <c r="BA119">
        <v>0</v>
      </c>
      <c r="BB119">
        <v>0</v>
      </c>
      <c r="BC119" s="28">
        <v>0</v>
      </c>
      <c r="BD119">
        <v>0</v>
      </c>
      <c r="BE119">
        <v>1</v>
      </c>
      <c r="BF119">
        <v>0</v>
      </c>
      <c r="BG119">
        <v>1</v>
      </c>
      <c r="BH119">
        <v>1</v>
      </c>
      <c r="BI119">
        <v>0</v>
      </c>
      <c r="BJ119">
        <v>0</v>
      </c>
      <c r="BK119" s="16">
        <v>0</v>
      </c>
      <c r="BL119">
        <v>0</v>
      </c>
      <c r="BM119">
        <v>18</v>
      </c>
      <c r="BN119">
        <v>0</v>
      </c>
      <c r="BO119">
        <v>1</v>
      </c>
      <c r="BP119">
        <v>18</v>
      </c>
      <c r="BQ119" t="s">
        <v>34</v>
      </c>
    </row>
    <row r="120" spans="1:69" x14ac:dyDescent="0.25">
      <c r="A120">
        <v>119</v>
      </c>
      <c r="B120">
        <v>9</v>
      </c>
      <c r="C120" t="s">
        <v>244</v>
      </c>
      <c r="D120" s="79">
        <v>5.0999999999999996</v>
      </c>
      <c r="E120" s="6">
        <v>1.8</v>
      </c>
      <c r="F120" s="6">
        <f t="shared" si="17"/>
        <v>2.833333333333333</v>
      </c>
      <c r="G120" s="78">
        <v>0</v>
      </c>
      <c r="H120" s="70">
        <v>0</v>
      </c>
      <c r="I120" s="70">
        <v>1</v>
      </c>
      <c r="J120" s="78">
        <v>1390</v>
      </c>
      <c r="K120" s="70">
        <v>8</v>
      </c>
      <c r="L120" s="70">
        <f t="shared" si="11"/>
        <v>1381</v>
      </c>
      <c r="M120" s="60">
        <f t="shared" si="12"/>
        <v>14</v>
      </c>
      <c r="N120" s="70">
        <v>14.61</v>
      </c>
      <c r="O120" s="70">
        <v>9.7799999999999994</v>
      </c>
      <c r="P120" s="78">
        <v>1</v>
      </c>
      <c r="Q120" s="70">
        <v>0</v>
      </c>
      <c r="R120" s="70">
        <v>0</v>
      </c>
      <c r="S120" s="70">
        <v>0</v>
      </c>
      <c r="T120" s="70">
        <v>1</v>
      </c>
      <c r="U120" s="70">
        <v>1</v>
      </c>
      <c r="V120" s="70">
        <v>0</v>
      </c>
      <c r="W120" s="78">
        <v>1</v>
      </c>
      <c r="X120" s="70">
        <v>0</v>
      </c>
      <c r="Y120" s="69">
        <v>2012</v>
      </c>
      <c r="Z120" s="28" t="s">
        <v>45</v>
      </c>
      <c r="AA120" t="s">
        <v>45</v>
      </c>
      <c r="AB120" s="28">
        <v>0.5</v>
      </c>
      <c r="AC120">
        <f t="shared" si="18"/>
        <v>0.5</v>
      </c>
      <c r="AD120" s="28">
        <v>0</v>
      </c>
      <c r="AE120">
        <v>1</v>
      </c>
      <c r="AF120">
        <v>0</v>
      </c>
      <c r="AG120">
        <v>1</v>
      </c>
      <c r="AH120" s="28">
        <v>0.64</v>
      </c>
      <c r="AI120" s="12">
        <f t="shared" si="19"/>
        <v>0.36</v>
      </c>
      <c r="AJ120">
        <v>0</v>
      </c>
      <c r="AK120">
        <f t="shared" si="20"/>
        <v>1</v>
      </c>
      <c r="AL120">
        <v>0</v>
      </c>
      <c r="AM120" s="62" t="s">
        <v>318</v>
      </c>
      <c r="AN120">
        <v>1</v>
      </c>
      <c r="AO120">
        <v>0</v>
      </c>
      <c r="AP120">
        <v>19144</v>
      </c>
      <c r="AQ120">
        <v>1210</v>
      </c>
      <c r="AR120">
        <v>0.63900000000000001</v>
      </c>
      <c r="AS120" s="64">
        <v>39.36</v>
      </c>
      <c r="AT120">
        <v>0</v>
      </c>
      <c r="AU120">
        <v>1</v>
      </c>
      <c r="AV120">
        <v>0</v>
      </c>
      <c r="AW120">
        <v>0</v>
      </c>
      <c r="AX120">
        <v>0</v>
      </c>
      <c r="AY120">
        <v>0</v>
      </c>
      <c r="AZ120" s="28">
        <v>0</v>
      </c>
      <c r="BA120">
        <v>0</v>
      </c>
      <c r="BB120">
        <v>0</v>
      </c>
      <c r="BC120" s="28">
        <v>1</v>
      </c>
      <c r="BD120">
        <v>1</v>
      </c>
      <c r="BE120">
        <v>1</v>
      </c>
      <c r="BF120">
        <v>0</v>
      </c>
      <c r="BG120">
        <v>1</v>
      </c>
      <c r="BH120">
        <v>1</v>
      </c>
      <c r="BI120">
        <v>0</v>
      </c>
      <c r="BJ120">
        <v>0</v>
      </c>
      <c r="BK120" s="16">
        <v>0</v>
      </c>
      <c r="BL120">
        <v>0</v>
      </c>
      <c r="BM120">
        <v>18</v>
      </c>
      <c r="BN120">
        <v>0</v>
      </c>
      <c r="BO120">
        <v>1</v>
      </c>
      <c r="BP120">
        <v>18</v>
      </c>
      <c r="BQ120" t="s">
        <v>34</v>
      </c>
    </row>
    <row r="121" spans="1:69" x14ac:dyDescent="0.25">
      <c r="A121">
        <v>120</v>
      </c>
      <c r="B121">
        <v>9</v>
      </c>
      <c r="C121" t="s">
        <v>244</v>
      </c>
      <c r="D121" s="79">
        <v>14.1</v>
      </c>
      <c r="E121" s="6">
        <v>4.7</v>
      </c>
      <c r="F121" s="6">
        <f t="shared" si="17"/>
        <v>3</v>
      </c>
      <c r="G121" s="78">
        <v>0</v>
      </c>
      <c r="H121" s="70">
        <v>0</v>
      </c>
      <c r="I121" s="70">
        <v>1</v>
      </c>
      <c r="J121" s="78">
        <v>712</v>
      </c>
      <c r="K121" s="70">
        <v>5</v>
      </c>
      <c r="L121" s="70">
        <f t="shared" si="11"/>
        <v>706</v>
      </c>
      <c r="M121" s="60">
        <f t="shared" si="12"/>
        <v>14</v>
      </c>
      <c r="N121" s="70">
        <v>14.61</v>
      </c>
      <c r="O121" s="70">
        <v>9.7799999999999994</v>
      </c>
      <c r="P121" s="78">
        <v>1</v>
      </c>
      <c r="Q121" s="70">
        <v>0</v>
      </c>
      <c r="R121" s="70">
        <v>0</v>
      </c>
      <c r="S121" s="70">
        <v>0</v>
      </c>
      <c r="T121" s="70">
        <v>1</v>
      </c>
      <c r="U121" s="70">
        <v>1</v>
      </c>
      <c r="V121" s="70">
        <v>0</v>
      </c>
      <c r="W121" s="78">
        <v>1</v>
      </c>
      <c r="X121" s="70">
        <v>0</v>
      </c>
      <c r="Y121" s="69">
        <v>2012</v>
      </c>
      <c r="Z121" s="28" t="s">
        <v>45</v>
      </c>
      <c r="AA121" t="s">
        <v>45</v>
      </c>
      <c r="AB121" s="28">
        <v>0.5</v>
      </c>
      <c r="AC121">
        <f t="shared" si="18"/>
        <v>0.5</v>
      </c>
      <c r="AD121" s="28">
        <v>0</v>
      </c>
      <c r="AE121">
        <v>1</v>
      </c>
      <c r="AF121">
        <v>0</v>
      </c>
      <c r="AG121">
        <v>1</v>
      </c>
      <c r="AH121" s="28">
        <v>0.64</v>
      </c>
      <c r="AI121" s="12">
        <f t="shared" si="19"/>
        <v>0.36</v>
      </c>
      <c r="AJ121">
        <v>0</v>
      </c>
      <c r="AK121">
        <f t="shared" si="20"/>
        <v>1</v>
      </c>
      <c r="AL121">
        <v>0</v>
      </c>
      <c r="AM121" s="62" t="s">
        <v>318</v>
      </c>
      <c r="AN121">
        <v>1</v>
      </c>
      <c r="AO121">
        <v>0</v>
      </c>
      <c r="AP121">
        <v>19144</v>
      </c>
      <c r="AQ121">
        <v>1210</v>
      </c>
      <c r="AR121">
        <v>0.63900000000000001</v>
      </c>
      <c r="AS121" s="64">
        <v>39.36</v>
      </c>
      <c r="AT121">
        <v>0</v>
      </c>
      <c r="AU121">
        <v>0</v>
      </c>
      <c r="AV121">
        <v>0</v>
      </c>
      <c r="AW121">
        <v>0</v>
      </c>
      <c r="AX121">
        <v>1</v>
      </c>
      <c r="AY121">
        <v>0</v>
      </c>
      <c r="AZ121" s="28">
        <v>0</v>
      </c>
      <c r="BA121">
        <v>1</v>
      </c>
      <c r="BB121">
        <v>0</v>
      </c>
      <c r="BC121" s="28">
        <v>0</v>
      </c>
      <c r="BD121">
        <v>0</v>
      </c>
      <c r="BE121">
        <v>1</v>
      </c>
      <c r="BF121">
        <v>0</v>
      </c>
      <c r="BG121">
        <v>1</v>
      </c>
      <c r="BH121">
        <v>1</v>
      </c>
      <c r="BI121">
        <v>0</v>
      </c>
      <c r="BJ121">
        <v>0</v>
      </c>
      <c r="BK121" s="16">
        <v>0</v>
      </c>
      <c r="BL121">
        <v>0</v>
      </c>
      <c r="BM121">
        <v>18</v>
      </c>
      <c r="BN121">
        <v>0</v>
      </c>
      <c r="BO121">
        <v>1</v>
      </c>
      <c r="BP121">
        <v>18</v>
      </c>
      <c r="BQ121" t="s">
        <v>34</v>
      </c>
    </row>
    <row r="122" spans="1:69" x14ac:dyDescent="0.25">
      <c r="A122">
        <v>121</v>
      </c>
      <c r="B122">
        <v>9</v>
      </c>
      <c r="C122" t="s">
        <v>244</v>
      </c>
      <c r="D122" s="79">
        <v>8.8000000000000007</v>
      </c>
      <c r="E122" s="6">
        <v>0.7</v>
      </c>
      <c r="F122" s="6">
        <f t="shared" si="17"/>
        <v>12.571428571428573</v>
      </c>
      <c r="G122" s="78">
        <v>0</v>
      </c>
      <c r="H122" s="70">
        <v>0</v>
      </c>
      <c r="I122" s="70">
        <v>1</v>
      </c>
      <c r="J122" s="78">
        <v>2160</v>
      </c>
      <c r="K122" s="70">
        <v>7</v>
      </c>
      <c r="L122" s="70">
        <f t="shared" si="11"/>
        <v>2152</v>
      </c>
      <c r="M122" s="60">
        <f t="shared" si="12"/>
        <v>14</v>
      </c>
      <c r="N122" s="70">
        <v>14.64</v>
      </c>
      <c r="O122" s="70">
        <v>10.18</v>
      </c>
      <c r="P122" s="78">
        <v>1</v>
      </c>
      <c r="Q122" s="70">
        <v>0</v>
      </c>
      <c r="R122" s="70">
        <v>0</v>
      </c>
      <c r="S122" s="70">
        <v>0</v>
      </c>
      <c r="T122" s="70">
        <v>1</v>
      </c>
      <c r="U122" s="70">
        <v>1</v>
      </c>
      <c r="V122" s="70">
        <v>0</v>
      </c>
      <c r="W122" s="78">
        <v>1</v>
      </c>
      <c r="X122" s="70">
        <v>0</v>
      </c>
      <c r="Y122" s="69">
        <v>2012</v>
      </c>
      <c r="Z122" s="28" t="s">
        <v>45</v>
      </c>
      <c r="AA122" t="s">
        <v>45</v>
      </c>
      <c r="AB122" s="28">
        <v>0.55000000000000004</v>
      </c>
      <c r="AC122">
        <f t="shared" si="18"/>
        <v>0.44999999999999996</v>
      </c>
      <c r="AD122" s="28">
        <v>0</v>
      </c>
      <c r="AE122">
        <v>1</v>
      </c>
      <c r="AF122">
        <v>0</v>
      </c>
      <c r="AG122">
        <v>1</v>
      </c>
      <c r="AH122" s="28">
        <v>0.67</v>
      </c>
      <c r="AI122" s="12">
        <f t="shared" si="19"/>
        <v>0.32999999999999996</v>
      </c>
      <c r="AJ122">
        <v>1</v>
      </c>
      <c r="AK122">
        <f t="shared" si="20"/>
        <v>0</v>
      </c>
      <c r="AL122">
        <v>0</v>
      </c>
      <c r="AM122" s="62" t="s">
        <v>318</v>
      </c>
      <c r="AN122">
        <v>1</v>
      </c>
      <c r="AO122">
        <v>0</v>
      </c>
      <c r="AP122">
        <v>19144</v>
      </c>
      <c r="AQ122">
        <v>1210</v>
      </c>
      <c r="AR122">
        <v>0.63900000000000001</v>
      </c>
      <c r="AS122" s="64">
        <v>39.43</v>
      </c>
      <c r="AT122">
        <v>1</v>
      </c>
      <c r="AU122">
        <v>0</v>
      </c>
      <c r="AV122">
        <v>0</v>
      </c>
      <c r="AW122">
        <v>0</v>
      </c>
      <c r="AX122">
        <v>0</v>
      </c>
      <c r="AY122">
        <v>0</v>
      </c>
      <c r="AZ122" s="28">
        <v>0</v>
      </c>
      <c r="BA122">
        <v>0</v>
      </c>
      <c r="BB122">
        <v>0</v>
      </c>
      <c r="BC122" s="28">
        <v>1</v>
      </c>
      <c r="BD122">
        <v>1</v>
      </c>
      <c r="BE122">
        <v>1</v>
      </c>
      <c r="BF122">
        <v>0</v>
      </c>
      <c r="BG122">
        <v>1</v>
      </c>
      <c r="BH122">
        <v>1</v>
      </c>
      <c r="BI122">
        <v>0</v>
      </c>
      <c r="BJ122">
        <v>0</v>
      </c>
      <c r="BK122" s="16">
        <v>0</v>
      </c>
      <c r="BL122">
        <v>0</v>
      </c>
      <c r="BM122">
        <v>18</v>
      </c>
      <c r="BN122">
        <v>0</v>
      </c>
      <c r="BO122">
        <v>1</v>
      </c>
      <c r="BP122">
        <v>18</v>
      </c>
      <c r="BQ122" t="s">
        <v>34</v>
      </c>
    </row>
    <row r="123" spans="1:69" x14ac:dyDescent="0.25">
      <c r="A123">
        <v>122</v>
      </c>
      <c r="B123">
        <v>9</v>
      </c>
      <c r="C123" t="s">
        <v>244</v>
      </c>
      <c r="D123" s="79">
        <v>4.5</v>
      </c>
      <c r="E123" s="6">
        <v>1.2</v>
      </c>
      <c r="F123" s="6">
        <f t="shared" si="17"/>
        <v>3.75</v>
      </c>
      <c r="G123" s="78">
        <v>0</v>
      </c>
      <c r="H123" s="70">
        <v>0</v>
      </c>
      <c r="I123" s="70">
        <v>1</v>
      </c>
      <c r="J123" s="78">
        <v>2160</v>
      </c>
      <c r="K123" s="70">
        <v>4</v>
      </c>
      <c r="L123" s="70">
        <f t="shared" si="11"/>
        <v>2155</v>
      </c>
      <c r="M123" s="60">
        <f t="shared" si="12"/>
        <v>14</v>
      </c>
      <c r="N123" s="70">
        <v>14.64</v>
      </c>
      <c r="O123" s="70">
        <v>10.18</v>
      </c>
      <c r="P123" s="78">
        <v>1</v>
      </c>
      <c r="Q123" s="70">
        <v>0</v>
      </c>
      <c r="R123" s="70">
        <v>0</v>
      </c>
      <c r="S123" s="70">
        <v>0</v>
      </c>
      <c r="T123" s="70">
        <v>1</v>
      </c>
      <c r="U123" s="70">
        <v>1</v>
      </c>
      <c r="V123" s="70">
        <v>0</v>
      </c>
      <c r="W123" s="78">
        <v>1</v>
      </c>
      <c r="X123" s="70">
        <v>0</v>
      </c>
      <c r="Y123" s="69">
        <v>2012</v>
      </c>
      <c r="Z123" s="28" t="s">
        <v>45</v>
      </c>
      <c r="AA123" t="s">
        <v>45</v>
      </c>
      <c r="AB123" s="28">
        <v>0.55000000000000004</v>
      </c>
      <c r="AC123">
        <f t="shared" si="18"/>
        <v>0.44999999999999996</v>
      </c>
      <c r="AD123" s="28">
        <v>0</v>
      </c>
      <c r="AE123">
        <v>1</v>
      </c>
      <c r="AF123">
        <v>0</v>
      </c>
      <c r="AG123">
        <v>1</v>
      </c>
      <c r="AH123" s="28">
        <v>0.67</v>
      </c>
      <c r="AI123" s="12">
        <f t="shared" si="19"/>
        <v>0.32999999999999996</v>
      </c>
      <c r="AJ123">
        <v>1</v>
      </c>
      <c r="AK123">
        <f t="shared" si="20"/>
        <v>0</v>
      </c>
      <c r="AL123">
        <v>0</v>
      </c>
      <c r="AM123" s="62" t="s">
        <v>318</v>
      </c>
      <c r="AN123">
        <v>1</v>
      </c>
      <c r="AO123">
        <v>0</v>
      </c>
      <c r="AP123">
        <v>19144</v>
      </c>
      <c r="AQ123">
        <v>1210</v>
      </c>
      <c r="AR123">
        <v>0.63900000000000001</v>
      </c>
      <c r="AS123" s="64">
        <v>39.43</v>
      </c>
      <c r="AT123">
        <v>0</v>
      </c>
      <c r="AU123">
        <v>0</v>
      </c>
      <c r="AV123">
        <v>1</v>
      </c>
      <c r="AW123">
        <v>0</v>
      </c>
      <c r="AX123">
        <v>0</v>
      </c>
      <c r="AY123">
        <v>0</v>
      </c>
      <c r="AZ123" s="28">
        <v>0</v>
      </c>
      <c r="BA123">
        <v>0</v>
      </c>
      <c r="BB123">
        <v>0</v>
      </c>
      <c r="BC123" s="28">
        <v>0</v>
      </c>
      <c r="BD123">
        <v>0</v>
      </c>
      <c r="BE123">
        <v>1</v>
      </c>
      <c r="BF123">
        <v>0</v>
      </c>
      <c r="BG123">
        <v>0</v>
      </c>
      <c r="BH123">
        <v>1</v>
      </c>
      <c r="BI123">
        <v>0</v>
      </c>
      <c r="BJ123">
        <v>0</v>
      </c>
      <c r="BK123" s="16">
        <v>0</v>
      </c>
      <c r="BL123">
        <v>0</v>
      </c>
      <c r="BM123">
        <v>18</v>
      </c>
      <c r="BN123">
        <v>0</v>
      </c>
      <c r="BO123">
        <v>1</v>
      </c>
      <c r="BP123">
        <v>18</v>
      </c>
      <c r="BQ123" t="s">
        <v>34</v>
      </c>
    </row>
    <row r="124" spans="1:69" x14ac:dyDescent="0.25">
      <c r="A124">
        <v>123</v>
      </c>
      <c r="B124">
        <v>9</v>
      </c>
      <c r="C124" t="s">
        <v>244</v>
      </c>
      <c r="D124" s="79">
        <v>4.3</v>
      </c>
      <c r="E124" s="6">
        <v>1.1000000000000001</v>
      </c>
      <c r="F124" s="6">
        <f t="shared" si="17"/>
        <v>3.9090909090909087</v>
      </c>
      <c r="G124" s="78">
        <v>0</v>
      </c>
      <c r="H124" s="70">
        <v>0</v>
      </c>
      <c r="I124" s="70">
        <v>1</v>
      </c>
      <c r="J124" s="78">
        <v>2160</v>
      </c>
      <c r="K124" s="70">
        <v>8</v>
      </c>
      <c r="L124" s="70">
        <f t="shared" si="11"/>
        <v>2151</v>
      </c>
      <c r="M124" s="60">
        <f t="shared" si="12"/>
        <v>14</v>
      </c>
      <c r="N124" s="70">
        <v>14.64</v>
      </c>
      <c r="O124" s="70">
        <v>10.18</v>
      </c>
      <c r="P124" s="78">
        <v>1</v>
      </c>
      <c r="Q124" s="70">
        <v>0</v>
      </c>
      <c r="R124" s="70">
        <v>0</v>
      </c>
      <c r="S124" s="70">
        <v>0</v>
      </c>
      <c r="T124" s="70">
        <v>1</v>
      </c>
      <c r="U124" s="70">
        <v>1</v>
      </c>
      <c r="V124" s="70">
        <v>0</v>
      </c>
      <c r="W124" s="78">
        <v>1</v>
      </c>
      <c r="X124" s="70">
        <v>0</v>
      </c>
      <c r="Y124" s="69">
        <v>2012</v>
      </c>
      <c r="Z124" s="28" t="s">
        <v>45</v>
      </c>
      <c r="AA124" t="s">
        <v>45</v>
      </c>
      <c r="AB124" s="28">
        <v>0.55000000000000004</v>
      </c>
      <c r="AC124">
        <f t="shared" si="18"/>
        <v>0.44999999999999996</v>
      </c>
      <c r="AD124" s="28">
        <v>0</v>
      </c>
      <c r="AE124">
        <v>1</v>
      </c>
      <c r="AF124">
        <v>0</v>
      </c>
      <c r="AG124">
        <v>1</v>
      </c>
      <c r="AH124" s="28">
        <v>0.67</v>
      </c>
      <c r="AI124" s="12">
        <f t="shared" si="19"/>
        <v>0.32999999999999996</v>
      </c>
      <c r="AJ124">
        <v>1</v>
      </c>
      <c r="AK124">
        <f t="shared" si="20"/>
        <v>0</v>
      </c>
      <c r="AL124">
        <v>0</v>
      </c>
      <c r="AM124" s="62" t="s">
        <v>318</v>
      </c>
      <c r="AN124">
        <v>1</v>
      </c>
      <c r="AO124">
        <v>0</v>
      </c>
      <c r="AP124">
        <v>19144</v>
      </c>
      <c r="AQ124">
        <v>1210</v>
      </c>
      <c r="AR124">
        <v>0.63900000000000001</v>
      </c>
      <c r="AS124" s="64">
        <v>39.43</v>
      </c>
      <c r="AT124">
        <v>0</v>
      </c>
      <c r="AU124">
        <v>1</v>
      </c>
      <c r="AV124">
        <v>0</v>
      </c>
      <c r="AW124">
        <v>0</v>
      </c>
      <c r="AX124">
        <v>0</v>
      </c>
      <c r="AY124">
        <v>0</v>
      </c>
      <c r="AZ124" s="28">
        <v>0</v>
      </c>
      <c r="BA124">
        <v>0</v>
      </c>
      <c r="BB124">
        <v>0</v>
      </c>
      <c r="BC124" s="28">
        <v>1</v>
      </c>
      <c r="BD124">
        <v>1</v>
      </c>
      <c r="BE124">
        <v>1</v>
      </c>
      <c r="BF124">
        <v>0</v>
      </c>
      <c r="BG124">
        <v>1</v>
      </c>
      <c r="BH124">
        <v>1</v>
      </c>
      <c r="BI124">
        <v>0</v>
      </c>
      <c r="BJ124">
        <v>0</v>
      </c>
      <c r="BK124" s="16">
        <v>0</v>
      </c>
      <c r="BL124">
        <v>0</v>
      </c>
      <c r="BM124">
        <v>18</v>
      </c>
      <c r="BN124">
        <v>0</v>
      </c>
      <c r="BO124">
        <v>1</v>
      </c>
      <c r="BP124">
        <v>18</v>
      </c>
      <c r="BQ124" t="s">
        <v>34</v>
      </c>
    </row>
    <row r="125" spans="1:69" x14ac:dyDescent="0.25">
      <c r="A125">
        <v>124</v>
      </c>
      <c r="B125">
        <v>9</v>
      </c>
      <c r="C125" t="s">
        <v>244</v>
      </c>
      <c r="D125" s="79">
        <v>8.3000000000000007</v>
      </c>
      <c r="E125" s="6">
        <v>4</v>
      </c>
      <c r="F125" s="6">
        <f t="shared" si="17"/>
        <v>2.0750000000000002</v>
      </c>
      <c r="G125" s="78">
        <v>0</v>
      </c>
      <c r="H125" s="70">
        <v>0</v>
      </c>
      <c r="I125" s="70">
        <v>1</v>
      </c>
      <c r="J125" s="78">
        <v>1320</v>
      </c>
      <c r="K125" s="70">
        <v>4</v>
      </c>
      <c r="L125" s="70">
        <f t="shared" si="11"/>
        <v>1315</v>
      </c>
      <c r="M125" s="60">
        <f t="shared" si="12"/>
        <v>14</v>
      </c>
      <c r="N125" s="70">
        <v>14.64</v>
      </c>
      <c r="O125" s="70">
        <v>10.18</v>
      </c>
      <c r="P125" s="78">
        <v>1</v>
      </c>
      <c r="Q125" s="70">
        <v>0</v>
      </c>
      <c r="R125" s="70">
        <v>0</v>
      </c>
      <c r="S125" s="70">
        <v>0</v>
      </c>
      <c r="T125" s="70">
        <v>1</v>
      </c>
      <c r="U125" s="70">
        <v>1</v>
      </c>
      <c r="V125" s="70">
        <v>0</v>
      </c>
      <c r="W125" s="78">
        <v>1</v>
      </c>
      <c r="X125" s="70">
        <v>0</v>
      </c>
      <c r="Y125" s="69">
        <v>2012</v>
      </c>
      <c r="Z125" s="28" t="s">
        <v>45</v>
      </c>
      <c r="AA125" t="s">
        <v>45</v>
      </c>
      <c r="AB125" s="28">
        <v>0.55000000000000004</v>
      </c>
      <c r="AC125">
        <f t="shared" si="18"/>
        <v>0.44999999999999996</v>
      </c>
      <c r="AD125" s="28">
        <v>0</v>
      </c>
      <c r="AE125">
        <v>1</v>
      </c>
      <c r="AF125">
        <v>0</v>
      </c>
      <c r="AG125">
        <v>1</v>
      </c>
      <c r="AH125" s="28">
        <v>0.67</v>
      </c>
      <c r="AI125" s="12">
        <f t="shared" si="19"/>
        <v>0.32999999999999996</v>
      </c>
      <c r="AJ125">
        <v>1</v>
      </c>
      <c r="AK125">
        <f t="shared" si="20"/>
        <v>0</v>
      </c>
      <c r="AL125">
        <v>0</v>
      </c>
      <c r="AM125" s="62" t="s">
        <v>318</v>
      </c>
      <c r="AN125">
        <v>1</v>
      </c>
      <c r="AO125">
        <v>0</v>
      </c>
      <c r="AP125">
        <v>19144</v>
      </c>
      <c r="AQ125">
        <v>1210</v>
      </c>
      <c r="AR125">
        <v>0.63900000000000001</v>
      </c>
      <c r="AS125" s="64">
        <v>39.43</v>
      </c>
      <c r="AT125">
        <v>0</v>
      </c>
      <c r="AU125">
        <v>0</v>
      </c>
      <c r="AV125">
        <v>0</v>
      </c>
      <c r="AW125">
        <v>0</v>
      </c>
      <c r="AX125">
        <v>1</v>
      </c>
      <c r="AY125">
        <v>0</v>
      </c>
      <c r="AZ125" s="28">
        <v>0</v>
      </c>
      <c r="BA125">
        <v>1</v>
      </c>
      <c r="BB125">
        <v>0</v>
      </c>
      <c r="BC125" s="28">
        <v>0</v>
      </c>
      <c r="BD125">
        <v>0</v>
      </c>
      <c r="BE125">
        <v>1</v>
      </c>
      <c r="BF125">
        <v>0</v>
      </c>
      <c r="BG125">
        <v>0</v>
      </c>
      <c r="BH125">
        <v>1</v>
      </c>
      <c r="BI125">
        <v>0</v>
      </c>
      <c r="BJ125">
        <v>0</v>
      </c>
      <c r="BK125" s="16">
        <v>0</v>
      </c>
      <c r="BL125">
        <v>0</v>
      </c>
      <c r="BM125">
        <v>18</v>
      </c>
      <c r="BN125">
        <v>0</v>
      </c>
      <c r="BO125">
        <v>1</v>
      </c>
      <c r="BP125">
        <v>18</v>
      </c>
      <c r="BQ125" t="s">
        <v>34</v>
      </c>
    </row>
    <row r="126" spans="1:69" x14ac:dyDescent="0.25">
      <c r="A126">
        <v>125</v>
      </c>
      <c r="B126">
        <v>9</v>
      </c>
      <c r="C126" t="s">
        <v>244</v>
      </c>
      <c r="D126" s="79">
        <v>4.5</v>
      </c>
      <c r="E126" s="6">
        <v>1.9</v>
      </c>
      <c r="F126" s="6">
        <f t="shared" si="17"/>
        <v>2.3684210526315792</v>
      </c>
      <c r="G126" s="78">
        <v>0</v>
      </c>
      <c r="H126" s="70">
        <v>0</v>
      </c>
      <c r="I126" s="70">
        <v>1</v>
      </c>
      <c r="J126" s="78">
        <v>1331</v>
      </c>
      <c r="K126" s="70">
        <v>5</v>
      </c>
      <c r="L126" s="70">
        <f t="shared" si="11"/>
        <v>1325</v>
      </c>
      <c r="M126" s="60">
        <f t="shared" si="12"/>
        <v>14</v>
      </c>
      <c r="N126" s="70">
        <v>14.61</v>
      </c>
      <c r="O126" s="70">
        <v>9.7799999999999994</v>
      </c>
      <c r="P126" s="78">
        <v>1</v>
      </c>
      <c r="Q126" s="70">
        <v>0</v>
      </c>
      <c r="R126" s="70">
        <v>0</v>
      </c>
      <c r="S126" s="70">
        <v>0</v>
      </c>
      <c r="T126" s="70">
        <v>1</v>
      </c>
      <c r="U126" s="70">
        <v>1</v>
      </c>
      <c r="V126" s="70">
        <v>0</v>
      </c>
      <c r="W126" s="78">
        <v>1</v>
      </c>
      <c r="X126" s="70">
        <v>0</v>
      </c>
      <c r="Y126" s="69">
        <v>2012</v>
      </c>
      <c r="Z126" s="28" t="s">
        <v>45</v>
      </c>
      <c r="AA126" t="s">
        <v>45</v>
      </c>
      <c r="AB126" s="28">
        <v>0.5</v>
      </c>
      <c r="AC126">
        <f t="shared" si="18"/>
        <v>0.5</v>
      </c>
      <c r="AD126" s="28">
        <v>0</v>
      </c>
      <c r="AE126">
        <v>1</v>
      </c>
      <c r="AF126">
        <v>0</v>
      </c>
      <c r="AG126">
        <v>1</v>
      </c>
      <c r="AH126" s="28">
        <v>0.64</v>
      </c>
      <c r="AI126" s="12">
        <f t="shared" si="19"/>
        <v>0.36</v>
      </c>
      <c r="AJ126">
        <v>0</v>
      </c>
      <c r="AK126">
        <f t="shared" si="20"/>
        <v>1</v>
      </c>
      <c r="AL126">
        <v>0</v>
      </c>
      <c r="AM126" s="62" t="s">
        <v>318</v>
      </c>
      <c r="AN126">
        <v>1</v>
      </c>
      <c r="AO126">
        <v>0</v>
      </c>
      <c r="AP126">
        <v>19144</v>
      </c>
      <c r="AQ126">
        <v>1210</v>
      </c>
      <c r="AR126">
        <v>0.63900000000000001</v>
      </c>
      <c r="AS126" s="64">
        <v>39.36</v>
      </c>
      <c r="AT126">
        <v>0</v>
      </c>
      <c r="AU126">
        <v>0</v>
      </c>
      <c r="AV126">
        <v>1</v>
      </c>
      <c r="AW126">
        <v>0</v>
      </c>
      <c r="AX126">
        <v>0</v>
      </c>
      <c r="AY126">
        <v>0</v>
      </c>
      <c r="AZ126" s="28">
        <v>0</v>
      </c>
      <c r="BA126">
        <v>0</v>
      </c>
      <c r="BB126">
        <v>0</v>
      </c>
      <c r="BC126" s="28">
        <v>0</v>
      </c>
      <c r="BD126">
        <v>0</v>
      </c>
      <c r="BE126">
        <v>1</v>
      </c>
      <c r="BF126">
        <v>0</v>
      </c>
      <c r="BG126">
        <v>1</v>
      </c>
      <c r="BH126">
        <v>1</v>
      </c>
      <c r="BI126">
        <v>0</v>
      </c>
      <c r="BJ126">
        <v>0</v>
      </c>
      <c r="BK126" s="16">
        <v>0</v>
      </c>
      <c r="BL126">
        <v>0</v>
      </c>
      <c r="BM126">
        <v>18</v>
      </c>
      <c r="BN126">
        <v>0</v>
      </c>
      <c r="BO126">
        <v>1</v>
      </c>
      <c r="BP126">
        <v>18</v>
      </c>
      <c r="BQ126" t="s">
        <v>34</v>
      </c>
    </row>
    <row r="127" spans="1:69" x14ac:dyDescent="0.25">
      <c r="A127">
        <v>126</v>
      </c>
      <c r="B127">
        <v>9</v>
      </c>
      <c r="C127" t="s">
        <v>244</v>
      </c>
      <c r="D127" s="79">
        <v>5.2</v>
      </c>
      <c r="E127" s="6">
        <v>1.7</v>
      </c>
      <c r="F127" s="6">
        <f t="shared" si="17"/>
        <v>3.0588235294117649</v>
      </c>
      <c r="G127" s="78">
        <v>0</v>
      </c>
      <c r="H127" s="70">
        <v>0</v>
      </c>
      <c r="I127" s="70">
        <v>1</v>
      </c>
      <c r="J127" s="78">
        <v>1331</v>
      </c>
      <c r="K127" s="70">
        <v>8</v>
      </c>
      <c r="L127" s="70">
        <f t="shared" si="11"/>
        <v>1322</v>
      </c>
      <c r="M127" s="60">
        <f t="shared" si="12"/>
        <v>14</v>
      </c>
      <c r="N127" s="70">
        <v>14.61</v>
      </c>
      <c r="O127" s="70">
        <v>9.7799999999999994</v>
      </c>
      <c r="P127" s="78">
        <v>1</v>
      </c>
      <c r="Q127" s="70">
        <v>0</v>
      </c>
      <c r="R127" s="70">
        <v>0</v>
      </c>
      <c r="S127" s="70">
        <v>0</v>
      </c>
      <c r="T127" s="70">
        <v>1</v>
      </c>
      <c r="U127" s="70">
        <v>1</v>
      </c>
      <c r="V127" s="70">
        <v>0</v>
      </c>
      <c r="W127" s="78">
        <v>1</v>
      </c>
      <c r="X127" s="70">
        <v>0</v>
      </c>
      <c r="Y127" s="69">
        <v>2012</v>
      </c>
      <c r="Z127" s="28" t="s">
        <v>45</v>
      </c>
      <c r="AA127" t="s">
        <v>45</v>
      </c>
      <c r="AB127" s="28">
        <v>0.5</v>
      </c>
      <c r="AC127">
        <f t="shared" si="18"/>
        <v>0.5</v>
      </c>
      <c r="AD127" s="28">
        <v>0</v>
      </c>
      <c r="AE127">
        <v>1</v>
      </c>
      <c r="AF127">
        <v>0</v>
      </c>
      <c r="AG127">
        <v>1</v>
      </c>
      <c r="AH127" s="28">
        <v>0.64</v>
      </c>
      <c r="AI127" s="12">
        <f t="shared" si="19"/>
        <v>0.36</v>
      </c>
      <c r="AJ127">
        <v>0</v>
      </c>
      <c r="AK127">
        <f t="shared" si="20"/>
        <v>1</v>
      </c>
      <c r="AL127">
        <v>0</v>
      </c>
      <c r="AM127" s="62" t="s">
        <v>318</v>
      </c>
      <c r="AN127">
        <v>1</v>
      </c>
      <c r="AO127">
        <v>0</v>
      </c>
      <c r="AP127">
        <v>19144</v>
      </c>
      <c r="AQ127">
        <v>1210</v>
      </c>
      <c r="AR127">
        <v>0.63900000000000001</v>
      </c>
      <c r="AS127" s="64">
        <v>39.36</v>
      </c>
      <c r="AT127">
        <v>0</v>
      </c>
      <c r="AU127">
        <v>1</v>
      </c>
      <c r="AV127">
        <v>0</v>
      </c>
      <c r="AW127">
        <v>0</v>
      </c>
      <c r="AX127">
        <v>0</v>
      </c>
      <c r="AY127">
        <v>0</v>
      </c>
      <c r="AZ127" s="28">
        <v>0</v>
      </c>
      <c r="BA127">
        <v>0</v>
      </c>
      <c r="BB127">
        <v>0</v>
      </c>
      <c r="BC127" s="28">
        <v>1</v>
      </c>
      <c r="BD127">
        <v>1</v>
      </c>
      <c r="BE127">
        <v>1</v>
      </c>
      <c r="BF127">
        <v>0</v>
      </c>
      <c r="BG127">
        <v>1</v>
      </c>
      <c r="BH127">
        <v>1</v>
      </c>
      <c r="BI127">
        <v>0</v>
      </c>
      <c r="BJ127">
        <v>0</v>
      </c>
      <c r="BK127" s="16">
        <v>0</v>
      </c>
      <c r="BL127">
        <v>0</v>
      </c>
      <c r="BM127">
        <v>18</v>
      </c>
      <c r="BN127">
        <v>0</v>
      </c>
      <c r="BO127">
        <v>1</v>
      </c>
      <c r="BP127">
        <v>18</v>
      </c>
      <c r="BQ127" t="s">
        <v>34</v>
      </c>
    </row>
    <row r="128" spans="1:69" x14ac:dyDescent="0.25">
      <c r="A128">
        <v>127</v>
      </c>
      <c r="B128">
        <v>9</v>
      </c>
      <c r="C128" t="s">
        <v>244</v>
      </c>
      <c r="D128" s="79">
        <v>12.5</v>
      </c>
      <c r="E128" s="6">
        <v>4.0999999999999996</v>
      </c>
      <c r="F128" s="6">
        <f t="shared" si="17"/>
        <v>3.0487804878048781</v>
      </c>
      <c r="G128" s="78">
        <v>0</v>
      </c>
      <c r="H128" s="70">
        <v>0</v>
      </c>
      <c r="I128" s="70">
        <v>1</v>
      </c>
      <c r="J128" s="78">
        <v>712</v>
      </c>
      <c r="K128" s="70">
        <v>5</v>
      </c>
      <c r="L128" s="70">
        <f t="shared" si="11"/>
        <v>706</v>
      </c>
      <c r="M128" s="60">
        <f t="shared" si="12"/>
        <v>14</v>
      </c>
      <c r="N128" s="70">
        <v>14.61</v>
      </c>
      <c r="O128" s="70">
        <v>9.7799999999999994</v>
      </c>
      <c r="P128" s="78">
        <v>1</v>
      </c>
      <c r="Q128" s="70">
        <v>0</v>
      </c>
      <c r="R128" s="70">
        <v>0</v>
      </c>
      <c r="S128" s="70">
        <v>0</v>
      </c>
      <c r="T128" s="70">
        <v>1</v>
      </c>
      <c r="U128" s="70">
        <v>1</v>
      </c>
      <c r="V128" s="70">
        <v>0</v>
      </c>
      <c r="W128" s="78">
        <v>1</v>
      </c>
      <c r="X128" s="70">
        <v>0</v>
      </c>
      <c r="Y128" s="69">
        <v>2012</v>
      </c>
      <c r="Z128" s="28" t="s">
        <v>45</v>
      </c>
      <c r="AA128" t="s">
        <v>45</v>
      </c>
      <c r="AB128" s="28">
        <v>0.5</v>
      </c>
      <c r="AC128">
        <f t="shared" si="18"/>
        <v>0.5</v>
      </c>
      <c r="AD128" s="28">
        <v>0</v>
      </c>
      <c r="AE128">
        <v>1</v>
      </c>
      <c r="AF128">
        <v>0</v>
      </c>
      <c r="AG128">
        <v>1</v>
      </c>
      <c r="AH128" s="28">
        <v>0.64</v>
      </c>
      <c r="AI128" s="12">
        <f t="shared" si="19"/>
        <v>0.36</v>
      </c>
      <c r="AJ128">
        <v>0</v>
      </c>
      <c r="AK128">
        <f t="shared" si="20"/>
        <v>1</v>
      </c>
      <c r="AL128">
        <v>0</v>
      </c>
      <c r="AM128" s="62" t="s">
        <v>318</v>
      </c>
      <c r="AN128">
        <v>1</v>
      </c>
      <c r="AO128">
        <v>0</v>
      </c>
      <c r="AP128">
        <v>19144</v>
      </c>
      <c r="AQ128">
        <v>1210</v>
      </c>
      <c r="AR128">
        <v>0.63900000000000001</v>
      </c>
      <c r="AS128" s="64">
        <v>39.36</v>
      </c>
      <c r="AT128">
        <v>0</v>
      </c>
      <c r="AU128">
        <v>0</v>
      </c>
      <c r="AV128">
        <v>0</v>
      </c>
      <c r="AW128">
        <v>0</v>
      </c>
      <c r="AX128">
        <v>1</v>
      </c>
      <c r="AY128">
        <v>0</v>
      </c>
      <c r="AZ128" s="28">
        <v>0</v>
      </c>
      <c r="BA128">
        <v>1</v>
      </c>
      <c r="BB128">
        <v>0</v>
      </c>
      <c r="BC128" s="28">
        <v>0</v>
      </c>
      <c r="BD128">
        <v>0</v>
      </c>
      <c r="BE128">
        <v>1</v>
      </c>
      <c r="BF128">
        <v>0</v>
      </c>
      <c r="BG128">
        <v>1</v>
      </c>
      <c r="BH128">
        <v>1</v>
      </c>
      <c r="BI128">
        <v>0</v>
      </c>
      <c r="BJ128">
        <v>0</v>
      </c>
      <c r="BK128" s="16">
        <v>0</v>
      </c>
      <c r="BL128">
        <v>0</v>
      </c>
      <c r="BM128">
        <v>18</v>
      </c>
      <c r="BN128">
        <v>0</v>
      </c>
      <c r="BO128">
        <v>1</v>
      </c>
      <c r="BP128">
        <v>18</v>
      </c>
      <c r="BQ128" t="s">
        <v>34</v>
      </c>
    </row>
    <row r="129" spans="1:69" x14ac:dyDescent="0.25">
      <c r="A129">
        <v>128</v>
      </c>
      <c r="B129">
        <v>10</v>
      </c>
      <c r="C129" t="s">
        <v>250</v>
      </c>
      <c r="D129" s="79">
        <v>4.5999999999999996</v>
      </c>
      <c r="E129" s="6">
        <v>0.05</v>
      </c>
      <c r="F129" s="6">
        <f t="shared" si="17"/>
        <v>91.999999999999986</v>
      </c>
      <c r="G129" s="78">
        <v>0</v>
      </c>
      <c r="H129" s="70">
        <v>0</v>
      </c>
      <c r="I129" s="70">
        <v>1</v>
      </c>
      <c r="J129" s="78">
        <v>191110</v>
      </c>
      <c r="K129" s="70">
        <v>1</v>
      </c>
      <c r="L129" s="70">
        <f t="shared" si="11"/>
        <v>191108</v>
      </c>
      <c r="M129" s="60">
        <f t="shared" si="12"/>
        <v>38</v>
      </c>
      <c r="N129" s="70">
        <v>9.18</v>
      </c>
      <c r="O129" s="70">
        <v>19.5</v>
      </c>
      <c r="P129" s="78">
        <v>1</v>
      </c>
      <c r="Q129" s="70">
        <v>0</v>
      </c>
      <c r="R129" s="78">
        <v>0</v>
      </c>
      <c r="S129" s="70">
        <v>1</v>
      </c>
      <c r="T129" s="70">
        <v>0</v>
      </c>
      <c r="U129" s="70">
        <v>0</v>
      </c>
      <c r="V129" s="70">
        <v>1</v>
      </c>
      <c r="W129" s="78">
        <v>1</v>
      </c>
      <c r="X129" s="70">
        <v>0</v>
      </c>
      <c r="Y129" s="69">
        <v>1940</v>
      </c>
      <c r="Z129" s="28">
        <v>1</v>
      </c>
      <c r="AA129">
        <v>0</v>
      </c>
      <c r="AB129" s="28">
        <v>1</v>
      </c>
      <c r="AC129">
        <v>0</v>
      </c>
      <c r="AD129" s="28">
        <v>0.93</v>
      </c>
      <c r="AE129">
        <f t="shared" ref="AE129:AE166" si="21">1-AD129</f>
        <v>6.9999999999999951E-2</v>
      </c>
      <c r="AF129">
        <v>0</v>
      </c>
      <c r="AG129">
        <v>1</v>
      </c>
      <c r="AH129" s="28">
        <v>0.75</v>
      </c>
      <c r="AI129" s="12">
        <f t="shared" si="19"/>
        <v>0.25</v>
      </c>
      <c r="AJ129">
        <v>0.10100000000000001</v>
      </c>
      <c r="AK129">
        <v>0.10100000000000001</v>
      </c>
      <c r="AL129">
        <v>0.79800000000000004</v>
      </c>
      <c r="AM129" s="62" t="s">
        <v>67</v>
      </c>
      <c r="AN129">
        <v>1</v>
      </c>
      <c r="AO129">
        <v>0</v>
      </c>
      <c r="AP129">
        <v>15113</v>
      </c>
      <c r="AQ129">
        <v>528</v>
      </c>
      <c r="AR129">
        <v>0.79400000000000004</v>
      </c>
      <c r="AS129" s="64">
        <v>37.5</v>
      </c>
      <c r="AT129">
        <v>1</v>
      </c>
      <c r="AU129">
        <v>0</v>
      </c>
      <c r="AV129">
        <v>0</v>
      </c>
      <c r="AW129">
        <v>0</v>
      </c>
      <c r="AX129">
        <v>0</v>
      </c>
      <c r="AY129">
        <v>0</v>
      </c>
      <c r="AZ129" s="28">
        <v>0</v>
      </c>
      <c r="BA129">
        <v>0</v>
      </c>
      <c r="BB129">
        <v>0</v>
      </c>
      <c r="BC129" s="28">
        <v>0</v>
      </c>
      <c r="BD129">
        <v>0</v>
      </c>
      <c r="BE129">
        <v>0</v>
      </c>
      <c r="BF129">
        <v>0</v>
      </c>
      <c r="BG129">
        <v>0</v>
      </c>
      <c r="BH129">
        <v>0</v>
      </c>
      <c r="BI129">
        <v>0</v>
      </c>
      <c r="BJ129">
        <v>0</v>
      </c>
      <c r="BK129" s="16">
        <v>0</v>
      </c>
      <c r="BL129">
        <v>8.1000000000000003E-2</v>
      </c>
      <c r="BM129">
        <v>11</v>
      </c>
      <c r="BN129">
        <v>1</v>
      </c>
      <c r="BO129">
        <v>0</v>
      </c>
      <c r="BP129">
        <v>26</v>
      </c>
      <c r="BQ129" t="s">
        <v>34</v>
      </c>
    </row>
    <row r="130" spans="1:69" x14ac:dyDescent="0.25">
      <c r="A130">
        <v>129</v>
      </c>
      <c r="B130">
        <v>10</v>
      </c>
      <c r="C130" t="s">
        <v>250</v>
      </c>
      <c r="D130" s="79">
        <v>5.5</v>
      </c>
      <c r="E130" s="6">
        <v>0.05</v>
      </c>
      <c r="F130" s="6">
        <f t="shared" si="17"/>
        <v>110</v>
      </c>
      <c r="G130" s="78">
        <v>0</v>
      </c>
      <c r="H130" s="70">
        <v>0</v>
      </c>
      <c r="I130" s="70">
        <v>1</v>
      </c>
      <c r="J130" s="78">
        <v>191110</v>
      </c>
      <c r="K130" s="70">
        <v>4</v>
      </c>
      <c r="L130" s="70">
        <f t="shared" ref="L130:L193" si="22">J130-K130-1</f>
        <v>191105</v>
      </c>
      <c r="M130" s="60">
        <f t="shared" ref="M130:M193" si="23">COUNTIF(B:B,B130)</f>
        <v>38</v>
      </c>
      <c r="N130" s="70">
        <v>9.18</v>
      </c>
      <c r="O130" s="70">
        <v>19.5</v>
      </c>
      <c r="P130" s="78">
        <v>1</v>
      </c>
      <c r="Q130" s="70">
        <v>0</v>
      </c>
      <c r="R130" s="78">
        <v>0</v>
      </c>
      <c r="S130" s="70">
        <v>1</v>
      </c>
      <c r="T130" s="70">
        <v>0</v>
      </c>
      <c r="U130" s="70">
        <v>0</v>
      </c>
      <c r="V130" s="70">
        <v>1</v>
      </c>
      <c r="W130" s="78">
        <v>1</v>
      </c>
      <c r="X130" s="70">
        <v>0</v>
      </c>
      <c r="Y130" s="69">
        <v>1940</v>
      </c>
      <c r="Z130" s="28">
        <v>1</v>
      </c>
      <c r="AA130">
        <v>0</v>
      </c>
      <c r="AB130" s="28">
        <v>1</v>
      </c>
      <c r="AC130">
        <v>0</v>
      </c>
      <c r="AD130" s="28">
        <v>0.93</v>
      </c>
      <c r="AE130">
        <f t="shared" si="21"/>
        <v>6.9999999999999951E-2</v>
      </c>
      <c r="AF130">
        <v>0</v>
      </c>
      <c r="AG130">
        <v>1</v>
      </c>
      <c r="AH130" s="28">
        <v>0.75</v>
      </c>
      <c r="AI130" s="12">
        <f t="shared" si="19"/>
        <v>0.25</v>
      </c>
      <c r="AJ130">
        <v>0.10100000000000001</v>
      </c>
      <c r="AK130">
        <v>0.10100000000000001</v>
      </c>
      <c r="AL130">
        <v>0.79800000000000004</v>
      </c>
      <c r="AM130" s="62" t="s">
        <v>67</v>
      </c>
      <c r="AN130">
        <v>1</v>
      </c>
      <c r="AO130">
        <v>0</v>
      </c>
      <c r="AP130">
        <v>15113</v>
      </c>
      <c r="AQ130">
        <v>528</v>
      </c>
      <c r="AR130">
        <v>0.79400000000000004</v>
      </c>
      <c r="AS130" s="64">
        <v>37.5</v>
      </c>
      <c r="AT130">
        <v>1</v>
      </c>
      <c r="AU130">
        <v>0</v>
      </c>
      <c r="AV130">
        <v>0</v>
      </c>
      <c r="AW130">
        <v>0</v>
      </c>
      <c r="AX130">
        <v>0</v>
      </c>
      <c r="AY130">
        <v>0</v>
      </c>
      <c r="AZ130" s="28">
        <v>0</v>
      </c>
      <c r="BA130">
        <v>0</v>
      </c>
      <c r="BB130">
        <v>0</v>
      </c>
      <c r="BC130" s="28">
        <v>1</v>
      </c>
      <c r="BD130">
        <v>1</v>
      </c>
      <c r="BE130">
        <v>0</v>
      </c>
      <c r="BF130">
        <v>1</v>
      </c>
      <c r="BG130">
        <v>0</v>
      </c>
      <c r="BH130">
        <v>0</v>
      </c>
      <c r="BI130">
        <v>0</v>
      </c>
      <c r="BJ130">
        <v>0</v>
      </c>
      <c r="BK130" s="16">
        <v>0</v>
      </c>
      <c r="BL130">
        <v>8.1000000000000003E-2</v>
      </c>
      <c r="BM130">
        <v>11</v>
      </c>
      <c r="BN130">
        <v>1</v>
      </c>
      <c r="BO130">
        <v>0</v>
      </c>
      <c r="BP130">
        <v>26</v>
      </c>
      <c r="BQ130" t="s">
        <v>34</v>
      </c>
    </row>
    <row r="131" spans="1:69" x14ac:dyDescent="0.25">
      <c r="A131">
        <v>130</v>
      </c>
      <c r="B131">
        <v>10</v>
      </c>
      <c r="C131" t="s">
        <v>250</v>
      </c>
      <c r="D131" s="79">
        <v>3.8</v>
      </c>
      <c r="E131" s="6">
        <v>0.1</v>
      </c>
      <c r="F131" s="6">
        <f t="shared" si="17"/>
        <v>37.999999999999993</v>
      </c>
      <c r="G131" s="78">
        <v>0</v>
      </c>
      <c r="H131" s="70">
        <v>0</v>
      </c>
      <c r="I131" s="70">
        <v>1</v>
      </c>
      <c r="J131" s="78">
        <v>191110</v>
      </c>
      <c r="K131" s="70">
        <v>4</v>
      </c>
      <c r="L131" s="70">
        <f t="shared" si="22"/>
        <v>191105</v>
      </c>
      <c r="M131" s="60">
        <f t="shared" si="23"/>
        <v>38</v>
      </c>
      <c r="N131" s="70">
        <v>9.18</v>
      </c>
      <c r="O131" s="70">
        <v>19.5</v>
      </c>
      <c r="P131" s="78">
        <v>1</v>
      </c>
      <c r="Q131" s="70">
        <v>0</v>
      </c>
      <c r="R131" s="78">
        <v>0</v>
      </c>
      <c r="S131" s="70">
        <v>1</v>
      </c>
      <c r="T131" s="70">
        <v>0</v>
      </c>
      <c r="U131" s="70">
        <v>0</v>
      </c>
      <c r="V131" s="70">
        <v>1</v>
      </c>
      <c r="W131" s="78">
        <v>1</v>
      </c>
      <c r="X131" s="70">
        <v>0</v>
      </c>
      <c r="Y131" s="69">
        <v>1940</v>
      </c>
      <c r="Z131" s="28">
        <v>1</v>
      </c>
      <c r="AA131">
        <v>0</v>
      </c>
      <c r="AB131" s="28">
        <v>1</v>
      </c>
      <c r="AC131">
        <v>0</v>
      </c>
      <c r="AD131" s="28">
        <v>0.93</v>
      </c>
      <c r="AE131">
        <f t="shared" si="21"/>
        <v>6.9999999999999951E-2</v>
      </c>
      <c r="AF131">
        <v>0</v>
      </c>
      <c r="AG131">
        <v>1</v>
      </c>
      <c r="AH131" s="28">
        <v>0.75</v>
      </c>
      <c r="AI131" s="12">
        <f t="shared" si="19"/>
        <v>0.25</v>
      </c>
      <c r="AJ131">
        <v>0.10100000000000001</v>
      </c>
      <c r="AK131">
        <v>0.10100000000000001</v>
      </c>
      <c r="AL131">
        <v>0.79800000000000004</v>
      </c>
      <c r="AM131" s="62" t="s">
        <v>67</v>
      </c>
      <c r="AN131">
        <v>1</v>
      </c>
      <c r="AO131">
        <v>0</v>
      </c>
      <c r="AP131">
        <v>15113</v>
      </c>
      <c r="AQ131">
        <v>528</v>
      </c>
      <c r="AR131">
        <v>0.79400000000000004</v>
      </c>
      <c r="AS131" s="64">
        <v>37.5</v>
      </c>
      <c r="AT131">
        <v>1</v>
      </c>
      <c r="AU131">
        <v>0</v>
      </c>
      <c r="AV131">
        <v>0</v>
      </c>
      <c r="AW131">
        <v>0</v>
      </c>
      <c r="AX131">
        <v>0</v>
      </c>
      <c r="AY131">
        <v>0</v>
      </c>
      <c r="AZ131" s="28">
        <v>0</v>
      </c>
      <c r="BA131">
        <v>0</v>
      </c>
      <c r="BB131">
        <v>0</v>
      </c>
      <c r="BC131" s="28">
        <v>1</v>
      </c>
      <c r="BD131">
        <v>1</v>
      </c>
      <c r="BE131">
        <v>0</v>
      </c>
      <c r="BF131">
        <v>1</v>
      </c>
      <c r="BG131">
        <v>0</v>
      </c>
      <c r="BH131">
        <v>0</v>
      </c>
      <c r="BI131">
        <v>0</v>
      </c>
      <c r="BJ131">
        <v>0</v>
      </c>
      <c r="BK131" s="16">
        <v>0</v>
      </c>
      <c r="BL131">
        <v>8.1000000000000003E-2</v>
      </c>
      <c r="BM131">
        <v>11</v>
      </c>
      <c r="BN131">
        <v>1</v>
      </c>
      <c r="BO131">
        <v>0</v>
      </c>
      <c r="BP131">
        <v>26</v>
      </c>
      <c r="BQ131" t="s">
        <v>34</v>
      </c>
    </row>
    <row r="132" spans="1:69" x14ac:dyDescent="0.25">
      <c r="A132">
        <v>131</v>
      </c>
      <c r="B132">
        <v>10</v>
      </c>
      <c r="C132" t="s">
        <v>250</v>
      </c>
      <c r="D132" s="79">
        <v>5</v>
      </c>
      <c r="E132" s="6">
        <v>0.1</v>
      </c>
      <c r="F132" s="6">
        <f t="shared" si="17"/>
        <v>50</v>
      </c>
      <c r="G132" s="78">
        <v>0</v>
      </c>
      <c r="H132" s="70">
        <v>0</v>
      </c>
      <c r="I132" s="70">
        <v>1</v>
      </c>
      <c r="J132" s="78">
        <v>38652</v>
      </c>
      <c r="K132" s="70">
        <v>1</v>
      </c>
      <c r="L132" s="70">
        <f t="shared" si="22"/>
        <v>38650</v>
      </c>
      <c r="M132" s="60">
        <f t="shared" si="23"/>
        <v>38</v>
      </c>
      <c r="N132" s="70">
        <v>9.6300000000000008</v>
      </c>
      <c r="O132" s="70">
        <v>18.5</v>
      </c>
      <c r="P132" s="78">
        <v>1</v>
      </c>
      <c r="Q132" s="70">
        <v>0</v>
      </c>
      <c r="R132" s="78">
        <v>0</v>
      </c>
      <c r="S132" s="70">
        <v>1</v>
      </c>
      <c r="T132" s="70">
        <v>0</v>
      </c>
      <c r="U132" s="70">
        <v>0</v>
      </c>
      <c r="V132" s="70">
        <v>1</v>
      </c>
      <c r="W132" s="78">
        <v>1</v>
      </c>
      <c r="X132" s="70">
        <v>0</v>
      </c>
      <c r="Y132" s="69">
        <v>1940</v>
      </c>
      <c r="Z132" s="28">
        <v>1</v>
      </c>
      <c r="AA132">
        <v>0</v>
      </c>
      <c r="AB132" s="28">
        <v>1</v>
      </c>
      <c r="AC132">
        <v>0</v>
      </c>
      <c r="AD132" s="28">
        <v>0.96</v>
      </c>
      <c r="AE132">
        <f t="shared" si="21"/>
        <v>4.0000000000000036E-2</v>
      </c>
      <c r="AF132">
        <v>0</v>
      </c>
      <c r="AG132">
        <v>1</v>
      </c>
      <c r="AH132" s="28">
        <v>0.75</v>
      </c>
      <c r="AI132" s="12">
        <f t="shared" si="19"/>
        <v>0.25</v>
      </c>
      <c r="AJ132">
        <v>0.5</v>
      </c>
      <c r="AK132">
        <v>0.5</v>
      </c>
      <c r="AL132">
        <v>0</v>
      </c>
      <c r="AM132" s="62" t="s">
        <v>67</v>
      </c>
      <c r="AN132">
        <v>1</v>
      </c>
      <c r="AO132">
        <v>0</v>
      </c>
      <c r="AP132">
        <v>15113</v>
      </c>
      <c r="AQ132">
        <v>528</v>
      </c>
      <c r="AR132">
        <v>0.79400000000000004</v>
      </c>
      <c r="AS132" s="64">
        <v>36.6</v>
      </c>
      <c r="AT132">
        <v>1</v>
      </c>
      <c r="AU132">
        <v>0</v>
      </c>
      <c r="AV132">
        <v>0</v>
      </c>
      <c r="AW132">
        <v>0</v>
      </c>
      <c r="AX132">
        <v>0</v>
      </c>
      <c r="AY132">
        <v>0</v>
      </c>
      <c r="AZ132" s="28">
        <v>0</v>
      </c>
      <c r="BA132">
        <v>0</v>
      </c>
      <c r="BB132">
        <v>0</v>
      </c>
      <c r="BC132" s="28">
        <v>0</v>
      </c>
      <c r="BD132">
        <v>0</v>
      </c>
      <c r="BE132">
        <v>0</v>
      </c>
      <c r="BF132">
        <v>0</v>
      </c>
      <c r="BG132">
        <v>0</v>
      </c>
      <c r="BH132">
        <v>0</v>
      </c>
      <c r="BI132">
        <v>0</v>
      </c>
      <c r="BJ132">
        <v>0</v>
      </c>
      <c r="BK132" s="16">
        <v>0</v>
      </c>
      <c r="BL132">
        <v>8.1000000000000003E-2</v>
      </c>
      <c r="BM132">
        <v>11</v>
      </c>
      <c r="BN132">
        <v>1</v>
      </c>
      <c r="BO132">
        <v>0</v>
      </c>
      <c r="BP132">
        <v>26</v>
      </c>
      <c r="BQ132" t="s">
        <v>34</v>
      </c>
    </row>
    <row r="133" spans="1:69" x14ac:dyDescent="0.25">
      <c r="A133">
        <v>132</v>
      </c>
      <c r="B133">
        <v>10</v>
      </c>
      <c r="C133" t="s">
        <v>250</v>
      </c>
      <c r="D133" s="79">
        <v>5.6</v>
      </c>
      <c r="E133" s="6">
        <v>0.1</v>
      </c>
      <c r="F133" s="6">
        <f t="shared" si="17"/>
        <v>55.999999999999993</v>
      </c>
      <c r="G133" s="78">
        <v>0</v>
      </c>
      <c r="H133" s="70">
        <v>0</v>
      </c>
      <c r="I133" s="70">
        <v>1</v>
      </c>
      <c r="J133" s="78">
        <v>38652</v>
      </c>
      <c r="K133" s="70">
        <v>4</v>
      </c>
      <c r="L133" s="70">
        <f t="shared" si="22"/>
        <v>38647</v>
      </c>
      <c r="M133" s="60">
        <f t="shared" si="23"/>
        <v>38</v>
      </c>
      <c r="N133" s="70">
        <v>9.6300000000000008</v>
      </c>
      <c r="O133" s="70">
        <v>18.5</v>
      </c>
      <c r="P133" s="78">
        <v>1</v>
      </c>
      <c r="Q133" s="70">
        <v>0</v>
      </c>
      <c r="R133" s="78">
        <v>0</v>
      </c>
      <c r="S133" s="70">
        <v>1</v>
      </c>
      <c r="T133" s="70">
        <v>0</v>
      </c>
      <c r="U133" s="70">
        <v>0</v>
      </c>
      <c r="V133" s="70">
        <v>1</v>
      </c>
      <c r="W133" s="78">
        <v>1</v>
      </c>
      <c r="X133" s="70">
        <v>0</v>
      </c>
      <c r="Y133" s="69">
        <v>1940</v>
      </c>
      <c r="Z133" s="28">
        <v>1</v>
      </c>
      <c r="AA133">
        <v>0</v>
      </c>
      <c r="AB133" s="28">
        <v>1</v>
      </c>
      <c r="AC133">
        <v>0</v>
      </c>
      <c r="AD133" s="28">
        <v>0.96</v>
      </c>
      <c r="AE133">
        <f t="shared" si="21"/>
        <v>4.0000000000000036E-2</v>
      </c>
      <c r="AF133">
        <v>0</v>
      </c>
      <c r="AG133">
        <v>1</v>
      </c>
      <c r="AH133" s="28">
        <v>0.75</v>
      </c>
      <c r="AI133" s="12">
        <f t="shared" si="19"/>
        <v>0.25</v>
      </c>
      <c r="AJ133">
        <v>0.5</v>
      </c>
      <c r="AK133">
        <v>0.5</v>
      </c>
      <c r="AL133">
        <v>0</v>
      </c>
      <c r="AM133" s="62" t="s">
        <v>67</v>
      </c>
      <c r="AN133">
        <v>1</v>
      </c>
      <c r="AO133">
        <v>0</v>
      </c>
      <c r="AP133">
        <v>15113</v>
      </c>
      <c r="AQ133">
        <v>528</v>
      </c>
      <c r="AR133">
        <v>0.79400000000000004</v>
      </c>
      <c r="AS133" s="64">
        <v>36.6</v>
      </c>
      <c r="AT133">
        <v>1</v>
      </c>
      <c r="AU133">
        <v>0</v>
      </c>
      <c r="AV133">
        <v>0</v>
      </c>
      <c r="AW133">
        <v>0</v>
      </c>
      <c r="AX133">
        <v>0</v>
      </c>
      <c r="AY133">
        <v>0</v>
      </c>
      <c r="AZ133" s="28">
        <v>0</v>
      </c>
      <c r="BA133">
        <v>0</v>
      </c>
      <c r="BB133">
        <v>0</v>
      </c>
      <c r="BC133" s="28">
        <v>1</v>
      </c>
      <c r="BD133">
        <v>1</v>
      </c>
      <c r="BE133">
        <v>0</v>
      </c>
      <c r="BF133">
        <v>1</v>
      </c>
      <c r="BG133">
        <v>0</v>
      </c>
      <c r="BH133">
        <v>0</v>
      </c>
      <c r="BI133">
        <v>0</v>
      </c>
      <c r="BJ133">
        <v>0</v>
      </c>
      <c r="BK133" s="16">
        <v>0</v>
      </c>
      <c r="BL133">
        <v>8.1000000000000003E-2</v>
      </c>
      <c r="BM133">
        <v>11</v>
      </c>
      <c r="BN133">
        <v>1</v>
      </c>
      <c r="BO133">
        <v>0</v>
      </c>
      <c r="BP133">
        <v>26</v>
      </c>
      <c r="BQ133" t="s">
        <v>34</v>
      </c>
    </row>
    <row r="134" spans="1:69" x14ac:dyDescent="0.25">
      <c r="A134">
        <v>133</v>
      </c>
      <c r="B134">
        <v>10</v>
      </c>
      <c r="C134" t="s">
        <v>250</v>
      </c>
      <c r="D134" s="79">
        <v>3.6</v>
      </c>
      <c r="E134" s="6">
        <v>0.2</v>
      </c>
      <c r="F134" s="6">
        <f t="shared" si="17"/>
        <v>18</v>
      </c>
      <c r="G134" s="78">
        <v>0</v>
      </c>
      <c r="H134" s="70">
        <v>0</v>
      </c>
      <c r="I134" s="70">
        <v>1</v>
      </c>
      <c r="J134" s="78">
        <v>38652</v>
      </c>
      <c r="K134" s="70">
        <v>4</v>
      </c>
      <c r="L134" s="70">
        <f t="shared" si="22"/>
        <v>38647</v>
      </c>
      <c r="M134" s="60">
        <f t="shared" si="23"/>
        <v>38</v>
      </c>
      <c r="N134" s="70">
        <v>9.6300000000000008</v>
      </c>
      <c r="O134" s="70">
        <v>18.5</v>
      </c>
      <c r="P134" s="78">
        <v>1</v>
      </c>
      <c r="Q134" s="70">
        <v>0</v>
      </c>
      <c r="R134" s="78">
        <v>0</v>
      </c>
      <c r="S134" s="70">
        <v>1</v>
      </c>
      <c r="T134" s="70">
        <v>0</v>
      </c>
      <c r="U134" s="70">
        <v>0</v>
      </c>
      <c r="V134" s="70">
        <v>1</v>
      </c>
      <c r="W134" s="78">
        <v>1</v>
      </c>
      <c r="X134" s="70">
        <v>0</v>
      </c>
      <c r="Y134" s="69">
        <v>1940</v>
      </c>
      <c r="Z134" s="28">
        <v>1</v>
      </c>
      <c r="AA134">
        <v>0</v>
      </c>
      <c r="AB134" s="28">
        <v>1</v>
      </c>
      <c r="AC134">
        <v>0</v>
      </c>
      <c r="AD134" s="28">
        <v>0.96</v>
      </c>
      <c r="AE134">
        <f t="shared" si="21"/>
        <v>4.0000000000000036E-2</v>
      </c>
      <c r="AF134">
        <v>0</v>
      </c>
      <c r="AG134">
        <v>1</v>
      </c>
      <c r="AH134" s="28">
        <v>0.75</v>
      </c>
      <c r="AI134" s="12">
        <f t="shared" si="19"/>
        <v>0.25</v>
      </c>
      <c r="AJ134">
        <v>0.5</v>
      </c>
      <c r="AK134">
        <v>0.5</v>
      </c>
      <c r="AL134">
        <v>0</v>
      </c>
      <c r="AM134" s="62" t="s">
        <v>67</v>
      </c>
      <c r="AN134">
        <v>1</v>
      </c>
      <c r="AO134">
        <v>0</v>
      </c>
      <c r="AP134">
        <v>15113</v>
      </c>
      <c r="AQ134">
        <v>528</v>
      </c>
      <c r="AR134">
        <v>0.79400000000000004</v>
      </c>
      <c r="AS134" s="64">
        <v>36.6</v>
      </c>
      <c r="AT134">
        <v>1</v>
      </c>
      <c r="AU134">
        <v>0</v>
      </c>
      <c r="AV134">
        <v>0</v>
      </c>
      <c r="AW134">
        <v>0</v>
      </c>
      <c r="AX134">
        <v>0</v>
      </c>
      <c r="AY134">
        <v>0</v>
      </c>
      <c r="AZ134" s="28">
        <v>0</v>
      </c>
      <c r="BA134">
        <v>0</v>
      </c>
      <c r="BB134">
        <v>0</v>
      </c>
      <c r="BC134" s="28">
        <v>1</v>
      </c>
      <c r="BD134">
        <v>1</v>
      </c>
      <c r="BE134">
        <v>0</v>
      </c>
      <c r="BF134">
        <v>1</v>
      </c>
      <c r="BG134">
        <v>0</v>
      </c>
      <c r="BH134">
        <v>0</v>
      </c>
      <c r="BI134">
        <v>0</v>
      </c>
      <c r="BJ134">
        <v>0</v>
      </c>
      <c r="BK134" s="16">
        <v>0</v>
      </c>
      <c r="BL134">
        <v>8.1000000000000003E-2</v>
      </c>
      <c r="BM134">
        <v>11</v>
      </c>
      <c r="BN134">
        <v>1</v>
      </c>
      <c r="BO134">
        <v>0</v>
      </c>
      <c r="BP134">
        <v>26</v>
      </c>
      <c r="BQ134" t="s">
        <v>34</v>
      </c>
    </row>
    <row r="135" spans="1:69" x14ac:dyDescent="0.25">
      <c r="A135">
        <v>134</v>
      </c>
      <c r="B135">
        <v>10</v>
      </c>
      <c r="C135" t="s">
        <v>250</v>
      </c>
      <c r="D135" s="79">
        <v>4.4000000000000004</v>
      </c>
      <c r="E135" s="6">
        <v>0.2</v>
      </c>
      <c r="F135" s="6">
        <f t="shared" si="17"/>
        <v>22</v>
      </c>
      <c r="G135" s="78">
        <v>0</v>
      </c>
      <c r="H135" s="70">
        <v>0</v>
      </c>
      <c r="I135" s="70">
        <v>1</v>
      </c>
      <c r="J135" s="78">
        <v>38652</v>
      </c>
      <c r="K135" s="70">
        <v>1</v>
      </c>
      <c r="L135" s="70">
        <f t="shared" si="22"/>
        <v>38650</v>
      </c>
      <c r="M135" s="60">
        <f t="shared" si="23"/>
        <v>38</v>
      </c>
      <c r="N135" s="70">
        <v>9.6300000000000008</v>
      </c>
      <c r="O135" s="70">
        <v>18.5</v>
      </c>
      <c r="P135" s="78">
        <v>1</v>
      </c>
      <c r="Q135" s="70">
        <v>0</v>
      </c>
      <c r="R135" s="78">
        <v>0</v>
      </c>
      <c r="S135" s="70">
        <v>1</v>
      </c>
      <c r="T135" s="70">
        <v>0</v>
      </c>
      <c r="U135" s="70">
        <v>0</v>
      </c>
      <c r="V135" s="70">
        <v>1</v>
      </c>
      <c r="W135" s="78">
        <v>1</v>
      </c>
      <c r="X135" s="70">
        <v>0</v>
      </c>
      <c r="Y135" s="69">
        <v>1940</v>
      </c>
      <c r="Z135" s="28">
        <v>1</v>
      </c>
      <c r="AA135">
        <v>0</v>
      </c>
      <c r="AB135" s="28">
        <v>1</v>
      </c>
      <c r="AC135">
        <v>0</v>
      </c>
      <c r="AD135" s="28">
        <v>0.96</v>
      </c>
      <c r="AE135">
        <f t="shared" si="21"/>
        <v>4.0000000000000036E-2</v>
      </c>
      <c r="AF135">
        <v>0</v>
      </c>
      <c r="AG135">
        <v>1</v>
      </c>
      <c r="AH135" s="28">
        <v>0.75</v>
      </c>
      <c r="AI135" s="12">
        <f t="shared" si="19"/>
        <v>0.25</v>
      </c>
      <c r="AJ135">
        <v>0.5</v>
      </c>
      <c r="AK135">
        <v>0.5</v>
      </c>
      <c r="AL135">
        <v>0</v>
      </c>
      <c r="AM135" s="62" t="s">
        <v>67</v>
      </c>
      <c r="AN135">
        <v>1</v>
      </c>
      <c r="AO135">
        <v>0</v>
      </c>
      <c r="AP135">
        <v>15113</v>
      </c>
      <c r="AQ135">
        <v>528</v>
      </c>
      <c r="AR135">
        <v>0.79400000000000004</v>
      </c>
      <c r="AS135" s="64">
        <v>36.6</v>
      </c>
      <c r="AT135">
        <v>1</v>
      </c>
      <c r="AU135">
        <v>0</v>
      </c>
      <c r="AV135">
        <v>0</v>
      </c>
      <c r="AW135">
        <v>0</v>
      </c>
      <c r="AX135">
        <v>0</v>
      </c>
      <c r="AY135">
        <v>0</v>
      </c>
      <c r="AZ135" s="28">
        <v>0</v>
      </c>
      <c r="BA135">
        <v>0</v>
      </c>
      <c r="BB135">
        <v>0</v>
      </c>
      <c r="BC135" s="28">
        <v>0</v>
      </c>
      <c r="BD135">
        <v>0</v>
      </c>
      <c r="BE135">
        <v>0</v>
      </c>
      <c r="BF135">
        <v>0</v>
      </c>
      <c r="BG135">
        <v>0</v>
      </c>
      <c r="BH135">
        <v>0</v>
      </c>
      <c r="BI135">
        <v>0</v>
      </c>
      <c r="BJ135">
        <v>0</v>
      </c>
      <c r="BK135" s="16">
        <v>0</v>
      </c>
      <c r="BL135">
        <v>8.1000000000000003E-2</v>
      </c>
      <c r="BM135">
        <v>11</v>
      </c>
      <c r="BN135">
        <v>1</v>
      </c>
      <c r="BO135">
        <v>0</v>
      </c>
      <c r="BP135">
        <v>26</v>
      </c>
      <c r="BQ135" t="s">
        <v>34</v>
      </c>
    </row>
    <row r="136" spans="1:69" x14ac:dyDescent="0.25">
      <c r="A136">
        <v>135</v>
      </c>
      <c r="B136">
        <v>10</v>
      </c>
      <c r="C136" t="s">
        <v>250</v>
      </c>
      <c r="D136" s="79">
        <v>3.5</v>
      </c>
      <c r="E136" s="6">
        <v>0.3</v>
      </c>
      <c r="F136" s="6">
        <f t="shared" si="17"/>
        <v>11.666666666666668</v>
      </c>
      <c r="G136" s="78">
        <v>0</v>
      </c>
      <c r="H136" s="70">
        <v>0</v>
      </c>
      <c r="I136" s="70">
        <v>1</v>
      </c>
      <c r="J136" s="78">
        <v>38652</v>
      </c>
      <c r="K136" s="70">
        <v>1</v>
      </c>
      <c r="L136" s="70">
        <f t="shared" si="22"/>
        <v>38650</v>
      </c>
      <c r="M136" s="60">
        <f t="shared" si="23"/>
        <v>38</v>
      </c>
      <c r="N136" s="70">
        <v>9.6300000000000008</v>
      </c>
      <c r="O136" s="70">
        <v>18.5</v>
      </c>
      <c r="P136" s="78">
        <v>1</v>
      </c>
      <c r="Q136" s="70">
        <v>0</v>
      </c>
      <c r="R136" s="78">
        <v>0</v>
      </c>
      <c r="S136" s="70">
        <v>1</v>
      </c>
      <c r="T136" s="70">
        <v>0</v>
      </c>
      <c r="U136" s="70">
        <v>0</v>
      </c>
      <c r="V136" s="70">
        <v>1</v>
      </c>
      <c r="W136" s="78">
        <v>1</v>
      </c>
      <c r="X136" s="70">
        <v>0</v>
      </c>
      <c r="Y136" s="69">
        <v>1940</v>
      </c>
      <c r="Z136" s="28">
        <v>1</v>
      </c>
      <c r="AA136">
        <v>0</v>
      </c>
      <c r="AB136" s="28">
        <v>1</v>
      </c>
      <c r="AC136">
        <v>0</v>
      </c>
      <c r="AD136" s="28">
        <v>0.96</v>
      </c>
      <c r="AE136">
        <f t="shared" si="21"/>
        <v>4.0000000000000036E-2</v>
      </c>
      <c r="AF136">
        <v>0</v>
      </c>
      <c r="AG136">
        <v>1</v>
      </c>
      <c r="AH136" s="28">
        <v>0.75</v>
      </c>
      <c r="AI136" s="12">
        <f t="shared" si="19"/>
        <v>0.25</v>
      </c>
      <c r="AJ136">
        <v>0.5</v>
      </c>
      <c r="AK136">
        <v>0.5</v>
      </c>
      <c r="AL136">
        <v>0</v>
      </c>
      <c r="AM136" s="62" t="s">
        <v>67</v>
      </c>
      <c r="AN136">
        <v>1</v>
      </c>
      <c r="AO136">
        <v>0</v>
      </c>
      <c r="AP136">
        <v>15113</v>
      </c>
      <c r="AQ136">
        <v>528</v>
      </c>
      <c r="AR136">
        <v>0.79400000000000004</v>
      </c>
      <c r="AS136" s="64">
        <v>36.6</v>
      </c>
      <c r="AT136">
        <v>1</v>
      </c>
      <c r="AU136">
        <v>0</v>
      </c>
      <c r="AV136">
        <v>0</v>
      </c>
      <c r="AW136">
        <v>0</v>
      </c>
      <c r="AX136">
        <v>0</v>
      </c>
      <c r="AY136">
        <v>0</v>
      </c>
      <c r="AZ136" s="28">
        <v>0</v>
      </c>
      <c r="BA136">
        <v>0</v>
      </c>
      <c r="BB136">
        <v>0</v>
      </c>
      <c r="BC136" s="28">
        <v>0</v>
      </c>
      <c r="BD136">
        <v>0</v>
      </c>
      <c r="BE136">
        <v>0</v>
      </c>
      <c r="BF136">
        <v>0</v>
      </c>
      <c r="BG136">
        <v>0</v>
      </c>
      <c r="BH136">
        <v>0</v>
      </c>
      <c r="BI136">
        <v>0</v>
      </c>
      <c r="BJ136">
        <v>0</v>
      </c>
      <c r="BK136" s="16">
        <v>0</v>
      </c>
      <c r="BL136">
        <v>8.1000000000000003E-2</v>
      </c>
      <c r="BM136">
        <v>11</v>
      </c>
      <c r="BN136">
        <v>1</v>
      </c>
      <c r="BO136">
        <v>0</v>
      </c>
      <c r="BP136">
        <v>26</v>
      </c>
      <c r="BQ136" t="s">
        <v>34</v>
      </c>
    </row>
    <row r="137" spans="1:69" x14ac:dyDescent="0.25">
      <c r="A137">
        <v>136</v>
      </c>
      <c r="B137">
        <v>10</v>
      </c>
      <c r="C137" t="s">
        <v>250</v>
      </c>
      <c r="D137" s="79">
        <v>4.4000000000000004</v>
      </c>
      <c r="E137" s="6">
        <v>0.1</v>
      </c>
      <c r="F137" s="6">
        <f t="shared" si="17"/>
        <v>44</v>
      </c>
      <c r="G137" s="78">
        <v>0</v>
      </c>
      <c r="H137" s="70">
        <v>0</v>
      </c>
      <c r="I137" s="70">
        <v>1</v>
      </c>
      <c r="J137" s="78">
        <v>97100</v>
      </c>
      <c r="K137" s="70">
        <v>1</v>
      </c>
      <c r="L137" s="70">
        <f t="shared" si="22"/>
        <v>97098</v>
      </c>
      <c r="M137" s="60">
        <f t="shared" si="23"/>
        <v>38</v>
      </c>
      <c r="N137" s="70">
        <v>9.18</v>
      </c>
      <c r="O137" s="70">
        <v>19.5</v>
      </c>
      <c r="P137" s="78">
        <v>1</v>
      </c>
      <c r="Q137" s="70">
        <v>0</v>
      </c>
      <c r="R137" s="78">
        <v>0</v>
      </c>
      <c r="S137" s="70">
        <v>1</v>
      </c>
      <c r="T137" s="70">
        <v>0</v>
      </c>
      <c r="U137" s="70">
        <v>0</v>
      </c>
      <c r="V137" s="70">
        <v>1</v>
      </c>
      <c r="W137" s="78">
        <v>1</v>
      </c>
      <c r="X137" s="70">
        <v>0</v>
      </c>
      <c r="Y137" s="69">
        <v>1940</v>
      </c>
      <c r="Z137" s="28">
        <v>1</v>
      </c>
      <c r="AA137">
        <v>0</v>
      </c>
      <c r="AB137" s="28">
        <v>1</v>
      </c>
      <c r="AC137">
        <v>0</v>
      </c>
      <c r="AD137" s="28">
        <v>0.93</v>
      </c>
      <c r="AE137">
        <f t="shared" si="21"/>
        <v>6.9999999999999951E-2</v>
      </c>
      <c r="AF137">
        <v>0</v>
      </c>
      <c r="AG137">
        <v>1</v>
      </c>
      <c r="AH137" s="28">
        <v>0.75</v>
      </c>
      <c r="AI137" s="12">
        <f t="shared" si="19"/>
        <v>0.25</v>
      </c>
      <c r="AJ137">
        <v>0.10100000000000001</v>
      </c>
      <c r="AK137">
        <v>0.10100000000000001</v>
      </c>
      <c r="AL137">
        <v>0.79800000000000004</v>
      </c>
      <c r="AM137" s="62" t="s">
        <v>67</v>
      </c>
      <c r="AN137">
        <v>1</v>
      </c>
      <c r="AO137">
        <v>0</v>
      </c>
      <c r="AP137">
        <v>15113</v>
      </c>
      <c r="AQ137">
        <v>528</v>
      </c>
      <c r="AR137">
        <v>0.79400000000000004</v>
      </c>
      <c r="AS137" s="64">
        <v>36.6</v>
      </c>
      <c r="AT137">
        <v>1</v>
      </c>
      <c r="AU137">
        <v>0</v>
      </c>
      <c r="AV137">
        <v>0</v>
      </c>
      <c r="AW137">
        <v>0</v>
      </c>
      <c r="AX137">
        <v>0</v>
      </c>
      <c r="AY137">
        <v>0</v>
      </c>
      <c r="AZ137" s="28">
        <v>0</v>
      </c>
      <c r="BA137">
        <v>0</v>
      </c>
      <c r="BB137">
        <v>0</v>
      </c>
      <c r="BC137" s="28">
        <v>0</v>
      </c>
      <c r="BD137">
        <v>0</v>
      </c>
      <c r="BE137">
        <v>0</v>
      </c>
      <c r="BF137">
        <v>0</v>
      </c>
      <c r="BG137">
        <v>0</v>
      </c>
      <c r="BH137">
        <v>0</v>
      </c>
      <c r="BI137">
        <v>0</v>
      </c>
      <c r="BJ137">
        <v>0</v>
      </c>
      <c r="BK137" s="16">
        <v>0</v>
      </c>
      <c r="BL137">
        <v>8.1000000000000003E-2</v>
      </c>
      <c r="BM137">
        <v>11</v>
      </c>
      <c r="BN137">
        <v>1</v>
      </c>
      <c r="BO137">
        <v>0</v>
      </c>
      <c r="BP137">
        <v>26</v>
      </c>
      <c r="BQ137" t="s">
        <v>34</v>
      </c>
    </row>
    <row r="138" spans="1:69" x14ac:dyDescent="0.25">
      <c r="A138">
        <v>137</v>
      </c>
      <c r="B138">
        <v>10</v>
      </c>
      <c r="C138" t="s">
        <v>250</v>
      </c>
      <c r="D138" s="79">
        <v>6.1</v>
      </c>
      <c r="E138" s="6">
        <v>0.1</v>
      </c>
      <c r="F138" s="6">
        <f t="shared" si="17"/>
        <v>60.999999999999993</v>
      </c>
      <c r="G138" s="78">
        <v>0</v>
      </c>
      <c r="H138" s="70">
        <v>0</v>
      </c>
      <c r="I138" s="70">
        <v>1</v>
      </c>
      <c r="J138" s="78">
        <v>97100</v>
      </c>
      <c r="K138" s="70">
        <v>4</v>
      </c>
      <c r="L138" s="70">
        <f t="shared" si="22"/>
        <v>97095</v>
      </c>
      <c r="M138" s="60">
        <f t="shared" si="23"/>
        <v>38</v>
      </c>
      <c r="N138" s="70">
        <v>9.18</v>
      </c>
      <c r="O138" s="70">
        <v>19.5</v>
      </c>
      <c r="P138" s="78">
        <v>1</v>
      </c>
      <c r="Q138" s="70">
        <v>0</v>
      </c>
      <c r="R138" s="78">
        <v>0</v>
      </c>
      <c r="S138" s="70">
        <v>1</v>
      </c>
      <c r="T138" s="70">
        <v>0</v>
      </c>
      <c r="U138" s="70">
        <v>0</v>
      </c>
      <c r="V138" s="70">
        <v>1</v>
      </c>
      <c r="W138" s="78">
        <v>1</v>
      </c>
      <c r="X138" s="70">
        <v>0</v>
      </c>
      <c r="Y138" s="69">
        <v>1940</v>
      </c>
      <c r="Z138" s="28">
        <v>1</v>
      </c>
      <c r="AA138">
        <v>0</v>
      </c>
      <c r="AB138" s="28">
        <v>1</v>
      </c>
      <c r="AC138">
        <v>0</v>
      </c>
      <c r="AD138" s="28">
        <v>0.93</v>
      </c>
      <c r="AE138">
        <f t="shared" si="21"/>
        <v>6.9999999999999951E-2</v>
      </c>
      <c r="AF138">
        <v>0</v>
      </c>
      <c r="AG138">
        <v>1</v>
      </c>
      <c r="AH138" s="28">
        <v>0.75</v>
      </c>
      <c r="AI138" s="12">
        <f t="shared" si="19"/>
        <v>0.25</v>
      </c>
      <c r="AJ138">
        <v>0.10100000000000001</v>
      </c>
      <c r="AK138">
        <v>0.10100000000000001</v>
      </c>
      <c r="AL138">
        <v>0.79800000000000004</v>
      </c>
      <c r="AM138" s="62" t="s">
        <v>67</v>
      </c>
      <c r="AN138">
        <v>1</v>
      </c>
      <c r="AO138">
        <v>0</v>
      </c>
      <c r="AP138">
        <v>15113</v>
      </c>
      <c r="AQ138">
        <v>528</v>
      </c>
      <c r="AR138">
        <v>0.79400000000000004</v>
      </c>
      <c r="AS138" s="64">
        <v>36.6</v>
      </c>
      <c r="AT138">
        <v>1</v>
      </c>
      <c r="AU138">
        <v>0</v>
      </c>
      <c r="AV138">
        <v>0</v>
      </c>
      <c r="AW138">
        <v>0</v>
      </c>
      <c r="AX138">
        <v>0</v>
      </c>
      <c r="AY138">
        <v>0</v>
      </c>
      <c r="AZ138" s="28">
        <v>0</v>
      </c>
      <c r="BA138">
        <v>0</v>
      </c>
      <c r="BB138">
        <v>0</v>
      </c>
      <c r="BC138" s="28">
        <v>1</v>
      </c>
      <c r="BD138">
        <v>1</v>
      </c>
      <c r="BE138">
        <v>0</v>
      </c>
      <c r="BF138">
        <v>1</v>
      </c>
      <c r="BG138">
        <v>0</v>
      </c>
      <c r="BH138">
        <v>0</v>
      </c>
      <c r="BI138">
        <v>0</v>
      </c>
      <c r="BJ138">
        <v>0</v>
      </c>
      <c r="BK138" s="16">
        <v>0</v>
      </c>
      <c r="BL138">
        <v>8.1000000000000003E-2</v>
      </c>
      <c r="BM138">
        <v>11</v>
      </c>
      <c r="BN138">
        <v>1</v>
      </c>
      <c r="BO138">
        <v>0</v>
      </c>
      <c r="BP138">
        <v>26</v>
      </c>
      <c r="BQ138" t="s">
        <v>34</v>
      </c>
    </row>
    <row r="139" spans="1:69" x14ac:dyDescent="0.25">
      <c r="A139">
        <v>138</v>
      </c>
      <c r="B139">
        <v>10</v>
      </c>
      <c r="C139" t="s">
        <v>250</v>
      </c>
      <c r="D139" s="79">
        <v>4.7</v>
      </c>
      <c r="E139" s="6">
        <v>0.2</v>
      </c>
      <c r="F139" s="6">
        <f t="shared" si="17"/>
        <v>23.5</v>
      </c>
      <c r="G139" s="78">
        <v>0</v>
      </c>
      <c r="H139" s="70">
        <v>0</v>
      </c>
      <c r="I139" s="70">
        <v>1</v>
      </c>
      <c r="J139" s="78">
        <v>13094</v>
      </c>
      <c r="K139" s="70">
        <v>1</v>
      </c>
      <c r="L139" s="70">
        <f t="shared" si="22"/>
        <v>13092</v>
      </c>
      <c r="M139" s="60">
        <f t="shared" si="23"/>
        <v>38</v>
      </c>
      <c r="N139" s="70">
        <v>9.6300000000000008</v>
      </c>
      <c r="O139" s="70">
        <v>18.5</v>
      </c>
      <c r="P139" s="78">
        <v>1</v>
      </c>
      <c r="Q139" s="70">
        <v>0</v>
      </c>
      <c r="R139" s="78">
        <v>0</v>
      </c>
      <c r="S139" s="70">
        <v>1</v>
      </c>
      <c r="T139" s="70">
        <v>0</v>
      </c>
      <c r="U139" s="70">
        <v>0</v>
      </c>
      <c r="V139" s="70">
        <v>1</v>
      </c>
      <c r="W139" s="78">
        <v>1</v>
      </c>
      <c r="X139" s="70">
        <v>0</v>
      </c>
      <c r="Y139" s="69">
        <v>1940</v>
      </c>
      <c r="Z139" s="28">
        <v>1</v>
      </c>
      <c r="AA139">
        <v>0</v>
      </c>
      <c r="AB139" s="28">
        <v>1</v>
      </c>
      <c r="AC139">
        <v>0</v>
      </c>
      <c r="AD139" s="28">
        <v>0.96</v>
      </c>
      <c r="AE139">
        <f t="shared" si="21"/>
        <v>4.0000000000000036E-2</v>
      </c>
      <c r="AF139">
        <v>0</v>
      </c>
      <c r="AG139">
        <v>1</v>
      </c>
      <c r="AH139" s="28">
        <v>0.75</v>
      </c>
      <c r="AI139" s="12">
        <f t="shared" si="19"/>
        <v>0.25</v>
      </c>
      <c r="AJ139">
        <v>0.5</v>
      </c>
      <c r="AK139">
        <v>0.5</v>
      </c>
      <c r="AL139">
        <v>0</v>
      </c>
      <c r="AM139" s="62" t="s">
        <v>67</v>
      </c>
      <c r="AN139">
        <v>1</v>
      </c>
      <c r="AO139">
        <v>0</v>
      </c>
      <c r="AP139">
        <v>15113</v>
      </c>
      <c r="AQ139">
        <v>528</v>
      </c>
      <c r="AR139">
        <v>0.79400000000000004</v>
      </c>
      <c r="AS139" s="64">
        <v>37.5</v>
      </c>
      <c r="AT139">
        <v>1</v>
      </c>
      <c r="AU139">
        <v>0</v>
      </c>
      <c r="AV139">
        <v>0</v>
      </c>
      <c r="AW139">
        <v>0</v>
      </c>
      <c r="AX139">
        <v>0</v>
      </c>
      <c r="AY139">
        <v>0</v>
      </c>
      <c r="AZ139" s="28">
        <v>0</v>
      </c>
      <c r="BA139">
        <v>0</v>
      </c>
      <c r="BB139">
        <v>0</v>
      </c>
      <c r="BC139" s="28">
        <v>0</v>
      </c>
      <c r="BD139">
        <v>0</v>
      </c>
      <c r="BE139">
        <v>0</v>
      </c>
      <c r="BF139">
        <v>0</v>
      </c>
      <c r="BG139">
        <v>0</v>
      </c>
      <c r="BH139">
        <v>0</v>
      </c>
      <c r="BI139">
        <v>0</v>
      </c>
      <c r="BJ139">
        <v>0</v>
      </c>
      <c r="BK139" s="16">
        <v>0</v>
      </c>
      <c r="BL139">
        <v>8.1000000000000003E-2</v>
      </c>
      <c r="BM139">
        <v>11</v>
      </c>
      <c r="BN139">
        <v>1</v>
      </c>
      <c r="BO139">
        <v>0</v>
      </c>
      <c r="BP139">
        <v>26</v>
      </c>
      <c r="BQ139" t="s">
        <v>34</v>
      </c>
    </row>
    <row r="140" spans="1:69" x14ac:dyDescent="0.25">
      <c r="A140">
        <v>139</v>
      </c>
      <c r="B140">
        <v>10</v>
      </c>
      <c r="C140" t="s">
        <v>250</v>
      </c>
      <c r="D140" s="79">
        <v>6.2</v>
      </c>
      <c r="E140" s="6">
        <v>0.2</v>
      </c>
      <c r="F140" s="6">
        <f t="shared" si="17"/>
        <v>31</v>
      </c>
      <c r="G140" s="78">
        <v>0</v>
      </c>
      <c r="H140" s="70">
        <v>0</v>
      </c>
      <c r="I140" s="70">
        <v>1</v>
      </c>
      <c r="J140" s="78">
        <v>13094</v>
      </c>
      <c r="K140" s="70">
        <v>4</v>
      </c>
      <c r="L140" s="70">
        <f t="shared" si="22"/>
        <v>13089</v>
      </c>
      <c r="M140" s="60">
        <f t="shared" si="23"/>
        <v>38</v>
      </c>
      <c r="N140" s="70">
        <v>9.6300000000000008</v>
      </c>
      <c r="O140" s="70">
        <v>18.5</v>
      </c>
      <c r="P140" s="78">
        <v>1</v>
      </c>
      <c r="Q140" s="70">
        <v>0</v>
      </c>
      <c r="R140" s="78">
        <v>0</v>
      </c>
      <c r="S140" s="70">
        <v>1</v>
      </c>
      <c r="T140" s="70">
        <v>0</v>
      </c>
      <c r="U140" s="70">
        <v>0</v>
      </c>
      <c r="V140" s="70">
        <v>1</v>
      </c>
      <c r="W140" s="78">
        <v>1</v>
      </c>
      <c r="X140" s="70">
        <v>0</v>
      </c>
      <c r="Y140" s="69">
        <v>1940</v>
      </c>
      <c r="Z140" s="28">
        <v>1</v>
      </c>
      <c r="AA140">
        <v>0</v>
      </c>
      <c r="AB140" s="28">
        <v>1</v>
      </c>
      <c r="AC140">
        <v>0</v>
      </c>
      <c r="AD140" s="28">
        <v>0.96</v>
      </c>
      <c r="AE140">
        <f t="shared" si="21"/>
        <v>4.0000000000000036E-2</v>
      </c>
      <c r="AF140">
        <v>0</v>
      </c>
      <c r="AG140">
        <v>1</v>
      </c>
      <c r="AH140" s="28">
        <v>0.75</v>
      </c>
      <c r="AI140" s="12">
        <f t="shared" si="19"/>
        <v>0.25</v>
      </c>
      <c r="AJ140">
        <v>0.5</v>
      </c>
      <c r="AK140">
        <v>0.5</v>
      </c>
      <c r="AL140">
        <v>0</v>
      </c>
      <c r="AM140" s="62" t="s">
        <v>67</v>
      </c>
      <c r="AN140">
        <v>1</v>
      </c>
      <c r="AO140">
        <v>0</v>
      </c>
      <c r="AP140">
        <v>15113</v>
      </c>
      <c r="AQ140">
        <v>528</v>
      </c>
      <c r="AR140">
        <v>0.79400000000000004</v>
      </c>
      <c r="AS140" s="64">
        <v>37.5</v>
      </c>
      <c r="AT140">
        <v>1</v>
      </c>
      <c r="AU140">
        <v>0</v>
      </c>
      <c r="AV140">
        <v>0</v>
      </c>
      <c r="AW140">
        <v>0</v>
      </c>
      <c r="AX140">
        <v>0</v>
      </c>
      <c r="AY140">
        <v>0</v>
      </c>
      <c r="AZ140" s="28">
        <v>0</v>
      </c>
      <c r="BA140">
        <v>0</v>
      </c>
      <c r="BB140">
        <v>0</v>
      </c>
      <c r="BC140" s="28">
        <v>1</v>
      </c>
      <c r="BD140">
        <v>1</v>
      </c>
      <c r="BE140">
        <v>0</v>
      </c>
      <c r="BF140">
        <v>1</v>
      </c>
      <c r="BG140">
        <v>0</v>
      </c>
      <c r="BH140">
        <v>0</v>
      </c>
      <c r="BI140">
        <v>0</v>
      </c>
      <c r="BJ140">
        <v>0</v>
      </c>
      <c r="BK140" s="16">
        <v>0</v>
      </c>
      <c r="BL140">
        <v>8.1000000000000003E-2</v>
      </c>
      <c r="BM140">
        <v>11</v>
      </c>
      <c r="BN140">
        <v>1</v>
      </c>
      <c r="BO140">
        <v>0</v>
      </c>
      <c r="BP140">
        <v>26</v>
      </c>
      <c r="BQ140" t="s">
        <v>34</v>
      </c>
    </row>
    <row r="141" spans="1:69" x14ac:dyDescent="0.25">
      <c r="A141">
        <v>140</v>
      </c>
      <c r="B141">
        <v>10</v>
      </c>
      <c r="C141" t="s">
        <v>250</v>
      </c>
      <c r="D141" s="79">
        <v>5.6</v>
      </c>
      <c r="E141" s="6">
        <v>0.4</v>
      </c>
      <c r="F141" s="6">
        <f t="shared" si="17"/>
        <v>13.999999999999998</v>
      </c>
      <c r="G141" s="78">
        <v>0</v>
      </c>
      <c r="H141" s="70">
        <v>0</v>
      </c>
      <c r="I141" s="70">
        <v>1</v>
      </c>
      <c r="J141" s="78">
        <v>13094</v>
      </c>
      <c r="K141" s="70">
        <v>1</v>
      </c>
      <c r="L141" s="70">
        <f t="shared" si="22"/>
        <v>13092</v>
      </c>
      <c r="M141" s="60">
        <f t="shared" si="23"/>
        <v>38</v>
      </c>
      <c r="N141" s="70">
        <v>9.6300000000000008</v>
      </c>
      <c r="O141" s="70">
        <v>18.5</v>
      </c>
      <c r="P141" s="78">
        <v>1</v>
      </c>
      <c r="Q141" s="70">
        <v>0</v>
      </c>
      <c r="R141" s="78">
        <v>0</v>
      </c>
      <c r="S141" s="70">
        <v>1</v>
      </c>
      <c r="T141" s="70">
        <v>0</v>
      </c>
      <c r="U141" s="70">
        <v>0</v>
      </c>
      <c r="V141" s="70">
        <v>1</v>
      </c>
      <c r="W141" s="78">
        <v>1</v>
      </c>
      <c r="X141" s="70">
        <v>0</v>
      </c>
      <c r="Y141" s="69">
        <v>1940</v>
      </c>
      <c r="Z141" s="28">
        <v>1</v>
      </c>
      <c r="AA141">
        <v>0</v>
      </c>
      <c r="AB141" s="28">
        <v>1</v>
      </c>
      <c r="AC141">
        <v>0</v>
      </c>
      <c r="AD141" s="28">
        <v>0.96</v>
      </c>
      <c r="AE141">
        <f t="shared" si="21"/>
        <v>4.0000000000000036E-2</v>
      </c>
      <c r="AF141">
        <v>0</v>
      </c>
      <c r="AG141">
        <v>1</v>
      </c>
      <c r="AH141" s="28">
        <v>0.75</v>
      </c>
      <c r="AI141" s="12">
        <f t="shared" si="19"/>
        <v>0.25</v>
      </c>
      <c r="AJ141">
        <v>0.5</v>
      </c>
      <c r="AK141">
        <v>0.5</v>
      </c>
      <c r="AL141">
        <v>0</v>
      </c>
      <c r="AM141" s="62" t="s">
        <v>67</v>
      </c>
      <c r="AN141">
        <v>1</v>
      </c>
      <c r="AO141">
        <v>0</v>
      </c>
      <c r="AP141">
        <v>15113</v>
      </c>
      <c r="AQ141">
        <v>528</v>
      </c>
      <c r="AR141">
        <v>0.79400000000000004</v>
      </c>
      <c r="AS141" s="64">
        <v>37.5</v>
      </c>
      <c r="AT141">
        <v>0</v>
      </c>
      <c r="AU141">
        <v>0</v>
      </c>
      <c r="AV141">
        <v>1</v>
      </c>
      <c r="AW141">
        <v>0</v>
      </c>
      <c r="AX141">
        <v>0</v>
      </c>
      <c r="AY141">
        <v>0</v>
      </c>
      <c r="AZ141" s="28">
        <v>0</v>
      </c>
      <c r="BA141">
        <v>0</v>
      </c>
      <c r="BB141">
        <v>0</v>
      </c>
      <c r="BC141" s="28">
        <v>0</v>
      </c>
      <c r="BD141">
        <v>0</v>
      </c>
      <c r="BE141">
        <v>0</v>
      </c>
      <c r="BF141">
        <v>0</v>
      </c>
      <c r="BG141">
        <v>0</v>
      </c>
      <c r="BH141">
        <v>0</v>
      </c>
      <c r="BI141">
        <v>0</v>
      </c>
      <c r="BJ141">
        <v>0</v>
      </c>
      <c r="BK141" s="16">
        <v>0</v>
      </c>
      <c r="BL141">
        <v>8.1000000000000003E-2</v>
      </c>
      <c r="BM141">
        <v>11</v>
      </c>
      <c r="BN141">
        <v>1</v>
      </c>
      <c r="BO141">
        <v>0</v>
      </c>
      <c r="BP141">
        <v>26</v>
      </c>
      <c r="BQ141" t="s">
        <v>34</v>
      </c>
    </row>
    <row r="142" spans="1:69" x14ac:dyDescent="0.25">
      <c r="A142">
        <v>141</v>
      </c>
      <c r="B142">
        <v>10</v>
      </c>
      <c r="C142" t="s">
        <v>250</v>
      </c>
      <c r="D142" s="79">
        <v>5.3</v>
      </c>
      <c r="E142" s="6">
        <v>0.2</v>
      </c>
      <c r="F142" s="6">
        <f t="shared" si="17"/>
        <v>26.499999999999996</v>
      </c>
      <c r="G142" s="78">
        <v>0</v>
      </c>
      <c r="H142" s="70">
        <v>0</v>
      </c>
      <c r="I142" s="70">
        <v>1</v>
      </c>
      <c r="J142" s="78">
        <v>8262</v>
      </c>
      <c r="K142" s="70">
        <v>4</v>
      </c>
      <c r="L142" s="70">
        <f t="shared" si="22"/>
        <v>8257</v>
      </c>
      <c r="M142" s="60">
        <f t="shared" si="23"/>
        <v>38</v>
      </c>
      <c r="N142" s="70">
        <v>9.6300000000000008</v>
      </c>
      <c r="O142" s="70">
        <v>18.5</v>
      </c>
      <c r="P142" s="78">
        <v>1</v>
      </c>
      <c r="Q142" s="70">
        <v>0</v>
      </c>
      <c r="R142" s="78">
        <v>0</v>
      </c>
      <c r="S142" s="70">
        <v>1</v>
      </c>
      <c r="T142" s="70">
        <v>0</v>
      </c>
      <c r="U142" s="70">
        <v>0</v>
      </c>
      <c r="V142" s="70">
        <v>1</v>
      </c>
      <c r="W142" s="78">
        <v>1</v>
      </c>
      <c r="X142" s="70">
        <v>0</v>
      </c>
      <c r="Y142" s="69">
        <v>1940</v>
      </c>
      <c r="Z142" s="28">
        <v>1</v>
      </c>
      <c r="AA142">
        <v>0</v>
      </c>
      <c r="AB142" s="28">
        <v>1</v>
      </c>
      <c r="AC142">
        <v>0</v>
      </c>
      <c r="AD142" s="28">
        <v>0.96</v>
      </c>
      <c r="AE142">
        <f t="shared" si="21"/>
        <v>4.0000000000000036E-2</v>
      </c>
      <c r="AF142">
        <v>0</v>
      </c>
      <c r="AG142">
        <v>1</v>
      </c>
      <c r="AH142" s="28">
        <v>0.75</v>
      </c>
      <c r="AI142" s="12">
        <f t="shared" si="19"/>
        <v>0.25</v>
      </c>
      <c r="AJ142">
        <v>0.5</v>
      </c>
      <c r="AK142">
        <v>0.5</v>
      </c>
      <c r="AL142">
        <v>0</v>
      </c>
      <c r="AM142" s="62" t="s">
        <v>67</v>
      </c>
      <c r="AN142">
        <v>1</v>
      </c>
      <c r="AO142">
        <v>0</v>
      </c>
      <c r="AP142">
        <v>15113</v>
      </c>
      <c r="AQ142">
        <v>528</v>
      </c>
      <c r="AR142">
        <v>0.79400000000000004</v>
      </c>
      <c r="AS142" s="64">
        <v>37.5</v>
      </c>
      <c r="AT142">
        <v>1</v>
      </c>
      <c r="AU142">
        <v>0</v>
      </c>
      <c r="AV142">
        <v>0</v>
      </c>
      <c r="AW142">
        <v>0</v>
      </c>
      <c r="AX142">
        <v>0</v>
      </c>
      <c r="AY142">
        <v>0</v>
      </c>
      <c r="AZ142" s="28">
        <v>0</v>
      </c>
      <c r="BA142">
        <v>0</v>
      </c>
      <c r="BB142">
        <v>0</v>
      </c>
      <c r="BC142" s="28">
        <v>1</v>
      </c>
      <c r="BD142">
        <v>1</v>
      </c>
      <c r="BE142">
        <v>0</v>
      </c>
      <c r="BF142">
        <v>1</v>
      </c>
      <c r="BG142">
        <v>0</v>
      </c>
      <c r="BH142">
        <v>0</v>
      </c>
      <c r="BI142">
        <v>0</v>
      </c>
      <c r="BJ142">
        <v>0</v>
      </c>
      <c r="BK142" s="16">
        <v>0</v>
      </c>
      <c r="BL142">
        <v>8.1000000000000003E-2</v>
      </c>
      <c r="BM142">
        <v>11</v>
      </c>
      <c r="BN142">
        <v>1</v>
      </c>
      <c r="BO142">
        <v>0</v>
      </c>
      <c r="BP142">
        <v>26</v>
      </c>
      <c r="BQ142" t="s">
        <v>34</v>
      </c>
    </row>
    <row r="143" spans="1:69" x14ac:dyDescent="0.25">
      <c r="A143">
        <v>142</v>
      </c>
      <c r="B143">
        <v>10</v>
      </c>
      <c r="C143" t="s">
        <v>250</v>
      </c>
      <c r="D143" s="79">
        <v>4.0999999999999996</v>
      </c>
      <c r="E143" s="6">
        <v>0.5</v>
      </c>
      <c r="F143" s="6">
        <f t="shared" si="17"/>
        <v>8.1999999999999993</v>
      </c>
      <c r="G143" s="78">
        <v>0</v>
      </c>
      <c r="H143" s="70">
        <v>0</v>
      </c>
      <c r="I143" s="70">
        <v>1</v>
      </c>
      <c r="J143" s="78">
        <v>8262</v>
      </c>
      <c r="K143" s="70">
        <v>1</v>
      </c>
      <c r="L143" s="70">
        <f t="shared" si="22"/>
        <v>8260</v>
      </c>
      <c r="M143" s="60">
        <f t="shared" si="23"/>
        <v>38</v>
      </c>
      <c r="N143" s="70">
        <v>9.6300000000000008</v>
      </c>
      <c r="O143" s="70">
        <v>18.5</v>
      </c>
      <c r="P143" s="78">
        <v>1</v>
      </c>
      <c r="Q143" s="70">
        <v>0</v>
      </c>
      <c r="R143" s="78">
        <v>0</v>
      </c>
      <c r="S143" s="70">
        <v>1</v>
      </c>
      <c r="T143" s="70">
        <v>0</v>
      </c>
      <c r="U143" s="70">
        <v>0</v>
      </c>
      <c r="V143" s="70">
        <v>1</v>
      </c>
      <c r="W143" s="78">
        <v>1</v>
      </c>
      <c r="X143" s="70">
        <v>0</v>
      </c>
      <c r="Y143" s="69">
        <v>1940</v>
      </c>
      <c r="Z143" s="28">
        <v>1</v>
      </c>
      <c r="AA143">
        <v>0</v>
      </c>
      <c r="AB143" s="28">
        <v>1</v>
      </c>
      <c r="AC143">
        <v>0</v>
      </c>
      <c r="AD143" s="28">
        <v>0.96</v>
      </c>
      <c r="AE143">
        <f t="shared" si="21"/>
        <v>4.0000000000000036E-2</v>
      </c>
      <c r="AF143">
        <v>0</v>
      </c>
      <c r="AG143">
        <v>1</v>
      </c>
      <c r="AH143" s="28">
        <v>0.75</v>
      </c>
      <c r="AI143" s="12">
        <f t="shared" si="19"/>
        <v>0.25</v>
      </c>
      <c r="AJ143">
        <v>0.5</v>
      </c>
      <c r="AK143">
        <v>0.5</v>
      </c>
      <c r="AL143">
        <v>0</v>
      </c>
      <c r="AM143" s="62" t="s">
        <v>67</v>
      </c>
      <c r="AN143">
        <v>1</v>
      </c>
      <c r="AO143">
        <v>0</v>
      </c>
      <c r="AP143">
        <v>15113</v>
      </c>
      <c r="AQ143">
        <v>528</v>
      </c>
      <c r="AR143">
        <v>0.79400000000000004</v>
      </c>
      <c r="AS143" s="64">
        <v>37.5</v>
      </c>
      <c r="AT143">
        <v>0</v>
      </c>
      <c r="AU143">
        <v>0</v>
      </c>
      <c r="AV143">
        <v>1</v>
      </c>
      <c r="AW143">
        <v>0</v>
      </c>
      <c r="AX143">
        <v>0</v>
      </c>
      <c r="AY143">
        <v>0</v>
      </c>
      <c r="AZ143" s="28">
        <v>0</v>
      </c>
      <c r="BA143">
        <v>0</v>
      </c>
      <c r="BB143">
        <v>0</v>
      </c>
      <c r="BC143" s="28">
        <v>0</v>
      </c>
      <c r="BD143">
        <v>0</v>
      </c>
      <c r="BE143">
        <v>0</v>
      </c>
      <c r="BF143">
        <v>0</v>
      </c>
      <c r="BG143">
        <v>0</v>
      </c>
      <c r="BH143">
        <v>0</v>
      </c>
      <c r="BI143">
        <v>0</v>
      </c>
      <c r="BJ143">
        <v>0</v>
      </c>
      <c r="BK143" s="16">
        <v>0</v>
      </c>
      <c r="BL143">
        <v>8.1000000000000003E-2</v>
      </c>
      <c r="BM143">
        <v>11</v>
      </c>
      <c r="BN143">
        <v>1</v>
      </c>
      <c r="BO143">
        <v>0</v>
      </c>
      <c r="BP143">
        <v>26</v>
      </c>
      <c r="BQ143" t="s">
        <v>34</v>
      </c>
    </row>
    <row r="144" spans="1:69" x14ac:dyDescent="0.25">
      <c r="A144">
        <v>143</v>
      </c>
      <c r="B144">
        <v>10</v>
      </c>
      <c r="C144" t="s">
        <v>250</v>
      </c>
      <c r="D144" s="79">
        <v>6.3</v>
      </c>
      <c r="E144" s="6">
        <v>0.5</v>
      </c>
      <c r="F144" s="6">
        <f t="shared" si="17"/>
        <v>12.6</v>
      </c>
      <c r="G144" s="78">
        <v>0</v>
      </c>
      <c r="H144" s="70">
        <v>0</v>
      </c>
      <c r="I144" s="70">
        <v>1</v>
      </c>
      <c r="J144" s="78">
        <v>1644</v>
      </c>
      <c r="K144" s="70">
        <v>4</v>
      </c>
      <c r="L144" s="70">
        <f t="shared" si="22"/>
        <v>1639</v>
      </c>
      <c r="M144" s="60">
        <f t="shared" si="23"/>
        <v>38</v>
      </c>
      <c r="N144" s="70">
        <v>9.6300000000000008</v>
      </c>
      <c r="O144" s="70">
        <v>18.5</v>
      </c>
      <c r="P144" s="78">
        <v>1</v>
      </c>
      <c r="Q144" s="70">
        <v>0</v>
      </c>
      <c r="R144" s="78">
        <v>0</v>
      </c>
      <c r="S144" s="70">
        <v>1</v>
      </c>
      <c r="T144" s="70">
        <v>0</v>
      </c>
      <c r="U144" s="70">
        <v>0</v>
      </c>
      <c r="V144" s="70">
        <v>1</v>
      </c>
      <c r="W144" s="78">
        <v>1</v>
      </c>
      <c r="X144" s="70">
        <v>0</v>
      </c>
      <c r="Y144" s="69">
        <v>1940</v>
      </c>
      <c r="Z144" s="28">
        <v>1</v>
      </c>
      <c r="AA144">
        <v>0</v>
      </c>
      <c r="AB144" s="28">
        <v>1</v>
      </c>
      <c r="AC144">
        <v>0</v>
      </c>
      <c r="AD144" s="28">
        <v>0.96</v>
      </c>
      <c r="AE144">
        <f t="shared" si="21"/>
        <v>4.0000000000000036E-2</v>
      </c>
      <c r="AF144">
        <v>0</v>
      </c>
      <c r="AG144">
        <v>1</v>
      </c>
      <c r="AH144" s="28">
        <v>0.75</v>
      </c>
      <c r="AI144" s="12">
        <f t="shared" si="19"/>
        <v>0.25</v>
      </c>
      <c r="AJ144">
        <v>0.5</v>
      </c>
      <c r="AK144">
        <v>0.5</v>
      </c>
      <c r="AL144">
        <v>0</v>
      </c>
      <c r="AM144" s="62" t="s">
        <v>67</v>
      </c>
      <c r="AN144">
        <v>1</v>
      </c>
      <c r="AO144">
        <v>0</v>
      </c>
      <c r="AP144">
        <v>15113</v>
      </c>
      <c r="AQ144">
        <v>528</v>
      </c>
      <c r="AR144">
        <v>0.79400000000000004</v>
      </c>
      <c r="AS144" s="64">
        <v>37.5</v>
      </c>
      <c r="AT144">
        <v>1</v>
      </c>
      <c r="AU144">
        <v>0</v>
      </c>
      <c r="AV144">
        <v>0</v>
      </c>
      <c r="AW144">
        <v>0</v>
      </c>
      <c r="AX144">
        <v>0</v>
      </c>
      <c r="AY144">
        <v>0</v>
      </c>
      <c r="AZ144" s="28">
        <v>0</v>
      </c>
      <c r="BA144">
        <v>0</v>
      </c>
      <c r="BB144">
        <v>0</v>
      </c>
      <c r="BC144" s="28">
        <v>1</v>
      </c>
      <c r="BD144">
        <v>1</v>
      </c>
      <c r="BE144">
        <v>0</v>
      </c>
      <c r="BF144">
        <v>1</v>
      </c>
      <c r="BG144">
        <v>0</v>
      </c>
      <c r="BH144">
        <v>0</v>
      </c>
      <c r="BI144">
        <v>0</v>
      </c>
      <c r="BJ144">
        <v>0</v>
      </c>
      <c r="BK144" s="16">
        <v>0</v>
      </c>
      <c r="BL144">
        <v>8.1000000000000003E-2</v>
      </c>
      <c r="BM144">
        <v>11</v>
      </c>
      <c r="BN144">
        <v>1</v>
      </c>
      <c r="BO144">
        <v>0</v>
      </c>
      <c r="BP144">
        <v>26</v>
      </c>
      <c r="BQ144" t="s">
        <v>34</v>
      </c>
    </row>
    <row r="145" spans="1:69" x14ac:dyDescent="0.25">
      <c r="A145">
        <v>144</v>
      </c>
      <c r="B145">
        <v>10</v>
      </c>
      <c r="C145" t="s">
        <v>250</v>
      </c>
      <c r="D145" s="79">
        <v>4.5</v>
      </c>
      <c r="E145" s="6">
        <v>1</v>
      </c>
      <c r="F145" s="6">
        <f t="shared" si="17"/>
        <v>4.5</v>
      </c>
      <c r="G145" s="78">
        <v>0</v>
      </c>
      <c r="H145" s="70">
        <v>0</v>
      </c>
      <c r="I145" s="70">
        <v>1</v>
      </c>
      <c r="J145" s="78">
        <v>1644</v>
      </c>
      <c r="K145" s="70">
        <v>1</v>
      </c>
      <c r="L145" s="70">
        <f t="shared" si="22"/>
        <v>1642</v>
      </c>
      <c r="M145" s="60">
        <f t="shared" si="23"/>
        <v>38</v>
      </c>
      <c r="N145" s="70">
        <v>9.6300000000000008</v>
      </c>
      <c r="O145" s="70">
        <v>18.5</v>
      </c>
      <c r="P145" s="78">
        <v>1</v>
      </c>
      <c r="Q145" s="70">
        <v>0</v>
      </c>
      <c r="R145" s="78">
        <v>0</v>
      </c>
      <c r="S145" s="70">
        <v>1</v>
      </c>
      <c r="T145" s="70">
        <v>0</v>
      </c>
      <c r="U145" s="70">
        <v>0</v>
      </c>
      <c r="V145" s="70">
        <v>1</v>
      </c>
      <c r="W145" s="78">
        <v>1</v>
      </c>
      <c r="X145" s="70">
        <v>0</v>
      </c>
      <c r="Y145" s="69">
        <v>1940</v>
      </c>
      <c r="Z145" s="28">
        <v>1</v>
      </c>
      <c r="AA145">
        <v>0</v>
      </c>
      <c r="AB145" s="28">
        <v>1</v>
      </c>
      <c r="AC145">
        <v>0</v>
      </c>
      <c r="AD145" s="28">
        <v>0.96</v>
      </c>
      <c r="AE145">
        <f t="shared" si="21"/>
        <v>4.0000000000000036E-2</v>
      </c>
      <c r="AF145">
        <v>0</v>
      </c>
      <c r="AG145">
        <v>1</v>
      </c>
      <c r="AH145" s="28">
        <v>0.75</v>
      </c>
      <c r="AI145" s="12">
        <f t="shared" si="19"/>
        <v>0.25</v>
      </c>
      <c r="AJ145">
        <v>0.5</v>
      </c>
      <c r="AK145">
        <v>0.5</v>
      </c>
      <c r="AL145">
        <v>0</v>
      </c>
      <c r="AM145" s="62" t="s">
        <v>67</v>
      </c>
      <c r="AN145">
        <v>1</v>
      </c>
      <c r="AO145">
        <v>0</v>
      </c>
      <c r="AP145">
        <v>15113</v>
      </c>
      <c r="AQ145">
        <v>528</v>
      </c>
      <c r="AR145">
        <v>0.79400000000000004</v>
      </c>
      <c r="AS145" s="64">
        <v>37.5</v>
      </c>
      <c r="AT145">
        <v>0</v>
      </c>
      <c r="AU145">
        <v>0</v>
      </c>
      <c r="AV145">
        <v>1</v>
      </c>
      <c r="AW145">
        <v>0</v>
      </c>
      <c r="AX145">
        <v>0</v>
      </c>
      <c r="AY145">
        <v>0</v>
      </c>
      <c r="AZ145" s="28">
        <v>0</v>
      </c>
      <c r="BA145">
        <v>0</v>
      </c>
      <c r="BB145">
        <v>0</v>
      </c>
      <c r="BC145" s="28">
        <v>0</v>
      </c>
      <c r="BD145">
        <v>0</v>
      </c>
      <c r="BE145">
        <v>0</v>
      </c>
      <c r="BF145">
        <v>0</v>
      </c>
      <c r="BG145">
        <v>0</v>
      </c>
      <c r="BH145">
        <v>0</v>
      </c>
      <c r="BI145">
        <v>0</v>
      </c>
      <c r="BJ145">
        <v>0</v>
      </c>
      <c r="BK145" s="16">
        <v>0</v>
      </c>
      <c r="BL145">
        <v>8.1000000000000003E-2</v>
      </c>
      <c r="BM145">
        <v>11</v>
      </c>
      <c r="BN145">
        <v>1</v>
      </c>
      <c r="BO145">
        <v>0</v>
      </c>
      <c r="BP145">
        <v>26</v>
      </c>
      <c r="BQ145" t="s">
        <v>34</v>
      </c>
    </row>
    <row r="146" spans="1:69" x14ac:dyDescent="0.25">
      <c r="A146">
        <v>145</v>
      </c>
      <c r="B146">
        <v>10</v>
      </c>
      <c r="C146" t="s">
        <v>250</v>
      </c>
      <c r="D146" s="79">
        <v>5.7</v>
      </c>
      <c r="E146" s="6">
        <v>0.9</v>
      </c>
      <c r="F146" s="6">
        <f t="shared" si="17"/>
        <v>6.333333333333333</v>
      </c>
      <c r="G146" s="78">
        <v>0</v>
      </c>
      <c r="H146" s="70">
        <v>0</v>
      </c>
      <c r="I146" s="70">
        <v>1</v>
      </c>
      <c r="J146" s="78">
        <v>312</v>
      </c>
      <c r="K146" s="70">
        <v>4</v>
      </c>
      <c r="L146" s="70">
        <f t="shared" si="22"/>
        <v>307</v>
      </c>
      <c r="M146" s="60">
        <f t="shared" si="23"/>
        <v>38</v>
      </c>
      <c r="N146" s="70">
        <v>9.6300000000000008</v>
      </c>
      <c r="O146" s="70">
        <v>18.5</v>
      </c>
      <c r="P146" s="78">
        <v>1</v>
      </c>
      <c r="Q146" s="70">
        <v>0</v>
      </c>
      <c r="R146" s="78">
        <v>0</v>
      </c>
      <c r="S146" s="70">
        <v>1</v>
      </c>
      <c r="T146" s="70">
        <v>0</v>
      </c>
      <c r="U146" s="70">
        <v>0</v>
      </c>
      <c r="V146" s="70">
        <v>1</v>
      </c>
      <c r="W146" s="78">
        <v>1</v>
      </c>
      <c r="X146" s="70">
        <v>0</v>
      </c>
      <c r="Y146" s="69">
        <v>1940</v>
      </c>
      <c r="Z146" s="28">
        <v>1</v>
      </c>
      <c r="AA146">
        <v>0</v>
      </c>
      <c r="AB146" s="28">
        <v>1</v>
      </c>
      <c r="AC146">
        <v>0</v>
      </c>
      <c r="AD146" s="28">
        <v>0.96</v>
      </c>
      <c r="AE146">
        <f t="shared" si="21"/>
        <v>4.0000000000000036E-2</v>
      </c>
      <c r="AF146">
        <v>0</v>
      </c>
      <c r="AG146">
        <v>1</v>
      </c>
      <c r="AH146" s="28">
        <v>0.75</v>
      </c>
      <c r="AI146" s="12">
        <f t="shared" si="19"/>
        <v>0.25</v>
      </c>
      <c r="AJ146">
        <v>0.5</v>
      </c>
      <c r="AK146">
        <v>0.5</v>
      </c>
      <c r="AL146">
        <v>0</v>
      </c>
      <c r="AM146" s="62" t="s">
        <v>67</v>
      </c>
      <c r="AN146">
        <v>1</v>
      </c>
      <c r="AO146">
        <v>0</v>
      </c>
      <c r="AP146">
        <v>15113</v>
      </c>
      <c r="AQ146">
        <v>528</v>
      </c>
      <c r="AR146">
        <v>0.79400000000000004</v>
      </c>
      <c r="AS146" s="64">
        <v>37.5</v>
      </c>
      <c r="AT146">
        <v>1</v>
      </c>
      <c r="AU146">
        <v>0</v>
      </c>
      <c r="AV146">
        <v>0</v>
      </c>
      <c r="AW146">
        <v>0</v>
      </c>
      <c r="AX146">
        <v>0</v>
      </c>
      <c r="AY146">
        <v>0</v>
      </c>
      <c r="AZ146" s="28">
        <v>0</v>
      </c>
      <c r="BA146">
        <v>0</v>
      </c>
      <c r="BB146">
        <v>0</v>
      </c>
      <c r="BC146" s="28">
        <v>1</v>
      </c>
      <c r="BD146">
        <v>1</v>
      </c>
      <c r="BE146">
        <v>0</v>
      </c>
      <c r="BF146">
        <v>1</v>
      </c>
      <c r="BG146">
        <v>0</v>
      </c>
      <c r="BH146">
        <v>0</v>
      </c>
      <c r="BI146">
        <v>0</v>
      </c>
      <c r="BJ146">
        <v>0</v>
      </c>
      <c r="BK146" s="16">
        <v>0</v>
      </c>
      <c r="BL146">
        <v>8.1000000000000003E-2</v>
      </c>
      <c r="BM146">
        <v>11</v>
      </c>
      <c r="BN146">
        <v>1</v>
      </c>
      <c r="BO146">
        <v>0</v>
      </c>
      <c r="BP146">
        <v>26</v>
      </c>
      <c r="BQ146" t="s">
        <v>34</v>
      </c>
    </row>
    <row r="147" spans="1:69" x14ac:dyDescent="0.25">
      <c r="A147">
        <v>146</v>
      </c>
      <c r="B147">
        <v>10</v>
      </c>
      <c r="C147" t="s">
        <v>250</v>
      </c>
      <c r="D147" s="79">
        <v>5.3</v>
      </c>
      <c r="E147" s="6">
        <v>2.6</v>
      </c>
      <c r="F147" s="6">
        <f t="shared" si="17"/>
        <v>2.0384615384615383</v>
      </c>
      <c r="G147" s="78">
        <v>0</v>
      </c>
      <c r="H147" s="70">
        <v>0</v>
      </c>
      <c r="I147" s="70">
        <v>1</v>
      </c>
      <c r="J147" s="78">
        <v>312</v>
      </c>
      <c r="K147" s="70">
        <v>1</v>
      </c>
      <c r="L147" s="70">
        <f t="shared" si="22"/>
        <v>310</v>
      </c>
      <c r="M147" s="60">
        <f t="shared" si="23"/>
        <v>38</v>
      </c>
      <c r="N147" s="70">
        <v>9.6300000000000008</v>
      </c>
      <c r="O147" s="70">
        <v>18.5</v>
      </c>
      <c r="P147" s="78">
        <v>1</v>
      </c>
      <c r="Q147" s="70">
        <v>0</v>
      </c>
      <c r="R147" s="78">
        <v>0</v>
      </c>
      <c r="S147" s="70">
        <v>1</v>
      </c>
      <c r="T147" s="70">
        <v>0</v>
      </c>
      <c r="U147" s="70">
        <v>0</v>
      </c>
      <c r="V147" s="70">
        <v>1</v>
      </c>
      <c r="W147" s="78">
        <v>1</v>
      </c>
      <c r="X147" s="70">
        <v>0</v>
      </c>
      <c r="Y147" s="69">
        <v>1940</v>
      </c>
      <c r="Z147" s="28">
        <v>1</v>
      </c>
      <c r="AA147">
        <v>0</v>
      </c>
      <c r="AB147" s="28">
        <v>1</v>
      </c>
      <c r="AC147">
        <v>0</v>
      </c>
      <c r="AD147" s="28">
        <v>0.96</v>
      </c>
      <c r="AE147">
        <f t="shared" si="21"/>
        <v>4.0000000000000036E-2</v>
      </c>
      <c r="AF147">
        <v>0</v>
      </c>
      <c r="AG147">
        <v>1</v>
      </c>
      <c r="AH147" s="28">
        <v>0.75</v>
      </c>
      <c r="AI147" s="12">
        <f t="shared" si="19"/>
        <v>0.25</v>
      </c>
      <c r="AJ147">
        <v>0.5</v>
      </c>
      <c r="AK147">
        <v>0.5</v>
      </c>
      <c r="AL147">
        <v>0</v>
      </c>
      <c r="AM147" s="62" t="s">
        <v>67</v>
      </c>
      <c r="AN147">
        <v>1</v>
      </c>
      <c r="AO147">
        <v>0</v>
      </c>
      <c r="AP147">
        <v>15113</v>
      </c>
      <c r="AQ147">
        <v>528</v>
      </c>
      <c r="AR147">
        <v>0.79400000000000004</v>
      </c>
      <c r="AS147" s="64">
        <v>37.5</v>
      </c>
      <c r="AT147">
        <v>0</v>
      </c>
      <c r="AU147">
        <v>0</v>
      </c>
      <c r="AV147">
        <v>1</v>
      </c>
      <c r="AW147">
        <v>0</v>
      </c>
      <c r="AX147">
        <v>0</v>
      </c>
      <c r="AY147">
        <v>0</v>
      </c>
      <c r="AZ147" s="28">
        <v>0</v>
      </c>
      <c r="BA147">
        <v>0</v>
      </c>
      <c r="BB147">
        <v>0</v>
      </c>
      <c r="BC147" s="28">
        <v>0</v>
      </c>
      <c r="BD147">
        <v>0</v>
      </c>
      <c r="BE147">
        <v>0</v>
      </c>
      <c r="BF147">
        <v>0</v>
      </c>
      <c r="BG147">
        <v>0</v>
      </c>
      <c r="BH147">
        <v>0</v>
      </c>
      <c r="BI147">
        <v>0</v>
      </c>
      <c r="BJ147">
        <v>0</v>
      </c>
      <c r="BK147" s="16">
        <v>0</v>
      </c>
      <c r="BL147">
        <v>8.1000000000000003E-2</v>
      </c>
      <c r="BM147">
        <v>11</v>
      </c>
      <c r="BN147">
        <v>1</v>
      </c>
      <c r="BO147">
        <v>0</v>
      </c>
      <c r="BP147">
        <v>26</v>
      </c>
      <c r="BQ147" t="s">
        <v>34</v>
      </c>
    </row>
    <row r="148" spans="1:69" x14ac:dyDescent="0.25">
      <c r="A148">
        <v>147</v>
      </c>
      <c r="B148">
        <v>10</v>
      </c>
      <c r="C148" t="s">
        <v>250</v>
      </c>
      <c r="D148" s="79">
        <v>4.4000000000000004</v>
      </c>
      <c r="E148" s="6">
        <v>0.2</v>
      </c>
      <c r="F148" s="6">
        <f t="shared" si="17"/>
        <v>22</v>
      </c>
      <c r="G148" s="78">
        <v>0</v>
      </c>
      <c r="H148" s="70">
        <v>0</v>
      </c>
      <c r="I148" s="70">
        <v>1</v>
      </c>
      <c r="J148" s="78">
        <v>38652</v>
      </c>
      <c r="K148" s="70">
        <v>1</v>
      </c>
      <c r="L148" s="70">
        <f t="shared" si="22"/>
        <v>38650</v>
      </c>
      <c r="M148" s="60">
        <f t="shared" si="23"/>
        <v>38</v>
      </c>
      <c r="N148" s="70">
        <v>9.6300000000000008</v>
      </c>
      <c r="O148" s="70">
        <v>18.5</v>
      </c>
      <c r="P148" s="78">
        <v>1</v>
      </c>
      <c r="Q148" s="70">
        <v>0</v>
      </c>
      <c r="R148" s="78">
        <v>0</v>
      </c>
      <c r="S148" s="70">
        <v>1</v>
      </c>
      <c r="T148" s="70">
        <v>0</v>
      </c>
      <c r="U148" s="70">
        <v>0</v>
      </c>
      <c r="V148" s="70">
        <v>1</v>
      </c>
      <c r="W148" s="78">
        <v>1</v>
      </c>
      <c r="X148" s="70">
        <v>0</v>
      </c>
      <c r="Y148" s="69">
        <v>1940</v>
      </c>
      <c r="Z148" s="28">
        <v>1</v>
      </c>
      <c r="AA148">
        <v>0</v>
      </c>
      <c r="AB148" s="28">
        <v>1</v>
      </c>
      <c r="AC148">
        <v>0</v>
      </c>
      <c r="AD148" s="28">
        <v>0.96</v>
      </c>
      <c r="AE148">
        <f t="shared" si="21"/>
        <v>4.0000000000000036E-2</v>
      </c>
      <c r="AF148">
        <v>0</v>
      </c>
      <c r="AG148">
        <v>1</v>
      </c>
      <c r="AH148" s="28">
        <v>0.75</v>
      </c>
      <c r="AI148" s="12">
        <f t="shared" si="19"/>
        <v>0.25</v>
      </c>
      <c r="AJ148">
        <v>0.5</v>
      </c>
      <c r="AK148">
        <v>0.5</v>
      </c>
      <c r="AL148">
        <v>0</v>
      </c>
      <c r="AM148" s="62" t="s">
        <v>67</v>
      </c>
      <c r="AN148">
        <v>1</v>
      </c>
      <c r="AO148">
        <v>0</v>
      </c>
      <c r="AP148">
        <v>15113</v>
      </c>
      <c r="AQ148">
        <v>528</v>
      </c>
      <c r="AR148">
        <v>0.79400000000000004</v>
      </c>
      <c r="AS148" s="64">
        <v>37.5</v>
      </c>
      <c r="AT148">
        <v>0</v>
      </c>
      <c r="AU148">
        <v>0</v>
      </c>
      <c r="AV148">
        <v>1</v>
      </c>
      <c r="AW148">
        <v>0</v>
      </c>
      <c r="AX148">
        <v>0</v>
      </c>
      <c r="AY148">
        <v>0</v>
      </c>
      <c r="AZ148" s="28">
        <v>0</v>
      </c>
      <c r="BA148">
        <v>0</v>
      </c>
      <c r="BB148">
        <v>0</v>
      </c>
      <c r="BC148" s="28">
        <v>1</v>
      </c>
      <c r="BD148">
        <v>1</v>
      </c>
      <c r="BE148">
        <v>0</v>
      </c>
      <c r="BF148">
        <v>1</v>
      </c>
      <c r="BG148">
        <v>0</v>
      </c>
      <c r="BH148">
        <v>0</v>
      </c>
      <c r="BI148">
        <v>0</v>
      </c>
      <c r="BJ148">
        <v>0</v>
      </c>
      <c r="BK148" s="16">
        <v>0</v>
      </c>
      <c r="BL148">
        <v>8.1000000000000003E-2</v>
      </c>
      <c r="BM148">
        <v>11</v>
      </c>
      <c r="BN148">
        <v>1</v>
      </c>
      <c r="BO148">
        <v>0</v>
      </c>
      <c r="BP148">
        <v>26</v>
      </c>
      <c r="BQ148" t="s">
        <v>34</v>
      </c>
    </row>
    <row r="149" spans="1:69" x14ac:dyDescent="0.25">
      <c r="A149">
        <v>148</v>
      </c>
      <c r="B149">
        <v>10</v>
      </c>
      <c r="C149" t="s">
        <v>250</v>
      </c>
      <c r="D149" s="79">
        <v>3</v>
      </c>
      <c r="E149" s="6">
        <v>0.2</v>
      </c>
      <c r="F149" s="6">
        <f t="shared" si="17"/>
        <v>15</v>
      </c>
      <c r="G149" s="78">
        <v>0</v>
      </c>
      <c r="H149" s="70">
        <v>0</v>
      </c>
      <c r="I149" s="70">
        <v>1</v>
      </c>
      <c r="J149" s="78">
        <v>38652</v>
      </c>
      <c r="K149" s="70">
        <v>1</v>
      </c>
      <c r="L149" s="70">
        <f t="shared" si="22"/>
        <v>38650</v>
      </c>
      <c r="M149" s="60">
        <f t="shared" si="23"/>
        <v>38</v>
      </c>
      <c r="N149" s="70">
        <v>9.6300000000000008</v>
      </c>
      <c r="O149" s="70">
        <v>18.5</v>
      </c>
      <c r="P149" s="78">
        <v>1</v>
      </c>
      <c r="Q149" s="70">
        <v>0</v>
      </c>
      <c r="R149" s="78">
        <v>0</v>
      </c>
      <c r="S149" s="70">
        <v>1</v>
      </c>
      <c r="T149" s="70">
        <v>0</v>
      </c>
      <c r="U149" s="70">
        <v>0</v>
      </c>
      <c r="V149" s="70">
        <v>1</v>
      </c>
      <c r="W149" s="78">
        <v>1</v>
      </c>
      <c r="X149" s="70">
        <v>0</v>
      </c>
      <c r="Y149" s="69">
        <v>1940</v>
      </c>
      <c r="Z149" s="28">
        <v>1</v>
      </c>
      <c r="AA149">
        <v>0</v>
      </c>
      <c r="AB149" s="28">
        <v>1</v>
      </c>
      <c r="AC149">
        <v>0</v>
      </c>
      <c r="AD149" s="28">
        <v>0.96</v>
      </c>
      <c r="AE149">
        <f t="shared" si="21"/>
        <v>4.0000000000000036E-2</v>
      </c>
      <c r="AF149">
        <v>0</v>
      </c>
      <c r="AG149">
        <v>1</v>
      </c>
      <c r="AH149" s="28">
        <v>0.75</v>
      </c>
      <c r="AI149" s="12">
        <f t="shared" si="19"/>
        <v>0.25</v>
      </c>
      <c r="AJ149">
        <v>0.5</v>
      </c>
      <c r="AK149">
        <v>0.5</v>
      </c>
      <c r="AL149">
        <v>0</v>
      </c>
      <c r="AM149" s="62" t="s">
        <v>67</v>
      </c>
      <c r="AN149">
        <v>1</v>
      </c>
      <c r="AO149">
        <v>0</v>
      </c>
      <c r="AP149">
        <v>15113</v>
      </c>
      <c r="AQ149">
        <v>528</v>
      </c>
      <c r="AR149">
        <v>0.79400000000000004</v>
      </c>
      <c r="AS149" s="64">
        <v>37.5</v>
      </c>
      <c r="AT149">
        <v>0</v>
      </c>
      <c r="AU149">
        <v>0</v>
      </c>
      <c r="AV149">
        <v>1</v>
      </c>
      <c r="AW149">
        <v>0</v>
      </c>
      <c r="AX149">
        <v>0</v>
      </c>
      <c r="AY149">
        <v>0</v>
      </c>
      <c r="AZ149" s="28">
        <v>0</v>
      </c>
      <c r="BA149">
        <v>0</v>
      </c>
      <c r="BB149">
        <v>0</v>
      </c>
      <c r="BC149" s="28">
        <v>1</v>
      </c>
      <c r="BD149">
        <v>1</v>
      </c>
      <c r="BE149">
        <v>0</v>
      </c>
      <c r="BF149">
        <v>1</v>
      </c>
      <c r="BG149">
        <v>0</v>
      </c>
      <c r="BH149">
        <v>0</v>
      </c>
      <c r="BI149">
        <v>0</v>
      </c>
      <c r="BJ149">
        <v>0</v>
      </c>
      <c r="BK149" s="16">
        <v>0</v>
      </c>
      <c r="BL149">
        <v>8.1000000000000003E-2</v>
      </c>
      <c r="BM149">
        <v>11</v>
      </c>
      <c r="BN149">
        <v>1</v>
      </c>
      <c r="BO149">
        <v>0</v>
      </c>
      <c r="BP149">
        <v>26</v>
      </c>
      <c r="BQ149" t="s">
        <v>34</v>
      </c>
    </row>
    <row r="150" spans="1:69" x14ac:dyDescent="0.25">
      <c r="A150">
        <v>149</v>
      </c>
      <c r="B150">
        <v>10</v>
      </c>
      <c r="C150" t="s">
        <v>250</v>
      </c>
      <c r="D150" s="79">
        <v>2.9</v>
      </c>
      <c r="E150" s="6">
        <v>0.2</v>
      </c>
      <c r="F150" s="6">
        <f t="shared" si="17"/>
        <v>14.499999999999998</v>
      </c>
      <c r="G150" s="78">
        <v>0</v>
      </c>
      <c r="H150" s="70">
        <v>0</v>
      </c>
      <c r="I150" s="70">
        <v>1</v>
      </c>
      <c r="J150" s="78">
        <v>38652</v>
      </c>
      <c r="K150" s="70">
        <v>1</v>
      </c>
      <c r="L150" s="70">
        <f t="shared" si="22"/>
        <v>38650</v>
      </c>
      <c r="M150" s="60">
        <f t="shared" si="23"/>
        <v>38</v>
      </c>
      <c r="N150" s="70">
        <v>9.6300000000000008</v>
      </c>
      <c r="O150" s="70">
        <v>18.5</v>
      </c>
      <c r="P150" s="78">
        <v>1</v>
      </c>
      <c r="Q150" s="70">
        <v>0</v>
      </c>
      <c r="R150" s="78">
        <v>0</v>
      </c>
      <c r="S150" s="70">
        <v>1</v>
      </c>
      <c r="T150" s="70">
        <v>0</v>
      </c>
      <c r="U150" s="70">
        <v>0</v>
      </c>
      <c r="V150" s="70">
        <v>1</v>
      </c>
      <c r="W150" s="78">
        <v>1</v>
      </c>
      <c r="X150" s="70">
        <v>0</v>
      </c>
      <c r="Y150" s="69">
        <v>1940</v>
      </c>
      <c r="Z150" s="28">
        <v>1</v>
      </c>
      <c r="AA150">
        <v>0</v>
      </c>
      <c r="AB150" s="28">
        <v>1</v>
      </c>
      <c r="AC150">
        <v>0</v>
      </c>
      <c r="AD150" s="28">
        <v>0.96</v>
      </c>
      <c r="AE150">
        <f t="shared" si="21"/>
        <v>4.0000000000000036E-2</v>
      </c>
      <c r="AF150">
        <v>0</v>
      </c>
      <c r="AG150">
        <v>1</v>
      </c>
      <c r="AH150" s="28">
        <v>0.75</v>
      </c>
      <c r="AI150" s="12">
        <f t="shared" si="19"/>
        <v>0.25</v>
      </c>
      <c r="AJ150">
        <v>0.5</v>
      </c>
      <c r="AK150">
        <v>0.5</v>
      </c>
      <c r="AL150">
        <v>0</v>
      </c>
      <c r="AM150" s="62" t="s">
        <v>67</v>
      </c>
      <c r="AN150">
        <v>1</v>
      </c>
      <c r="AO150">
        <v>0</v>
      </c>
      <c r="AP150">
        <v>15113</v>
      </c>
      <c r="AQ150">
        <v>528</v>
      </c>
      <c r="AR150">
        <v>0.79400000000000004</v>
      </c>
      <c r="AS150" s="64">
        <v>37.5</v>
      </c>
      <c r="AT150">
        <v>0</v>
      </c>
      <c r="AU150">
        <v>0</v>
      </c>
      <c r="AV150">
        <v>1</v>
      </c>
      <c r="AW150">
        <v>0</v>
      </c>
      <c r="AX150">
        <v>0</v>
      </c>
      <c r="AY150">
        <v>0</v>
      </c>
      <c r="AZ150" s="28">
        <v>0</v>
      </c>
      <c r="BA150">
        <v>0</v>
      </c>
      <c r="BB150">
        <v>0</v>
      </c>
      <c r="BC150" s="28">
        <v>1</v>
      </c>
      <c r="BD150">
        <v>1</v>
      </c>
      <c r="BE150">
        <v>0</v>
      </c>
      <c r="BF150">
        <v>1</v>
      </c>
      <c r="BG150">
        <v>0</v>
      </c>
      <c r="BH150">
        <v>0</v>
      </c>
      <c r="BI150">
        <v>0</v>
      </c>
      <c r="BJ150">
        <v>0</v>
      </c>
      <c r="BK150" s="16">
        <v>0</v>
      </c>
      <c r="BL150">
        <v>8.1000000000000003E-2</v>
      </c>
      <c r="BM150">
        <v>11</v>
      </c>
      <c r="BN150">
        <v>1</v>
      </c>
      <c r="BO150">
        <v>0</v>
      </c>
      <c r="BP150">
        <v>26</v>
      </c>
      <c r="BQ150" t="s">
        <v>34</v>
      </c>
    </row>
    <row r="151" spans="1:69" x14ac:dyDescent="0.25">
      <c r="A151">
        <v>150</v>
      </c>
      <c r="B151">
        <v>10</v>
      </c>
      <c r="C151" t="s">
        <v>250</v>
      </c>
      <c r="D151" s="79">
        <v>2.8</v>
      </c>
      <c r="E151" s="6">
        <v>0.2</v>
      </c>
      <c r="F151" s="6">
        <f t="shared" si="17"/>
        <v>13.999999999999998</v>
      </c>
      <c r="G151" s="78">
        <v>0</v>
      </c>
      <c r="H151" s="70">
        <v>0</v>
      </c>
      <c r="I151" s="70">
        <v>1</v>
      </c>
      <c r="J151" s="78">
        <v>38652</v>
      </c>
      <c r="K151" s="70">
        <v>1</v>
      </c>
      <c r="L151" s="70">
        <f t="shared" si="22"/>
        <v>38650</v>
      </c>
      <c r="M151" s="60">
        <f t="shared" si="23"/>
        <v>38</v>
      </c>
      <c r="N151" s="70">
        <v>9.6300000000000008</v>
      </c>
      <c r="O151" s="70">
        <v>18.5</v>
      </c>
      <c r="P151" s="78">
        <v>1</v>
      </c>
      <c r="Q151" s="70">
        <v>0</v>
      </c>
      <c r="R151" s="78">
        <v>0</v>
      </c>
      <c r="S151" s="70">
        <v>1</v>
      </c>
      <c r="T151" s="70">
        <v>0</v>
      </c>
      <c r="U151" s="70">
        <v>0</v>
      </c>
      <c r="V151" s="70">
        <v>1</v>
      </c>
      <c r="W151" s="78">
        <v>1</v>
      </c>
      <c r="X151" s="70">
        <v>0</v>
      </c>
      <c r="Y151" s="69">
        <v>1940</v>
      </c>
      <c r="Z151" s="28">
        <v>1</v>
      </c>
      <c r="AA151">
        <v>0</v>
      </c>
      <c r="AB151" s="28">
        <v>1</v>
      </c>
      <c r="AC151">
        <v>0</v>
      </c>
      <c r="AD151" s="28">
        <v>0.96</v>
      </c>
      <c r="AE151">
        <f t="shared" si="21"/>
        <v>4.0000000000000036E-2</v>
      </c>
      <c r="AF151">
        <v>0</v>
      </c>
      <c r="AG151">
        <v>1</v>
      </c>
      <c r="AH151" s="28">
        <v>0.75</v>
      </c>
      <c r="AI151" s="12">
        <f t="shared" si="19"/>
        <v>0.25</v>
      </c>
      <c r="AJ151">
        <v>0.5</v>
      </c>
      <c r="AK151">
        <v>0.5</v>
      </c>
      <c r="AL151">
        <v>0</v>
      </c>
      <c r="AM151" s="62" t="s">
        <v>67</v>
      </c>
      <c r="AN151">
        <v>1</v>
      </c>
      <c r="AO151">
        <v>0</v>
      </c>
      <c r="AP151">
        <v>15113</v>
      </c>
      <c r="AQ151">
        <v>528</v>
      </c>
      <c r="AR151">
        <v>0.79400000000000004</v>
      </c>
      <c r="AS151" s="64">
        <v>37.5</v>
      </c>
      <c r="AT151">
        <v>0</v>
      </c>
      <c r="AU151">
        <v>0</v>
      </c>
      <c r="AV151">
        <v>1</v>
      </c>
      <c r="AW151">
        <v>0</v>
      </c>
      <c r="AX151">
        <v>0</v>
      </c>
      <c r="AY151">
        <v>0</v>
      </c>
      <c r="AZ151" s="28">
        <v>0</v>
      </c>
      <c r="BA151">
        <v>0</v>
      </c>
      <c r="BB151">
        <v>0</v>
      </c>
      <c r="BC151" s="28">
        <v>1</v>
      </c>
      <c r="BD151">
        <v>1</v>
      </c>
      <c r="BE151">
        <v>0</v>
      </c>
      <c r="BF151">
        <v>1</v>
      </c>
      <c r="BG151">
        <v>0</v>
      </c>
      <c r="BH151">
        <v>0</v>
      </c>
      <c r="BI151">
        <v>0</v>
      </c>
      <c r="BJ151">
        <v>0</v>
      </c>
      <c r="BK151" s="16">
        <v>0</v>
      </c>
      <c r="BL151">
        <v>8.1000000000000003E-2</v>
      </c>
      <c r="BM151">
        <v>11</v>
      </c>
      <c r="BN151">
        <v>1</v>
      </c>
      <c r="BO151">
        <v>0</v>
      </c>
      <c r="BP151">
        <v>26</v>
      </c>
      <c r="BQ151" t="s">
        <v>34</v>
      </c>
    </row>
    <row r="152" spans="1:69" x14ac:dyDescent="0.25">
      <c r="A152">
        <v>151</v>
      </c>
      <c r="B152">
        <v>10</v>
      </c>
      <c r="C152" t="s">
        <v>250</v>
      </c>
      <c r="D152" s="79">
        <v>1.9</v>
      </c>
      <c r="E152" s="6">
        <v>0.1</v>
      </c>
      <c r="F152" s="6">
        <f t="shared" si="17"/>
        <v>18.999999999999996</v>
      </c>
      <c r="G152" s="78">
        <v>0</v>
      </c>
      <c r="H152" s="70">
        <v>0</v>
      </c>
      <c r="I152" s="70">
        <v>1</v>
      </c>
      <c r="J152" s="78">
        <v>38652</v>
      </c>
      <c r="K152" s="70">
        <v>1</v>
      </c>
      <c r="L152" s="70">
        <f t="shared" si="22"/>
        <v>38650</v>
      </c>
      <c r="M152" s="60">
        <f t="shared" si="23"/>
        <v>38</v>
      </c>
      <c r="N152" s="70">
        <v>9.6300000000000008</v>
      </c>
      <c r="O152" s="70">
        <v>18.5</v>
      </c>
      <c r="P152" s="78">
        <v>1</v>
      </c>
      <c r="Q152" s="70">
        <v>0</v>
      </c>
      <c r="R152" s="78">
        <v>0</v>
      </c>
      <c r="S152" s="70">
        <v>1</v>
      </c>
      <c r="T152" s="70">
        <v>0</v>
      </c>
      <c r="U152" s="70">
        <v>0</v>
      </c>
      <c r="V152" s="70">
        <v>1</v>
      </c>
      <c r="W152" s="78">
        <v>1</v>
      </c>
      <c r="X152" s="70">
        <v>0</v>
      </c>
      <c r="Y152" s="69">
        <v>1940</v>
      </c>
      <c r="Z152" s="28">
        <v>1</v>
      </c>
      <c r="AA152">
        <v>0</v>
      </c>
      <c r="AB152" s="28">
        <v>1</v>
      </c>
      <c r="AC152">
        <v>0</v>
      </c>
      <c r="AD152" s="28">
        <v>0.96</v>
      </c>
      <c r="AE152">
        <f t="shared" si="21"/>
        <v>4.0000000000000036E-2</v>
      </c>
      <c r="AF152">
        <v>0</v>
      </c>
      <c r="AG152">
        <v>1</v>
      </c>
      <c r="AH152" s="28">
        <v>0.75</v>
      </c>
      <c r="AI152" s="12">
        <f t="shared" si="19"/>
        <v>0.25</v>
      </c>
      <c r="AJ152">
        <v>0.5</v>
      </c>
      <c r="AK152">
        <v>0.5</v>
      </c>
      <c r="AL152">
        <v>0</v>
      </c>
      <c r="AM152" s="62" t="s">
        <v>67</v>
      </c>
      <c r="AN152">
        <v>1</v>
      </c>
      <c r="AO152">
        <v>0</v>
      </c>
      <c r="AP152">
        <v>15113</v>
      </c>
      <c r="AQ152">
        <v>528</v>
      </c>
      <c r="AR152">
        <v>0.79400000000000004</v>
      </c>
      <c r="AS152" s="64">
        <v>37.5</v>
      </c>
      <c r="AT152">
        <v>0</v>
      </c>
      <c r="AU152">
        <v>0</v>
      </c>
      <c r="AV152">
        <v>1</v>
      </c>
      <c r="AW152">
        <v>0</v>
      </c>
      <c r="AX152">
        <v>0</v>
      </c>
      <c r="AY152">
        <v>0</v>
      </c>
      <c r="AZ152" s="28">
        <v>0</v>
      </c>
      <c r="BA152">
        <v>0</v>
      </c>
      <c r="BB152">
        <v>0</v>
      </c>
      <c r="BC152" s="28">
        <v>0</v>
      </c>
      <c r="BD152">
        <v>0</v>
      </c>
      <c r="BE152">
        <v>0</v>
      </c>
      <c r="BF152">
        <v>0</v>
      </c>
      <c r="BG152">
        <v>0</v>
      </c>
      <c r="BH152">
        <v>0</v>
      </c>
      <c r="BI152">
        <v>0</v>
      </c>
      <c r="BJ152">
        <v>0</v>
      </c>
      <c r="BK152" s="16">
        <v>0</v>
      </c>
      <c r="BL152">
        <v>8.1000000000000003E-2</v>
      </c>
      <c r="BM152">
        <v>11</v>
      </c>
      <c r="BN152">
        <v>1</v>
      </c>
      <c r="BO152">
        <v>0</v>
      </c>
      <c r="BP152">
        <v>26</v>
      </c>
      <c r="BQ152" t="s">
        <v>34</v>
      </c>
    </row>
    <row r="153" spans="1:69" x14ac:dyDescent="0.25">
      <c r="A153">
        <v>152</v>
      </c>
      <c r="B153">
        <v>10</v>
      </c>
      <c r="C153" t="s">
        <v>250</v>
      </c>
      <c r="D153" s="79">
        <v>4.9000000000000004</v>
      </c>
      <c r="E153" s="6">
        <v>0.2</v>
      </c>
      <c r="F153" s="6">
        <f t="shared" si="17"/>
        <v>24.5</v>
      </c>
      <c r="G153" s="78">
        <v>0</v>
      </c>
      <c r="H153" s="70">
        <v>0</v>
      </c>
      <c r="I153" s="70">
        <v>1</v>
      </c>
      <c r="J153" s="78">
        <v>10189</v>
      </c>
      <c r="K153" s="70">
        <v>4</v>
      </c>
      <c r="L153" s="70">
        <f t="shared" si="22"/>
        <v>10184</v>
      </c>
      <c r="M153" s="60">
        <f t="shared" si="23"/>
        <v>38</v>
      </c>
      <c r="N153" s="70">
        <v>9.6300000000000008</v>
      </c>
      <c r="O153" s="70">
        <v>18.5</v>
      </c>
      <c r="P153" s="78">
        <v>1</v>
      </c>
      <c r="Q153" s="70">
        <v>0</v>
      </c>
      <c r="R153" s="78">
        <v>0</v>
      </c>
      <c r="S153" s="70">
        <v>1</v>
      </c>
      <c r="T153" s="70">
        <v>0</v>
      </c>
      <c r="U153" s="70">
        <v>0</v>
      </c>
      <c r="V153" s="70">
        <v>1</v>
      </c>
      <c r="W153" s="78">
        <v>1</v>
      </c>
      <c r="X153" s="70">
        <v>0</v>
      </c>
      <c r="Y153" s="69">
        <v>1940</v>
      </c>
      <c r="Z153" s="28">
        <v>1</v>
      </c>
      <c r="AA153">
        <v>0</v>
      </c>
      <c r="AB153" s="28">
        <v>1</v>
      </c>
      <c r="AC153">
        <v>0</v>
      </c>
      <c r="AD153" s="28">
        <v>0.96</v>
      </c>
      <c r="AE153">
        <f t="shared" si="21"/>
        <v>4.0000000000000036E-2</v>
      </c>
      <c r="AF153">
        <v>0</v>
      </c>
      <c r="AG153">
        <v>1</v>
      </c>
      <c r="AH153" s="28">
        <v>0.75</v>
      </c>
      <c r="AI153" s="12">
        <f t="shared" si="19"/>
        <v>0.25</v>
      </c>
      <c r="AJ153">
        <v>0.5</v>
      </c>
      <c r="AK153">
        <v>0.5</v>
      </c>
      <c r="AL153">
        <v>0</v>
      </c>
      <c r="AM153" s="62" t="s">
        <v>67</v>
      </c>
      <c r="AN153">
        <v>1</v>
      </c>
      <c r="AO153">
        <v>0</v>
      </c>
      <c r="AP153">
        <v>15113</v>
      </c>
      <c r="AQ153">
        <v>528</v>
      </c>
      <c r="AR153">
        <v>0.79400000000000004</v>
      </c>
      <c r="AS153" s="64">
        <v>37.5</v>
      </c>
      <c r="AT153">
        <v>1</v>
      </c>
      <c r="AU153">
        <v>0</v>
      </c>
      <c r="AV153">
        <v>0</v>
      </c>
      <c r="AW153">
        <v>0</v>
      </c>
      <c r="AX153">
        <v>0</v>
      </c>
      <c r="AY153">
        <v>0</v>
      </c>
      <c r="AZ153" s="28">
        <v>0</v>
      </c>
      <c r="BA153">
        <v>0</v>
      </c>
      <c r="BB153">
        <v>0</v>
      </c>
      <c r="BC153" s="28">
        <v>1</v>
      </c>
      <c r="BD153">
        <v>1</v>
      </c>
      <c r="BE153">
        <v>0</v>
      </c>
      <c r="BF153">
        <v>1</v>
      </c>
      <c r="BG153">
        <v>0</v>
      </c>
      <c r="BH153">
        <v>0</v>
      </c>
      <c r="BI153">
        <v>0</v>
      </c>
      <c r="BJ153">
        <v>0</v>
      </c>
      <c r="BK153" s="16">
        <v>0</v>
      </c>
      <c r="BL153">
        <v>8.1000000000000003E-2</v>
      </c>
      <c r="BM153">
        <v>11</v>
      </c>
      <c r="BN153">
        <v>1</v>
      </c>
      <c r="BO153">
        <v>0</v>
      </c>
      <c r="BP153">
        <v>26</v>
      </c>
      <c r="BQ153" t="s">
        <v>34</v>
      </c>
    </row>
    <row r="154" spans="1:69" x14ac:dyDescent="0.25">
      <c r="A154">
        <v>153</v>
      </c>
      <c r="B154">
        <v>10</v>
      </c>
      <c r="C154" t="s">
        <v>250</v>
      </c>
      <c r="D154" s="79">
        <v>4.9000000000000004</v>
      </c>
      <c r="E154" s="6">
        <v>0.4</v>
      </c>
      <c r="F154" s="6">
        <f t="shared" si="17"/>
        <v>12.25</v>
      </c>
      <c r="G154" s="78">
        <v>0</v>
      </c>
      <c r="H154" s="70">
        <v>0</v>
      </c>
      <c r="I154" s="70">
        <v>1</v>
      </c>
      <c r="J154" s="78">
        <v>10189</v>
      </c>
      <c r="K154" s="70">
        <v>1</v>
      </c>
      <c r="L154" s="70">
        <f t="shared" si="22"/>
        <v>10187</v>
      </c>
      <c r="M154" s="60">
        <f t="shared" si="23"/>
        <v>38</v>
      </c>
      <c r="N154" s="70">
        <v>9.6300000000000008</v>
      </c>
      <c r="O154" s="70">
        <v>18.5</v>
      </c>
      <c r="P154" s="78">
        <v>1</v>
      </c>
      <c r="Q154" s="70">
        <v>0</v>
      </c>
      <c r="R154" s="78">
        <v>0</v>
      </c>
      <c r="S154" s="70">
        <v>1</v>
      </c>
      <c r="T154" s="70">
        <v>0</v>
      </c>
      <c r="U154" s="70">
        <v>0</v>
      </c>
      <c r="V154" s="70">
        <v>1</v>
      </c>
      <c r="W154" s="78">
        <v>1</v>
      </c>
      <c r="X154" s="70">
        <v>0</v>
      </c>
      <c r="Y154" s="69">
        <v>1940</v>
      </c>
      <c r="Z154" s="28">
        <v>1</v>
      </c>
      <c r="AA154">
        <v>0</v>
      </c>
      <c r="AB154" s="28">
        <v>1</v>
      </c>
      <c r="AC154">
        <v>0</v>
      </c>
      <c r="AD154" s="28">
        <v>0.96</v>
      </c>
      <c r="AE154">
        <f t="shared" si="21"/>
        <v>4.0000000000000036E-2</v>
      </c>
      <c r="AF154">
        <v>0</v>
      </c>
      <c r="AG154">
        <v>1</v>
      </c>
      <c r="AH154" s="28">
        <v>0.75</v>
      </c>
      <c r="AI154" s="12">
        <f t="shared" si="19"/>
        <v>0.25</v>
      </c>
      <c r="AJ154">
        <v>0.5</v>
      </c>
      <c r="AK154">
        <v>0.5</v>
      </c>
      <c r="AL154">
        <v>0</v>
      </c>
      <c r="AM154" s="62" t="s">
        <v>67</v>
      </c>
      <c r="AN154">
        <v>1</v>
      </c>
      <c r="AO154">
        <v>0</v>
      </c>
      <c r="AP154">
        <v>15113</v>
      </c>
      <c r="AQ154">
        <v>528</v>
      </c>
      <c r="AR154">
        <v>0.79400000000000004</v>
      </c>
      <c r="AS154" s="64">
        <v>37.5</v>
      </c>
      <c r="AT154">
        <v>0</v>
      </c>
      <c r="AU154">
        <v>0</v>
      </c>
      <c r="AV154">
        <v>1</v>
      </c>
      <c r="AW154">
        <v>0</v>
      </c>
      <c r="AX154">
        <v>0</v>
      </c>
      <c r="AY154">
        <v>0</v>
      </c>
      <c r="AZ154" s="28">
        <v>0</v>
      </c>
      <c r="BA154">
        <v>0</v>
      </c>
      <c r="BB154">
        <v>0</v>
      </c>
      <c r="BC154" s="28">
        <v>0</v>
      </c>
      <c r="BD154">
        <v>0</v>
      </c>
      <c r="BE154">
        <v>0</v>
      </c>
      <c r="BF154">
        <v>0</v>
      </c>
      <c r="BG154">
        <v>0</v>
      </c>
      <c r="BH154">
        <v>0</v>
      </c>
      <c r="BI154">
        <v>0</v>
      </c>
      <c r="BJ154">
        <v>0</v>
      </c>
      <c r="BK154" s="16">
        <v>0</v>
      </c>
      <c r="BL154">
        <v>8.1000000000000003E-2</v>
      </c>
      <c r="BM154">
        <v>11</v>
      </c>
      <c r="BN154">
        <v>1</v>
      </c>
      <c r="BO154">
        <v>0</v>
      </c>
      <c r="BP154">
        <v>26</v>
      </c>
      <c r="BQ154" t="s">
        <v>34</v>
      </c>
    </row>
    <row r="155" spans="1:69" x14ac:dyDescent="0.25">
      <c r="A155">
        <v>154</v>
      </c>
      <c r="B155">
        <v>10</v>
      </c>
      <c r="C155" t="s">
        <v>250</v>
      </c>
      <c r="D155" s="79">
        <v>4.3</v>
      </c>
      <c r="E155" s="6">
        <v>0.1</v>
      </c>
      <c r="F155" s="6">
        <f t="shared" si="17"/>
        <v>42.999999999999993</v>
      </c>
      <c r="G155" s="78">
        <v>0</v>
      </c>
      <c r="H155" s="70">
        <v>0</v>
      </c>
      <c r="I155" s="70">
        <v>1</v>
      </c>
      <c r="J155" s="78">
        <v>25468</v>
      </c>
      <c r="K155" s="70">
        <v>4</v>
      </c>
      <c r="L155" s="70">
        <f t="shared" si="22"/>
        <v>25463</v>
      </c>
      <c r="M155" s="60">
        <f t="shared" si="23"/>
        <v>38</v>
      </c>
      <c r="N155" s="70">
        <v>9.6300000000000008</v>
      </c>
      <c r="O155" s="70">
        <v>18.5</v>
      </c>
      <c r="P155" s="78">
        <v>1</v>
      </c>
      <c r="Q155" s="70">
        <v>0</v>
      </c>
      <c r="R155" s="78">
        <v>0</v>
      </c>
      <c r="S155" s="70">
        <v>1</v>
      </c>
      <c r="T155" s="70">
        <v>0</v>
      </c>
      <c r="U155" s="70">
        <v>0</v>
      </c>
      <c r="V155" s="70">
        <v>1</v>
      </c>
      <c r="W155" s="78">
        <v>1</v>
      </c>
      <c r="X155" s="70">
        <v>0</v>
      </c>
      <c r="Y155" s="69">
        <v>1940</v>
      </c>
      <c r="Z155" s="28">
        <v>1</v>
      </c>
      <c r="AA155">
        <v>0</v>
      </c>
      <c r="AB155" s="28">
        <v>1</v>
      </c>
      <c r="AC155">
        <v>0</v>
      </c>
      <c r="AD155" s="28">
        <v>0.96</v>
      </c>
      <c r="AE155">
        <f t="shared" si="21"/>
        <v>4.0000000000000036E-2</v>
      </c>
      <c r="AF155">
        <v>0</v>
      </c>
      <c r="AG155">
        <v>1</v>
      </c>
      <c r="AH155" s="28">
        <v>0.75</v>
      </c>
      <c r="AI155" s="12">
        <f t="shared" si="19"/>
        <v>0.25</v>
      </c>
      <c r="AJ155">
        <v>0.5</v>
      </c>
      <c r="AK155">
        <v>0.5</v>
      </c>
      <c r="AL155">
        <v>0</v>
      </c>
      <c r="AM155" s="62" t="s">
        <v>67</v>
      </c>
      <c r="AN155">
        <v>1</v>
      </c>
      <c r="AO155">
        <v>0</v>
      </c>
      <c r="AP155">
        <v>15113</v>
      </c>
      <c r="AQ155">
        <v>528</v>
      </c>
      <c r="AR155">
        <v>0.79400000000000004</v>
      </c>
      <c r="AS155" s="64">
        <v>37.5</v>
      </c>
      <c r="AT155">
        <v>1</v>
      </c>
      <c r="AU155">
        <v>0</v>
      </c>
      <c r="AV155">
        <v>0</v>
      </c>
      <c r="AW155">
        <v>0</v>
      </c>
      <c r="AX155">
        <v>0</v>
      </c>
      <c r="AY155">
        <v>0</v>
      </c>
      <c r="AZ155" s="28">
        <v>0</v>
      </c>
      <c r="BA155">
        <v>0</v>
      </c>
      <c r="BB155">
        <v>0</v>
      </c>
      <c r="BC155" s="28">
        <v>1</v>
      </c>
      <c r="BD155">
        <v>1</v>
      </c>
      <c r="BE155">
        <v>0</v>
      </c>
      <c r="BF155">
        <v>1</v>
      </c>
      <c r="BG155">
        <v>0</v>
      </c>
      <c r="BH155">
        <v>0</v>
      </c>
      <c r="BI155">
        <v>0</v>
      </c>
      <c r="BJ155">
        <v>0</v>
      </c>
      <c r="BK155" s="16">
        <v>0</v>
      </c>
      <c r="BL155">
        <v>8.1000000000000003E-2</v>
      </c>
      <c r="BM155">
        <v>11</v>
      </c>
      <c r="BN155">
        <v>1</v>
      </c>
      <c r="BO155">
        <v>0</v>
      </c>
      <c r="BP155">
        <v>26</v>
      </c>
      <c r="BQ155" t="s">
        <v>34</v>
      </c>
    </row>
    <row r="156" spans="1:69" x14ac:dyDescent="0.25">
      <c r="A156">
        <v>155</v>
      </c>
      <c r="B156">
        <v>10</v>
      </c>
      <c r="C156" t="s">
        <v>250</v>
      </c>
      <c r="D156" s="79">
        <v>4.0999999999999996</v>
      </c>
      <c r="E156" s="6">
        <v>0.3</v>
      </c>
      <c r="F156" s="6">
        <f t="shared" si="17"/>
        <v>13.666666666666666</v>
      </c>
      <c r="G156" s="78">
        <v>0</v>
      </c>
      <c r="H156" s="70">
        <v>0</v>
      </c>
      <c r="I156" s="70">
        <v>1</v>
      </c>
      <c r="J156" s="78">
        <v>25468</v>
      </c>
      <c r="K156" s="70">
        <v>1</v>
      </c>
      <c r="L156" s="70">
        <f t="shared" si="22"/>
        <v>25466</v>
      </c>
      <c r="M156" s="60">
        <f t="shared" si="23"/>
        <v>38</v>
      </c>
      <c r="N156" s="70">
        <v>9.6300000000000008</v>
      </c>
      <c r="O156" s="70">
        <v>18.5</v>
      </c>
      <c r="P156" s="78">
        <v>1</v>
      </c>
      <c r="Q156" s="70">
        <v>0</v>
      </c>
      <c r="R156" s="78">
        <v>0</v>
      </c>
      <c r="S156" s="70">
        <v>1</v>
      </c>
      <c r="T156" s="70">
        <v>0</v>
      </c>
      <c r="U156" s="70">
        <v>0</v>
      </c>
      <c r="V156" s="70">
        <v>1</v>
      </c>
      <c r="W156" s="78">
        <v>1</v>
      </c>
      <c r="X156" s="70">
        <v>0</v>
      </c>
      <c r="Y156" s="69">
        <v>1940</v>
      </c>
      <c r="Z156" s="28">
        <v>1</v>
      </c>
      <c r="AA156">
        <v>0</v>
      </c>
      <c r="AB156" s="28">
        <v>1</v>
      </c>
      <c r="AC156">
        <v>0</v>
      </c>
      <c r="AD156" s="28">
        <v>0.96</v>
      </c>
      <c r="AE156">
        <f t="shared" si="21"/>
        <v>4.0000000000000036E-2</v>
      </c>
      <c r="AF156">
        <v>0</v>
      </c>
      <c r="AG156">
        <v>1</v>
      </c>
      <c r="AH156" s="28">
        <v>0.75</v>
      </c>
      <c r="AI156" s="12">
        <f t="shared" si="19"/>
        <v>0.25</v>
      </c>
      <c r="AJ156">
        <v>0.5</v>
      </c>
      <c r="AK156">
        <v>0.5</v>
      </c>
      <c r="AL156">
        <v>0</v>
      </c>
      <c r="AM156" s="62" t="s">
        <v>67</v>
      </c>
      <c r="AN156">
        <v>1</v>
      </c>
      <c r="AO156">
        <v>0</v>
      </c>
      <c r="AP156">
        <v>15113</v>
      </c>
      <c r="AQ156">
        <v>528</v>
      </c>
      <c r="AR156">
        <v>0.79400000000000004</v>
      </c>
      <c r="AS156" s="64">
        <v>37.5</v>
      </c>
      <c r="AT156">
        <v>0</v>
      </c>
      <c r="AU156">
        <v>0</v>
      </c>
      <c r="AV156">
        <v>1</v>
      </c>
      <c r="AW156">
        <v>0</v>
      </c>
      <c r="AX156">
        <v>0</v>
      </c>
      <c r="AY156">
        <v>0</v>
      </c>
      <c r="AZ156" s="28">
        <v>0</v>
      </c>
      <c r="BA156">
        <v>0</v>
      </c>
      <c r="BB156">
        <v>0</v>
      </c>
      <c r="BC156" s="28">
        <v>0</v>
      </c>
      <c r="BD156">
        <v>0</v>
      </c>
      <c r="BE156">
        <v>0</v>
      </c>
      <c r="BF156">
        <v>0</v>
      </c>
      <c r="BG156">
        <v>0</v>
      </c>
      <c r="BH156">
        <v>0</v>
      </c>
      <c r="BI156">
        <v>0</v>
      </c>
      <c r="BJ156">
        <v>0</v>
      </c>
      <c r="BK156" s="16">
        <v>0</v>
      </c>
      <c r="BL156">
        <v>8.1000000000000003E-2</v>
      </c>
      <c r="BM156">
        <v>11</v>
      </c>
      <c r="BN156">
        <v>1</v>
      </c>
      <c r="BO156">
        <v>0</v>
      </c>
      <c r="BP156">
        <v>26</v>
      </c>
      <c r="BQ156" t="s">
        <v>34</v>
      </c>
    </row>
    <row r="157" spans="1:69" x14ac:dyDescent="0.25">
      <c r="A157">
        <v>156</v>
      </c>
      <c r="B157">
        <v>10</v>
      </c>
      <c r="C157" t="s">
        <v>250</v>
      </c>
      <c r="D157" s="79">
        <v>4.5</v>
      </c>
      <c r="E157" s="6">
        <v>0.2</v>
      </c>
      <c r="F157" s="6">
        <f t="shared" si="17"/>
        <v>22.5</v>
      </c>
      <c r="G157" s="78">
        <v>0</v>
      </c>
      <c r="H157" s="70">
        <v>0</v>
      </c>
      <c r="I157" s="70">
        <v>1</v>
      </c>
      <c r="J157" s="78">
        <v>12950</v>
      </c>
      <c r="K157" s="70">
        <v>4</v>
      </c>
      <c r="L157" s="70">
        <f t="shared" si="22"/>
        <v>12945</v>
      </c>
      <c r="M157" s="60">
        <f t="shared" si="23"/>
        <v>38</v>
      </c>
      <c r="N157" s="70">
        <v>9.6300000000000008</v>
      </c>
      <c r="O157" s="70">
        <v>18.5</v>
      </c>
      <c r="P157" s="78">
        <v>1</v>
      </c>
      <c r="Q157" s="70">
        <v>0</v>
      </c>
      <c r="R157" s="78">
        <v>0</v>
      </c>
      <c r="S157" s="70">
        <v>1</v>
      </c>
      <c r="T157" s="70">
        <v>0</v>
      </c>
      <c r="U157" s="70">
        <v>0</v>
      </c>
      <c r="V157" s="70">
        <v>1</v>
      </c>
      <c r="W157" s="78">
        <v>1</v>
      </c>
      <c r="X157" s="70">
        <v>0</v>
      </c>
      <c r="Y157" s="69">
        <v>1940</v>
      </c>
      <c r="Z157" s="28">
        <v>1</v>
      </c>
      <c r="AA157">
        <v>0</v>
      </c>
      <c r="AB157" s="28">
        <v>1</v>
      </c>
      <c r="AC157">
        <v>0</v>
      </c>
      <c r="AD157" s="28">
        <v>0.96</v>
      </c>
      <c r="AE157">
        <f t="shared" si="21"/>
        <v>4.0000000000000036E-2</v>
      </c>
      <c r="AF157">
        <v>0</v>
      </c>
      <c r="AG157">
        <v>1</v>
      </c>
      <c r="AH157" s="28">
        <v>0.75</v>
      </c>
      <c r="AI157" s="12">
        <f t="shared" si="19"/>
        <v>0.25</v>
      </c>
      <c r="AJ157">
        <v>0.5</v>
      </c>
      <c r="AK157">
        <v>0.5</v>
      </c>
      <c r="AL157">
        <v>0</v>
      </c>
      <c r="AM157" s="62" t="s">
        <v>67</v>
      </c>
      <c r="AN157">
        <v>1</v>
      </c>
      <c r="AO157">
        <v>0</v>
      </c>
      <c r="AP157">
        <v>15113</v>
      </c>
      <c r="AQ157">
        <v>528</v>
      </c>
      <c r="AR157">
        <v>0.79400000000000004</v>
      </c>
      <c r="AS157" s="64">
        <v>37.5</v>
      </c>
      <c r="AT157">
        <v>1</v>
      </c>
      <c r="AU157">
        <v>0</v>
      </c>
      <c r="AV157">
        <v>0</v>
      </c>
      <c r="AW157">
        <v>0</v>
      </c>
      <c r="AX157">
        <v>0</v>
      </c>
      <c r="AY157">
        <v>0</v>
      </c>
      <c r="AZ157" s="28">
        <v>0</v>
      </c>
      <c r="BA157">
        <v>0</v>
      </c>
      <c r="BB157">
        <v>0</v>
      </c>
      <c r="BC157" s="28">
        <v>1</v>
      </c>
      <c r="BD157">
        <v>1</v>
      </c>
      <c r="BE157">
        <v>0</v>
      </c>
      <c r="BF157">
        <v>1</v>
      </c>
      <c r="BG157">
        <v>0</v>
      </c>
      <c r="BH157">
        <v>0</v>
      </c>
      <c r="BI157">
        <v>0</v>
      </c>
      <c r="BJ157">
        <v>0</v>
      </c>
      <c r="BK157" s="16">
        <v>0</v>
      </c>
      <c r="BL157">
        <v>8.1000000000000003E-2</v>
      </c>
      <c r="BM157">
        <v>11</v>
      </c>
      <c r="BN157">
        <v>1</v>
      </c>
      <c r="BO157">
        <v>0</v>
      </c>
      <c r="BP157">
        <v>26</v>
      </c>
      <c r="BQ157" t="s">
        <v>34</v>
      </c>
    </row>
    <row r="158" spans="1:69" x14ac:dyDescent="0.25">
      <c r="A158">
        <v>157</v>
      </c>
      <c r="B158">
        <v>10</v>
      </c>
      <c r="C158" t="s">
        <v>250</v>
      </c>
      <c r="D158" s="79">
        <v>4.4000000000000004</v>
      </c>
      <c r="E158" s="6">
        <v>0.4</v>
      </c>
      <c r="F158" s="6">
        <f t="shared" si="17"/>
        <v>11</v>
      </c>
      <c r="G158" s="78">
        <v>0</v>
      </c>
      <c r="H158" s="70">
        <v>0</v>
      </c>
      <c r="I158" s="70">
        <v>1</v>
      </c>
      <c r="J158" s="78">
        <v>12950</v>
      </c>
      <c r="K158" s="70">
        <v>1</v>
      </c>
      <c r="L158" s="70">
        <f t="shared" si="22"/>
        <v>12948</v>
      </c>
      <c r="M158" s="60">
        <f t="shared" si="23"/>
        <v>38</v>
      </c>
      <c r="N158" s="70">
        <v>9.6300000000000008</v>
      </c>
      <c r="O158" s="70">
        <v>18.5</v>
      </c>
      <c r="P158" s="78">
        <v>1</v>
      </c>
      <c r="Q158" s="70">
        <v>0</v>
      </c>
      <c r="R158" s="78">
        <v>0</v>
      </c>
      <c r="S158" s="70">
        <v>1</v>
      </c>
      <c r="T158" s="70">
        <v>0</v>
      </c>
      <c r="U158" s="70">
        <v>0</v>
      </c>
      <c r="V158" s="70">
        <v>1</v>
      </c>
      <c r="W158" s="78">
        <v>1</v>
      </c>
      <c r="X158" s="70">
        <v>0</v>
      </c>
      <c r="Y158" s="69">
        <v>1940</v>
      </c>
      <c r="Z158" s="28">
        <v>1</v>
      </c>
      <c r="AA158">
        <v>0</v>
      </c>
      <c r="AB158" s="28">
        <v>1</v>
      </c>
      <c r="AC158">
        <v>0</v>
      </c>
      <c r="AD158" s="28">
        <v>0.96</v>
      </c>
      <c r="AE158">
        <f t="shared" si="21"/>
        <v>4.0000000000000036E-2</v>
      </c>
      <c r="AF158">
        <v>0</v>
      </c>
      <c r="AG158">
        <v>1</v>
      </c>
      <c r="AH158" s="28">
        <v>0.75</v>
      </c>
      <c r="AI158" s="12">
        <f t="shared" si="19"/>
        <v>0.25</v>
      </c>
      <c r="AJ158">
        <v>0.5</v>
      </c>
      <c r="AK158">
        <v>0.5</v>
      </c>
      <c r="AL158">
        <v>0</v>
      </c>
      <c r="AM158" s="62" t="s">
        <v>67</v>
      </c>
      <c r="AN158">
        <v>1</v>
      </c>
      <c r="AO158">
        <v>0</v>
      </c>
      <c r="AP158">
        <v>15113</v>
      </c>
      <c r="AQ158">
        <v>528</v>
      </c>
      <c r="AR158">
        <v>0.79400000000000004</v>
      </c>
      <c r="AS158" s="64">
        <v>37.5</v>
      </c>
      <c r="AT158">
        <v>0</v>
      </c>
      <c r="AU158">
        <v>0</v>
      </c>
      <c r="AV158">
        <v>1</v>
      </c>
      <c r="AW158">
        <v>0</v>
      </c>
      <c r="AX158">
        <v>0</v>
      </c>
      <c r="AY158">
        <v>0</v>
      </c>
      <c r="AZ158" s="28">
        <v>0</v>
      </c>
      <c r="BA158">
        <v>0</v>
      </c>
      <c r="BB158">
        <v>0</v>
      </c>
      <c r="BC158" s="28">
        <v>0</v>
      </c>
      <c r="BD158">
        <v>0</v>
      </c>
      <c r="BE158">
        <v>0</v>
      </c>
      <c r="BF158">
        <v>0</v>
      </c>
      <c r="BG158">
        <v>0</v>
      </c>
      <c r="BH158">
        <v>0</v>
      </c>
      <c r="BI158">
        <v>0</v>
      </c>
      <c r="BJ158">
        <v>0</v>
      </c>
      <c r="BK158" s="16">
        <v>0</v>
      </c>
      <c r="BL158">
        <v>8.1000000000000003E-2</v>
      </c>
      <c r="BM158">
        <v>11</v>
      </c>
      <c r="BN158">
        <v>1</v>
      </c>
      <c r="BO158">
        <v>0</v>
      </c>
      <c r="BP158">
        <v>26</v>
      </c>
      <c r="BQ158" t="s">
        <v>34</v>
      </c>
    </row>
    <row r="159" spans="1:69" x14ac:dyDescent="0.25">
      <c r="A159">
        <v>158</v>
      </c>
      <c r="B159">
        <v>10</v>
      </c>
      <c r="C159" t="s">
        <v>250</v>
      </c>
      <c r="D159" s="79">
        <v>4</v>
      </c>
      <c r="E159" s="6">
        <v>0.2</v>
      </c>
      <c r="F159" s="6">
        <f t="shared" si="17"/>
        <v>20</v>
      </c>
      <c r="G159" s="78">
        <v>0</v>
      </c>
      <c r="H159" s="70">
        <v>0</v>
      </c>
      <c r="I159" s="70">
        <v>1</v>
      </c>
      <c r="J159" s="78">
        <v>12518</v>
      </c>
      <c r="K159" s="70">
        <v>4</v>
      </c>
      <c r="L159" s="70">
        <f t="shared" si="22"/>
        <v>12513</v>
      </c>
      <c r="M159" s="60">
        <f t="shared" si="23"/>
        <v>38</v>
      </c>
      <c r="N159" s="70">
        <v>9.6300000000000008</v>
      </c>
      <c r="O159" s="70">
        <v>18.5</v>
      </c>
      <c r="P159" s="78">
        <v>1</v>
      </c>
      <c r="Q159" s="70">
        <v>0</v>
      </c>
      <c r="R159" s="78">
        <v>0</v>
      </c>
      <c r="S159" s="70">
        <v>1</v>
      </c>
      <c r="T159" s="70">
        <v>0</v>
      </c>
      <c r="U159" s="70">
        <v>0</v>
      </c>
      <c r="V159" s="70">
        <v>1</v>
      </c>
      <c r="W159" s="78">
        <v>1</v>
      </c>
      <c r="X159" s="70">
        <v>0</v>
      </c>
      <c r="Y159" s="69">
        <v>1940</v>
      </c>
      <c r="Z159" s="28">
        <v>1</v>
      </c>
      <c r="AA159">
        <v>0</v>
      </c>
      <c r="AB159" s="28">
        <v>1</v>
      </c>
      <c r="AC159">
        <v>0</v>
      </c>
      <c r="AD159" s="28">
        <v>0.96</v>
      </c>
      <c r="AE159">
        <f t="shared" si="21"/>
        <v>4.0000000000000036E-2</v>
      </c>
      <c r="AF159">
        <v>0</v>
      </c>
      <c r="AG159">
        <v>1</v>
      </c>
      <c r="AH159" s="28">
        <v>0.75</v>
      </c>
      <c r="AI159" s="12">
        <f t="shared" si="19"/>
        <v>0.25</v>
      </c>
      <c r="AJ159">
        <v>0.5</v>
      </c>
      <c r="AK159">
        <v>0.5</v>
      </c>
      <c r="AL159">
        <v>0</v>
      </c>
      <c r="AM159" s="62" t="s">
        <v>67</v>
      </c>
      <c r="AN159">
        <v>1</v>
      </c>
      <c r="AO159">
        <v>0</v>
      </c>
      <c r="AP159">
        <v>15113</v>
      </c>
      <c r="AQ159">
        <v>528</v>
      </c>
      <c r="AR159">
        <v>0.79400000000000004</v>
      </c>
      <c r="AS159" s="64">
        <v>37.5</v>
      </c>
      <c r="AT159">
        <v>1</v>
      </c>
      <c r="AU159">
        <v>0</v>
      </c>
      <c r="AV159">
        <v>0</v>
      </c>
      <c r="AW159">
        <v>0</v>
      </c>
      <c r="AX159">
        <v>0</v>
      </c>
      <c r="AY159">
        <v>0</v>
      </c>
      <c r="AZ159" s="28">
        <v>0</v>
      </c>
      <c r="BA159">
        <v>0</v>
      </c>
      <c r="BB159">
        <v>0</v>
      </c>
      <c r="BC159" s="28">
        <v>1</v>
      </c>
      <c r="BD159">
        <v>1</v>
      </c>
      <c r="BE159">
        <v>0</v>
      </c>
      <c r="BF159">
        <v>1</v>
      </c>
      <c r="BG159">
        <v>0</v>
      </c>
      <c r="BH159">
        <v>0</v>
      </c>
      <c r="BI159">
        <v>0</v>
      </c>
      <c r="BJ159">
        <v>0</v>
      </c>
      <c r="BK159" s="16">
        <v>0</v>
      </c>
      <c r="BL159">
        <v>8.1000000000000003E-2</v>
      </c>
      <c r="BM159">
        <v>11</v>
      </c>
      <c r="BN159">
        <v>1</v>
      </c>
      <c r="BO159">
        <v>0</v>
      </c>
      <c r="BP159">
        <v>26</v>
      </c>
      <c r="BQ159" t="s">
        <v>34</v>
      </c>
    </row>
    <row r="160" spans="1:69" x14ac:dyDescent="0.25">
      <c r="A160">
        <v>159</v>
      </c>
      <c r="B160">
        <v>10</v>
      </c>
      <c r="C160" t="s">
        <v>250</v>
      </c>
      <c r="D160" s="79">
        <v>3.9</v>
      </c>
      <c r="E160" s="6">
        <v>0.4</v>
      </c>
      <c r="F160" s="6">
        <f t="shared" si="17"/>
        <v>9.75</v>
      </c>
      <c r="G160" s="78">
        <v>0</v>
      </c>
      <c r="H160" s="70">
        <v>0</v>
      </c>
      <c r="I160" s="70">
        <v>1</v>
      </c>
      <c r="J160" s="78">
        <v>12518</v>
      </c>
      <c r="K160" s="70">
        <v>1</v>
      </c>
      <c r="L160" s="70">
        <f t="shared" si="22"/>
        <v>12516</v>
      </c>
      <c r="M160" s="60">
        <f t="shared" si="23"/>
        <v>38</v>
      </c>
      <c r="N160" s="70">
        <v>9.6300000000000008</v>
      </c>
      <c r="O160" s="70">
        <v>18.5</v>
      </c>
      <c r="P160" s="78">
        <v>1</v>
      </c>
      <c r="Q160" s="70">
        <v>0</v>
      </c>
      <c r="R160" s="78">
        <v>0</v>
      </c>
      <c r="S160" s="70">
        <v>1</v>
      </c>
      <c r="T160" s="70">
        <v>0</v>
      </c>
      <c r="U160" s="70">
        <v>0</v>
      </c>
      <c r="V160" s="70">
        <v>1</v>
      </c>
      <c r="W160" s="78">
        <v>1</v>
      </c>
      <c r="X160" s="70">
        <v>0</v>
      </c>
      <c r="Y160" s="69">
        <v>1940</v>
      </c>
      <c r="Z160" s="28">
        <v>1</v>
      </c>
      <c r="AA160">
        <v>0</v>
      </c>
      <c r="AB160" s="28">
        <v>1</v>
      </c>
      <c r="AC160">
        <v>0</v>
      </c>
      <c r="AD160" s="28">
        <v>0.96</v>
      </c>
      <c r="AE160">
        <f t="shared" si="21"/>
        <v>4.0000000000000036E-2</v>
      </c>
      <c r="AF160">
        <v>0</v>
      </c>
      <c r="AG160">
        <v>1</v>
      </c>
      <c r="AH160" s="28">
        <v>0.75</v>
      </c>
      <c r="AI160" s="12">
        <f t="shared" si="19"/>
        <v>0.25</v>
      </c>
      <c r="AJ160">
        <v>0.5</v>
      </c>
      <c r="AK160">
        <v>0.5</v>
      </c>
      <c r="AL160">
        <v>0</v>
      </c>
      <c r="AM160" s="62" t="s">
        <v>67</v>
      </c>
      <c r="AN160">
        <v>1</v>
      </c>
      <c r="AO160">
        <v>0</v>
      </c>
      <c r="AP160">
        <v>15113</v>
      </c>
      <c r="AQ160">
        <v>528</v>
      </c>
      <c r="AR160">
        <v>0.79400000000000004</v>
      </c>
      <c r="AS160" s="64">
        <v>37.5</v>
      </c>
      <c r="AT160">
        <v>0</v>
      </c>
      <c r="AU160">
        <v>0</v>
      </c>
      <c r="AV160">
        <v>1</v>
      </c>
      <c r="AW160">
        <v>0</v>
      </c>
      <c r="AX160">
        <v>0</v>
      </c>
      <c r="AY160">
        <v>0</v>
      </c>
      <c r="AZ160" s="28">
        <v>0</v>
      </c>
      <c r="BA160">
        <v>0</v>
      </c>
      <c r="BB160">
        <v>0</v>
      </c>
      <c r="BC160" s="28">
        <v>0</v>
      </c>
      <c r="BD160">
        <v>0</v>
      </c>
      <c r="BE160">
        <v>0</v>
      </c>
      <c r="BF160">
        <v>0</v>
      </c>
      <c r="BG160">
        <v>0</v>
      </c>
      <c r="BH160">
        <v>0</v>
      </c>
      <c r="BI160">
        <v>0</v>
      </c>
      <c r="BJ160">
        <v>0</v>
      </c>
      <c r="BK160" s="16">
        <v>0</v>
      </c>
      <c r="BL160">
        <v>8.1000000000000003E-2</v>
      </c>
      <c r="BM160">
        <v>11</v>
      </c>
      <c r="BN160">
        <v>1</v>
      </c>
      <c r="BO160">
        <v>0</v>
      </c>
      <c r="BP160">
        <v>26</v>
      </c>
      <c r="BQ160" t="s">
        <v>34</v>
      </c>
    </row>
    <row r="161" spans="1:69" x14ac:dyDescent="0.25">
      <c r="A161">
        <v>160</v>
      </c>
      <c r="B161">
        <v>10</v>
      </c>
      <c r="C161" t="s">
        <v>250</v>
      </c>
      <c r="D161" s="79">
        <v>5.5</v>
      </c>
      <c r="E161" s="6">
        <v>0.2</v>
      </c>
      <c r="F161" s="6">
        <f t="shared" si="17"/>
        <v>27.5</v>
      </c>
      <c r="G161" s="78">
        <v>0</v>
      </c>
      <c r="H161" s="70">
        <v>0</v>
      </c>
      <c r="I161" s="70">
        <v>1</v>
      </c>
      <c r="J161" s="78">
        <v>14493</v>
      </c>
      <c r="K161" s="70">
        <v>4</v>
      </c>
      <c r="L161" s="70">
        <f t="shared" si="22"/>
        <v>14488</v>
      </c>
      <c r="M161" s="60">
        <f t="shared" si="23"/>
        <v>38</v>
      </c>
      <c r="N161" s="70">
        <v>9.6300000000000008</v>
      </c>
      <c r="O161" s="70">
        <v>18.5</v>
      </c>
      <c r="P161" s="78">
        <v>1</v>
      </c>
      <c r="Q161" s="70">
        <v>0</v>
      </c>
      <c r="R161" s="78">
        <v>0</v>
      </c>
      <c r="S161" s="70">
        <v>1</v>
      </c>
      <c r="T161" s="70">
        <v>0</v>
      </c>
      <c r="U161" s="70">
        <v>0</v>
      </c>
      <c r="V161" s="70">
        <v>1</v>
      </c>
      <c r="W161" s="78">
        <v>1</v>
      </c>
      <c r="X161" s="70">
        <v>0</v>
      </c>
      <c r="Y161" s="69">
        <v>1940</v>
      </c>
      <c r="Z161" s="28">
        <v>1</v>
      </c>
      <c r="AA161">
        <v>0</v>
      </c>
      <c r="AB161" s="28">
        <v>1</v>
      </c>
      <c r="AC161">
        <v>0</v>
      </c>
      <c r="AD161" s="28">
        <v>0.96</v>
      </c>
      <c r="AE161">
        <f t="shared" si="21"/>
        <v>4.0000000000000036E-2</v>
      </c>
      <c r="AF161">
        <v>0</v>
      </c>
      <c r="AG161">
        <v>1</v>
      </c>
      <c r="AH161" s="28">
        <v>0.75</v>
      </c>
      <c r="AI161" s="12">
        <f t="shared" si="19"/>
        <v>0.25</v>
      </c>
      <c r="AJ161">
        <v>0.5</v>
      </c>
      <c r="AK161">
        <v>0.5</v>
      </c>
      <c r="AL161">
        <v>0</v>
      </c>
      <c r="AM161" s="62" t="s">
        <v>67</v>
      </c>
      <c r="AN161">
        <v>1</v>
      </c>
      <c r="AO161">
        <v>0</v>
      </c>
      <c r="AP161">
        <v>15113</v>
      </c>
      <c r="AQ161">
        <v>528</v>
      </c>
      <c r="AR161">
        <v>0.79400000000000004</v>
      </c>
      <c r="AS161" s="64">
        <v>37.5</v>
      </c>
      <c r="AT161">
        <v>1</v>
      </c>
      <c r="AU161">
        <v>0</v>
      </c>
      <c r="AV161">
        <v>0</v>
      </c>
      <c r="AW161">
        <v>0</v>
      </c>
      <c r="AX161">
        <v>0</v>
      </c>
      <c r="AY161">
        <v>0</v>
      </c>
      <c r="AZ161" s="28">
        <v>0</v>
      </c>
      <c r="BA161">
        <v>0</v>
      </c>
      <c r="BB161">
        <v>0</v>
      </c>
      <c r="BC161" s="28">
        <v>1</v>
      </c>
      <c r="BD161">
        <v>1</v>
      </c>
      <c r="BE161">
        <v>0</v>
      </c>
      <c r="BF161">
        <v>1</v>
      </c>
      <c r="BG161">
        <v>0</v>
      </c>
      <c r="BH161">
        <v>0</v>
      </c>
      <c r="BI161">
        <v>0</v>
      </c>
      <c r="BJ161">
        <v>0</v>
      </c>
      <c r="BK161" s="16">
        <v>0</v>
      </c>
      <c r="BL161">
        <v>8.1000000000000003E-2</v>
      </c>
      <c r="BM161">
        <v>11</v>
      </c>
      <c r="BN161">
        <v>1</v>
      </c>
      <c r="BO161">
        <v>0</v>
      </c>
      <c r="BP161">
        <v>26</v>
      </c>
      <c r="BQ161" t="s">
        <v>34</v>
      </c>
    </row>
    <row r="162" spans="1:69" x14ac:dyDescent="0.25">
      <c r="A162">
        <v>161</v>
      </c>
      <c r="B162">
        <v>10</v>
      </c>
      <c r="C162" t="s">
        <v>250</v>
      </c>
      <c r="D162" s="79">
        <v>5</v>
      </c>
      <c r="E162" s="6">
        <v>0.3</v>
      </c>
      <c r="F162" s="6">
        <f t="shared" si="17"/>
        <v>16.666666666666668</v>
      </c>
      <c r="G162" s="78">
        <v>0</v>
      </c>
      <c r="H162" s="70">
        <v>0</v>
      </c>
      <c r="I162" s="70">
        <v>1</v>
      </c>
      <c r="J162" s="78">
        <v>14493</v>
      </c>
      <c r="K162" s="70">
        <v>1</v>
      </c>
      <c r="L162" s="70">
        <f t="shared" si="22"/>
        <v>14491</v>
      </c>
      <c r="M162" s="60">
        <f t="shared" si="23"/>
        <v>38</v>
      </c>
      <c r="N162" s="70">
        <v>9.6300000000000008</v>
      </c>
      <c r="O162" s="70">
        <v>18.5</v>
      </c>
      <c r="P162" s="78">
        <v>1</v>
      </c>
      <c r="Q162" s="70">
        <v>0</v>
      </c>
      <c r="R162" s="78">
        <v>0</v>
      </c>
      <c r="S162" s="70">
        <v>1</v>
      </c>
      <c r="T162" s="70">
        <v>0</v>
      </c>
      <c r="U162" s="70">
        <v>0</v>
      </c>
      <c r="V162" s="70">
        <v>1</v>
      </c>
      <c r="W162" s="78">
        <v>1</v>
      </c>
      <c r="X162" s="70">
        <v>0</v>
      </c>
      <c r="Y162" s="69">
        <v>1940</v>
      </c>
      <c r="Z162" s="28">
        <v>1</v>
      </c>
      <c r="AA162">
        <v>0</v>
      </c>
      <c r="AB162" s="28">
        <v>1</v>
      </c>
      <c r="AC162">
        <v>0</v>
      </c>
      <c r="AD162" s="28">
        <v>0.96</v>
      </c>
      <c r="AE162">
        <f t="shared" si="21"/>
        <v>4.0000000000000036E-2</v>
      </c>
      <c r="AF162">
        <v>0</v>
      </c>
      <c r="AG162">
        <v>1</v>
      </c>
      <c r="AH162" s="28">
        <v>0.75</v>
      </c>
      <c r="AI162" s="12">
        <f t="shared" si="19"/>
        <v>0.25</v>
      </c>
      <c r="AJ162">
        <v>0.5</v>
      </c>
      <c r="AK162">
        <v>0.5</v>
      </c>
      <c r="AL162">
        <v>0</v>
      </c>
      <c r="AM162" s="62" t="s">
        <v>67</v>
      </c>
      <c r="AN162">
        <v>1</v>
      </c>
      <c r="AO162">
        <v>0</v>
      </c>
      <c r="AP162">
        <v>15113</v>
      </c>
      <c r="AQ162">
        <v>528</v>
      </c>
      <c r="AR162">
        <v>0.79400000000000004</v>
      </c>
      <c r="AS162" s="64">
        <v>37.5</v>
      </c>
      <c r="AT162">
        <v>0</v>
      </c>
      <c r="AU162">
        <v>0</v>
      </c>
      <c r="AV162">
        <v>1</v>
      </c>
      <c r="AW162">
        <v>0</v>
      </c>
      <c r="AX162">
        <v>0</v>
      </c>
      <c r="AY162">
        <v>0</v>
      </c>
      <c r="AZ162" s="28">
        <v>0</v>
      </c>
      <c r="BA162">
        <v>0</v>
      </c>
      <c r="BB162">
        <v>0</v>
      </c>
      <c r="BC162" s="28">
        <v>0</v>
      </c>
      <c r="BD162">
        <v>0</v>
      </c>
      <c r="BE162">
        <v>0</v>
      </c>
      <c r="BF162">
        <v>0</v>
      </c>
      <c r="BG162">
        <v>0</v>
      </c>
      <c r="BH162">
        <v>0</v>
      </c>
      <c r="BI162">
        <v>0</v>
      </c>
      <c r="BJ162">
        <v>0</v>
      </c>
      <c r="BK162" s="16">
        <v>0</v>
      </c>
      <c r="BL162">
        <v>8.1000000000000003E-2</v>
      </c>
      <c r="BM162">
        <v>11</v>
      </c>
      <c r="BN162">
        <v>1</v>
      </c>
      <c r="BO162">
        <v>0</v>
      </c>
      <c r="BP162">
        <v>26</v>
      </c>
      <c r="BQ162" t="s">
        <v>34</v>
      </c>
    </row>
    <row r="163" spans="1:69" x14ac:dyDescent="0.25">
      <c r="A163">
        <v>162</v>
      </c>
      <c r="B163">
        <v>10</v>
      </c>
      <c r="C163" t="s">
        <v>250</v>
      </c>
      <c r="D163" s="79">
        <v>4.4000000000000004</v>
      </c>
      <c r="E163" s="6">
        <v>0.2</v>
      </c>
      <c r="F163" s="6">
        <f t="shared" si="17"/>
        <v>22</v>
      </c>
      <c r="G163" s="78">
        <v>0</v>
      </c>
      <c r="H163" s="70">
        <v>0</v>
      </c>
      <c r="I163" s="70">
        <v>1</v>
      </c>
      <c r="J163" s="78">
        <v>7154</v>
      </c>
      <c r="K163" s="70">
        <v>4</v>
      </c>
      <c r="L163" s="70">
        <f t="shared" si="22"/>
        <v>7149</v>
      </c>
      <c r="M163" s="60">
        <f t="shared" si="23"/>
        <v>38</v>
      </c>
      <c r="N163" s="70">
        <v>9.6300000000000008</v>
      </c>
      <c r="O163" s="70">
        <v>18.5</v>
      </c>
      <c r="P163" s="78">
        <v>1</v>
      </c>
      <c r="Q163" s="70">
        <v>0</v>
      </c>
      <c r="R163" s="78">
        <v>0</v>
      </c>
      <c r="S163" s="70">
        <v>1</v>
      </c>
      <c r="T163" s="70">
        <v>0</v>
      </c>
      <c r="U163" s="70">
        <v>0</v>
      </c>
      <c r="V163" s="70">
        <v>1</v>
      </c>
      <c r="W163" s="78">
        <v>1</v>
      </c>
      <c r="X163" s="70">
        <v>0</v>
      </c>
      <c r="Y163" s="69">
        <v>1940</v>
      </c>
      <c r="Z163" s="28">
        <v>1</v>
      </c>
      <c r="AA163">
        <v>0</v>
      </c>
      <c r="AB163" s="28">
        <v>1</v>
      </c>
      <c r="AC163">
        <v>0</v>
      </c>
      <c r="AD163" s="28">
        <v>0.96</v>
      </c>
      <c r="AE163">
        <f t="shared" si="21"/>
        <v>4.0000000000000036E-2</v>
      </c>
      <c r="AF163">
        <v>0</v>
      </c>
      <c r="AG163">
        <v>1</v>
      </c>
      <c r="AH163" s="28">
        <v>0.75</v>
      </c>
      <c r="AI163" s="12">
        <f t="shared" si="19"/>
        <v>0.25</v>
      </c>
      <c r="AJ163">
        <v>0.5</v>
      </c>
      <c r="AK163">
        <v>0.5</v>
      </c>
      <c r="AL163">
        <v>0</v>
      </c>
      <c r="AM163" s="62" t="s">
        <v>67</v>
      </c>
      <c r="AN163">
        <v>1</v>
      </c>
      <c r="AO163">
        <v>0</v>
      </c>
      <c r="AP163">
        <v>15113</v>
      </c>
      <c r="AQ163">
        <v>528</v>
      </c>
      <c r="AR163">
        <v>0.79400000000000004</v>
      </c>
      <c r="AS163" s="64">
        <v>37.5</v>
      </c>
      <c r="AT163">
        <v>1</v>
      </c>
      <c r="AU163">
        <v>0</v>
      </c>
      <c r="AV163">
        <v>0</v>
      </c>
      <c r="AW163">
        <v>0</v>
      </c>
      <c r="AX163">
        <v>0</v>
      </c>
      <c r="AY163">
        <v>0</v>
      </c>
      <c r="AZ163" s="28">
        <v>0</v>
      </c>
      <c r="BA163">
        <v>0</v>
      </c>
      <c r="BB163">
        <v>0</v>
      </c>
      <c r="BC163" s="28">
        <v>1</v>
      </c>
      <c r="BD163">
        <v>1</v>
      </c>
      <c r="BE163">
        <v>0</v>
      </c>
      <c r="BF163">
        <v>1</v>
      </c>
      <c r="BG163">
        <v>0</v>
      </c>
      <c r="BH163">
        <v>0</v>
      </c>
      <c r="BI163">
        <v>0</v>
      </c>
      <c r="BJ163">
        <v>0</v>
      </c>
      <c r="BK163" s="16">
        <v>0</v>
      </c>
      <c r="BL163">
        <v>8.1000000000000003E-2</v>
      </c>
      <c r="BM163">
        <v>11</v>
      </c>
      <c r="BN163">
        <v>1</v>
      </c>
      <c r="BO163">
        <v>0</v>
      </c>
      <c r="BP163">
        <v>26</v>
      </c>
      <c r="BQ163" t="s">
        <v>34</v>
      </c>
    </row>
    <row r="164" spans="1:69" x14ac:dyDescent="0.25">
      <c r="A164">
        <v>163</v>
      </c>
      <c r="B164">
        <v>10</v>
      </c>
      <c r="C164" t="s">
        <v>250</v>
      </c>
      <c r="D164" s="79">
        <v>4.3</v>
      </c>
      <c r="E164" s="6">
        <v>0.5</v>
      </c>
      <c r="F164" s="6">
        <f t="shared" si="17"/>
        <v>8.6</v>
      </c>
      <c r="G164" s="78">
        <v>0</v>
      </c>
      <c r="H164" s="70">
        <v>0</v>
      </c>
      <c r="I164" s="70">
        <v>1</v>
      </c>
      <c r="J164" s="78">
        <v>7154</v>
      </c>
      <c r="K164" s="70">
        <v>1</v>
      </c>
      <c r="L164" s="70">
        <f t="shared" si="22"/>
        <v>7152</v>
      </c>
      <c r="M164" s="60">
        <f t="shared" si="23"/>
        <v>38</v>
      </c>
      <c r="N164" s="70">
        <v>9.6300000000000008</v>
      </c>
      <c r="O164" s="70">
        <v>18.5</v>
      </c>
      <c r="P164" s="78">
        <v>1</v>
      </c>
      <c r="Q164" s="70">
        <v>0</v>
      </c>
      <c r="R164" s="78">
        <v>0</v>
      </c>
      <c r="S164" s="70">
        <v>1</v>
      </c>
      <c r="T164" s="70">
        <v>0</v>
      </c>
      <c r="U164" s="70">
        <v>0</v>
      </c>
      <c r="V164" s="70">
        <v>1</v>
      </c>
      <c r="W164" s="78">
        <v>1</v>
      </c>
      <c r="X164" s="70">
        <v>0</v>
      </c>
      <c r="Y164" s="69">
        <v>1940</v>
      </c>
      <c r="Z164" s="28">
        <v>1</v>
      </c>
      <c r="AA164">
        <v>0</v>
      </c>
      <c r="AB164" s="28">
        <v>1</v>
      </c>
      <c r="AC164">
        <v>0</v>
      </c>
      <c r="AD164" s="28">
        <v>0.96</v>
      </c>
      <c r="AE164">
        <f t="shared" si="21"/>
        <v>4.0000000000000036E-2</v>
      </c>
      <c r="AF164">
        <v>0</v>
      </c>
      <c r="AG164">
        <v>1</v>
      </c>
      <c r="AH164" s="28">
        <v>0.75</v>
      </c>
      <c r="AI164" s="12">
        <f t="shared" si="19"/>
        <v>0.25</v>
      </c>
      <c r="AJ164">
        <v>0.5</v>
      </c>
      <c r="AK164">
        <v>0.5</v>
      </c>
      <c r="AL164">
        <v>0</v>
      </c>
      <c r="AM164" s="62" t="s">
        <v>67</v>
      </c>
      <c r="AN164">
        <v>1</v>
      </c>
      <c r="AO164">
        <v>0</v>
      </c>
      <c r="AP164">
        <v>15113</v>
      </c>
      <c r="AQ164">
        <v>528</v>
      </c>
      <c r="AR164">
        <v>0.79400000000000004</v>
      </c>
      <c r="AS164" s="64">
        <v>37.5</v>
      </c>
      <c r="AT164">
        <v>0</v>
      </c>
      <c r="AU164">
        <v>0</v>
      </c>
      <c r="AV164">
        <v>1</v>
      </c>
      <c r="AW164">
        <v>0</v>
      </c>
      <c r="AX164">
        <v>0</v>
      </c>
      <c r="AY164">
        <v>0</v>
      </c>
      <c r="AZ164" s="28">
        <v>0</v>
      </c>
      <c r="BA164">
        <v>0</v>
      </c>
      <c r="BB164">
        <v>0</v>
      </c>
      <c r="BC164" s="28">
        <v>0</v>
      </c>
      <c r="BD164">
        <v>0</v>
      </c>
      <c r="BE164">
        <v>0</v>
      </c>
      <c r="BF164">
        <v>0</v>
      </c>
      <c r="BG164">
        <v>0</v>
      </c>
      <c r="BH164">
        <v>0</v>
      </c>
      <c r="BI164">
        <v>0</v>
      </c>
      <c r="BJ164">
        <v>0</v>
      </c>
      <c r="BK164" s="16">
        <v>0</v>
      </c>
      <c r="BL164">
        <v>8.1000000000000003E-2</v>
      </c>
      <c r="BM164">
        <v>11</v>
      </c>
      <c r="BN164">
        <v>1</v>
      </c>
      <c r="BO164">
        <v>0</v>
      </c>
      <c r="BP164">
        <v>26</v>
      </c>
      <c r="BQ164" t="s">
        <v>34</v>
      </c>
    </row>
    <row r="165" spans="1:69" x14ac:dyDescent="0.25">
      <c r="A165">
        <v>164</v>
      </c>
      <c r="B165">
        <v>10</v>
      </c>
      <c r="C165" t="s">
        <v>250</v>
      </c>
      <c r="D165" s="79">
        <v>3.8</v>
      </c>
      <c r="E165" s="6">
        <v>0.2</v>
      </c>
      <c r="F165" s="6">
        <f t="shared" si="17"/>
        <v>18.999999999999996</v>
      </c>
      <c r="G165" s="78">
        <v>0</v>
      </c>
      <c r="H165" s="70">
        <v>0</v>
      </c>
      <c r="I165" s="70">
        <v>1</v>
      </c>
      <c r="J165" s="78">
        <v>11369</v>
      </c>
      <c r="K165" s="70">
        <v>4</v>
      </c>
      <c r="L165" s="70">
        <f t="shared" si="22"/>
        <v>11364</v>
      </c>
      <c r="M165" s="60">
        <f t="shared" si="23"/>
        <v>38</v>
      </c>
      <c r="N165" s="70">
        <v>9.6300000000000008</v>
      </c>
      <c r="O165" s="70">
        <v>18.5</v>
      </c>
      <c r="P165" s="78">
        <v>1</v>
      </c>
      <c r="Q165" s="70">
        <v>0</v>
      </c>
      <c r="R165" s="78">
        <v>0</v>
      </c>
      <c r="S165" s="70">
        <v>1</v>
      </c>
      <c r="T165" s="70">
        <v>0</v>
      </c>
      <c r="U165" s="70">
        <v>0</v>
      </c>
      <c r="V165" s="70">
        <v>1</v>
      </c>
      <c r="W165" s="78">
        <v>1</v>
      </c>
      <c r="X165" s="70">
        <v>0</v>
      </c>
      <c r="Y165" s="69">
        <v>1940</v>
      </c>
      <c r="Z165" s="28">
        <v>1</v>
      </c>
      <c r="AA165">
        <v>0</v>
      </c>
      <c r="AB165" s="28">
        <v>1</v>
      </c>
      <c r="AC165">
        <v>0</v>
      </c>
      <c r="AD165" s="28">
        <v>0.96</v>
      </c>
      <c r="AE165">
        <f t="shared" si="21"/>
        <v>4.0000000000000036E-2</v>
      </c>
      <c r="AF165">
        <v>0</v>
      </c>
      <c r="AG165">
        <v>1</v>
      </c>
      <c r="AH165" s="28">
        <v>0.75</v>
      </c>
      <c r="AI165" s="12">
        <f t="shared" si="19"/>
        <v>0.25</v>
      </c>
      <c r="AJ165">
        <v>0.5</v>
      </c>
      <c r="AK165">
        <v>0.5</v>
      </c>
      <c r="AL165">
        <v>0</v>
      </c>
      <c r="AM165" s="62" t="s">
        <v>67</v>
      </c>
      <c r="AN165">
        <v>1</v>
      </c>
      <c r="AO165">
        <v>0</v>
      </c>
      <c r="AP165">
        <v>15113</v>
      </c>
      <c r="AQ165">
        <v>528</v>
      </c>
      <c r="AR165">
        <v>0.79400000000000004</v>
      </c>
      <c r="AS165" s="64">
        <v>37.5</v>
      </c>
      <c r="AT165">
        <v>1</v>
      </c>
      <c r="AU165">
        <v>0</v>
      </c>
      <c r="AV165">
        <v>0</v>
      </c>
      <c r="AW165">
        <v>0</v>
      </c>
      <c r="AX165">
        <v>0</v>
      </c>
      <c r="AY165">
        <v>0</v>
      </c>
      <c r="AZ165" s="28">
        <v>0</v>
      </c>
      <c r="BA165">
        <v>0</v>
      </c>
      <c r="BB165">
        <v>0</v>
      </c>
      <c r="BC165" s="28">
        <v>1</v>
      </c>
      <c r="BD165">
        <v>1</v>
      </c>
      <c r="BE165">
        <v>0</v>
      </c>
      <c r="BF165">
        <v>1</v>
      </c>
      <c r="BG165">
        <v>0</v>
      </c>
      <c r="BH165">
        <v>0</v>
      </c>
      <c r="BI165">
        <v>0</v>
      </c>
      <c r="BJ165">
        <v>0</v>
      </c>
      <c r="BK165" s="16">
        <v>0</v>
      </c>
      <c r="BL165">
        <v>8.1000000000000003E-2</v>
      </c>
      <c r="BM165">
        <v>11</v>
      </c>
      <c r="BN165">
        <v>1</v>
      </c>
      <c r="BO165">
        <v>0</v>
      </c>
      <c r="BP165">
        <v>26</v>
      </c>
      <c r="BQ165" t="s">
        <v>34</v>
      </c>
    </row>
    <row r="166" spans="1:69" x14ac:dyDescent="0.25">
      <c r="A166">
        <v>165</v>
      </c>
      <c r="B166">
        <v>10</v>
      </c>
      <c r="C166" t="s">
        <v>250</v>
      </c>
      <c r="D166" s="79">
        <v>3.6</v>
      </c>
      <c r="E166" s="6">
        <v>0.4</v>
      </c>
      <c r="F166" s="6">
        <f t="shared" si="17"/>
        <v>9</v>
      </c>
      <c r="G166" s="78">
        <v>0</v>
      </c>
      <c r="H166" s="70">
        <v>0</v>
      </c>
      <c r="I166" s="70">
        <v>1</v>
      </c>
      <c r="J166" s="78">
        <v>11369</v>
      </c>
      <c r="K166" s="70">
        <v>1</v>
      </c>
      <c r="L166" s="70">
        <f t="shared" si="22"/>
        <v>11367</v>
      </c>
      <c r="M166" s="60">
        <f t="shared" si="23"/>
        <v>38</v>
      </c>
      <c r="N166" s="70">
        <v>9.6300000000000008</v>
      </c>
      <c r="O166" s="70">
        <v>18.5</v>
      </c>
      <c r="P166" s="78">
        <v>1</v>
      </c>
      <c r="Q166" s="70">
        <v>0</v>
      </c>
      <c r="R166" s="78">
        <v>0</v>
      </c>
      <c r="S166" s="70">
        <v>1</v>
      </c>
      <c r="T166" s="70">
        <v>0</v>
      </c>
      <c r="U166" s="70">
        <v>0</v>
      </c>
      <c r="V166" s="70">
        <v>1</v>
      </c>
      <c r="W166" s="78">
        <v>1</v>
      </c>
      <c r="X166" s="70">
        <v>0</v>
      </c>
      <c r="Y166" s="69">
        <v>1940</v>
      </c>
      <c r="Z166" s="28">
        <v>1</v>
      </c>
      <c r="AA166">
        <v>0</v>
      </c>
      <c r="AB166" s="28">
        <v>1</v>
      </c>
      <c r="AC166">
        <v>0</v>
      </c>
      <c r="AD166" s="28">
        <v>0.96</v>
      </c>
      <c r="AE166">
        <f t="shared" si="21"/>
        <v>4.0000000000000036E-2</v>
      </c>
      <c r="AF166">
        <v>0</v>
      </c>
      <c r="AG166">
        <v>1</v>
      </c>
      <c r="AH166" s="28">
        <v>0.75</v>
      </c>
      <c r="AI166" s="12">
        <f t="shared" si="19"/>
        <v>0.25</v>
      </c>
      <c r="AJ166">
        <v>0.5</v>
      </c>
      <c r="AK166">
        <v>0.5</v>
      </c>
      <c r="AL166">
        <v>0</v>
      </c>
      <c r="AM166" s="62" t="s">
        <v>67</v>
      </c>
      <c r="AN166">
        <v>1</v>
      </c>
      <c r="AO166">
        <v>0</v>
      </c>
      <c r="AP166">
        <v>15113</v>
      </c>
      <c r="AQ166">
        <v>528</v>
      </c>
      <c r="AR166">
        <v>0.79400000000000004</v>
      </c>
      <c r="AS166" s="64">
        <v>37.5</v>
      </c>
      <c r="AT166">
        <v>0</v>
      </c>
      <c r="AU166">
        <v>0</v>
      </c>
      <c r="AV166">
        <v>1</v>
      </c>
      <c r="AW166">
        <v>0</v>
      </c>
      <c r="AX166">
        <v>0</v>
      </c>
      <c r="AY166">
        <v>0</v>
      </c>
      <c r="AZ166" s="28">
        <v>0</v>
      </c>
      <c r="BA166">
        <v>0</v>
      </c>
      <c r="BB166">
        <v>0</v>
      </c>
      <c r="BC166" s="28">
        <v>0</v>
      </c>
      <c r="BD166">
        <v>0</v>
      </c>
      <c r="BE166">
        <v>0</v>
      </c>
      <c r="BF166">
        <v>0</v>
      </c>
      <c r="BG166">
        <v>0</v>
      </c>
      <c r="BH166">
        <v>0</v>
      </c>
      <c r="BI166">
        <v>0</v>
      </c>
      <c r="BJ166">
        <v>0</v>
      </c>
      <c r="BK166" s="16">
        <v>0</v>
      </c>
      <c r="BL166">
        <v>8.1000000000000003E-2</v>
      </c>
      <c r="BM166">
        <v>11</v>
      </c>
      <c r="BN166">
        <v>1</v>
      </c>
      <c r="BO166">
        <v>0</v>
      </c>
      <c r="BP166">
        <v>26</v>
      </c>
      <c r="BQ166" t="s">
        <v>34</v>
      </c>
    </row>
    <row r="167" spans="1:69" x14ac:dyDescent="0.25">
      <c r="A167">
        <v>166</v>
      </c>
      <c r="B167">
        <v>11</v>
      </c>
      <c r="C167" t="s">
        <v>256</v>
      </c>
      <c r="D167" s="79">
        <v>6.7</v>
      </c>
      <c r="E167" s="6">
        <f t="shared" ref="E167:E202" si="24">D167/F167</f>
        <v>0.40095751047277078</v>
      </c>
      <c r="F167" s="6">
        <v>16.71</v>
      </c>
      <c r="G167" s="78">
        <v>1</v>
      </c>
      <c r="H167" s="70">
        <v>0</v>
      </c>
      <c r="I167" s="70">
        <v>0</v>
      </c>
      <c r="J167" s="78">
        <v>2253</v>
      </c>
      <c r="K167" s="70">
        <v>9</v>
      </c>
      <c r="L167" s="70">
        <f t="shared" si="22"/>
        <v>2243</v>
      </c>
      <c r="M167" s="60">
        <f t="shared" si="23"/>
        <v>36</v>
      </c>
      <c r="N167" s="6">
        <f t="shared" ref="N167:N202" si="25">12.22*AJ167+11.73*AL167</f>
        <v>11.94707</v>
      </c>
      <c r="O167" s="6">
        <f t="shared" ref="O167:O202" si="26">15.03*AJ167+21.7*AL167</f>
        <v>18.745189999999997</v>
      </c>
      <c r="P167" s="78">
        <v>1</v>
      </c>
      <c r="Q167" s="70">
        <v>0</v>
      </c>
      <c r="R167" s="78">
        <v>0</v>
      </c>
      <c r="S167" s="70">
        <v>0</v>
      </c>
      <c r="T167" s="70">
        <v>1</v>
      </c>
      <c r="U167" s="70">
        <v>1</v>
      </c>
      <c r="V167" s="70">
        <v>0</v>
      </c>
      <c r="W167" s="78">
        <v>1</v>
      </c>
      <c r="X167" s="70">
        <v>0</v>
      </c>
      <c r="Y167" s="69">
        <v>2002</v>
      </c>
      <c r="Z167" s="28" t="s">
        <v>45</v>
      </c>
      <c r="AA167" t="s">
        <v>45</v>
      </c>
      <c r="AB167" s="28">
        <v>0.52780000000000005</v>
      </c>
      <c r="AC167">
        <v>0.47220000000000001</v>
      </c>
      <c r="AD167" s="28">
        <v>0</v>
      </c>
      <c r="AE167">
        <v>1</v>
      </c>
      <c r="AF167">
        <v>0</v>
      </c>
      <c r="AG167">
        <v>1</v>
      </c>
      <c r="AH167" s="81">
        <f t="shared" ref="AH167:AH202" si="27">0.66*AJ167+0.94*AL167</f>
        <v>0.81596000000000002</v>
      </c>
      <c r="AI167" s="82">
        <f t="shared" si="19"/>
        <v>0.18403999999999998</v>
      </c>
      <c r="AJ167">
        <v>0.443</v>
      </c>
      <c r="AK167">
        <v>0</v>
      </c>
      <c r="AL167">
        <f>1-AJ167</f>
        <v>0.55699999999999994</v>
      </c>
      <c r="AM167" s="62" t="s">
        <v>297</v>
      </c>
      <c r="AN167">
        <v>0</v>
      </c>
      <c r="AO167">
        <v>1</v>
      </c>
      <c r="AP167">
        <v>942</v>
      </c>
      <c r="AQ167">
        <v>131</v>
      </c>
      <c r="AR167">
        <v>0.29299999999999998</v>
      </c>
      <c r="AS167" s="80">
        <f t="shared" ref="AS167:AS202" si="28">34.78*AJ167+43.27*AL167</f>
        <v>39.508929999999999</v>
      </c>
      <c r="AT167">
        <v>1</v>
      </c>
      <c r="AU167">
        <v>0</v>
      </c>
      <c r="AV167">
        <v>0</v>
      </c>
      <c r="AW167">
        <v>0</v>
      </c>
      <c r="AX167">
        <v>0</v>
      </c>
      <c r="AY167">
        <v>0</v>
      </c>
      <c r="AZ167" s="28">
        <v>0</v>
      </c>
      <c r="BA167">
        <v>0</v>
      </c>
      <c r="BB167">
        <v>0</v>
      </c>
      <c r="BC167" s="28">
        <v>1</v>
      </c>
      <c r="BD167">
        <v>1</v>
      </c>
      <c r="BE167">
        <v>0</v>
      </c>
      <c r="BF167">
        <v>0</v>
      </c>
      <c r="BG167">
        <v>1</v>
      </c>
      <c r="BH167">
        <v>0</v>
      </c>
      <c r="BI167">
        <v>0</v>
      </c>
      <c r="BJ167">
        <v>0</v>
      </c>
      <c r="BK167" s="16">
        <v>0</v>
      </c>
      <c r="BL167">
        <v>0</v>
      </c>
      <c r="BM167">
        <v>1</v>
      </c>
      <c r="BN167">
        <v>0</v>
      </c>
      <c r="BO167">
        <v>1</v>
      </c>
      <c r="BP167">
        <v>11</v>
      </c>
      <c r="BQ167" t="s">
        <v>34</v>
      </c>
    </row>
    <row r="168" spans="1:69" x14ac:dyDescent="0.25">
      <c r="A168">
        <v>167</v>
      </c>
      <c r="B168">
        <v>11</v>
      </c>
      <c r="C168" t="s">
        <v>256</v>
      </c>
      <c r="D168" s="79">
        <v>6.7</v>
      </c>
      <c r="E168" s="6">
        <f t="shared" si="24"/>
        <v>0.39621525724423418</v>
      </c>
      <c r="F168" s="6">
        <v>16.91</v>
      </c>
      <c r="G168" s="78">
        <v>1</v>
      </c>
      <c r="H168" s="70">
        <v>0</v>
      </c>
      <c r="I168" s="70">
        <v>0</v>
      </c>
      <c r="J168" s="78">
        <v>2253</v>
      </c>
      <c r="K168" s="70">
        <v>11</v>
      </c>
      <c r="L168" s="70">
        <f t="shared" si="22"/>
        <v>2241</v>
      </c>
      <c r="M168" s="60">
        <f t="shared" si="23"/>
        <v>36</v>
      </c>
      <c r="N168" s="6">
        <f t="shared" si="25"/>
        <v>11.94707</v>
      </c>
      <c r="O168" s="6">
        <f t="shared" si="26"/>
        <v>18.745189999999997</v>
      </c>
      <c r="P168" s="78">
        <v>1</v>
      </c>
      <c r="Q168" s="70">
        <v>0</v>
      </c>
      <c r="R168" s="78">
        <v>0</v>
      </c>
      <c r="S168" s="70">
        <v>0</v>
      </c>
      <c r="T168" s="70">
        <v>1</v>
      </c>
      <c r="U168" s="70">
        <v>1</v>
      </c>
      <c r="V168" s="70">
        <v>0</v>
      </c>
      <c r="W168" s="78">
        <v>1</v>
      </c>
      <c r="X168" s="70">
        <v>0</v>
      </c>
      <c r="Y168" s="69">
        <v>2002</v>
      </c>
      <c r="Z168" s="28" t="s">
        <v>45</v>
      </c>
      <c r="AA168" t="s">
        <v>45</v>
      </c>
      <c r="AB168" s="28">
        <v>0.52780000000000005</v>
      </c>
      <c r="AC168">
        <v>0.47220000000000001</v>
      </c>
      <c r="AD168" s="28">
        <v>0</v>
      </c>
      <c r="AE168">
        <v>1</v>
      </c>
      <c r="AF168">
        <v>0</v>
      </c>
      <c r="AG168">
        <v>1</v>
      </c>
      <c r="AH168" s="81">
        <f t="shared" si="27"/>
        <v>0.81596000000000002</v>
      </c>
      <c r="AI168" s="82">
        <f t="shared" si="19"/>
        <v>0.18403999999999998</v>
      </c>
      <c r="AJ168">
        <v>0.443</v>
      </c>
      <c r="AK168">
        <v>0</v>
      </c>
      <c r="AL168">
        <f>1-AJ168</f>
        <v>0.55699999999999994</v>
      </c>
      <c r="AM168" s="62" t="s">
        <v>297</v>
      </c>
      <c r="AN168">
        <v>0</v>
      </c>
      <c r="AO168">
        <v>1</v>
      </c>
      <c r="AP168">
        <v>942</v>
      </c>
      <c r="AQ168">
        <v>131</v>
      </c>
      <c r="AR168">
        <v>0.29299999999999998</v>
      </c>
      <c r="AS168" s="80">
        <f t="shared" si="28"/>
        <v>39.508929999999999</v>
      </c>
      <c r="AT168">
        <v>1</v>
      </c>
      <c r="AU168">
        <v>0</v>
      </c>
      <c r="AV168">
        <v>0</v>
      </c>
      <c r="AW168">
        <v>0</v>
      </c>
      <c r="AX168">
        <v>0</v>
      </c>
      <c r="AY168">
        <v>0</v>
      </c>
      <c r="AZ168" s="28">
        <v>0</v>
      </c>
      <c r="BA168">
        <v>0</v>
      </c>
      <c r="BB168">
        <v>0</v>
      </c>
      <c r="BC168" s="28">
        <v>1</v>
      </c>
      <c r="BD168">
        <v>1</v>
      </c>
      <c r="BE168">
        <v>1</v>
      </c>
      <c r="BF168">
        <v>0</v>
      </c>
      <c r="BG168">
        <v>1</v>
      </c>
      <c r="BH168">
        <v>1</v>
      </c>
      <c r="BI168">
        <v>0</v>
      </c>
      <c r="BJ168">
        <v>0</v>
      </c>
      <c r="BK168" s="16">
        <v>0</v>
      </c>
      <c r="BL168">
        <v>0</v>
      </c>
      <c r="BM168">
        <v>1</v>
      </c>
      <c r="BN168">
        <v>0</v>
      </c>
      <c r="BO168">
        <v>1</v>
      </c>
      <c r="BP168">
        <v>11</v>
      </c>
      <c r="BQ168" t="s">
        <v>34</v>
      </c>
    </row>
    <row r="169" spans="1:69" x14ac:dyDescent="0.25">
      <c r="A169">
        <v>168</v>
      </c>
      <c r="B169">
        <v>11</v>
      </c>
      <c r="C169" t="s">
        <v>256</v>
      </c>
      <c r="D169" s="79">
        <v>8.1999999999999993</v>
      </c>
      <c r="E169" s="6">
        <f t="shared" si="24"/>
        <v>0.59205776173285196</v>
      </c>
      <c r="F169" s="6">
        <v>13.85</v>
      </c>
      <c r="G169" s="78">
        <v>1</v>
      </c>
      <c r="H169" s="70">
        <v>0</v>
      </c>
      <c r="I169" s="70">
        <v>0</v>
      </c>
      <c r="J169" s="78">
        <v>976</v>
      </c>
      <c r="K169" s="70">
        <v>9</v>
      </c>
      <c r="L169" s="70">
        <f t="shared" si="22"/>
        <v>966</v>
      </c>
      <c r="M169" s="60">
        <f t="shared" si="23"/>
        <v>36</v>
      </c>
      <c r="N169" s="6">
        <f t="shared" si="25"/>
        <v>12.22</v>
      </c>
      <c r="O169" s="6">
        <f t="shared" si="26"/>
        <v>15.03</v>
      </c>
      <c r="P169" s="78">
        <v>1</v>
      </c>
      <c r="Q169" s="70">
        <v>0</v>
      </c>
      <c r="R169" s="78">
        <v>0</v>
      </c>
      <c r="S169" s="70">
        <v>0</v>
      </c>
      <c r="T169" s="70">
        <v>1</v>
      </c>
      <c r="U169" s="70">
        <v>1</v>
      </c>
      <c r="V169" s="70">
        <v>0</v>
      </c>
      <c r="W169" s="78">
        <v>1</v>
      </c>
      <c r="X169" s="70">
        <v>0</v>
      </c>
      <c r="Y169" s="69">
        <v>2002</v>
      </c>
      <c r="Z169" s="28" t="s">
        <v>45</v>
      </c>
      <c r="AA169" t="s">
        <v>45</v>
      </c>
      <c r="AB169" s="28">
        <v>0.59630000000000005</v>
      </c>
      <c r="AC169">
        <v>0.40369999999999989</v>
      </c>
      <c r="AD169" s="28">
        <v>0</v>
      </c>
      <c r="AE169">
        <v>1</v>
      </c>
      <c r="AF169">
        <v>0</v>
      </c>
      <c r="AG169">
        <v>1</v>
      </c>
      <c r="AH169" s="81">
        <f t="shared" si="27"/>
        <v>0.66</v>
      </c>
      <c r="AI169" s="82">
        <f t="shared" si="19"/>
        <v>0.33999999999999997</v>
      </c>
      <c r="AJ169">
        <v>1</v>
      </c>
      <c r="AK169">
        <v>0</v>
      </c>
      <c r="AL169">
        <v>0</v>
      </c>
      <c r="AM169" s="62" t="s">
        <v>297</v>
      </c>
      <c r="AN169">
        <v>0</v>
      </c>
      <c r="AO169">
        <v>1</v>
      </c>
      <c r="AP169">
        <v>942</v>
      </c>
      <c r="AQ169">
        <v>131</v>
      </c>
      <c r="AR169">
        <v>0.29299999999999998</v>
      </c>
      <c r="AS169" s="80">
        <f t="shared" si="28"/>
        <v>34.78</v>
      </c>
      <c r="AT169">
        <v>1</v>
      </c>
      <c r="AU169">
        <v>0</v>
      </c>
      <c r="AV169">
        <v>0</v>
      </c>
      <c r="AW169">
        <v>0</v>
      </c>
      <c r="AX169">
        <v>0</v>
      </c>
      <c r="AY169">
        <v>0</v>
      </c>
      <c r="AZ169" s="28">
        <v>0</v>
      </c>
      <c r="BA169">
        <v>0</v>
      </c>
      <c r="BB169">
        <v>0</v>
      </c>
      <c r="BC169" s="28">
        <v>1</v>
      </c>
      <c r="BD169">
        <v>1</v>
      </c>
      <c r="BE169">
        <v>0</v>
      </c>
      <c r="BF169">
        <v>0</v>
      </c>
      <c r="BG169">
        <v>1</v>
      </c>
      <c r="BH169">
        <v>0</v>
      </c>
      <c r="BI169">
        <v>0</v>
      </c>
      <c r="BJ169">
        <v>0</v>
      </c>
      <c r="BK169" s="16">
        <v>0</v>
      </c>
      <c r="BL169">
        <v>0</v>
      </c>
      <c r="BM169">
        <v>1</v>
      </c>
      <c r="BN169">
        <v>0</v>
      </c>
      <c r="BO169">
        <v>1</v>
      </c>
      <c r="BP169">
        <v>11</v>
      </c>
      <c r="BQ169" t="s">
        <v>34</v>
      </c>
    </row>
    <row r="170" spans="1:69" x14ac:dyDescent="0.25">
      <c r="A170">
        <v>169</v>
      </c>
      <c r="B170">
        <v>11</v>
      </c>
      <c r="C170" t="s">
        <v>256</v>
      </c>
      <c r="D170" s="79">
        <v>2.5</v>
      </c>
      <c r="E170" s="6">
        <f t="shared" si="24"/>
        <v>1.4880952380952381</v>
      </c>
      <c r="F170" s="6">
        <v>1.68</v>
      </c>
      <c r="G170" s="78">
        <v>1</v>
      </c>
      <c r="H170" s="70">
        <v>0</v>
      </c>
      <c r="I170" s="70">
        <v>0</v>
      </c>
      <c r="J170" s="78">
        <v>976</v>
      </c>
      <c r="K170" s="70">
        <v>1</v>
      </c>
      <c r="L170" s="70">
        <f t="shared" si="22"/>
        <v>974</v>
      </c>
      <c r="M170" s="60">
        <f t="shared" si="23"/>
        <v>36</v>
      </c>
      <c r="N170" s="6">
        <f t="shared" si="25"/>
        <v>12.22</v>
      </c>
      <c r="O170" s="6">
        <f t="shared" si="26"/>
        <v>15.03</v>
      </c>
      <c r="P170" s="78">
        <v>1</v>
      </c>
      <c r="Q170" s="70">
        <v>0</v>
      </c>
      <c r="R170" s="78">
        <v>0</v>
      </c>
      <c r="S170" s="70">
        <v>0</v>
      </c>
      <c r="T170" s="70">
        <v>1</v>
      </c>
      <c r="U170" s="70">
        <v>1</v>
      </c>
      <c r="V170" s="70">
        <v>0</v>
      </c>
      <c r="W170" s="78">
        <v>1</v>
      </c>
      <c r="X170" s="70">
        <v>0</v>
      </c>
      <c r="Y170" s="69">
        <v>2002</v>
      </c>
      <c r="Z170" s="28" t="s">
        <v>45</v>
      </c>
      <c r="AA170" t="s">
        <v>45</v>
      </c>
      <c r="AB170" s="28">
        <v>0.59630000000000005</v>
      </c>
      <c r="AC170">
        <v>0.40369999999999989</v>
      </c>
      <c r="AD170" s="28">
        <v>0</v>
      </c>
      <c r="AE170">
        <v>1</v>
      </c>
      <c r="AF170">
        <v>0</v>
      </c>
      <c r="AG170">
        <v>1</v>
      </c>
      <c r="AH170" s="81">
        <f t="shared" si="27"/>
        <v>0.66</v>
      </c>
      <c r="AI170" s="82">
        <f t="shared" si="19"/>
        <v>0.33999999999999997</v>
      </c>
      <c r="AJ170">
        <v>1</v>
      </c>
      <c r="AK170">
        <v>0</v>
      </c>
      <c r="AL170">
        <v>0</v>
      </c>
      <c r="AM170" s="62" t="s">
        <v>297</v>
      </c>
      <c r="AN170">
        <v>0</v>
      </c>
      <c r="AO170">
        <v>1</v>
      </c>
      <c r="AP170">
        <v>942</v>
      </c>
      <c r="AQ170">
        <v>131</v>
      </c>
      <c r="AR170">
        <v>0.29299999999999998</v>
      </c>
      <c r="AS170" s="80">
        <f t="shared" si="28"/>
        <v>34.78</v>
      </c>
      <c r="AT170">
        <v>0</v>
      </c>
      <c r="AU170">
        <v>0</v>
      </c>
      <c r="AV170">
        <v>1</v>
      </c>
      <c r="AW170">
        <v>0</v>
      </c>
      <c r="AX170">
        <v>0</v>
      </c>
      <c r="AY170">
        <v>0</v>
      </c>
      <c r="AZ170" s="28">
        <v>0</v>
      </c>
      <c r="BA170">
        <v>0</v>
      </c>
      <c r="BB170">
        <v>0</v>
      </c>
      <c r="BC170" s="28">
        <v>0</v>
      </c>
      <c r="BD170">
        <v>0</v>
      </c>
      <c r="BE170">
        <v>0</v>
      </c>
      <c r="BF170">
        <v>0</v>
      </c>
      <c r="BG170">
        <v>0</v>
      </c>
      <c r="BH170">
        <v>0</v>
      </c>
      <c r="BI170">
        <v>0</v>
      </c>
      <c r="BJ170">
        <v>0</v>
      </c>
      <c r="BK170" s="16">
        <v>0</v>
      </c>
      <c r="BL170">
        <v>0</v>
      </c>
      <c r="BM170">
        <v>1</v>
      </c>
      <c r="BN170">
        <v>0</v>
      </c>
      <c r="BO170">
        <v>1</v>
      </c>
      <c r="BP170">
        <v>11</v>
      </c>
      <c r="BQ170" t="s">
        <v>34</v>
      </c>
    </row>
    <row r="171" spans="1:69" x14ac:dyDescent="0.25">
      <c r="A171">
        <v>170</v>
      </c>
      <c r="B171">
        <v>11</v>
      </c>
      <c r="C171" t="s">
        <v>256</v>
      </c>
      <c r="D171" s="79">
        <v>8.4</v>
      </c>
      <c r="E171" s="6">
        <f t="shared" si="24"/>
        <v>0.59405940594059403</v>
      </c>
      <c r="F171" s="6">
        <v>14.14</v>
      </c>
      <c r="G171" s="78">
        <v>1</v>
      </c>
      <c r="H171" s="70">
        <v>0</v>
      </c>
      <c r="I171" s="70">
        <v>0</v>
      </c>
      <c r="J171" s="78">
        <v>976</v>
      </c>
      <c r="K171" s="70">
        <v>11</v>
      </c>
      <c r="L171" s="70">
        <f t="shared" si="22"/>
        <v>964</v>
      </c>
      <c r="M171" s="60">
        <f t="shared" si="23"/>
        <v>36</v>
      </c>
      <c r="N171" s="6">
        <f t="shared" si="25"/>
        <v>12.22</v>
      </c>
      <c r="O171" s="6">
        <f t="shared" si="26"/>
        <v>15.03</v>
      </c>
      <c r="P171" s="78">
        <v>1</v>
      </c>
      <c r="Q171" s="70">
        <v>0</v>
      </c>
      <c r="R171" s="78">
        <v>0</v>
      </c>
      <c r="S171" s="70">
        <v>0</v>
      </c>
      <c r="T171" s="70">
        <v>1</v>
      </c>
      <c r="U171" s="70">
        <v>1</v>
      </c>
      <c r="V171" s="70">
        <v>0</v>
      </c>
      <c r="W171" s="78">
        <v>1</v>
      </c>
      <c r="X171" s="70">
        <v>0</v>
      </c>
      <c r="Y171" s="69">
        <v>2002</v>
      </c>
      <c r="Z171" s="28" t="s">
        <v>45</v>
      </c>
      <c r="AA171" t="s">
        <v>45</v>
      </c>
      <c r="AB171" s="28">
        <v>0.59630000000000005</v>
      </c>
      <c r="AC171">
        <v>0.40369999999999989</v>
      </c>
      <c r="AD171" s="28">
        <v>0</v>
      </c>
      <c r="AE171">
        <v>1</v>
      </c>
      <c r="AF171">
        <v>0</v>
      </c>
      <c r="AG171">
        <v>1</v>
      </c>
      <c r="AH171" s="81">
        <f t="shared" si="27"/>
        <v>0.66</v>
      </c>
      <c r="AI171" s="82">
        <f t="shared" si="19"/>
        <v>0.33999999999999997</v>
      </c>
      <c r="AJ171">
        <v>1</v>
      </c>
      <c r="AK171">
        <v>0</v>
      </c>
      <c r="AL171">
        <v>0</v>
      </c>
      <c r="AM171" s="62" t="s">
        <v>297</v>
      </c>
      <c r="AN171">
        <v>0</v>
      </c>
      <c r="AO171">
        <v>1</v>
      </c>
      <c r="AP171">
        <v>942</v>
      </c>
      <c r="AQ171">
        <v>131</v>
      </c>
      <c r="AR171">
        <v>0.29299999999999998</v>
      </c>
      <c r="AS171" s="80">
        <f t="shared" si="28"/>
        <v>34.78</v>
      </c>
      <c r="AT171">
        <v>1</v>
      </c>
      <c r="AU171">
        <v>0</v>
      </c>
      <c r="AV171">
        <v>0</v>
      </c>
      <c r="AW171">
        <v>0</v>
      </c>
      <c r="AX171">
        <v>0</v>
      </c>
      <c r="AY171">
        <v>0</v>
      </c>
      <c r="AZ171" s="28">
        <v>0</v>
      </c>
      <c r="BA171">
        <v>0</v>
      </c>
      <c r="BB171">
        <v>0</v>
      </c>
      <c r="BC171" s="28">
        <v>1</v>
      </c>
      <c r="BD171">
        <v>1</v>
      </c>
      <c r="BE171">
        <v>1</v>
      </c>
      <c r="BF171">
        <v>0</v>
      </c>
      <c r="BG171">
        <v>1</v>
      </c>
      <c r="BH171">
        <v>1</v>
      </c>
      <c r="BI171">
        <v>0</v>
      </c>
      <c r="BJ171">
        <v>0</v>
      </c>
      <c r="BK171" s="16">
        <v>0</v>
      </c>
      <c r="BL171">
        <v>0</v>
      </c>
      <c r="BM171">
        <v>1</v>
      </c>
      <c r="BN171">
        <v>0</v>
      </c>
      <c r="BO171">
        <v>1</v>
      </c>
      <c r="BP171">
        <v>11</v>
      </c>
      <c r="BQ171" t="s">
        <v>34</v>
      </c>
    </row>
    <row r="172" spans="1:69" x14ac:dyDescent="0.25">
      <c r="A172">
        <v>171</v>
      </c>
      <c r="B172">
        <v>11</v>
      </c>
      <c r="C172" t="s">
        <v>256</v>
      </c>
      <c r="D172" s="79">
        <v>2.7</v>
      </c>
      <c r="E172" s="6">
        <f t="shared" si="24"/>
        <v>1.4438502673796791</v>
      </c>
      <c r="F172" s="6">
        <v>1.87</v>
      </c>
      <c r="G172" s="78">
        <v>1</v>
      </c>
      <c r="H172" s="70">
        <v>0</v>
      </c>
      <c r="I172" s="70">
        <v>0</v>
      </c>
      <c r="J172" s="78">
        <v>976</v>
      </c>
      <c r="K172" s="70">
        <v>3</v>
      </c>
      <c r="L172" s="70">
        <f t="shared" si="22"/>
        <v>972</v>
      </c>
      <c r="M172" s="60">
        <f t="shared" si="23"/>
        <v>36</v>
      </c>
      <c r="N172" s="6">
        <f t="shared" si="25"/>
        <v>12.22</v>
      </c>
      <c r="O172" s="6">
        <f t="shared" si="26"/>
        <v>15.03</v>
      </c>
      <c r="P172" s="78">
        <v>1</v>
      </c>
      <c r="Q172" s="70">
        <v>0</v>
      </c>
      <c r="R172" s="78">
        <v>0</v>
      </c>
      <c r="S172" s="70">
        <v>0</v>
      </c>
      <c r="T172" s="70">
        <v>1</v>
      </c>
      <c r="U172" s="70">
        <v>1</v>
      </c>
      <c r="V172" s="70">
        <v>0</v>
      </c>
      <c r="W172" s="78">
        <v>1</v>
      </c>
      <c r="X172" s="70">
        <v>0</v>
      </c>
      <c r="Y172" s="69">
        <v>2002</v>
      </c>
      <c r="Z172" s="28" t="s">
        <v>45</v>
      </c>
      <c r="AA172" t="s">
        <v>45</v>
      </c>
      <c r="AB172" s="28">
        <v>0.59630000000000005</v>
      </c>
      <c r="AC172">
        <v>0.40369999999999989</v>
      </c>
      <c r="AD172" s="28">
        <v>0</v>
      </c>
      <c r="AE172">
        <v>1</v>
      </c>
      <c r="AF172">
        <v>0</v>
      </c>
      <c r="AG172">
        <v>1</v>
      </c>
      <c r="AH172" s="81">
        <f t="shared" si="27"/>
        <v>0.66</v>
      </c>
      <c r="AI172" s="82">
        <f t="shared" si="19"/>
        <v>0.33999999999999997</v>
      </c>
      <c r="AJ172">
        <v>1</v>
      </c>
      <c r="AK172">
        <v>0</v>
      </c>
      <c r="AL172">
        <v>0</v>
      </c>
      <c r="AM172" s="62" t="s">
        <v>297</v>
      </c>
      <c r="AN172">
        <v>0</v>
      </c>
      <c r="AO172">
        <v>1</v>
      </c>
      <c r="AP172">
        <v>942</v>
      </c>
      <c r="AQ172">
        <v>131</v>
      </c>
      <c r="AR172">
        <v>0.29299999999999998</v>
      </c>
      <c r="AS172" s="80">
        <f t="shared" si="28"/>
        <v>34.78</v>
      </c>
      <c r="AT172">
        <v>0</v>
      </c>
      <c r="AU172">
        <v>0</v>
      </c>
      <c r="AV172">
        <v>1</v>
      </c>
      <c r="AW172">
        <v>0</v>
      </c>
      <c r="AX172">
        <v>0</v>
      </c>
      <c r="AY172">
        <v>0</v>
      </c>
      <c r="AZ172" s="28">
        <v>0</v>
      </c>
      <c r="BA172">
        <v>0</v>
      </c>
      <c r="BB172">
        <v>0</v>
      </c>
      <c r="BC172" s="28">
        <v>0</v>
      </c>
      <c r="BD172">
        <v>0</v>
      </c>
      <c r="BE172">
        <v>1</v>
      </c>
      <c r="BF172">
        <v>0</v>
      </c>
      <c r="BG172">
        <v>0</v>
      </c>
      <c r="BH172">
        <v>1</v>
      </c>
      <c r="BI172">
        <v>0</v>
      </c>
      <c r="BJ172">
        <v>0</v>
      </c>
      <c r="BK172" s="16">
        <v>0</v>
      </c>
      <c r="BL172">
        <v>0</v>
      </c>
      <c r="BM172">
        <v>1</v>
      </c>
      <c r="BN172">
        <v>0</v>
      </c>
      <c r="BO172">
        <v>1</v>
      </c>
      <c r="BP172">
        <v>11</v>
      </c>
      <c r="BQ172" t="s">
        <v>34</v>
      </c>
    </row>
    <row r="173" spans="1:69" x14ac:dyDescent="0.25">
      <c r="A173">
        <v>172</v>
      </c>
      <c r="B173">
        <v>11</v>
      </c>
      <c r="C173" t="s">
        <v>256</v>
      </c>
      <c r="D173" s="79">
        <v>8.6999999999999993</v>
      </c>
      <c r="E173" s="6">
        <f t="shared" si="24"/>
        <v>0.66412213740458015</v>
      </c>
      <c r="F173" s="6">
        <v>13.1</v>
      </c>
      <c r="G173" s="78">
        <v>1</v>
      </c>
      <c r="H173" s="70">
        <v>0</v>
      </c>
      <c r="I173" s="70">
        <v>0</v>
      </c>
      <c r="J173" s="78">
        <v>976</v>
      </c>
      <c r="K173" s="70">
        <v>9</v>
      </c>
      <c r="L173" s="70">
        <f t="shared" si="22"/>
        <v>966</v>
      </c>
      <c r="M173" s="60">
        <f t="shared" si="23"/>
        <v>36</v>
      </c>
      <c r="N173" s="6">
        <f t="shared" si="25"/>
        <v>12.22</v>
      </c>
      <c r="O173" s="6">
        <f t="shared" si="26"/>
        <v>15.03</v>
      </c>
      <c r="P173" s="78">
        <v>1</v>
      </c>
      <c r="Q173" s="70">
        <v>0</v>
      </c>
      <c r="R173" s="78">
        <v>0</v>
      </c>
      <c r="S173" s="70">
        <v>0</v>
      </c>
      <c r="T173" s="70">
        <v>1</v>
      </c>
      <c r="U173" s="70">
        <v>1</v>
      </c>
      <c r="V173" s="70">
        <v>0</v>
      </c>
      <c r="W173" s="78">
        <v>1</v>
      </c>
      <c r="X173" s="70">
        <v>0</v>
      </c>
      <c r="Y173" s="69">
        <v>2002</v>
      </c>
      <c r="Z173" s="28" t="s">
        <v>45</v>
      </c>
      <c r="AA173" t="s">
        <v>45</v>
      </c>
      <c r="AB173" s="28">
        <v>0.59630000000000005</v>
      </c>
      <c r="AC173">
        <v>0.40369999999999989</v>
      </c>
      <c r="AD173" s="28">
        <v>0</v>
      </c>
      <c r="AE173">
        <v>1</v>
      </c>
      <c r="AF173">
        <v>0</v>
      </c>
      <c r="AG173">
        <v>1</v>
      </c>
      <c r="AH173" s="81">
        <f t="shared" si="27"/>
        <v>0.66</v>
      </c>
      <c r="AI173" s="82">
        <f t="shared" si="19"/>
        <v>0.33999999999999997</v>
      </c>
      <c r="AJ173">
        <v>1</v>
      </c>
      <c r="AK173">
        <v>0</v>
      </c>
      <c r="AL173">
        <v>0</v>
      </c>
      <c r="AM173" s="62" t="s">
        <v>297</v>
      </c>
      <c r="AN173">
        <v>0</v>
      </c>
      <c r="AO173">
        <v>1</v>
      </c>
      <c r="AP173">
        <v>942</v>
      </c>
      <c r="AQ173">
        <v>131</v>
      </c>
      <c r="AR173">
        <v>0.29299999999999998</v>
      </c>
      <c r="AS173" s="80">
        <f t="shared" si="28"/>
        <v>34.78</v>
      </c>
      <c r="AT173">
        <v>0</v>
      </c>
      <c r="AU173">
        <v>0</v>
      </c>
      <c r="AV173">
        <v>0</v>
      </c>
      <c r="AW173">
        <v>0</v>
      </c>
      <c r="AX173">
        <v>0</v>
      </c>
      <c r="AY173">
        <v>1</v>
      </c>
      <c r="AZ173" s="28">
        <v>0</v>
      </c>
      <c r="BA173">
        <v>1</v>
      </c>
      <c r="BB173">
        <v>0</v>
      </c>
      <c r="BC173" s="28">
        <v>1</v>
      </c>
      <c r="BD173">
        <v>1</v>
      </c>
      <c r="BE173">
        <v>0</v>
      </c>
      <c r="BF173">
        <v>0</v>
      </c>
      <c r="BG173">
        <v>1</v>
      </c>
      <c r="BH173">
        <v>0</v>
      </c>
      <c r="BI173">
        <v>0</v>
      </c>
      <c r="BJ173">
        <v>0</v>
      </c>
      <c r="BK173" s="16">
        <v>0</v>
      </c>
      <c r="BL173">
        <v>0</v>
      </c>
      <c r="BM173">
        <v>1</v>
      </c>
      <c r="BN173">
        <v>0</v>
      </c>
      <c r="BO173">
        <v>1</v>
      </c>
      <c r="BP173">
        <v>11</v>
      </c>
      <c r="BQ173" t="s">
        <v>34</v>
      </c>
    </row>
    <row r="174" spans="1:69" x14ac:dyDescent="0.25">
      <c r="A174">
        <v>173</v>
      </c>
      <c r="B174">
        <v>11</v>
      </c>
      <c r="C174" t="s">
        <v>256</v>
      </c>
      <c r="D174" s="79">
        <v>3.2</v>
      </c>
      <c r="E174" s="6">
        <f t="shared" si="24"/>
        <v>1.9393939393939397</v>
      </c>
      <c r="F174" s="6">
        <v>1.65</v>
      </c>
      <c r="G174" s="78">
        <v>1</v>
      </c>
      <c r="H174" s="70">
        <v>0</v>
      </c>
      <c r="I174" s="70">
        <v>0</v>
      </c>
      <c r="J174" s="78">
        <v>976</v>
      </c>
      <c r="K174" s="70">
        <v>1</v>
      </c>
      <c r="L174" s="70">
        <f t="shared" si="22"/>
        <v>974</v>
      </c>
      <c r="M174" s="60">
        <f t="shared" si="23"/>
        <v>36</v>
      </c>
      <c r="N174" s="6">
        <f t="shared" si="25"/>
        <v>12.22</v>
      </c>
      <c r="O174" s="6">
        <f t="shared" si="26"/>
        <v>15.03</v>
      </c>
      <c r="P174" s="78">
        <v>1</v>
      </c>
      <c r="Q174" s="70">
        <v>0</v>
      </c>
      <c r="R174" s="78">
        <v>0</v>
      </c>
      <c r="S174" s="70">
        <v>0</v>
      </c>
      <c r="T174" s="70">
        <v>1</v>
      </c>
      <c r="U174" s="70">
        <v>1</v>
      </c>
      <c r="V174" s="70">
        <v>0</v>
      </c>
      <c r="W174" s="78">
        <v>1</v>
      </c>
      <c r="X174" s="70">
        <v>0</v>
      </c>
      <c r="Y174" s="69">
        <v>2002</v>
      </c>
      <c r="Z174" s="28" t="s">
        <v>45</v>
      </c>
      <c r="AA174" t="s">
        <v>45</v>
      </c>
      <c r="AB174" s="28">
        <v>0.59630000000000005</v>
      </c>
      <c r="AC174">
        <v>0.40369999999999989</v>
      </c>
      <c r="AD174" s="28">
        <v>0</v>
      </c>
      <c r="AE174">
        <v>1</v>
      </c>
      <c r="AF174">
        <v>0</v>
      </c>
      <c r="AG174">
        <v>1</v>
      </c>
      <c r="AH174" s="81">
        <f t="shared" si="27"/>
        <v>0.66</v>
      </c>
      <c r="AI174" s="82">
        <f t="shared" si="19"/>
        <v>0.33999999999999997</v>
      </c>
      <c r="AJ174">
        <v>1</v>
      </c>
      <c r="AK174">
        <v>0</v>
      </c>
      <c r="AL174">
        <v>0</v>
      </c>
      <c r="AM174" s="62" t="s">
        <v>297</v>
      </c>
      <c r="AN174">
        <v>0</v>
      </c>
      <c r="AO174">
        <v>1</v>
      </c>
      <c r="AP174">
        <v>942</v>
      </c>
      <c r="AQ174">
        <v>131</v>
      </c>
      <c r="AR174">
        <v>0.29299999999999998</v>
      </c>
      <c r="AS174" s="80">
        <f t="shared" si="28"/>
        <v>34.78</v>
      </c>
      <c r="AT174">
        <v>0</v>
      </c>
      <c r="AU174">
        <v>0</v>
      </c>
      <c r="AV174">
        <v>0</v>
      </c>
      <c r="AW174">
        <v>0</v>
      </c>
      <c r="AX174">
        <v>0</v>
      </c>
      <c r="AY174">
        <v>1</v>
      </c>
      <c r="AZ174" s="28">
        <v>0</v>
      </c>
      <c r="BA174">
        <v>1</v>
      </c>
      <c r="BB174">
        <v>0</v>
      </c>
      <c r="BC174" s="28">
        <v>0</v>
      </c>
      <c r="BD174">
        <v>0</v>
      </c>
      <c r="BE174">
        <v>0</v>
      </c>
      <c r="BF174">
        <v>0</v>
      </c>
      <c r="BG174">
        <v>0</v>
      </c>
      <c r="BH174">
        <v>0</v>
      </c>
      <c r="BI174">
        <v>0</v>
      </c>
      <c r="BJ174">
        <v>0</v>
      </c>
      <c r="BK174" s="16">
        <v>0</v>
      </c>
      <c r="BL174">
        <v>0</v>
      </c>
      <c r="BM174">
        <v>1</v>
      </c>
      <c r="BN174">
        <v>0</v>
      </c>
      <c r="BO174">
        <v>1</v>
      </c>
      <c r="BP174">
        <v>11</v>
      </c>
      <c r="BQ174" t="s">
        <v>34</v>
      </c>
    </row>
    <row r="175" spans="1:69" x14ac:dyDescent="0.25">
      <c r="A175">
        <v>174</v>
      </c>
      <c r="B175">
        <v>11</v>
      </c>
      <c r="C175" t="s">
        <v>256</v>
      </c>
      <c r="D175" s="79">
        <v>8.8000000000000007</v>
      </c>
      <c r="E175" s="6">
        <f t="shared" si="24"/>
        <v>0.65868263473053901</v>
      </c>
      <c r="F175" s="6">
        <v>13.36</v>
      </c>
      <c r="G175" s="78">
        <v>1</v>
      </c>
      <c r="H175" s="70">
        <v>0</v>
      </c>
      <c r="I175" s="70">
        <v>0</v>
      </c>
      <c r="J175" s="78">
        <v>976</v>
      </c>
      <c r="K175" s="70">
        <v>11</v>
      </c>
      <c r="L175" s="70">
        <f t="shared" si="22"/>
        <v>964</v>
      </c>
      <c r="M175" s="60">
        <f t="shared" si="23"/>
        <v>36</v>
      </c>
      <c r="N175" s="6">
        <f t="shared" si="25"/>
        <v>12.22</v>
      </c>
      <c r="O175" s="6">
        <f t="shared" si="26"/>
        <v>15.03</v>
      </c>
      <c r="P175" s="78">
        <v>1</v>
      </c>
      <c r="Q175" s="70">
        <v>0</v>
      </c>
      <c r="R175" s="78">
        <v>0</v>
      </c>
      <c r="S175" s="70">
        <v>0</v>
      </c>
      <c r="T175" s="70">
        <v>1</v>
      </c>
      <c r="U175" s="70">
        <v>1</v>
      </c>
      <c r="V175" s="70">
        <v>0</v>
      </c>
      <c r="W175" s="78">
        <v>1</v>
      </c>
      <c r="X175" s="70">
        <v>0</v>
      </c>
      <c r="Y175" s="69">
        <v>2002</v>
      </c>
      <c r="Z175" s="28" t="s">
        <v>45</v>
      </c>
      <c r="AA175" t="s">
        <v>45</v>
      </c>
      <c r="AB175" s="28">
        <v>0.59630000000000005</v>
      </c>
      <c r="AC175">
        <v>0.40369999999999989</v>
      </c>
      <c r="AD175" s="28">
        <v>0</v>
      </c>
      <c r="AE175">
        <v>1</v>
      </c>
      <c r="AF175">
        <v>0</v>
      </c>
      <c r="AG175">
        <v>1</v>
      </c>
      <c r="AH175" s="81">
        <f t="shared" si="27"/>
        <v>0.66</v>
      </c>
      <c r="AI175" s="82">
        <f t="shared" si="19"/>
        <v>0.33999999999999997</v>
      </c>
      <c r="AJ175">
        <v>1</v>
      </c>
      <c r="AK175">
        <v>0</v>
      </c>
      <c r="AL175">
        <v>0</v>
      </c>
      <c r="AM175" s="62" t="s">
        <v>297</v>
      </c>
      <c r="AN175">
        <v>0</v>
      </c>
      <c r="AO175">
        <v>1</v>
      </c>
      <c r="AP175">
        <v>942</v>
      </c>
      <c r="AQ175">
        <v>131</v>
      </c>
      <c r="AR175">
        <v>0.29299999999999998</v>
      </c>
      <c r="AS175" s="80">
        <f t="shared" si="28"/>
        <v>34.78</v>
      </c>
      <c r="AT175">
        <v>0</v>
      </c>
      <c r="AU175">
        <v>0</v>
      </c>
      <c r="AV175">
        <v>0</v>
      </c>
      <c r="AW175">
        <v>0</v>
      </c>
      <c r="AX175">
        <v>0</v>
      </c>
      <c r="AY175">
        <v>1</v>
      </c>
      <c r="AZ175" s="28">
        <v>0</v>
      </c>
      <c r="BA175">
        <v>1</v>
      </c>
      <c r="BB175">
        <v>0</v>
      </c>
      <c r="BC175" s="28">
        <v>1</v>
      </c>
      <c r="BD175">
        <v>1</v>
      </c>
      <c r="BE175">
        <v>1</v>
      </c>
      <c r="BF175">
        <v>0</v>
      </c>
      <c r="BG175">
        <v>1</v>
      </c>
      <c r="BH175">
        <v>1</v>
      </c>
      <c r="BI175">
        <v>0</v>
      </c>
      <c r="BJ175">
        <v>0</v>
      </c>
      <c r="BK175" s="16">
        <v>0</v>
      </c>
      <c r="BL175">
        <v>0</v>
      </c>
      <c r="BM175">
        <v>1</v>
      </c>
      <c r="BN175">
        <v>0</v>
      </c>
      <c r="BO175">
        <v>1</v>
      </c>
      <c r="BP175">
        <v>11</v>
      </c>
      <c r="BQ175" t="s">
        <v>34</v>
      </c>
    </row>
    <row r="176" spans="1:69" x14ac:dyDescent="0.25">
      <c r="A176">
        <v>175</v>
      </c>
      <c r="B176">
        <v>11</v>
      </c>
      <c r="C176" t="s">
        <v>256</v>
      </c>
      <c r="D176" s="79">
        <v>3.3</v>
      </c>
      <c r="E176" s="6">
        <f t="shared" si="24"/>
        <v>1.8644067796610169</v>
      </c>
      <c r="F176" s="6">
        <v>1.77</v>
      </c>
      <c r="G176" s="78">
        <v>1</v>
      </c>
      <c r="H176" s="70">
        <v>0</v>
      </c>
      <c r="I176" s="70">
        <v>0</v>
      </c>
      <c r="J176" s="78">
        <v>976</v>
      </c>
      <c r="K176" s="70">
        <v>3</v>
      </c>
      <c r="L176" s="70">
        <f t="shared" si="22"/>
        <v>972</v>
      </c>
      <c r="M176" s="60">
        <f t="shared" si="23"/>
        <v>36</v>
      </c>
      <c r="N176" s="6">
        <f t="shared" si="25"/>
        <v>12.22</v>
      </c>
      <c r="O176" s="6">
        <f t="shared" si="26"/>
        <v>15.03</v>
      </c>
      <c r="P176" s="78">
        <v>1</v>
      </c>
      <c r="Q176" s="70">
        <v>0</v>
      </c>
      <c r="R176" s="78">
        <v>0</v>
      </c>
      <c r="S176" s="70">
        <v>0</v>
      </c>
      <c r="T176" s="70">
        <v>1</v>
      </c>
      <c r="U176" s="70">
        <v>1</v>
      </c>
      <c r="V176" s="70">
        <v>0</v>
      </c>
      <c r="W176" s="78">
        <v>1</v>
      </c>
      <c r="X176" s="70">
        <v>0</v>
      </c>
      <c r="Y176" s="69">
        <v>2002</v>
      </c>
      <c r="Z176" s="28" t="s">
        <v>45</v>
      </c>
      <c r="AA176" t="s">
        <v>45</v>
      </c>
      <c r="AB176" s="28">
        <v>0.59630000000000005</v>
      </c>
      <c r="AC176">
        <v>0.40369999999999989</v>
      </c>
      <c r="AD176" s="28">
        <v>0</v>
      </c>
      <c r="AE176">
        <v>1</v>
      </c>
      <c r="AF176">
        <v>0</v>
      </c>
      <c r="AG176">
        <v>1</v>
      </c>
      <c r="AH176" s="81">
        <f t="shared" si="27"/>
        <v>0.66</v>
      </c>
      <c r="AI176" s="82">
        <f t="shared" si="19"/>
        <v>0.33999999999999997</v>
      </c>
      <c r="AJ176">
        <v>1</v>
      </c>
      <c r="AK176">
        <v>0</v>
      </c>
      <c r="AL176">
        <v>0</v>
      </c>
      <c r="AM176" s="62" t="s">
        <v>297</v>
      </c>
      <c r="AN176">
        <v>0</v>
      </c>
      <c r="AO176">
        <v>1</v>
      </c>
      <c r="AP176">
        <v>942</v>
      </c>
      <c r="AQ176">
        <v>131</v>
      </c>
      <c r="AR176">
        <v>0.29299999999999998</v>
      </c>
      <c r="AS176" s="80">
        <f t="shared" si="28"/>
        <v>34.78</v>
      </c>
      <c r="AT176">
        <v>0</v>
      </c>
      <c r="AU176">
        <v>0</v>
      </c>
      <c r="AV176">
        <v>0</v>
      </c>
      <c r="AW176">
        <v>0</v>
      </c>
      <c r="AX176">
        <v>0</v>
      </c>
      <c r="AY176">
        <v>1</v>
      </c>
      <c r="AZ176" s="28">
        <v>0</v>
      </c>
      <c r="BA176">
        <v>1</v>
      </c>
      <c r="BB176">
        <v>0</v>
      </c>
      <c r="BC176" s="28">
        <v>0</v>
      </c>
      <c r="BD176">
        <v>0</v>
      </c>
      <c r="BE176">
        <v>1</v>
      </c>
      <c r="BF176">
        <v>0</v>
      </c>
      <c r="BG176">
        <v>0</v>
      </c>
      <c r="BH176">
        <v>1</v>
      </c>
      <c r="BI176">
        <v>0</v>
      </c>
      <c r="BJ176">
        <v>0</v>
      </c>
      <c r="BK176" s="16">
        <v>0</v>
      </c>
      <c r="BL176">
        <v>0</v>
      </c>
      <c r="BM176">
        <v>1</v>
      </c>
      <c r="BN176">
        <v>0</v>
      </c>
      <c r="BO176">
        <v>1</v>
      </c>
      <c r="BP176">
        <v>11</v>
      </c>
      <c r="BQ176" t="s">
        <v>34</v>
      </c>
    </row>
    <row r="177" spans="1:69" x14ac:dyDescent="0.25">
      <c r="A177">
        <v>176</v>
      </c>
      <c r="B177">
        <v>11</v>
      </c>
      <c r="C177" t="s">
        <v>256</v>
      </c>
      <c r="D177" s="79">
        <v>6.4</v>
      </c>
      <c r="E177" s="6">
        <f t="shared" si="24"/>
        <v>0.53112033195020747</v>
      </c>
      <c r="F177" s="6">
        <v>12.05</v>
      </c>
      <c r="G177" s="78">
        <v>1</v>
      </c>
      <c r="H177" s="70">
        <v>0</v>
      </c>
      <c r="I177" s="70">
        <v>0</v>
      </c>
      <c r="J177" s="78">
        <v>1189</v>
      </c>
      <c r="K177" s="70">
        <v>9</v>
      </c>
      <c r="L177" s="70">
        <f t="shared" si="22"/>
        <v>1179</v>
      </c>
      <c r="M177" s="60">
        <f t="shared" si="23"/>
        <v>36</v>
      </c>
      <c r="N177" s="6">
        <f t="shared" si="25"/>
        <v>11.969609999999999</v>
      </c>
      <c r="O177" s="6">
        <f t="shared" si="26"/>
        <v>18.438369999999999</v>
      </c>
      <c r="P177" s="78">
        <v>1</v>
      </c>
      <c r="Q177" s="70">
        <v>0</v>
      </c>
      <c r="R177" s="78">
        <v>0</v>
      </c>
      <c r="S177" s="70">
        <v>0</v>
      </c>
      <c r="T177" s="70">
        <v>1</v>
      </c>
      <c r="U177" s="70">
        <v>1</v>
      </c>
      <c r="V177" s="70">
        <v>0</v>
      </c>
      <c r="W177" s="78">
        <v>1</v>
      </c>
      <c r="X177" s="70">
        <v>0</v>
      </c>
      <c r="Y177" s="69">
        <v>2002</v>
      </c>
      <c r="Z177" s="28" t="s">
        <v>45</v>
      </c>
      <c r="AA177" t="s">
        <v>45</v>
      </c>
      <c r="AB177" s="28">
        <v>1</v>
      </c>
      <c r="AC177">
        <v>0</v>
      </c>
      <c r="AD177" s="28">
        <v>0</v>
      </c>
      <c r="AE177">
        <v>1</v>
      </c>
      <c r="AF177">
        <v>0</v>
      </c>
      <c r="AG177">
        <v>1</v>
      </c>
      <c r="AH177" s="81">
        <f t="shared" si="27"/>
        <v>0.80308000000000002</v>
      </c>
      <c r="AI177" s="82">
        <f t="shared" si="19"/>
        <v>0.19691999999999998</v>
      </c>
      <c r="AJ177">
        <v>0.48899999999999999</v>
      </c>
      <c r="AK177">
        <v>0</v>
      </c>
      <c r="AL177">
        <f t="shared" ref="AL177:AL202" si="29">1-AJ177</f>
        <v>0.51100000000000001</v>
      </c>
      <c r="AM177" s="62" t="s">
        <v>297</v>
      </c>
      <c r="AN177">
        <v>0</v>
      </c>
      <c r="AO177">
        <v>1</v>
      </c>
      <c r="AP177">
        <v>942</v>
      </c>
      <c r="AQ177">
        <v>131</v>
      </c>
      <c r="AR177">
        <v>0.29299999999999998</v>
      </c>
      <c r="AS177" s="80">
        <f t="shared" si="28"/>
        <v>39.118390000000005</v>
      </c>
      <c r="AT177">
        <v>1</v>
      </c>
      <c r="AU177">
        <v>0</v>
      </c>
      <c r="AV177">
        <v>0</v>
      </c>
      <c r="AW177">
        <v>0</v>
      </c>
      <c r="AX177">
        <v>0</v>
      </c>
      <c r="AY177">
        <v>0</v>
      </c>
      <c r="AZ177" s="28">
        <v>0</v>
      </c>
      <c r="BA177">
        <v>0</v>
      </c>
      <c r="BB177">
        <v>0</v>
      </c>
      <c r="BC177" s="28">
        <v>1</v>
      </c>
      <c r="BD177">
        <v>1</v>
      </c>
      <c r="BE177">
        <v>0</v>
      </c>
      <c r="BF177">
        <v>0</v>
      </c>
      <c r="BG177">
        <v>1</v>
      </c>
      <c r="BH177">
        <v>0</v>
      </c>
      <c r="BI177">
        <v>0</v>
      </c>
      <c r="BJ177">
        <v>0</v>
      </c>
      <c r="BK177" s="16">
        <v>0</v>
      </c>
      <c r="BL177">
        <v>0</v>
      </c>
      <c r="BM177">
        <v>1</v>
      </c>
      <c r="BN177">
        <v>0</v>
      </c>
      <c r="BO177">
        <v>1</v>
      </c>
      <c r="BP177">
        <v>11</v>
      </c>
      <c r="BQ177" t="s">
        <v>34</v>
      </c>
    </row>
    <row r="178" spans="1:69" x14ac:dyDescent="0.25">
      <c r="A178">
        <v>177</v>
      </c>
      <c r="B178">
        <v>11</v>
      </c>
      <c r="C178" t="s">
        <v>256</v>
      </c>
      <c r="D178" s="79">
        <v>6.6</v>
      </c>
      <c r="E178" s="6">
        <f t="shared" si="24"/>
        <v>0.53745928338762217</v>
      </c>
      <c r="F178" s="6">
        <v>12.28</v>
      </c>
      <c r="G178" s="78">
        <v>1</v>
      </c>
      <c r="H178" s="70">
        <v>0</v>
      </c>
      <c r="I178" s="70">
        <v>0</v>
      </c>
      <c r="J178" s="78">
        <v>1189</v>
      </c>
      <c r="K178" s="70">
        <v>11</v>
      </c>
      <c r="L178" s="70">
        <f t="shared" si="22"/>
        <v>1177</v>
      </c>
      <c r="M178" s="60">
        <f t="shared" si="23"/>
        <v>36</v>
      </c>
      <c r="N178" s="6">
        <f t="shared" si="25"/>
        <v>11.969609999999999</v>
      </c>
      <c r="O178" s="6">
        <f t="shared" si="26"/>
        <v>18.438369999999999</v>
      </c>
      <c r="P178" s="78">
        <v>1</v>
      </c>
      <c r="Q178" s="70">
        <v>0</v>
      </c>
      <c r="R178" s="78">
        <v>0</v>
      </c>
      <c r="S178" s="70">
        <v>0</v>
      </c>
      <c r="T178" s="70">
        <v>1</v>
      </c>
      <c r="U178" s="70">
        <v>1</v>
      </c>
      <c r="V178" s="70">
        <v>0</v>
      </c>
      <c r="W178" s="78">
        <v>1</v>
      </c>
      <c r="X178" s="70">
        <v>0</v>
      </c>
      <c r="Y178" s="69">
        <v>2002</v>
      </c>
      <c r="Z178" s="28" t="s">
        <v>45</v>
      </c>
      <c r="AA178" t="s">
        <v>45</v>
      </c>
      <c r="AB178" s="28">
        <v>1</v>
      </c>
      <c r="AC178">
        <v>0</v>
      </c>
      <c r="AD178" s="28">
        <v>0</v>
      </c>
      <c r="AE178">
        <v>1</v>
      </c>
      <c r="AF178">
        <v>0</v>
      </c>
      <c r="AG178">
        <v>1</v>
      </c>
      <c r="AH178" s="81">
        <f t="shared" si="27"/>
        <v>0.80308000000000002</v>
      </c>
      <c r="AI178" s="82">
        <f t="shared" si="19"/>
        <v>0.19691999999999998</v>
      </c>
      <c r="AJ178">
        <v>0.48899999999999999</v>
      </c>
      <c r="AK178">
        <v>0</v>
      </c>
      <c r="AL178">
        <f t="shared" si="29"/>
        <v>0.51100000000000001</v>
      </c>
      <c r="AM178" s="62" t="s">
        <v>297</v>
      </c>
      <c r="AN178">
        <v>0</v>
      </c>
      <c r="AO178">
        <v>1</v>
      </c>
      <c r="AP178">
        <v>942</v>
      </c>
      <c r="AQ178">
        <v>131</v>
      </c>
      <c r="AR178">
        <v>0.29299999999999998</v>
      </c>
      <c r="AS178" s="80">
        <f t="shared" si="28"/>
        <v>39.118390000000005</v>
      </c>
      <c r="AT178">
        <v>1</v>
      </c>
      <c r="AU178">
        <v>0</v>
      </c>
      <c r="AV178">
        <v>0</v>
      </c>
      <c r="AW178">
        <v>0</v>
      </c>
      <c r="AX178">
        <v>0</v>
      </c>
      <c r="AY178">
        <v>0</v>
      </c>
      <c r="AZ178" s="28">
        <v>0</v>
      </c>
      <c r="BA178">
        <v>0</v>
      </c>
      <c r="BB178">
        <v>0</v>
      </c>
      <c r="BC178" s="28">
        <v>1</v>
      </c>
      <c r="BD178">
        <v>1</v>
      </c>
      <c r="BE178">
        <v>1</v>
      </c>
      <c r="BF178">
        <v>0</v>
      </c>
      <c r="BG178">
        <v>1</v>
      </c>
      <c r="BH178">
        <v>1</v>
      </c>
      <c r="BI178">
        <v>0</v>
      </c>
      <c r="BJ178">
        <v>0</v>
      </c>
      <c r="BK178" s="16">
        <v>0</v>
      </c>
      <c r="BL178">
        <v>0</v>
      </c>
      <c r="BM178">
        <v>1</v>
      </c>
      <c r="BN178">
        <v>0</v>
      </c>
      <c r="BO178">
        <v>1</v>
      </c>
      <c r="BP178">
        <v>11</v>
      </c>
      <c r="BQ178" t="s">
        <v>34</v>
      </c>
    </row>
    <row r="179" spans="1:69" x14ac:dyDescent="0.25">
      <c r="A179">
        <v>178</v>
      </c>
      <c r="B179">
        <v>11</v>
      </c>
      <c r="C179" t="s">
        <v>256</v>
      </c>
      <c r="D179" s="79">
        <v>7.5</v>
      </c>
      <c r="E179" s="6">
        <f t="shared" si="24"/>
        <v>0.80558539205155744</v>
      </c>
      <c r="F179" s="6">
        <v>9.31</v>
      </c>
      <c r="G179" s="78">
        <v>1</v>
      </c>
      <c r="H179" s="70">
        <v>0</v>
      </c>
      <c r="I179" s="70">
        <v>0</v>
      </c>
      <c r="J179" s="78">
        <v>582</v>
      </c>
      <c r="K179" s="70">
        <v>9</v>
      </c>
      <c r="L179" s="70">
        <f t="shared" si="22"/>
        <v>572</v>
      </c>
      <c r="M179" s="60">
        <f t="shared" si="23"/>
        <v>36</v>
      </c>
      <c r="N179" s="6">
        <f t="shared" si="25"/>
        <v>12.22</v>
      </c>
      <c r="O179" s="6">
        <f t="shared" si="26"/>
        <v>15.03</v>
      </c>
      <c r="P179" s="78">
        <v>1</v>
      </c>
      <c r="Q179" s="70">
        <v>0</v>
      </c>
      <c r="R179" s="78">
        <v>0</v>
      </c>
      <c r="S179" s="70">
        <v>0</v>
      </c>
      <c r="T179" s="70">
        <v>1</v>
      </c>
      <c r="U179" s="70">
        <v>1</v>
      </c>
      <c r="V179" s="70">
        <v>0</v>
      </c>
      <c r="W179" s="78">
        <v>1</v>
      </c>
      <c r="X179" s="70">
        <v>0</v>
      </c>
      <c r="Y179" s="69">
        <v>2002</v>
      </c>
      <c r="Z179" s="28" t="s">
        <v>45</v>
      </c>
      <c r="AA179" t="s">
        <v>45</v>
      </c>
      <c r="AB179" s="28">
        <v>1</v>
      </c>
      <c r="AC179">
        <v>0</v>
      </c>
      <c r="AD179" s="28">
        <v>0</v>
      </c>
      <c r="AE179">
        <v>1</v>
      </c>
      <c r="AF179">
        <v>0</v>
      </c>
      <c r="AG179">
        <v>1</v>
      </c>
      <c r="AH179" s="81">
        <f t="shared" si="27"/>
        <v>0.66</v>
      </c>
      <c r="AI179" s="82">
        <f t="shared" ref="AI179:AI237" si="30">1-AH179</f>
        <v>0.33999999999999997</v>
      </c>
      <c r="AJ179">
        <v>1</v>
      </c>
      <c r="AK179">
        <v>0</v>
      </c>
      <c r="AL179">
        <f t="shared" si="29"/>
        <v>0</v>
      </c>
      <c r="AM179" s="62" t="s">
        <v>297</v>
      </c>
      <c r="AN179">
        <v>0</v>
      </c>
      <c r="AO179">
        <v>1</v>
      </c>
      <c r="AP179">
        <v>942</v>
      </c>
      <c r="AQ179">
        <v>131</v>
      </c>
      <c r="AR179">
        <v>0.29299999999999998</v>
      </c>
      <c r="AS179" s="80">
        <f t="shared" si="28"/>
        <v>34.78</v>
      </c>
      <c r="AT179">
        <v>1</v>
      </c>
      <c r="AU179">
        <v>0</v>
      </c>
      <c r="AV179">
        <v>0</v>
      </c>
      <c r="AW179">
        <v>0</v>
      </c>
      <c r="AX179">
        <v>0</v>
      </c>
      <c r="AY179">
        <v>0</v>
      </c>
      <c r="AZ179" s="28">
        <v>0</v>
      </c>
      <c r="BA179">
        <v>0</v>
      </c>
      <c r="BB179">
        <v>0</v>
      </c>
      <c r="BC179" s="28">
        <v>1</v>
      </c>
      <c r="BD179">
        <v>1</v>
      </c>
      <c r="BE179">
        <v>0</v>
      </c>
      <c r="BF179">
        <v>0</v>
      </c>
      <c r="BG179">
        <v>1</v>
      </c>
      <c r="BH179">
        <v>0</v>
      </c>
      <c r="BI179">
        <v>0</v>
      </c>
      <c r="BJ179">
        <v>0</v>
      </c>
      <c r="BK179" s="16">
        <v>0</v>
      </c>
      <c r="BL179">
        <v>0</v>
      </c>
      <c r="BM179">
        <v>1</v>
      </c>
      <c r="BN179">
        <v>0</v>
      </c>
      <c r="BO179">
        <v>1</v>
      </c>
      <c r="BP179">
        <v>11</v>
      </c>
      <c r="BQ179" t="s">
        <v>34</v>
      </c>
    </row>
    <row r="180" spans="1:69" x14ac:dyDescent="0.25">
      <c r="A180">
        <v>179</v>
      </c>
      <c r="B180">
        <v>11</v>
      </c>
      <c r="C180" t="s">
        <v>256</v>
      </c>
      <c r="D180" s="79">
        <v>1.2</v>
      </c>
      <c r="E180" s="6">
        <f t="shared" si="24"/>
        <v>1.9354838709677418</v>
      </c>
      <c r="F180" s="6">
        <v>0.62</v>
      </c>
      <c r="G180" s="78">
        <v>1</v>
      </c>
      <c r="H180" s="70">
        <v>0</v>
      </c>
      <c r="I180" s="70">
        <v>0</v>
      </c>
      <c r="J180" s="78">
        <v>582</v>
      </c>
      <c r="K180" s="70">
        <v>1</v>
      </c>
      <c r="L180" s="70">
        <f t="shared" si="22"/>
        <v>580</v>
      </c>
      <c r="M180" s="60">
        <f t="shared" si="23"/>
        <v>36</v>
      </c>
      <c r="N180" s="6">
        <f t="shared" si="25"/>
        <v>12.22</v>
      </c>
      <c r="O180" s="6">
        <f t="shared" si="26"/>
        <v>15.03</v>
      </c>
      <c r="P180" s="78">
        <v>1</v>
      </c>
      <c r="Q180" s="70">
        <v>0</v>
      </c>
      <c r="R180" s="78">
        <v>0</v>
      </c>
      <c r="S180" s="70">
        <v>0</v>
      </c>
      <c r="T180" s="70">
        <v>1</v>
      </c>
      <c r="U180" s="70">
        <v>1</v>
      </c>
      <c r="V180" s="70">
        <v>0</v>
      </c>
      <c r="W180" s="78">
        <v>1</v>
      </c>
      <c r="X180" s="70">
        <v>0</v>
      </c>
      <c r="Y180" s="69">
        <v>2002</v>
      </c>
      <c r="Z180" s="28" t="s">
        <v>45</v>
      </c>
      <c r="AA180" t="s">
        <v>45</v>
      </c>
      <c r="AB180" s="28">
        <v>1</v>
      </c>
      <c r="AC180">
        <v>0</v>
      </c>
      <c r="AD180" s="28">
        <v>0</v>
      </c>
      <c r="AE180">
        <v>1</v>
      </c>
      <c r="AF180">
        <v>0</v>
      </c>
      <c r="AG180">
        <v>1</v>
      </c>
      <c r="AH180" s="81">
        <f t="shared" si="27"/>
        <v>0.66</v>
      </c>
      <c r="AI180" s="82">
        <f t="shared" si="30"/>
        <v>0.33999999999999997</v>
      </c>
      <c r="AJ180">
        <v>1</v>
      </c>
      <c r="AK180">
        <v>0</v>
      </c>
      <c r="AL180">
        <f t="shared" si="29"/>
        <v>0</v>
      </c>
      <c r="AM180" s="62" t="s">
        <v>297</v>
      </c>
      <c r="AN180">
        <v>0</v>
      </c>
      <c r="AO180">
        <v>1</v>
      </c>
      <c r="AP180">
        <v>942</v>
      </c>
      <c r="AQ180">
        <v>131</v>
      </c>
      <c r="AR180">
        <v>0.29299999999999998</v>
      </c>
      <c r="AS180" s="80">
        <f t="shared" si="28"/>
        <v>34.78</v>
      </c>
      <c r="AT180">
        <v>0</v>
      </c>
      <c r="AU180">
        <v>0</v>
      </c>
      <c r="AV180">
        <v>1</v>
      </c>
      <c r="AW180">
        <v>0</v>
      </c>
      <c r="AX180">
        <v>0</v>
      </c>
      <c r="AY180">
        <v>0</v>
      </c>
      <c r="AZ180" s="28">
        <v>0</v>
      </c>
      <c r="BA180">
        <v>0</v>
      </c>
      <c r="BB180">
        <v>0</v>
      </c>
      <c r="BC180" s="28">
        <v>0</v>
      </c>
      <c r="BD180">
        <v>0</v>
      </c>
      <c r="BE180">
        <v>0</v>
      </c>
      <c r="BF180">
        <v>0</v>
      </c>
      <c r="BG180">
        <v>0</v>
      </c>
      <c r="BH180">
        <v>0</v>
      </c>
      <c r="BI180">
        <v>0</v>
      </c>
      <c r="BJ180">
        <v>0</v>
      </c>
      <c r="BK180" s="16">
        <v>0</v>
      </c>
      <c r="BL180">
        <v>0</v>
      </c>
      <c r="BM180">
        <v>1</v>
      </c>
      <c r="BN180">
        <v>0</v>
      </c>
      <c r="BO180">
        <v>1</v>
      </c>
      <c r="BP180">
        <v>11</v>
      </c>
      <c r="BQ180" t="s">
        <v>34</v>
      </c>
    </row>
    <row r="181" spans="1:69" x14ac:dyDescent="0.25">
      <c r="A181">
        <v>180</v>
      </c>
      <c r="B181">
        <v>11</v>
      </c>
      <c r="C181" t="s">
        <v>256</v>
      </c>
      <c r="D181" s="79">
        <v>7.6</v>
      </c>
      <c r="E181" s="6">
        <f t="shared" si="24"/>
        <v>0.80765143464399569</v>
      </c>
      <c r="F181" s="6">
        <v>9.41</v>
      </c>
      <c r="G181" s="78">
        <v>1</v>
      </c>
      <c r="H181" s="70">
        <v>0</v>
      </c>
      <c r="I181" s="70">
        <v>0</v>
      </c>
      <c r="J181" s="78">
        <v>582</v>
      </c>
      <c r="K181" s="70">
        <v>11</v>
      </c>
      <c r="L181" s="70">
        <f t="shared" si="22"/>
        <v>570</v>
      </c>
      <c r="M181" s="60">
        <f t="shared" si="23"/>
        <v>36</v>
      </c>
      <c r="N181" s="6">
        <f t="shared" si="25"/>
        <v>12.22</v>
      </c>
      <c r="O181" s="6">
        <f t="shared" si="26"/>
        <v>15.03</v>
      </c>
      <c r="P181" s="78">
        <v>1</v>
      </c>
      <c r="Q181" s="70">
        <v>0</v>
      </c>
      <c r="R181" s="78">
        <v>0</v>
      </c>
      <c r="S181" s="70">
        <v>0</v>
      </c>
      <c r="T181" s="70">
        <v>1</v>
      </c>
      <c r="U181" s="70">
        <v>1</v>
      </c>
      <c r="V181" s="70">
        <v>0</v>
      </c>
      <c r="W181" s="78">
        <v>1</v>
      </c>
      <c r="X181" s="70">
        <v>0</v>
      </c>
      <c r="Y181" s="69">
        <v>2002</v>
      </c>
      <c r="Z181" s="28" t="s">
        <v>45</v>
      </c>
      <c r="AA181" t="s">
        <v>45</v>
      </c>
      <c r="AB181" s="28">
        <v>1</v>
      </c>
      <c r="AC181">
        <v>0</v>
      </c>
      <c r="AD181" s="28">
        <v>0</v>
      </c>
      <c r="AE181">
        <v>1</v>
      </c>
      <c r="AF181">
        <v>0</v>
      </c>
      <c r="AG181">
        <v>1</v>
      </c>
      <c r="AH181" s="81">
        <f t="shared" si="27"/>
        <v>0.66</v>
      </c>
      <c r="AI181" s="82">
        <f t="shared" si="30"/>
        <v>0.33999999999999997</v>
      </c>
      <c r="AJ181">
        <v>1</v>
      </c>
      <c r="AK181">
        <v>0</v>
      </c>
      <c r="AL181">
        <f t="shared" si="29"/>
        <v>0</v>
      </c>
      <c r="AM181" s="62" t="s">
        <v>297</v>
      </c>
      <c r="AN181">
        <v>0</v>
      </c>
      <c r="AO181">
        <v>1</v>
      </c>
      <c r="AP181">
        <v>942</v>
      </c>
      <c r="AQ181">
        <v>131</v>
      </c>
      <c r="AR181">
        <v>0.29299999999999998</v>
      </c>
      <c r="AS181" s="80">
        <f t="shared" si="28"/>
        <v>34.78</v>
      </c>
      <c r="AT181">
        <v>1</v>
      </c>
      <c r="AU181">
        <v>0</v>
      </c>
      <c r="AV181">
        <v>0</v>
      </c>
      <c r="AW181">
        <v>0</v>
      </c>
      <c r="AX181">
        <v>0</v>
      </c>
      <c r="AY181">
        <v>0</v>
      </c>
      <c r="AZ181" s="28">
        <v>0</v>
      </c>
      <c r="BA181">
        <v>0</v>
      </c>
      <c r="BB181">
        <v>0</v>
      </c>
      <c r="BC181" s="28">
        <v>1</v>
      </c>
      <c r="BD181">
        <v>1</v>
      </c>
      <c r="BE181">
        <v>1</v>
      </c>
      <c r="BF181">
        <v>0</v>
      </c>
      <c r="BG181">
        <v>1</v>
      </c>
      <c r="BH181">
        <v>1</v>
      </c>
      <c r="BI181">
        <v>0</v>
      </c>
      <c r="BJ181">
        <v>0</v>
      </c>
      <c r="BK181" s="16">
        <v>0</v>
      </c>
      <c r="BL181">
        <v>0</v>
      </c>
      <c r="BM181">
        <v>1</v>
      </c>
      <c r="BN181">
        <v>0</v>
      </c>
      <c r="BO181">
        <v>1</v>
      </c>
      <c r="BP181">
        <v>11</v>
      </c>
      <c r="BQ181" t="s">
        <v>34</v>
      </c>
    </row>
    <row r="182" spans="1:69" x14ac:dyDescent="0.25">
      <c r="A182">
        <v>181</v>
      </c>
      <c r="B182">
        <v>11</v>
      </c>
      <c r="C182" t="s">
        <v>256</v>
      </c>
      <c r="D182" s="79">
        <v>1.5</v>
      </c>
      <c r="E182" s="6">
        <f t="shared" si="24"/>
        <v>1.948051948051948</v>
      </c>
      <c r="F182" s="6">
        <v>0.77</v>
      </c>
      <c r="G182" s="78">
        <v>1</v>
      </c>
      <c r="H182" s="70">
        <v>0</v>
      </c>
      <c r="I182" s="70">
        <v>0</v>
      </c>
      <c r="J182" s="78">
        <v>582</v>
      </c>
      <c r="K182" s="70">
        <v>3</v>
      </c>
      <c r="L182" s="70">
        <f t="shared" si="22"/>
        <v>578</v>
      </c>
      <c r="M182" s="60">
        <f t="shared" si="23"/>
        <v>36</v>
      </c>
      <c r="N182" s="6">
        <f t="shared" si="25"/>
        <v>12.22</v>
      </c>
      <c r="O182" s="6">
        <f t="shared" si="26"/>
        <v>15.03</v>
      </c>
      <c r="P182" s="78">
        <v>1</v>
      </c>
      <c r="Q182" s="70">
        <v>0</v>
      </c>
      <c r="R182" s="78">
        <v>0</v>
      </c>
      <c r="S182" s="70">
        <v>0</v>
      </c>
      <c r="T182" s="70">
        <v>1</v>
      </c>
      <c r="U182" s="70">
        <v>1</v>
      </c>
      <c r="V182" s="70">
        <v>0</v>
      </c>
      <c r="W182" s="78">
        <v>1</v>
      </c>
      <c r="X182" s="70">
        <v>0</v>
      </c>
      <c r="Y182" s="69">
        <v>2002</v>
      </c>
      <c r="Z182" s="28" t="s">
        <v>45</v>
      </c>
      <c r="AA182" t="s">
        <v>45</v>
      </c>
      <c r="AB182" s="28">
        <v>1</v>
      </c>
      <c r="AC182">
        <v>0</v>
      </c>
      <c r="AD182" s="28">
        <v>0</v>
      </c>
      <c r="AE182">
        <v>1</v>
      </c>
      <c r="AF182">
        <v>0</v>
      </c>
      <c r="AG182">
        <v>1</v>
      </c>
      <c r="AH182" s="81">
        <f t="shared" si="27"/>
        <v>0.66</v>
      </c>
      <c r="AI182" s="82">
        <f t="shared" si="30"/>
        <v>0.33999999999999997</v>
      </c>
      <c r="AJ182">
        <v>1</v>
      </c>
      <c r="AK182">
        <v>0</v>
      </c>
      <c r="AL182">
        <f t="shared" si="29"/>
        <v>0</v>
      </c>
      <c r="AM182" s="62" t="s">
        <v>297</v>
      </c>
      <c r="AN182">
        <v>0</v>
      </c>
      <c r="AO182">
        <v>1</v>
      </c>
      <c r="AP182">
        <v>942</v>
      </c>
      <c r="AQ182">
        <v>131</v>
      </c>
      <c r="AR182">
        <v>0.29299999999999998</v>
      </c>
      <c r="AS182" s="80">
        <f t="shared" si="28"/>
        <v>34.78</v>
      </c>
      <c r="AT182">
        <v>0</v>
      </c>
      <c r="AU182">
        <v>0</v>
      </c>
      <c r="AV182">
        <v>1</v>
      </c>
      <c r="AW182">
        <v>0</v>
      </c>
      <c r="AX182">
        <v>0</v>
      </c>
      <c r="AY182">
        <v>0</v>
      </c>
      <c r="AZ182" s="28">
        <v>0</v>
      </c>
      <c r="BA182">
        <v>0</v>
      </c>
      <c r="BB182">
        <v>0</v>
      </c>
      <c r="BC182" s="28">
        <v>0</v>
      </c>
      <c r="BD182">
        <v>0</v>
      </c>
      <c r="BE182">
        <v>1</v>
      </c>
      <c r="BF182">
        <v>0</v>
      </c>
      <c r="BG182">
        <v>0</v>
      </c>
      <c r="BH182">
        <v>1</v>
      </c>
      <c r="BI182">
        <v>0</v>
      </c>
      <c r="BJ182">
        <v>0</v>
      </c>
      <c r="BK182" s="16">
        <v>0</v>
      </c>
      <c r="BL182">
        <v>0</v>
      </c>
      <c r="BM182">
        <v>1</v>
      </c>
      <c r="BN182">
        <v>0</v>
      </c>
      <c r="BO182">
        <v>1</v>
      </c>
      <c r="BP182">
        <v>11</v>
      </c>
      <c r="BQ182" t="s">
        <v>34</v>
      </c>
    </row>
    <row r="183" spans="1:69" x14ac:dyDescent="0.25">
      <c r="A183">
        <v>182</v>
      </c>
      <c r="B183">
        <v>11</v>
      </c>
      <c r="C183" t="s">
        <v>256</v>
      </c>
      <c r="D183" s="79">
        <v>7.5</v>
      </c>
      <c r="E183" s="6">
        <f t="shared" si="24"/>
        <v>0.81699346405228757</v>
      </c>
      <c r="F183" s="6">
        <v>9.18</v>
      </c>
      <c r="G183" s="78">
        <v>1</v>
      </c>
      <c r="H183" s="70">
        <v>0</v>
      </c>
      <c r="I183" s="70">
        <v>0</v>
      </c>
      <c r="J183" s="78">
        <v>582</v>
      </c>
      <c r="K183" s="70">
        <v>9</v>
      </c>
      <c r="L183" s="70">
        <f t="shared" si="22"/>
        <v>572</v>
      </c>
      <c r="M183" s="60">
        <f t="shared" si="23"/>
        <v>36</v>
      </c>
      <c r="N183" s="6">
        <f t="shared" si="25"/>
        <v>12.22</v>
      </c>
      <c r="O183" s="6">
        <f t="shared" si="26"/>
        <v>15.03</v>
      </c>
      <c r="P183" s="78">
        <v>1</v>
      </c>
      <c r="Q183" s="70">
        <v>0</v>
      </c>
      <c r="R183" s="78">
        <v>0</v>
      </c>
      <c r="S183" s="70">
        <v>0</v>
      </c>
      <c r="T183" s="70">
        <v>1</v>
      </c>
      <c r="U183" s="70">
        <v>1</v>
      </c>
      <c r="V183" s="70">
        <v>0</v>
      </c>
      <c r="W183" s="78">
        <v>1</v>
      </c>
      <c r="X183" s="70">
        <v>0</v>
      </c>
      <c r="Y183" s="69">
        <v>2002</v>
      </c>
      <c r="Z183" s="28" t="s">
        <v>45</v>
      </c>
      <c r="AA183" t="s">
        <v>45</v>
      </c>
      <c r="AB183" s="28">
        <v>1</v>
      </c>
      <c r="AC183">
        <v>0</v>
      </c>
      <c r="AD183" s="28">
        <v>0</v>
      </c>
      <c r="AE183">
        <v>1</v>
      </c>
      <c r="AF183">
        <v>0</v>
      </c>
      <c r="AG183">
        <v>1</v>
      </c>
      <c r="AH183" s="81">
        <f t="shared" si="27"/>
        <v>0.66</v>
      </c>
      <c r="AI183" s="82">
        <f t="shared" si="30"/>
        <v>0.33999999999999997</v>
      </c>
      <c r="AJ183">
        <v>1</v>
      </c>
      <c r="AK183">
        <v>0</v>
      </c>
      <c r="AL183">
        <f t="shared" si="29"/>
        <v>0</v>
      </c>
      <c r="AM183" s="62" t="s">
        <v>297</v>
      </c>
      <c r="AN183">
        <v>0</v>
      </c>
      <c r="AO183">
        <v>1</v>
      </c>
      <c r="AP183">
        <v>942</v>
      </c>
      <c r="AQ183">
        <v>131</v>
      </c>
      <c r="AR183">
        <v>0.29299999999999998</v>
      </c>
      <c r="AS183" s="80">
        <f t="shared" si="28"/>
        <v>34.78</v>
      </c>
      <c r="AT183">
        <v>0</v>
      </c>
      <c r="AU183">
        <v>0</v>
      </c>
      <c r="AV183">
        <v>0</v>
      </c>
      <c r="AW183">
        <v>0</v>
      </c>
      <c r="AX183">
        <v>0</v>
      </c>
      <c r="AY183">
        <v>1</v>
      </c>
      <c r="AZ183" s="28">
        <v>0</v>
      </c>
      <c r="BA183">
        <v>1</v>
      </c>
      <c r="BB183">
        <v>0</v>
      </c>
      <c r="BC183" s="28">
        <v>1</v>
      </c>
      <c r="BD183">
        <v>1</v>
      </c>
      <c r="BE183">
        <v>0</v>
      </c>
      <c r="BF183">
        <v>0</v>
      </c>
      <c r="BG183">
        <v>1</v>
      </c>
      <c r="BH183">
        <v>0</v>
      </c>
      <c r="BI183">
        <v>0</v>
      </c>
      <c r="BJ183">
        <v>0</v>
      </c>
      <c r="BK183" s="16">
        <v>0</v>
      </c>
      <c r="BL183">
        <v>0</v>
      </c>
      <c r="BM183">
        <v>1</v>
      </c>
      <c r="BN183">
        <v>0</v>
      </c>
      <c r="BO183">
        <v>1</v>
      </c>
      <c r="BP183">
        <v>11</v>
      </c>
      <c r="BQ183" t="s">
        <v>34</v>
      </c>
    </row>
    <row r="184" spans="1:69" x14ac:dyDescent="0.25">
      <c r="A184">
        <v>183</v>
      </c>
      <c r="B184">
        <v>11</v>
      </c>
      <c r="C184" t="s">
        <v>256</v>
      </c>
      <c r="D184" s="79">
        <v>1.1000000000000001</v>
      </c>
      <c r="E184" s="6">
        <f t="shared" si="24"/>
        <v>2.0370370370370372</v>
      </c>
      <c r="F184" s="6">
        <v>0.54</v>
      </c>
      <c r="G184" s="78">
        <v>1</v>
      </c>
      <c r="H184" s="70">
        <v>0</v>
      </c>
      <c r="I184" s="70">
        <v>0</v>
      </c>
      <c r="J184" s="78">
        <v>582</v>
      </c>
      <c r="K184" s="70">
        <v>1</v>
      </c>
      <c r="L184" s="70">
        <f t="shared" si="22"/>
        <v>580</v>
      </c>
      <c r="M184" s="60">
        <f t="shared" si="23"/>
        <v>36</v>
      </c>
      <c r="N184" s="6">
        <f t="shared" si="25"/>
        <v>12.22</v>
      </c>
      <c r="O184" s="6">
        <f t="shared" si="26"/>
        <v>15.03</v>
      </c>
      <c r="P184" s="78">
        <v>1</v>
      </c>
      <c r="Q184" s="70">
        <v>0</v>
      </c>
      <c r="R184" s="78">
        <v>0</v>
      </c>
      <c r="S184" s="70">
        <v>0</v>
      </c>
      <c r="T184" s="70">
        <v>1</v>
      </c>
      <c r="U184" s="70">
        <v>1</v>
      </c>
      <c r="V184" s="70">
        <v>0</v>
      </c>
      <c r="W184" s="78">
        <v>1</v>
      </c>
      <c r="X184" s="70">
        <v>0</v>
      </c>
      <c r="Y184" s="69">
        <v>2002</v>
      </c>
      <c r="Z184" s="28" t="s">
        <v>45</v>
      </c>
      <c r="AA184" t="s">
        <v>45</v>
      </c>
      <c r="AB184" s="28">
        <v>1</v>
      </c>
      <c r="AC184">
        <v>0</v>
      </c>
      <c r="AD184" s="28">
        <v>0</v>
      </c>
      <c r="AE184">
        <v>1</v>
      </c>
      <c r="AF184">
        <v>0</v>
      </c>
      <c r="AG184">
        <v>1</v>
      </c>
      <c r="AH184" s="81">
        <f t="shared" si="27"/>
        <v>0.66</v>
      </c>
      <c r="AI184" s="82">
        <f t="shared" si="30"/>
        <v>0.33999999999999997</v>
      </c>
      <c r="AJ184">
        <v>1</v>
      </c>
      <c r="AK184">
        <v>0</v>
      </c>
      <c r="AL184">
        <f t="shared" si="29"/>
        <v>0</v>
      </c>
      <c r="AM184" s="62" t="s">
        <v>297</v>
      </c>
      <c r="AN184">
        <v>0</v>
      </c>
      <c r="AO184">
        <v>1</v>
      </c>
      <c r="AP184">
        <v>942</v>
      </c>
      <c r="AQ184">
        <v>131</v>
      </c>
      <c r="AR184">
        <v>0.29299999999999998</v>
      </c>
      <c r="AS184" s="80">
        <f t="shared" si="28"/>
        <v>34.78</v>
      </c>
      <c r="AT184">
        <v>0</v>
      </c>
      <c r="AU184">
        <v>0</v>
      </c>
      <c r="AV184">
        <v>0</v>
      </c>
      <c r="AW184">
        <v>0</v>
      </c>
      <c r="AX184">
        <v>0</v>
      </c>
      <c r="AY184">
        <v>1</v>
      </c>
      <c r="AZ184" s="28">
        <v>0</v>
      </c>
      <c r="BA184">
        <v>1</v>
      </c>
      <c r="BB184">
        <v>0</v>
      </c>
      <c r="BC184" s="28">
        <v>0</v>
      </c>
      <c r="BD184">
        <v>0</v>
      </c>
      <c r="BE184">
        <v>0</v>
      </c>
      <c r="BF184">
        <v>0</v>
      </c>
      <c r="BG184">
        <v>0</v>
      </c>
      <c r="BH184">
        <v>0</v>
      </c>
      <c r="BI184">
        <v>0</v>
      </c>
      <c r="BJ184">
        <v>0</v>
      </c>
      <c r="BK184" s="16">
        <v>0</v>
      </c>
      <c r="BL184">
        <v>0</v>
      </c>
      <c r="BM184">
        <v>1</v>
      </c>
      <c r="BN184">
        <v>0</v>
      </c>
      <c r="BO184">
        <v>1</v>
      </c>
      <c r="BP184">
        <v>11</v>
      </c>
      <c r="BQ184" t="s">
        <v>34</v>
      </c>
    </row>
    <row r="185" spans="1:69" x14ac:dyDescent="0.25">
      <c r="A185">
        <v>184</v>
      </c>
      <c r="B185">
        <v>11</v>
      </c>
      <c r="C185" t="s">
        <v>256</v>
      </c>
      <c r="D185" s="79">
        <v>7.6</v>
      </c>
      <c r="E185" s="6">
        <f t="shared" si="24"/>
        <v>0.80765143464399569</v>
      </c>
      <c r="F185" s="6">
        <v>9.41</v>
      </c>
      <c r="G185" s="78">
        <v>1</v>
      </c>
      <c r="H185" s="70">
        <v>0</v>
      </c>
      <c r="I185" s="70">
        <v>0</v>
      </c>
      <c r="J185" s="78">
        <v>582</v>
      </c>
      <c r="K185" s="70">
        <v>11</v>
      </c>
      <c r="L185" s="70">
        <f t="shared" si="22"/>
        <v>570</v>
      </c>
      <c r="M185" s="60">
        <f t="shared" si="23"/>
        <v>36</v>
      </c>
      <c r="N185" s="6">
        <f t="shared" si="25"/>
        <v>12.22</v>
      </c>
      <c r="O185" s="6">
        <f t="shared" si="26"/>
        <v>15.03</v>
      </c>
      <c r="P185" s="78">
        <v>1</v>
      </c>
      <c r="Q185" s="70">
        <v>0</v>
      </c>
      <c r="R185" s="78">
        <v>0</v>
      </c>
      <c r="S185" s="70">
        <v>0</v>
      </c>
      <c r="T185" s="70">
        <v>1</v>
      </c>
      <c r="U185" s="70">
        <v>1</v>
      </c>
      <c r="V185" s="70">
        <v>0</v>
      </c>
      <c r="W185" s="78">
        <v>1</v>
      </c>
      <c r="X185" s="70">
        <v>0</v>
      </c>
      <c r="Y185" s="69">
        <v>2002</v>
      </c>
      <c r="Z185" s="28" t="s">
        <v>45</v>
      </c>
      <c r="AA185" t="s">
        <v>45</v>
      </c>
      <c r="AB185" s="28">
        <v>1</v>
      </c>
      <c r="AC185">
        <v>0</v>
      </c>
      <c r="AD185" s="28">
        <v>0</v>
      </c>
      <c r="AE185">
        <v>1</v>
      </c>
      <c r="AF185">
        <v>0</v>
      </c>
      <c r="AG185">
        <v>1</v>
      </c>
      <c r="AH185" s="81">
        <f t="shared" si="27"/>
        <v>0.66</v>
      </c>
      <c r="AI185" s="82">
        <f t="shared" si="30"/>
        <v>0.33999999999999997</v>
      </c>
      <c r="AJ185">
        <v>1</v>
      </c>
      <c r="AK185">
        <v>0</v>
      </c>
      <c r="AL185">
        <f t="shared" si="29"/>
        <v>0</v>
      </c>
      <c r="AM185" s="62" t="s">
        <v>297</v>
      </c>
      <c r="AN185">
        <v>0</v>
      </c>
      <c r="AO185">
        <v>1</v>
      </c>
      <c r="AP185">
        <v>942</v>
      </c>
      <c r="AQ185">
        <v>131</v>
      </c>
      <c r="AR185">
        <v>0.29299999999999998</v>
      </c>
      <c r="AS185" s="80">
        <f t="shared" si="28"/>
        <v>34.78</v>
      </c>
      <c r="AT185">
        <v>0</v>
      </c>
      <c r="AU185">
        <v>0</v>
      </c>
      <c r="AV185">
        <v>0</v>
      </c>
      <c r="AW185">
        <v>0</v>
      </c>
      <c r="AX185">
        <v>0</v>
      </c>
      <c r="AY185">
        <v>1</v>
      </c>
      <c r="AZ185" s="28">
        <v>0</v>
      </c>
      <c r="BA185">
        <v>1</v>
      </c>
      <c r="BB185">
        <v>0</v>
      </c>
      <c r="BC185" s="28">
        <v>1</v>
      </c>
      <c r="BD185">
        <v>1</v>
      </c>
      <c r="BE185">
        <v>1</v>
      </c>
      <c r="BF185">
        <v>0</v>
      </c>
      <c r="BG185">
        <v>1</v>
      </c>
      <c r="BH185">
        <v>1</v>
      </c>
      <c r="BI185">
        <v>0</v>
      </c>
      <c r="BJ185">
        <v>0</v>
      </c>
      <c r="BK185" s="16">
        <v>0</v>
      </c>
      <c r="BL185">
        <v>0</v>
      </c>
      <c r="BM185">
        <v>1</v>
      </c>
      <c r="BN185">
        <v>0</v>
      </c>
      <c r="BO185">
        <v>1</v>
      </c>
      <c r="BP185">
        <v>11</v>
      </c>
      <c r="BQ185" t="s">
        <v>34</v>
      </c>
    </row>
    <row r="186" spans="1:69" x14ac:dyDescent="0.25">
      <c r="A186">
        <v>185</v>
      </c>
      <c r="B186">
        <v>11</v>
      </c>
      <c r="C186" t="s">
        <v>256</v>
      </c>
      <c r="D186" s="79">
        <v>1.4</v>
      </c>
      <c r="E186" s="6">
        <f t="shared" si="24"/>
        <v>2.0588235294117645</v>
      </c>
      <c r="F186" s="6">
        <v>0.68</v>
      </c>
      <c r="G186" s="78">
        <v>1</v>
      </c>
      <c r="H186" s="70">
        <v>0</v>
      </c>
      <c r="I186" s="70">
        <v>0</v>
      </c>
      <c r="J186" s="78">
        <v>582</v>
      </c>
      <c r="K186" s="70">
        <v>3</v>
      </c>
      <c r="L186" s="70">
        <f t="shared" si="22"/>
        <v>578</v>
      </c>
      <c r="M186" s="60">
        <f t="shared" si="23"/>
        <v>36</v>
      </c>
      <c r="N186" s="6">
        <f t="shared" si="25"/>
        <v>12.22</v>
      </c>
      <c r="O186" s="6">
        <f t="shared" si="26"/>
        <v>15.03</v>
      </c>
      <c r="P186" s="78">
        <v>1</v>
      </c>
      <c r="Q186" s="70">
        <v>0</v>
      </c>
      <c r="R186" s="78">
        <v>0</v>
      </c>
      <c r="S186" s="70">
        <v>0</v>
      </c>
      <c r="T186" s="70">
        <v>1</v>
      </c>
      <c r="U186" s="70">
        <v>1</v>
      </c>
      <c r="V186" s="70">
        <v>0</v>
      </c>
      <c r="W186" s="78">
        <v>1</v>
      </c>
      <c r="X186" s="70">
        <v>0</v>
      </c>
      <c r="Y186" s="69">
        <v>2002</v>
      </c>
      <c r="Z186" s="28" t="s">
        <v>45</v>
      </c>
      <c r="AA186" t="s">
        <v>45</v>
      </c>
      <c r="AB186" s="28">
        <v>1</v>
      </c>
      <c r="AC186">
        <v>0</v>
      </c>
      <c r="AD186" s="28">
        <v>0</v>
      </c>
      <c r="AE186">
        <v>1</v>
      </c>
      <c r="AF186">
        <v>0</v>
      </c>
      <c r="AG186">
        <v>1</v>
      </c>
      <c r="AH186" s="81">
        <f t="shared" si="27"/>
        <v>0.66</v>
      </c>
      <c r="AI186" s="82">
        <f t="shared" si="30"/>
        <v>0.33999999999999997</v>
      </c>
      <c r="AJ186">
        <v>1</v>
      </c>
      <c r="AK186">
        <v>0</v>
      </c>
      <c r="AL186">
        <f t="shared" si="29"/>
        <v>0</v>
      </c>
      <c r="AM186" s="62" t="s">
        <v>297</v>
      </c>
      <c r="AN186">
        <v>0</v>
      </c>
      <c r="AO186">
        <v>1</v>
      </c>
      <c r="AP186">
        <v>942</v>
      </c>
      <c r="AQ186">
        <v>131</v>
      </c>
      <c r="AR186">
        <v>0.29299999999999998</v>
      </c>
      <c r="AS186" s="80">
        <f t="shared" si="28"/>
        <v>34.78</v>
      </c>
      <c r="AT186">
        <v>0</v>
      </c>
      <c r="AU186">
        <v>0</v>
      </c>
      <c r="AV186">
        <v>0</v>
      </c>
      <c r="AW186">
        <v>0</v>
      </c>
      <c r="AX186">
        <v>0</v>
      </c>
      <c r="AY186">
        <v>1</v>
      </c>
      <c r="AZ186" s="28">
        <v>0</v>
      </c>
      <c r="BA186">
        <v>1</v>
      </c>
      <c r="BB186">
        <v>0</v>
      </c>
      <c r="BC186" s="28">
        <v>0</v>
      </c>
      <c r="BD186">
        <v>0</v>
      </c>
      <c r="BE186">
        <v>1</v>
      </c>
      <c r="BF186">
        <v>0</v>
      </c>
      <c r="BG186">
        <v>0</v>
      </c>
      <c r="BH186">
        <v>1</v>
      </c>
      <c r="BI186">
        <v>0</v>
      </c>
      <c r="BJ186">
        <v>0</v>
      </c>
      <c r="BK186" s="16">
        <v>0</v>
      </c>
      <c r="BL186">
        <v>0</v>
      </c>
      <c r="BM186">
        <v>1</v>
      </c>
      <c r="BN186">
        <v>0</v>
      </c>
      <c r="BO186">
        <v>1</v>
      </c>
      <c r="BP186">
        <v>11</v>
      </c>
      <c r="BQ186" t="s">
        <v>34</v>
      </c>
    </row>
    <row r="187" spans="1:69" x14ac:dyDescent="0.25">
      <c r="A187">
        <v>186</v>
      </c>
      <c r="B187">
        <v>11</v>
      </c>
      <c r="C187" t="s">
        <v>256</v>
      </c>
      <c r="D187" s="79">
        <v>7</v>
      </c>
      <c r="E187" s="6">
        <f t="shared" si="24"/>
        <v>0.62222222222222223</v>
      </c>
      <c r="F187" s="6">
        <v>11.25</v>
      </c>
      <c r="G187" s="78">
        <v>1</v>
      </c>
      <c r="H187" s="70">
        <v>0</v>
      </c>
      <c r="I187" s="70">
        <v>0</v>
      </c>
      <c r="J187" s="78">
        <v>1064</v>
      </c>
      <c r="K187" s="70">
        <v>9</v>
      </c>
      <c r="L187" s="70">
        <f t="shared" si="22"/>
        <v>1054</v>
      </c>
      <c r="M187" s="60">
        <f t="shared" si="23"/>
        <v>36</v>
      </c>
      <c r="N187" s="6">
        <f t="shared" si="25"/>
        <v>11.911300000000001</v>
      </c>
      <c r="O187" s="6">
        <f t="shared" si="26"/>
        <v>19.232099999999999</v>
      </c>
      <c r="P187" s="78">
        <v>1</v>
      </c>
      <c r="Q187" s="70">
        <v>0</v>
      </c>
      <c r="R187" s="78">
        <v>0</v>
      </c>
      <c r="S187" s="70">
        <v>0</v>
      </c>
      <c r="T187" s="70">
        <v>1</v>
      </c>
      <c r="U187" s="70">
        <v>1</v>
      </c>
      <c r="V187" s="70">
        <v>0</v>
      </c>
      <c r="W187" s="78">
        <v>1</v>
      </c>
      <c r="X187" s="70">
        <v>0</v>
      </c>
      <c r="Y187" s="69">
        <v>2002</v>
      </c>
      <c r="Z187" s="28" t="s">
        <v>45</v>
      </c>
      <c r="AA187" t="s">
        <v>45</v>
      </c>
      <c r="AB187" s="28">
        <v>0</v>
      </c>
      <c r="AC187">
        <v>1</v>
      </c>
      <c r="AD187" s="28">
        <v>0</v>
      </c>
      <c r="AE187">
        <v>1</v>
      </c>
      <c r="AF187">
        <v>0</v>
      </c>
      <c r="AG187">
        <v>1</v>
      </c>
      <c r="AH187" s="81">
        <f t="shared" si="27"/>
        <v>0.83639999999999992</v>
      </c>
      <c r="AI187" s="82">
        <f t="shared" si="30"/>
        <v>0.16360000000000008</v>
      </c>
      <c r="AJ187">
        <v>0.37</v>
      </c>
      <c r="AK187">
        <v>0</v>
      </c>
      <c r="AL187">
        <f t="shared" si="29"/>
        <v>0.63</v>
      </c>
      <c r="AM187" s="62" t="s">
        <v>297</v>
      </c>
      <c r="AN187">
        <v>0</v>
      </c>
      <c r="AO187">
        <v>1</v>
      </c>
      <c r="AP187">
        <v>942</v>
      </c>
      <c r="AQ187">
        <v>131</v>
      </c>
      <c r="AR187">
        <v>0.29299999999999998</v>
      </c>
      <c r="AS187" s="80">
        <f t="shared" si="28"/>
        <v>40.128700000000002</v>
      </c>
      <c r="AT187">
        <v>1</v>
      </c>
      <c r="AU187">
        <v>0</v>
      </c>
      <c r="AV187">
        <v>0</v>
      </c>
      <c r="AW187">
        <v>0</v>
      </c>
      <c r="AX187">
        <v>0</v>
      </c>
      <c r="AY187">
        <v>0</v>
      </c>
      <c r="AZ187" s="28">
        <v>0</v>
      </c>
      <c r="BA187">
        <v>0</v>
      </c>
      <c r="BB187">
        <v>0</v>
      </c>
      <c r="BC187" s="28">
        <v>1</v>
      </c>
      <c r="BD187">
        <v>1</v>
      </c>
      <c r="BE187">
        <v>0</v>
      </c>
      <c r="BF187">
        <v>0</v>
      </c>
      <c r="BG187">
        <v>1</v>
      </c>
      <c r="BH187">
        <v>0</v>
      </c>
      <c r="BI187">
        <v>0</v>
      </c>
      <c r="BJ187">
        <v>0</v>
      </c>
      <c r="BK187" s="16">
        <v>0</v>
      </c>
      <c r="BL187">
        <v>0</v>
      </c>
      <c r="BM187">
        <v>1</v>
      </c>
      <c r="BN187">
        <v>0</v>
      </c>
      <c r="BO187">
        <v>1</v>
      </c>
      <c r="BP187">
        <v>11</v>
      </c>
      <c r="BQ187" t="s">
        <v>34</v>
      </c>
    </row>
    <row r="188" spans="1:69" x14ac:dyDescent="0.25">
      <c r="A188">
        <v>187</v>
      </c>
      <c r="B188">
        <v>11</v>
      </c>
      <c r="C188" t="s">
        <v>256</v>
      </c>
      <c r="D188" s="79">
        <v>6.9</v>
      </c>
      <c r="E188" s="6">
        <f t="shared" si="24"/>
        <v>0.6188340807174888</v>
      </c>
      <c r="F188" s="6">
        <v>11.15</v>
      </c>
      <c r="G188" s="78">
        <v>1</v>
      </c>
      <c r="H188" s="70">
        <v>0</v>
      </c>
      <c r="I188" s="70">
        <v>0</v>
      </c>
      <c r="J188" s="78">
        <v>1064</v>
      </c>
      <c r="K188" s="70">
        <v>11</v>
      </c>
      <c r="L188" s="70">
        <f t="shared" si="22"/>
        <v>1052</v>
      </c>
      <c r="M188" s="60">
        <f t="shared" si="23"/>
        <v>36</v>
      </c>
      <c r="N188" s="6">
        <f t="shared" si="25"/>
        <v>11.911300000000001</v>
      </c>
      <c r="O188" s="6">
        <f t="shared" si="26"/>
        <v>19.232099999999999</v>
      </c>
      <c r="P188" s="78">
        <v>1</v>
      </c>
      <c r="Q188" s="70">
        <v>0</v>
      </c>
      <c r="R188" s="78">
        <v>0</v>
      </c>
      <c r="S188" s="70">
        <v>0</v>
      </c>
      <c r="T188" s="70">
        <v>1</v>
      </c>
      <c r="U188" s="70">
        <v>1</v>
      </c>
      <c r="V188" s="70">
        <v>0</v>
      </c>
      <c r="W188" s="78">
        <v>1</v>
      </c>
      <c r="X188" s="70">
        <v>0</v>
      </c>
      <c r="Y188" s="69">
        <v>2002</v>
      </c>
      <c r="Z188" s="28" t="s">
        <v>45</v>
      </c>
      <c r="AA188" t="s">
        <v>45</v>
      </c>
      <c r="AB188" s="28">
        <v>0</v>
      </c>
      <c r="AC188">
        <v>1</v>
      </c>
      <c r="AD188" s="28">
        <v>0</v>
      </c>
      <c r="AE188">
        <v>1</v>
      </c>
      <c r="AF188">
        <v>0</v>
      </c>
      <c r="AG188">
        <v>1</v>
      </c>
      <c r="AH188" s="81">
        <f t="shared" si="27"/>
        <v>0.83639999999999992</v>
      </c>
      <c r="AI188" s="82">
        <f t="shared" si="30"/>
        <v>0.16360000000000008</v>
      </c>
      <c r="AJ188">
        <v>0.37</v>
      </c>
      <c r="AK188">
        <v>0</v>
      </c>
      <c r="AL188">
        <f t="shared" si="29"/>
        <v>0.63</v>
      </c>
      <c r="AM188" s="62" t="s">
        <v>297</v>
      </c>
      <c r="AN188">
        <v>0</v>
      </c>
      <c r="AO188">
        <v>1</v>
      </c>
      <c r="AP188">
        <v>942</v>
      </c>
      <c r="AQ188">
        <v>131</v>
      </c>
      <c r="AR188">
        <v>0.29299999999999998</v>
      </c>
      <c r="AS188" s="80">
        <f t="shared" si="28"/>
        <v>40.128700000000002</v>
      </c>
      <c r="AT188">
        <v>1</v>
      </c>
      <c r="AU188">
        <v>0</v>
      </c>
      <c r="AV188">
        <v>0</v>
      </c>
      <c r="AW188">
        <v>0</v>
      </c>
      <c r="AX188">
        <v>0</v>
      </c>
      <c r="AY188">
        <v>0</v>
      </c>
      <c r="AZ188" s="28">
        <v>0</v>
      </c>
      <c r="BA188">
        <v>0</v>
      </c>
      <c r="BB188">
        <v>0</v>
      </c>
      <c r="BC188" s="28">
        <v>1</v>
      </c>
      <c r="BD188">
        <v>1</v>
      </c>
      <c r="BE188">
        <v>1</v>
      </c>
      <c r="BF188">
        <v>0</v>
      </c>
      <c r="BG188">
        <v>1</v>
      </c>
      <c r="BH188">
        <v>1</v>
      </c>
      <c r="BI188">
        <v>0</v>
      </c>
      <c r="BJ188">
        <v>0</v>
      </c>
      <c r="BK188" s="16">
        <v>0</v>
      </c>
      <c r="BL188">
        <v>0</v>
      </c>
      <c r="BM188">
        <v>1</v>
      </c>
      <c r="BN188">
        <v>0</v>
      </c>
      <c r="BO188">
        <v>1</v>
      </c>
      <c r="BP188">
        <v>11</v>
      </c>
      <c r="BQ188" t="s">
        <v>34</v>
      </c>
    </row>
    <row r="189" spans="1:69" x14ac:dyDescent="0.25">
      <c r="A189">
        <v>188</v>
      </c>
      <c r="B189">
        <v>11</v>
      </c>
      <c r="C189" t="s">
        <v>256</v>
      </c>
      <c r="D189" s="79">
        <v>9.6</v>
      </c>
      <c r="E189" s="6">
        <f t="shared" si="24"/>
        <v>0.89719626168224298</v>
      </c>
      <c r="F189" s="6">
        <v>10.7</v>
      </c>
      <c r="G189" s="78">
        <v>1</v>
      </c>
      <c r="H189" s="70">
        <v>0</v>
      </c>
      <c r="I189" s="70">
        <v>0</v>
      </c>
      <c r="J189" s="78">
        <v>394</v>
      </c>
      <c r="K189" s="70">
        <v>9</v>
      </c>
      <c r="L189" s="70">
        <f t="shared" si="22"/>
        <v>384</v>
      </c>
      <c r="M189" s="60">
        <f t="shared" si="23"/>
        <v>36</v>
      </c>
      <c r="N189" s="6">
        <f t="shared" si="25"/>
        <v>12.22</v>
      </c>
      <c r="O189" s="6">
        <f t="shared" si="26"/>
        <v>15.03</v>
      </c>
      <c r="P189" s="78">
        <v>1</v>
      </c>
      <c r="Q189" s="70">
        <v>0</v>
      </c>
      <c r="R189" s="78">
        <v>0</v>
      </c>
      <c r="S189" s="70">
        <v>0</v>
      </c>
      <c r="T189" s="70">
        <v>1</v>
      </c>
      <c r="U189" s="70">
        <v>1</v>
      </c>
      <c r="V189" s="70">
        <v>0</v>
      </c>
      <c r="W189" s="78">
        <v>1</v>
      </c>
      <c r="X189" s="70">
        <v>0</v>
      </c>
      <c r="Y189" s="69">
        <v>2002</v>
      </c>
      <c r="Z189" s="28" t="s">
        <v>45</v>
      </c>
      <c r="AA189" t="s">
        <v>45</v>
      </c>
      <c r="AB189" s="28">
        <v>0</v>
      </c>
      <c r="AC189">
        <v>1</v>
      </c>
      <c r="AD189" s="28">
        <v>0</v>
      </c>
      <c r="AE189">
        <v>1</v>
      </c>
      <c r="AF189">
        <v>0</v>
      </c>
      <c r="AG189">
        <v>1</v>
      </c>
      <c r="AH189" s="81">
        <f t="shared" si="27"/>
        <v>0.66</v>
      </c>
      <c r="AI189" s="82">
        <f t="shared" si="30"/>
        <v>0.33999999999999997</v>
      </c>
      <c r="AJ189">
        <v>1</v>
      </c>
      <c r="AK189">
        <v>0</v>
      </c>
      <c r="AL189">
        <f t="shared" si="29"/>
        <v>0</v>
      </c>
      <c r="AM189" s="62" t="s">
        <v>297</v>
      </c>
      <c r="AN189">
        <v>0</v>
      </c>
      <c r="AO189">
        <v>1</v>
      </c>
      <c r="AP189">
        <v>942</v>
      </c>
      <c r="AQ189">
        <v>131</v>
      </c>
      <c r="AR189">
        <v>0.29299999999999998</v>
      </c>
      <c r="AS189" s="80">
        <f t="shared" si="28"/>
        <v>34.78</v>
      </c>
      <c r="AT189">
        <v>1</v>
      </c>
      <c r="AU189">
        <v>0</v>
      </c>
      <c r="AV189">
        <v>0</v>
      </c>
      <c r="AW189">
        <v>0</v>
      </c>
      <c r="AX189">
        <v>0</v>
      </c>
      <c r="AY189">
        <v>0</v>
      </c>
      <c r="AZ189" s="28">
        <v>0</v>
      </c>
      <c r="BA189">
        <v>0</v>
      </c>
      <c r="BB189">
        <v>0</v>
      </c>
      <c r="BC189" s="28">
        <v>1</v>
      </c>
      <c r="BD189">
        <v>1</v>
      </c>
      <c r="BE189">
        <v>0</v>
      </c>
      <c r="BF189">
        <v>0</v>
      </c>
      <c r="BG189">
        <v>1</v>
      </c>
      <c r="BH189">
        <v>0</v>
      </c>
      <c r="BI189">
        <v>0</v>
      </c>
      <c r="BJ189">
        <v>0</v>
      </c>
      <c r="BK189" s="16">
        <v>0</v>
      </c>
      <c r="BL189">
        <v>0</v>
      </c>
      <c r="BM189">
        <v>1</v>
      </c>
      <c r="BN189">
        <v>0</v>
      </c>
      <c r="BO189">
        <v>1</v>
      </c>
      <c r="BP189">
        <v>11</v>
      </c>
      <c r="BQ189" t="s">
        <v>34</v>
      </c>
    </row>
    <row r="190" spans="1:69" x14ac:dyDescent="0.25">
      <c r="A190">
        <v>189</v>
      </c>
      <c r="B190">
        <v>11</v>
      </c>
      <c r="C190" t="s">
        <v>256</v>
      </c>
      <c r="D190" s="79">
        <v>4.5</v>
      </c>
      <c r="E190" s="6">
        <f t="shared" si="24"/>
        <v>2.1634615384615383</v>
      </c>
      <c r="F190" s="6">
        <v>2.08</v>
      </c>
      <c r="G190" s="78">
        <v>1</v>
      </c>
      <c r="H190" s="70">
        <v>0</v>
      </c>
      <c r="I190" s="70">
        <v>0</v>
      </c>
      <c r="J190" s="78">
        <v>394</v>
      </c>
      <c r="K190" s="70">
        <v>1</v>
      </c>
      <c r="L190" s="70">
        <f t="shared" si="22"/>
        <v>392</v>
      </c>
      <c r="M190" s="60">
        <f t="shared" si="23"/>
        <v>36</v>
      </c>
      <c r="N190" s="6">
        <f t="shared" si="25"/>
        <v>12.22</v>
      </c>
      <c r="O190" s="6">
        <f t="shared" si="26"/>
        <v>15.03</v>
      </c>
      <c r="P190" s="78">
        <v>1</v>
      </c>
      <c r="Q190" s="70">
        <v>0</v>
      </c>
      <c r="R190" s="78">
        <v>0</v>
      </c>
      <c r="S190" s="70">
        <v>0</v>
      </c>
      <c r="T190" s="70">
        <v>1</v>
      </c>
      <c r="U190" s="70">
        <v>1</v>
      </c>
      <c r="V190" s="70">
        <v>0</v>
      </c>
      <c r="W190" s="78">
        <v>1</v>
      </c>
      <c r="X190" s="70">
        <v>0</v>
      </c>
      <c r="Y190" s="69">
        <v>2002</v>
      </c>
      <c r="Z190" s="28" t="s">
        <v>45</v>
      </c>
      <c r="AA190" t="s">
        <v>45</v>
      </c>
      <c r="AB190" s="28">
        <v>0</v>
      </c>
      <c r="AC190">
        <v>1</v>
      </c>
      <c r="AD190" s="28">
        <v>0</v>
      </c>
      <c r="AE190">
        <v>1</v>
      </c>
      <c r="AF190">
        <v>0</v>
      </c>
      <c r="AG190">
        <v>1</v>
      </c>
      <c r="AH190" s="81">
        <f t="shared" si="27"/>
        <v>0.66</v>
      </c>
      <c r="AI190" s="82">
        <f t="shared" si="30"/>
        <v>0.33999999999999997</v>
      </c>
      <c r="AJ190">
        <v>1</v>
      </c>
      <c r="AK190">
        <v>0</v>
      </c>
      <c r="AL190">
        <f t="shared" si="29"/>
        <v>0</v>
      </c>
      <c r="AM190" s="62" t="s">
        <v>297</v>
      </c>
      <c r="AN190">
        <v>0</v>
      </c>
      <c r="AO190">
        <v>1</v>
      </c>
      <c r="AP190">
        <v>942</v>
      </c>
      <c r="AQ190">
        <v>131</v>
      </c>
      <c r="AR190">
        <v>0.29299999999999998</v>
      </c>
      <c r="AS190" s="80">
        <f t="shared" si="28"/>
        <v>34.78</v>
      </c>
      <c r="AT190">
        <v>0</v>
      </c>
      <c r="AU190">
        <v>0</v>
      </c>
      <c r="AV190">
        <v>1</v>
      </c>
      <c r="AW190">
        <v>0</v>
      </c>
      <c r="AX190">
        <v>0</v>
      </c>
      <c r="AY190">
        <v>0</v>
      </c>
      <c r="AZ190" s="28">
        <v>0</v>
      </c>
      <c r="BA190">
        <v>0</v>
      </c>
      <c r="BB190">
        <v>0</v>
      </c>
      <c r="BC190" s="28">
        <v>0</v>
      </c>
      <c r="BD190">
        <v>0</v>
      </c>
      <c r="BE190">
        <v>0</v>
      </c>
      <c r="BF190">
        <v>0</v>
      </c>
      <c r="BG190">
        <v>0</v>
      </c>
      <c r="BH190">
        <v>0</v>
      </c>
      <c r="BI190">
        <v>0</v>
      </c>
      <c r="BJ190">
        <v>0</v>
      </c>
      <c r="BK190" s="16">
        <v>0</v>
      </c>
      <c r="BL190">
        <v>0</v>
      </c>
      <c r="BM190">
        <v>1</v>
      </c>
      <c r="BN190">
        <v>0</v>
      </c>
      <c r="BO190">
        <v>1</v>
      </c>
      <c r="BP190">
        <v>11</v>
      </c>
      <c r="BQ190" t="s">
        <v>34</v>
      </c>
    </row>
    <row r="191" spans="1:69" x14ac:dyDescent="0.25">
      <c r="A191">
        <v>190</v>
      </c>
      <c r="B191">
        <v>11</v>
      </c>
      <c r="C191" t="s">
        <v>256</v>
      </c>
      <c r="D191" s="79">
        <v>9.6</v>
      </c>
      <c r="E191" s="6">
        <f t="shared" si="24"/>
        <v>0.8751139471285323</v>
      </c>
      <c r="F191" s="6">
        <v>10.97</v>
      </c>
      <c r="G191" s="78">
        <v>1</v>
      </c>
      <c r="H191" s="70">
        <v>0</v>
      </c>
      <c r="I191" s="70">
        <v>0</v>
      </c>
      <c r="J191" s="78">
        <v>394</v>
      </c>
      <c r="K191" s="70">
        <v>11</v>
      </c>
      <c r="L191" s="70">
        <f t="shared" si="22"/>
        <v>382</v>
      </c>
      <c r="M191" s="60">
        <f t="shared" si="23"/>
        <v>36</v>
      </c>
      <c r="N191" s="6">
        <f t="shared" si="25"/>
        <v>12.22</v>
      </c>
      <c r="O191" s="6">
        <f t="shared" si="26"/>
        <v>15.03</v>
      </c>
      <c r="P191" s="78">
        <v>1</v>
      </c>
      <c r="Q191" s="70">
        <v>0</v>
      </c>
      <c r="R191" s="78">
        <v>0</v>
      </c>
      <c r="S191" s="70">
        <v>0</v>
      </c>
      <c r="T191" s="70">
        <v>1</v>
      </c>
      <c r="U191" s="70">
        <v>1</v>
      </c>
      <c r="V191" s="70">
        <v>0</v>
      </c>
      <c r="W191" s="78">
        <v>1</v>
      </c>
      <c r="X191" s="70">
        <v>0</v>
      </c>
      <c r="Y191" s="69">
        <v>2002</v>
      </c>
      <c r="Z191" s="28" t="s">
        <v>45</v>
      </c>
      <c r="AA191" t="s">
        <v>45</v>
      </c>
      <c r="AB191" s="28">
        <v>0</v>
      </c>
      <c r="AC191">
        <v>1</v>
      </c>
      <c r="AD191" s="28">
        <v>0</v>
      </c>
      <c r="AE191">
        <v>1</v>
      </c>
      <c r="AF191">
        <v>0</v>
      </c>
      <c r="AG191">
        <v>1</v>
      </c>
      <c r="AH191" s="81">
        <f t="shared" si="27"/>
        <v>0.66</v>
      </c>
      <c r="AI191" s="82">
        <f t="shared" si="30"/>
        <v>0.33999999999999997</v>
      </c>
      <c r="AJ191">
        <v>1</v>
      </c>
      <c r="AK191">
        <v>0</v>
      </c>
      <c r="AL191">
        <f t="shared" si="29"/>
        <v>0</v>
      </c>
      <c r="AM191" s="62" t="s">
        <v>297</v>
      </c>
      <c r="AN191">
        <v>0</v>
      </c>
      <c r="AO191">
        <v>1</v>
      </c>
      <c r="AP191">
        <v>942</v>
      </c>
      <c r="AQ191">
        <v>131</v>
      </c>
      <c r="AR191">
        <v>0.29299999999999998</v>
      </c>
      <c r="AS191" s="80">
        <f t="shared" si="28"/>
        <v>34.78</v>
      </c>
      <c r="AT191">
        <v>1</v>
      </c>
      <c r="AU191">
        <v>0</v>
      </c>
      <c r="AV191">
        <v>0</v>
      </c>
      <c r="AW191">
        <v>0</v>
      </c>
      <c r="AX191">
        <v>0</v>
      </c>
      <c r="AY191">
        <v>0</v>
      </c>
      <c r="AZ191" s="28">
        <v>0</v>
      </c>
      <c r="BA191">
        <v>0</v>
      </c>
      <c r="BB191">
        <v>0</v>
      </c>
      <c r="BC191" s="28">
        <v>1</v>
      </c>
      <c r="BD191">
        <v>1</v>
      </c>
      <c r="BE191">
        <v>1</v>
      </c>
      <c r="BF191">
        <v>0</v>
      </c>
      <c r="BG191">
        <v>1</v>
      </c>
      <c r="BH191">
        <v>1</v>
      </c>
      <c r="BI191">
        <v>0</v>
      </c>
      <c r="BJ191">
        <v>0</v>
      </c>
      <c r="BK191" s="16">
        <v>0</v>
      </c>
      <c r="BL191">
        <v>0</v>
      </c>
      <c r="BM191">
        <v>1</v>
      </c>
      <c r="BN191">
        <v>0</v>
      </c>
      <c r="BO191">
        <v>1</v>
      </c>
      <c r="BP191">
        <v>11</v>
      </c>
      <c r="BQ191" t="s">
        <v>34</v>
      </c>
    </row>
    <row r="192" spans="1:69" x14ac:dyDescent="0.25">
      <c r="A192">
        <v>191</v>
      </c>
      <c r="B192">
        <v>11</v>
      </c>
      <c r="C192" t="s">
        <v>256</v>
      </c>
      <c r="D192" s="79">
        <v>4.5</v>
      </c>
      <c r="E192" s="6">
        <f t="shared" si="24"/>
        <v>2.2058823529411766</v>
      </c>
      <c r="F192" s="6">
        <v>2.04</v>
      </c>
      <c r="G192" s="78">
        <v>1</v>
      </c>
      <c r="H192" s="70">
        <v>0</v>
      </c>
      <c r="I192" s="70">
        <v>0</v>
      </c>
      <c r="J192" s="78">
        <v>394</v>
      </c>
      <c r="K192" s="70">
        <v>3</v>
      </c>
      <c r="L192" s="70">
        <f t="shared" si="22"/>
        <v>390</v>
      </c>
      <c r="M192" s="60">
        <f t="shared" si="23"/>
        <v>36</v>
      </c>
      <c r="N192" s="6">
        <f t="shared" si="25"/>
        <v>12.22</v>
      </c>
      <c r="O192" s="6">
        <f t="shared" si="26"/>
        <v>15.03</v>
      </c>
      <c r="P192" s="78">
        <v>1</v>
      </c>
      <c r="Q192" s="70">
        <v>0</v>
      </c>
      <c r="R192" s="78">
        <v>0</v>
      </c>
      <c r="S192" s="70">
        <v>0</v>
      </c>
      <c r="T192" s="70">
        <v>1</v>
      </c>
      <c r="U192" s="70">
        <v>1</v>
      </c>
      <c r="V192" s="70">
        <v>0</v>
      </c>
      <c r="W192" s="78">
        <v>1</v>
      </c>
      <c r="X192" s="70">
        <v>0</v>
      </c>
      <c r="Y192" s="69">
        <v>2002</v>
      </c>
      <c r="Z192" s="28" t="s">
        <v>45</v>
      </c>
      <c r="AA192" t="s">
        <v>45</v>
      </c>
      <c r="AB192" s="28">
        <v>0</v>
      </c>
      <c r="AC192">
        <v>1</v>
      </c>
      <c r="AD192" s="28">
        <v>0</v>
      </c>
      <c r="AE192">
        <v>1</v>
      </c>
      <c r="AF192">
        <v>0</v>
      </c>
      <c r="AG192">
        <v>1</v>
      </c>
      <c r="AH192" s="81">
        <f t="shared" si="27"/>
        <v>0.66</v>
      </c>
      <c r="AI192" s="82">
        <f t="shared" si="30"/>
        <v>0.33999999999999997</v>
      </c>
      <c r="AJ192">
        <v>1</v>
      </c>
      <c r="AK192">
        <v>0</v>
      </c>
      <c r="AL192">
        <f t="shared" si="29"/>
        <v>0</v>
      </c>
      <c r="AM192" s="62" t="s">
        <v>297</v>
      </c>
      <c r="AN192">
        <v>0</v>
      </c>
      <c r="AO192">
        <v>1</v>
      </c>
      <c r="AP192">
        <v>942</v>
      </c>
      <c r="AQ192">
        <v>131</v>
      </c>
      <c r="AR192">
        <v>0.29299999999999998</v>
      </c>
      <c r="AS192" s="80">
        <f t="shared" si="28"/>
        <v>34.78</v>
      </c>
      <c r="AT192">
        <v>0</v>
      </c>
      <c r="AU192">
        <v>0</v>
      </c>
      <c r="AV192">
        <v>1</v>
      </c>
      <c r="AW192">
        <v>0</v>
      </c>
      <c r="AX192">
        <v>0</v>
      </c>
      <c r="AY192">
        <v>0</v>
      </c>
      <c r="AZ192" s="28">
        <v>0</v>
      </c>
      <c r="BA192">
        <v>0</v>
      </c>
      <c r="BB192">
        <v>0</v>
      </c>
      <c r="BC192" s="28">
        <v>0</v>
      </c>
      <c r="BD192">
        <v>0</v>
      </c>
      <c r="BE192">
        <v>1</v>
      </c>
      <c r="BF192">
        <v>0</v>
      </c>
      <c r="BG192">
        <v>0</v>
      </c>
      <c r="BH192">
        <v>1</v>
      </c>
      <c r="BI192">
        <v>0</v>
      </c>
      <c r="BJ192">
        <v>0</v>
      </c>
      <c r="BK192" s="16">
        <v>0</v>
      </c>
      <c r="BL192">
        <v>0</v>
      </c>
      <c r="BM192">
        <v>1</v>
      </c>
      <c r="BN192">
        <v>0</v>
      </c>
      <c r="BO192">
        <v>1</v>
      </c>
      <c r="BP192">
        <v>11</v>
      </c>
      <c r="BQ192" t="s">
        <v>34</v>
      </c>
    </row>
    <row r="193" spans="1:69" x14ac:dyDescent="0.25">
      <c r="A193">
        <v>192</v>
      </c>
      <c r="B193">
        <v>11</v>
      </c>
      <c r="C193" t="s">
        <v>256</v>
      </c>
      <c r="D193" s="79">
        <v>10.8</v>
      </c>
      <c r="E193" s="6">
        <f t="shared" si="24"/>
        <v>1.1513859275053304</v>
      </c>
      <c r="F193" s="6">
        <v>9.3800000000000008</v>
      </c>
      <c r="G193" s="78">
        <v>1</v>
      </c>
      <c r="H193" s="70">
        <v>0</v>
      </c>
      <c r="I193" s="70">
        <v>0</v>
      </c>
      <c r="J193" s="78">
        <v>394</v>
      </c>
      <c r="K193" s="70">
        <v>9</v>
      </c>
      <c r="L193" s="70">
        <f t="shared" si="22"/>
        <v>384</v>
      </c>
      <c r="M193" s="60">
        <f t="shared" si="23"/>
        <v>36</v>
      </c>
      <c r="N193" s="6">
        <f t="shared" si="25"/>
        <v>12.22</v>
      </c>
      <c r="O193" s="6">
        <f t="shared" si="26"/>
        <v>15.03</v>
      </c>
      <c r="P193" s="78">
        <v>1</v>
      </c>
      <c r="Q193" s="70">
        <v>0</v>
      </c>
      <c r="R193" s="78">
        <v>0</v>
      </c>
      <c r="S193" s="70">
        <v>0</v>
      </c>
      <c r="T193" s="70">
        <v>1</v>
      </c>
      <c r="U193" s="70">
        <v>1</v>
      </c>
      <c r="V193" s="70">
        <v>0</v>
      </c>
      <c r="W193" s="78">
        <v>1</v>
      </c>
      <c r="X193" s="70">
        <v>0</v>
      </c>
      <c r="Y193" s="69">
        <v>2002</v>
      </c>
      <c r="Z193" s="28" t="s">
        <v>45</v>
      </c>
      <c r="AA193" t="s">
        <v>45</v>
      </c>
      <c r="AB193" s="28">
        <v>0</v>
      </c>
      <c r="AC193">
        <v>1</v>
      </c>
      <c r="AD193" s="28">
        <v>0</v>
      </c>
      <c r="AE193">
        <v>1</v>
      </c>
      <c r="AF193">
        <v>0</v>
      </c>
      <c r="AG193">
        <v>1</v>
      </c>
      <c r="AH193" s="81">
        <f t="shared" si="27"/>
        <v>0.66</v>
      </c>
      <c r="AI193" s="82">
        <f t="shared" si="30"/>
        <v>0.33999999999999997</v>
      </c>
      <c r="AJ193">
        <v>1</v>
      </c>
      <c r="AK193">
        <v>0</v>
      </c>
      <c r="AL193">
        <f t="shared" si="29"/>
        <v>0</v>
      </c>
      <c r="AM193" s="62" t="s">
        <v>297</v>
      </c>
      <c r="AN193">
        <v>0</v>
      </c>
      <c r="AO193">
        <v>1</v>
      </c>
      <c r="AP193">
        <v>942</v>
      </c>
      <c r="AQ193">
        <v>131</v>
      </c>
      <c r="AR193">
        <v>0.29299999999999998</v>
      </c>
      <c r="AS193" s="80">
        <f t="shared" si="28"/>
        <v>34.78</v>
      </c>
      <c r="AT193">
        <v>0</v>
      </c>
      <c r="AU193">
        <v>0</v>
      </c>
      <c r="AV193">
        <v>0</v>
      </c>
      <c r="AW193">
        <v>0</v>
      </c>
      <c r="AX193">
        <v>0</v>
      </c>
      <c r="AY193">
        <v>1</v>
      </c>
      <c r="AZ193" s="28">
        <v>0</v>
      </c>
      <c r="BA193">
        <v>1</v>
      </c>
      <c r="BB193">
        <v>0</v>
      </c>
      <c r="BC193" s="28">
        <v>1</v>
      </c>
      <c r="BD193">
        <v>1</v>
      </c>
      <c r="BE193">
        <v>0</v>
      </c>
      <c r="BF193">
        <v>0</v>
      </c>
      <c r="BG193">
        <v>1</v>
      </c>
      <c r="BH193">
        <v>0</v>
      </c>
      <c r="BI193">
        <v>0</v>
      </c>
      <c r="BJ193">
        <v>0</v>
      </c>
      <c r="BK193" s="16">
        <v>0</v>
      </c>
      <c r="BL193">
        <v>0</v>
      </c>
      <c r="BM193">
        <v>1</v>
      </c>
      <c r="BN193">
        <v>0</v>
      </c>
      <c r="BO193">
        <v>1</v>
      </c>
      <c r="BP193">
        <v>11</v>
      </c>
      <c r="BQ193" t="s">
        <v>34</v>
      </c>
    </row>
    <row r="194" spans="1:69" x14ac:dyDescent="0.25">
      <c r="A194">
        <v>193</v>
      </c>
      <c r="B194">
        <v>11</v>
      </c>
      <c r="C194" t="s">
        <v>256</v>
      </c>
      <c r="D194" s="79">
        <v>7.5</v>
      </c>
      <c r="E194" s="6">
        <f t="shared" si="24"/>
        <v>3.7688442211055277</v>
      </c>
      <c r="F194" s="6">
        <v>1.99</v>
      </c>
      <c r="G194" s="78">
        <v>1</v>
      </c>
      <c r="H194" s="70">
        <v>0</v>
      </c>
      <c r="I194" s="70">
        <v>0</v>
      </c>
      <c r="J194" s="78">
        <v>394</v>
      </c>
      <c r="K194" s="70">
        <v>1</v>
      </c>
      <c r="L194" s="70">
        <f t="shared" ref="L194:L257" si="31">J194-K194-1</f>
        <v>392</v>
      </c>
      <c r="M194" s="60">
        <f t="shared" ref="M194:M257" si="32">COUNTIF(B:B,B194)</f>
        <v>36</v>
      </c>
      <c r="N194" s="6">
        <f t="shared" si="25"/>
        <v>12.22</v>
      </c>
      <c r="O194" s="6">
        <f t="shared" si="26"/>
        <v>15.03</v>
      </c>
      <c r="P194" s="78">
        <v>1</v>
      </c>
      <c r="Q194" s="70">
        <v>0</v>
      </c>
      <c r="R194" s="78">
        <v>0</v>
      </c>
      <c r="S194" s="70">
        <v>0</v>
      </c>
      <c r="T194" s="70">
        <v>1</v>
      </c>
      <c r="U194" s="70">
        <v>1</v>
      </c>
      <c r="V194" s="70">
        <v>0</v>
      </c>
      <c r="W194" s="78">
        <v>1</v>
      </c>
      <c r="X194" s="70">
        <v>0</v>
      </c>
      <c r="Y194" s="69">
        <v>2002</v>
      </c>
      <c r="Z194" s="28" t="s">
        <v>45</v>
      </c>
      <c r="AA194" t="s">
        <v>45</v>
      </c>
      <c r="AB194" s="28">
        <v>0</v>
      </c>
      <c r="AC194">
        <v>1</v>
      </c>
      <c r="AD194" s="28">
        <v>0</v>
      </c>
      <c r="AE194">
        <v>1</v>
      </c>
      <c r="AF194">
        <v>0</v>
      </c>
      <c r="AG194">
        <v>1</v>
      </c>
      <c r="AH194" s="81">
        <f t="shared" si="27"/>
        <v>0.66</v>
      </c>
      <c r="AI194" s="82">
        <f t="shared" si="30"/>
        <v>0.33999999999999997</v>
      </c>
      <c r="AJ194">
        <v>1</v>
      </c>
      <c r="AK194">
        <v>0</v>
      </c>
      <c r="AL194">
        <f t="shared" si="29"/>
        <v>0</v>
      </c>
      <c r="AM194" s="62" t="s">
        <v>297</v>
      </c>
      <c r="AN194">
        <v>0</v>
      </c>
      <c r="AO194">
        <v>1</v>
      </c>
      <c r="AP194">
        <v>942</v>
      </c>
      <c r="AQ194">
        <v>131</v>
      </c>
      <c r="AR194">
        <v>0.29299999999999998</v>
      </c>
      <c r="AS194" s="80">
        <f t="shared" si="28"/>
        <v>34.78</v>
      </c>
      <c r="AT194">
        <v>0</v>
      </c>
      <c r="AU194">
        <v>0</v>
      </c>
      <c r="AV194">
        <v>0</v>
      </c>
      <c r="AW194">
        <v>0</v>
      </c>
      <c r="AX194">
        <v>0</v>
      </c>
      <c r="AY194">
        <v>1</v>
      </c>
      <c r="AZ194" s="28">
        <v>0</v>
      </c>
      <c r="BA194">
        <v>1</v>
      </c>
      <c r="BB194">
        <v>0</v>
      </c>
      <c r="BC194" s="28">
        <v>0</v>
      </c>
      <c r="BD194">
        <v>0</v>
      </c>
      <c r="BE194">
        <v>0</v>
      </c>
      <c r="BF194">
        <v>0</v>
      </c>
      <c r="BG194">
        <v>0</v>
      </c>
      <c r="BH194">
        <v>0</v>
      </c>
      <c r="BI194">
        <v>0</v>
      </c>
      <c r="BJ194">
        <v>0</v>
      </c>
      <c r="BK194" s="16">
        <v>0</v>
      </c>
      <c r="BL194">
        <v>0</v>
      </c>
      <c r="BM194">
        <v>1</v>
      </c>
      <c r="BN194">
        <v>0</v>
      </c>
      <c r="BO194">
        <v>1</v>
      </c>
      <c r="BP194">
        <v>11</v>
      </c>
      <c r="BQ194" t="s">
        <v>34</v>
      </c>
    </row>
    <row r="195" spans="1:69" x14ac:dyDescent="0.25">
      <c r="A195">
        <v>194</v>
      </c>
      <c r="B195">
        <v>11</v>
      </c>
      <c r="C195" t="s">
        <v>256</v>
      </c>
      <c r="D195" s="79">
        <v>10.8</v>
      </c>
      <c r="E195" s="6">
        <f t="shared" si="24"/>
        <v>1.1625403659849303</v>
      </c>
      <c r="F195" s="6">
        <v>9.2899999999999991</v>
      </c>
      <c r="G195" s="78">
        <v>1</v>
      </c>
      <c r="H195" s="70">
        <v>0</v>
      </c>
      <c r="I195" s="70">
        <v>0</v>
      </c>
      <c r="J195" s="78">
        <v>394</v>
      </c>
      <c r="K195" s="70">
        <v>11</v>
      </c>
      <c r="L195" s="70">
        <f t="shared" si="31"/>
        <v>382</v>
      </c>
      <c r="M195" s="60">
        <f t="shared" si="32"/>
        <v>36</v>
      </c>
      <c r="N195" s="6">
        <f t="shared" si="25"/>
        <v>12.22</v>
      </c>
      <c r="O195" s="6">
        <f t="shared" si="26"/>
        <v>15.03</v>
      </c>
      <c r="P195" s="78">
        <v>1</v>
      </c>
      <c r="Q195" s="70">
        <v>0</v>
      </c>
      <c r="R195" s="78">
        <v>0</v>
      </c>
      <c r="S195" s="70">
        <v>0</v>
      </c>
      <c r="T195" s="70">
        <v>1</v>
      </c>
      <c r="U195" s="70">
        <v>1</v>
      </c>
      <c r="V195" s="70">
        <v>0</v>
      </c>
      <c r="W195" s="78">
        <v>1</v>
      </c>
      <c r="X195" s="70">
        <v>0</v>
      </c>
      <c r="Y195" s="69">
        <v>2002</v>
      </c>
      <c r="Z195" s="28" t="s">
        <v>45</v>
      </c>
      <c r="AA195" t="s">
        <v>45</v>
      </c>
      <c r="AB195" s="28">
        <v>0</v>
      </c>
      <c r="AC195">
        <v>1</v>
      </c>
      <c r="AD195" s="28">
        <v>0</v>
      </c>
      <c r="AE195">
        <v>1</v>
      </c>
      <c r="AF195">
        <v>0</v>
      </c>
      <c r="AG195">
        <v>1</v>
      </c>
      <c r="AH195" s="81">
        <f t="shared" si="27"/>
        <v>0.66</v>
      </c>
      <c r="AI195" s="82">
        <f t="shared" si="30"/>
        <v>0.33999999999999997</v>
      </c>
      <c r="AJ195">
        <v>1</v>
      </c>
      <c r="AK195">
        <v>0</v>
      </c>
      <c r="AL195">
        <f t="shared" si="29"/>
        <v>0</v>
      </c>
      <c r="AM195" s="62" t="s">
        <v>297</v>
      </c>
      <c r="AN195">
        <v>0</v>
      </c>
      <c r="AO195">
        <v>1</v>
      </c>
      <c r="AP195">
        <v>942</v>
      </c>
      <c r="AQ195">
        <v>131</v>
      </c>
      <c r="AR195">
        <v>0.29299999999999998</v>
      </c>
      <c r="AS195" s="80">
        <f t="shared" si="28"/>
        <v>34.78</v>
      </c>
      <c r="AT195">
        <v>0</v>
      </c>
      <c r="AU195">
        <v>0</v>
      </c>
      <c r="AV195">
        <v>0</v>
      </c>
      <c r="AW195">
        <v>0</v>
      </c>
      <c r="AX195">
        <v>0</v>
      </c>
      <c r="AY195">
        <v>1</v>
      </c>
      <c r="AZ195" s="28">
        <v>0</v>
      </c>
      <c r="BA195">
        <v>1</v>
      </c>
      <c r="BB195">
        <v>0</v>
      </c>
      <c r="BC195" s="28">
        <v>1</v>
      </c>
      <c r="BD195">
        <v>1</v>
      </c>
      <c r="BE195">
        <v>1</v>
      </c>
      <c r="BF195">
        <v>0</v>
      </c>
      <c r="BG195">
        <v>1</v>
      </c>
      <c r="BH195">
        <v>1</v>
      </c>
      <c r="BI195">
        <v>0</v>
      </c>
      <c r="BJ195">
        <v>0</v>
      </c>
      <c r="BK195" s="16">
        <v>0</v>
      </c>
      <c r="BL195">
        <v>0</v>
      </c>
      <c r="BM195">
        <v>1</v>
      </c>
      <c r="BN195">
        <v>0</v>
      </c>
      <c r="BO195">
        <v>1</v>
      </c>
      <c r="BP195">
        <v>11</v>
      </c>
      <c r="BQ195" t="s">
        <v>34</v>
      </c>
    </row>
    <row r="196" spans="1:69" x14ac:dyDescent="0.25">
      <c r="A196">
        <v>195</v>
      </c>
      <c r="B196">
        <v>11</v>
      </c>
      <c r="C196" t="s">
        <v>256</v>
      </c>
      <c r="D196" s="79">
        <v>7.1</v>
      </c>
      <c r="E196" s="6">
        <f t="shared" si="24"/>
        <v>3.736842105263158</v>
      </c>
      <c r="F196" s="6">
        <v>1.9</v>
      </c>
      <c r="G196" s="78">
        <v>1</v>
      </c>
      <c r="H196" s="70">
        <v>0</v>
      </c>
      <c r="I196" s="70">
        <v>0</v>
      </c>
      <c r="J196" s="78">
        <v>394</v>
      </c>
      <c r="K196" s="70">
        <v>3</v>
      </c>
      <c r="L196" s="70">
        <f t="shared" si="31"/>
        <v>390</v>
      </c>
      <c r="M196" s="60">
        <f t="shared" si="32"/>
        <v>36</v>
      </c>
      <c r="N196" s="6">
        <f t="shared" si="25"/>
        <v>12.22</v>
      </c>
      <c r="O196" s="6">
        <f t="shared" si="26"/>
        <v>15.03</v>
      </c>
      <c r="P196" s="78">
        <v>1</v>
      </c>
      <c r="Q196" s="70">
        <v>0</v>
      </c>
      <c r="R196" s="78">
        <v>0</v>
      </c>
      <c r="S196" s="70">
        <v>0</v>
      </c>
      <c r="T196" s="70">
        <v>1</v>
      </c>
      <c r="U196" s="70">
        <v>1</v>
      </c>
      <c r="V196" s="70">
        <v>0</v>
      </c>
      <c r="W196" s="78">
        <v>1</v>
      </c>
      <c r="X196" s="70">
        <v>0</v>
      </c>
      <c r="Y196" s="69">
        <v>2002</v>
      </c>
      <c r="Z196" s="28" t="s">
        <v>45</v>
      </c>
      <c r="AA196" t="s">
        <v>45</v>
      </c>
      <c r="AB196" s="28">
        <v>0</v>
      </c>
      <c r="AC196">
        <v>1</v>
      </c>
      <c r="AD196" s="28">
        <v>0</v>
      </c>
      <c r="AE196">
        <v>1</v>
      </c>
      <c r="AF196">
        <v>0</v>
      </c>
      <c r="AG196">
        <v>1</v>
      </c>
      <c r="AH196" s="81">
        <f t="shared" si="27"/>
        <v>0.66</v>
      </c>
      <c r="AI196" s="82">
        <f t="shared" si="30"/>
        <v>0.33999999999999997</v>
      </c>
      <c r="AJ196">
        <v>1</v>
      </c>
      <c r="AK196">
        <v>0</v>
      </c>
      <c r="AL196">
        <f t="shared" si="29"/>
        <v>0</v>
      </c>
      <c r="AM196" s="62" t="s">
        <v>297</v>
      </c>
      <c r="AN196">
        <v>0</v>
      </c>
      <c r="AO196">
        <v>1</v>
      </c>
      <c r="AP196">
        <v>942</v>
      </c>
      <c r="AQ196">
        <v>131</v>
      </c>
      <c r="AR196">
        <v>0.29299999999999998</v>
      </c>
      <c r="AS196" s="80">
        <f t="shared" si="28"/>
        <v>34.78</v>
      </c>
      <c r="AT196">
        <v>0</v>
      </c>
      <c r="AU196">
        <v>0</v>
      </c>
      <c r="AV196">
        <v>0</v>
      </c>
      <c r="AW196">
        <v>0</v>
      </c>
      <c r="AX196">
        <v>0</v>
      </c>
      <c r="AY196">
        <v>1</v>
      </c>
      <c r="AZ196" s="28">
        <v>0</v>
      </c>
      <c r="BA196">
        <v>1</v>
      </c>
      <c r="BB196">
        <v>0</v>
      </c>
      <c r="BC196" s="28">
        <v>0</v>
      </c>
      <c r="BD196">
        <v>0</v>
      </c>
      <c r="BE196">
        <v>1</v>
      </c>
      <c r="BF196">
        <v>0</v>
      </c>
      <c r="BG196">
        <v>0</v>
      </c>
      <c r="BH196">
        <v>1</v>
      </c>
      <c r="BI196">
        <v>0</v>
      </c>
      <c r="BJ196">
        <v>0</v>
      </c>
      <c r="BK196" s="16">
        <v>0</v>
      </c>
      <c r="BL196">
        <v>0</v>
      </c>
      <c r="BM196">
        <v>1</v>
      </c>
      <c r="BN196">
        <v>0</v>
      </c>
      <c r="BO196">
        <v>1</v>
      </c>
      <c r="BP196">
        <v>11</v>
      </c>
      <c r="BQ196" t="s">
        <v>34</v>
      </c>
    </row>
    <row r="197" spans="1:69" x14ac:dyDescent="0.25">
      <c r="A197">
        <v>196</v>
      </c>
      <c r="B197">
        <v>11</v>
      </c>
      <c r="C197" t="s">
        <v>256</v>
      </c>
      <c r="D197" s="79">
        <v>7.6</v>
      </c>
      <c r="E197" s="6">
        <f t="shared" si="24"/>
        <v>0.61939690301548489</v>
      </c>
      <c r="F197" s="6">
        <v>12.27</v>
      </c>
      <c r="G197" s="78">
        <v>1</v>
      </c>
      <c r="H197" s="70">
        <v>0</v>
      </c>
      <c r="I197" s="70">
        <v>0</v>
      </c>
      <c r="J197" s="78">
        <v>488</v>
      </c>
      <c r="K197" s="70">
        <v>9</v>
      </c>
      <c r="L197" s="70">
        <f t="shared" si="31"/>
        <v>478</v>
      </c>
      <c r="M197" s="60">
        <f t="shared" si="32"/>
        <v>36</v>
      </c>
      <c r="N197" s="6">
        <f t="shared" si="25"/>
        <v>12.22</v>
      </c>
      <c r="O197" s="6">
        <f t="shared" si="26"/>
        <v>15.03</v>
      </c>
      <c r="P197" s="78">
        <v>1</v>
      </c>
      <c r="Q197" s="70">
        <v>0</v>
      </c>
      <c r="R197" s="78">
        <v>0</v>
      </c>
      <c r="S197" s="70">
        <v>0</v>
      </c>
      <c r="T197" s="70">
        <v>1</v>
      </c>
      <c r="U197" s="70">
        <v>1</v>
      </c>
      <c r="V197" s="70">
        <v>0</v>
      </c>
      <c r="W197" s="78">
        <v>1</v>
      </c>
      <c r="X197" s="70">
        <v>0</v>
      </c>
      <c r="Y197" s="69">
        <v>2002</v>
      </c>
      <c r="Z197" s="28" t="s">
        <v>45</v>
      </c>
      <c r="AA197" t="s">
        <v>45</v>
      </c>
      <c r="AB197" s="28">
        <v>0</v>
      </c>
      <c r="AC197">
        <v>1</v>
      </c>
      <c r="AD197" s="28">
        <v>0</v>
      </c>
      <c r="AE197">
        <v>1</v>
      </c>
      <c r="AF197">
        <v>0</v>
      </c>
      <c r="AG197">
        <v>1</v>
      </c>
      <c r="AH197" s="81">
        <f t="shared" si="27"/>
        <v>0.66</v>
      </c>
      <c r="AI197" s="82">
        <f t="shared" si="30"/>
        <v>0.33999999999999997</v>
      </c>
      <c r="AJ197">
        <v>1</v>
      </c>
      <c r="AK197">
        <v>0</v>
      </c>
      <c r="AL197">
        <f t="shared" si="29"/>
        <v>0</v>
      </c>
      <c r="AM197" s="62" t="s">
        <v>297</v>
      </c>
      <c r="AN197">
        <v>0</v>
      </c>
      <c r="AO197">
        <v>1</v>
      </c>
      <c r="AP197">
        <v>942</v>
      </c>
      <c r="AQ197">
        <v>131</v>
      </c>
      <c r="AR197">
        <v>0.29299999999999998</v>
      </c>
      <c r="AS197" s="80">
        <f t="shared" si="28"/>
        <v>34.78</v>
      </c>
      <c r="AT197">
        <v>0</v>
      </c>
      <c r="AU197">
        <v>1</v>
      </c>
      <c r="AV197">
        <v>0</v>
      </c>
      <c r="AW197">
        <v>0</v>
      </c>
      <c r="AX197">
        <v>0</v>
      </c>
      <c r="AY197">
        <v>0</v>
      </c>
      <c r="AZ197" s="28">
        <v>0</v>
      </c>
      <c r="BA197">
        <v>0</v>
      </c>
      <c r="BB197">
        <v>0</v>
      </c>
      <c r="BC197" s="28">
        <v>1</v>
      </c>
      <c r="BD197">
        <v>1</v>
      </c>
      <c r="BE197">
        <v>0</v>
      </c>
      <c r="BF197">
        <v>0</v>
      </c>
      <c r="BG197">
        <v>1</v>
      </c>
      <c r="BH197">
        <v>0</v>
      </c>
      <c r="BI197">
        <v>0</v>
      </c>
      <c r="BJ197">
        <v>0</v>
      </c>
      <c r="BK197" s="16">
        <v>0</v>
      </c>
      <c r="BL197">
        <v>0</v>
      </c>
      <c r="BM197">
        <v>1</v>
      </c>
      <c r="BN197">
        <v>0</v>
      </c>
      <c r="BO197">
        <v>1</v>
      </c>
      <c r="BP197">
        <v>11</v>
      </c>
      <c r="BQ197" t="s">
        <v>34</v>
      </c>
    </row>
    <row r="198" spans="1:69" x14ac:dyDescent="0.25">
      <c r="A198">
        <v>197</v>
      </c>
      <c r="B198">
        <v>11</v>
      </c>
      <c r="C198" t="s">
        <v>256</v>
      </c>
      <c r="D198" s="79">
        <v>2.5</v>
      </c>
      <c r="E198" s="6">
        <f t="shared" si="24"/>
        <v>1.2135922330097086</v>
      </c>
      <c r="F198" s="6">
        <v>2.06</v>
      </c>
      <c r="G198" s="78">
        <v>1</v>
      </c>
      <c r="H198" s="70">
        <v>0</v>
      </c>
      <c r="I198" s="70">
        <v>0</v>
      </c>
      <c r="J198" s="78">
        <v>488</v>
      </c>
      <c r="K198" s="70">
        <v>10</v>
      </c>
      <c r="L198" s="70">
        <f t="shared" si="31"/>
        <v>477</v>
      </c>
      <c r="M198" s="60">
        <f t="shared" si="32"/>
        <v>36</v>
      </c>
      <c r="N198" s="6">
        <f t="shared" si="25"/>
        <v>12.22</v>
      </c>
      <c r="O198" s="6">
        <f t="shared" si="26"/>
        <v>15.03</v>
      </c>
      <c r="P198" s="78">
        <v>1</v>
      </c>
      <c r="Q198" s="70">
        <v>0</v>
      </c>
      <c r="R198" s="78">
        <v>0</v>
      </c>
      <c r="S198" s="70">
        <v>0</v>
      </c>
      <c r="T198" s="70">
        <v>1</v>
      </c>
      <c r="U198" s="70">
        <v>1</v>
      </c>
      <c r="V198" s="70">
        <v>0</v>
      </c>
      <c r="W198" s="78">
        <v>1</v>
      </c>
      <c r="X198" s="70">
        <v>0</v>
      </c>
      <c r="Y198" s="69">
        <v>2002</v>
      </c>
      <c r="Z198" s="28" t="s">
        <v>45</v>
      </c>
      <c r="AA198" t="s">
        <v>45</v>
      </c>
      <c r="AB198" s="28">
        <v>0</v>
      </c>
      <c r="AC198">
        <v>1</v>
      </c>
      <c r="AD198" s="28">
        <v>0</v>
      </c>
      <c r="AE198">
        <v>1</v>
      </c>
      <c r="AF198">
        <v>0</v>
      </c>
      <c r="AG198">
        <v>1</v>
      </c>
      <c r="AH198" s="81">
        <f t="shared" si="27"/>
        <v>0.66</v>
      </c>
      <c r="AI198" s="82">
        <f t="shared" si="30"/>
        <v>0.33999999999999997</v>
      </c>
      <c r="AJ198">
        <v>1</v>
      </c>
      <c r="AK198">
        <v>0</v>
      </c>
      <c r="AL198">
        <f t="shared" si="29"/>
        <v>0</v>
      </c>
      <c r="AM198" s="62" t="s">
        <v>297</v>
      </c>
      <c r="AN198">
        <v>0</v>
      </c>
      <c r="AO198">
        <v>1</v>
      </c>
      <c r="AP198">
        <v>942</v>
      </c>
      <c r="AQ198">
        <v>131</v>
      </c>
      <c r="AR198">
        <v>0.29299999999999998</v>
      </c>
      <c r="AS198" s="80">
        <f t="shared" si="28"/>
        <v>34.78</v>
      </c>
      <c r="AT198">
        <v>0</v>
      </c>
      <c r="AU198">
        <v>1</v>
      </c>
      <c r="AV198">
        <v>0</v>
      </c>
      <c r="AW198">
        <v>0</v>
      </c>
      <c r="AX198">
        <v>0</v>
      </c>
      <c r="AY198">
        <v>0</v>
      </c>
      <c r="AZ198" s="28">
        <v>0</v>
      </c>
      <c r="BA198">
        <v>0</v>
      </c>
      <c r="BB198">
        <v>0</v>
      </c>
      <c r="BC198" s="28">
        <v>1</v>
      </c>
      <c r="BD198">
        <v>1</v>
      </c>
      <c r="BE198">
        <v>0</v>
      </c>
      <c r="BF198">
        <v>0</v>
      </c>
      <c r="BG198">
        <v>1</v>
      </c>
      <c r="BH198">
        <v>0</v>
      </c>
      <c r="BI198">
        <v>0</v>
      </c>
      <c r="BJ198">
        <v>0</v>
      </c>
      <c r="BK198" s="16">
        <v>0</v>
      </c>
      <c r="BL198">
        <v>0</v>
      </c>
      <c r="BM198">
        <v>1</v>
      </c>
      <c r="BN198">
        <v>0</v>
      </c>
      <c r="BO198">
        <v>1</v>
      </c>
      <c r="BP198">
        <v>11</v>
      </c>
      <c r="BQ198" t="s">
        <v>34</v>
      </c>
    </row>
    <row r="199" spans="1:69" x14ac:dyDescent="0.25">
      <c r="A199">
        <v>198</v>
      </c>
      <c r="B199">
        <v>11</v>
      </c>
      <c r="C199" t="s">
        <v>256</v>
      </c>
      <c r="D199" s="79">
        <v>2.2000000000000002</v>
      </c>
      <c r="E199" s="6">
        <f t="shared" si="24"/>
        <v>1.1640211640211642</v>
      </c>
      <c r="F199" s="6">
        <v>1.89</v>
      </c>
      <c r="G199" s="78">
        <v>1</v>
      </c>
      <c r="H199" s="70">
        <v>0</v>
      </c>
      <c r="I199" s="70">
        <v>0</v>
      </c>
      <c r="J199" s="78">
        <v>488</v>
      </c>
      <c r="K199" s="70">
        <v>10</v>
      </c>
      <c r="L199" s="70">
        <f t="shared" si="31"/>
        <v>477</v>
      </c>
      <c r="M199" s="60">
        <f t="shared" si="32"/>
        <v>36</v>
      </c>
      <c r="N199" s="6">
        <f t="shared" si="25"/>
        <v>12.22</v>
      </c>
      <c r="O199" s="6">
        <f t="shared" si="26"/>
        <v>15.03</v>
      </c>
      <c r="P199" s="78">
        <v>1</v>
      </c>
      <c r="Q199" s="70">
        <v>0</v>
      </c>
      <c r="R199" s="78">
        <v>0</v>
      </c>
      <c r="S199" s="70">
        <v>0</v>
      </c>
      <c r="T199" s="70">
        <v>1</v>
      </c>
      <c r="U199" s="70">
        <v>1</v>
      </c>
      <c r="V199" s="70">
        <v>0</v>
      </c>
      <c r="W199" s="78">
        <v>1</v>
      </c>
      <c r="X199" s="70">
        <v>0</v>
      </c>
      <c r="Y199" s="69">
        <v>2002</v>
      </c>
      <c r="Z199" s="28" t="s">
        <v>45</v>
      </c>
      <c r="AA199" t="s">
        <v>45</v>
      </c>
      <c r="AB199" s="28">
        <v>0</v>
      </c>
      <c r="AC199">
        <v>1</v>
      </c>
      <c r="AD199" s="28">
        <v>0</v>
      </c>
      <c r="AE199">
        <v>1</v>
      </c>
      <c r="AF199">
        <v>0</v>
      </c>
      <c r="AG199">
        <v>1</v>
      </c>
      <c r="AH199" s="81">
        <f t="shared" si="27"/>
        <v>0.66</v>
      </c>
      <c r="AI199" s="82">
        <f t="shared" si="30"/>
        <v>0.33999999999999997</v>
      </c>
      <c r="AJ199">
        <v>1</v>
      </c>
      <c r="AK199">
        <v>0</v>
      </c>
      <c r="AL199">
        <f t="shared" si="29"/>
        <v>0</v>
      </c>
      <c r="AM199" s="62" t="s">
        <v>297</v>
      </c>
      <c r="AN199">
        <v>0</v>
      </c>
      <c r="AO199">
        <v>1</v>
      </c>
      <c r="AP199">
        <v>942</v>
      </c>
      <c r="AQ199">
        <v>131</v>
      </c>
      <c r="AR199">
        <v>0.29299999999999998</v>
      </c>
      <c r="AS199" s="80">
        <f t="shared" si="28"/>
        <v>34.78</v>
      </c>
      <c r="AT199">
        <v>0</v>
      </c>
      <c r="AU199">
        <v>0</v>
      </c>
      <c r="AV199">
        <v>0</v>
      </c>
      <c r="AW199">
        <v>0</v>
      </c>
      <c r="AX199">
        <v>0</v>
      </c>
      <c r="AY199">
        <v>1</v>
      </c>
      <c r="AZ199" s="28">
        <v>1</v>
      </c>
      <c r="BA199">
        <v>0</v>
      </c>
      <c r="BB199">
        <v>0</v>
      </c>
      <c r="BC199" s="28">
        <v>1</v>
      </c>
      <c r="BD199">
        <v>1</v>
      </c>
      <c r="BE199">
        <v>0</v>
      </c>
      <c r="BF199">
        <v>0</v>
      </c>
      <c r="BG199">
        <v>1</v>
      </c>
      <c r="BH199">
        <v>0</v>
      </c>
      <c r="BI199">
        <v>0</v>
      </c>
      <c r="BJ199">
        <v>0</v>
      </c>
      <c r="BK199" s="16">
        <v>0</v>
      </c>
      <c r="BL199">
        <v>0</v>
      </c>
      <c r="BM199">
        <v>1</v>
      </c>
      <c r="BN199">
        <v>0</v>
      </c>
      <c r="BO199">
        <v>1</v>
      </c>
      <c r="BP199">
        <v>11</v>
      </c>
      <c r="BQ199" t="s">
        <v>34</v>
      </c>
    </row>
    <row r="200" spans="1:69" x14ac:dyDescent="0.25">
      <c r="A200">
        <v>199</v>
      </c>
      <c r="B200">
        <v>11</v>
      </c>
      <c r="C200" t="s">
        <v>256</v>
      </c>
      <c r="D200" s="79">
        <v>7.7</v>
      </c>
      <c r="E200" s="6">
        <f t="shared" si="24"/>
        <v>0.61946902654867264</v>
      </c>
      <c r="F200" s="6">
        <v>12.43</v>
      </c>
      <c r="G200" s="78">
        <v>1</v>
      </c>
      <c r="H200" s="70">
        <v>0</v>
      </c>
      <c r="I200" s="70">
        <v>0</v>
      </c>
      <c r="J200" s="78">
        <v>488</v>
      </c>
      <c r="K200" s="70">
        <v>11</v>
      </c>
      <c r="L200" s="70">
        <f t="shared" si="31"/>
        <v>476</v>
      </c>
      <c r="M200" s="60">
        <f t="shared" si="32"/>
        <v>36</v>
      </c>
      <c r="N200" s="6">
        <f t="shared" si="25"/>
        <v>12.22</v>
      </c>
      <c r="O200" s="6">
        <f t="shared" si="26"/>
        <v>15.03</v>
      </c>
      <c r="P200" s="78">
        <v>1</v>
      </c>
      <c r="Q200" s="70">
        <v>0</v>
      </c>
      <c r="R200" s="78">
        <v>0</v>
      </c>
      <c r="S200" s="70">
        <v>0</v>
      </c>
      <c r="T200" s="70">
        <v>1</v>
      </c>
      <c r="U200" s="70">
        <v>1</v>
      </c>
      <c r="V200" s="70">
        <v>0</v>
      </c>
      <c r="W200" s="78">
        <v>1</v>
      </c>
      <c r="X200" s="70">
        <v>0</v>
      </c>
      <c r="Y200" s="69">
        <v>2002</v>
      </c>
      <c r="Z200" s="28" t="s">
        <v>45</v>
      </c>
      <c r="AA200" t="s">
        <v>45</v>
      </c>
      <c r="AB200" s="28">
        <v>0</v>
      </c>
      <c r="AC200">
        <v>1</v>
      </c>
      <c r="AD200" s="28">
        <v>0</v>
      </c>
      <c r="AE200">
        <v>1</v>
      </c>
      <c r="AF200">
        <v>0</v>
      </c>
      <c r="AG200">
        <v>1</v>
      </c>
      <c r="AH200" s="81">
        <f t="shared" si="27"/>
        <v>0.66</v>
      </c>
      <c r="AI200" s="82">
        <f t="shared" si="30"/>
        <v>0.33999999999999997</v>
      </c>
      <c r="AJ200">
        <v>1</v>
      </c>
      <c r="AK200">
        <v>0</v>
      </c>
      <c r="AL200">
        <f t="shared" si="29"/>
        <v>0</v>
      </c>
      <c r="AM200" s="62" t="s">
        <v>297</v>
      </c>
      <c r="AN200">
        <v>0</v>
      </c>
      <c r="AO200">
        <v>1</v>
      </c>
      <c r="AP200">
        <v>942</v>
      </c>
      <c r="AQ200">
        <v>131</v>
      </c>
      <c r="AR200">
        <v>0.29299999999999998</v>
      </c>
      <c r="AS200" s="80">
        <f t="shared" si="28"/>
        <v>34.78</v>
      </c>
      <c r="AT200">
        <v>0</v>
      </c>
      <c r="AU200">
        <v>1</v>
      </c>
      <c r="AV200">
        <v>0</v>
      </c>
      <c r="AW200">
        <v>0</v>
      </c>
      <c r="AX200">
        <v>0</v>
      </c>
      <c r="AY200">
        <v>0</v>
      </c>
      <c r="AZ200" s="28">
        <v>0</v>
      </c>
      <c r="BA200">
        <v>0</v>
      </c>
      <c r="BB200">
        <v>0</v>
      </c>
      <c r="BC200" s="28">
        <v>1</v>
      </c>
      <c r="BD200">
        <v>1</v>
      </c>
      <c r="BE200">
        <v>1</v>
      </c>
      <c r="BF200">
        <v>0</v>
      </c>
      <c r="BG200">
        <v>1</v>
      </c>
      <c r="BH200">
        <v>1</v>
      </c>
      <c r="BI200">
        <v>0</v>
      </c>
      <c r="BJ200">
        <v>0</v>
      </c>
      <c r="BK200" s="16">
        <v>0</v>
      </c>
      <c r="BL200">
        <v>0</v>
      </c>
      <c r="BM200">
        <v>1</v>
      </c>
      <c r="BN200">
        <v>0</v>
      </c>
      <c r="BO200">
        <v>1</v>
      </c>
      <c r="BP200">
        <v>11</v>
      </c>
      <c r="BQ200" t="s">
        <v>34</v>
      </c>
    </row>
    <row r="201" spans="1:69" x14ac:dyDescent="0.25">
      <c r="A201">
        <v>200</v>
      </c>
      <c r="B201">
        <v>11</v>
      </c>
      <c r="C201" t="s">
        <v>256</v>
      </c>
      <c r="D201" s="79">
        <v>2.7</v>
      </c>
      <c r="E201" s="6">
        <f t="shared" si="24"/>
        <v>1.2162162162162162</v>
      </c>
      <c r="F201" s="6">
        <v>2.2200000000000002</v>
      </c>
      <c r="G201" s="78">
        <v>1</v>
      </c>
      <c r="H201" s="70">
        <v>0</v>
      </c>
      <c r="I201" s="70">
        <v>0</v>
      </c>
      <c r="J201" s="78">
        <v>488</v>
      </c>
      <c r="K201" s="70">
        <v>11</v>
      </c>
      <c r="L201" s="70">
        <f t="shared" si="31"/>
        <v>476</v>
      </c>
      <c r="M201" s="60">
        <f t="shared" si="32"/>
        <v>36</v>
      </c>
      <c r="N201" s="6">
        <f t="shared" si="25"/>
        <v>12.22</v>
      </c>
      <c r="O201" s="6">
        <f t="shared" si="26"/>
        <v>15.03</v>
      </c>
      <c r="P201" s="78">
        <v>1</v>
      </c>
      <c r="Q201" s="70">
        <v>0</v>
      </c>
      <c r="R201" s="78">
        <v>0</v>
      </c>
      <c r="S201" s="70">
        <v>0</v>
      </c>
      <c r="T201" s="70">
        <v>1</v>
      </c>
      <c r="U201" s="70">
        <v>1</v>
      </c>
      <c r="V201" s="70">
        <v>0</v>
      </c>
      <c r="W201" s="78">
        <v>1</v>
      </c>
      <c r="X201" s="70">
        <v>0</v>
      </c>
      <c r="Y201" s="69">
        <v>2002</v>
      </c>
      <c r="Z201" s="28" t="s">
        <v>45</v>
      </c>
      <c r="AA201" t="s">
        <v>45</v>
      </c>
      <c r="AB201" s="28">
        <v>0</v>
      </c>
      <c r="AC201">
        <v>1</v>
      </c>
      <c r="AD201" s="28">
        <v>0</v>
      </c>
      <c r="AE201">
        <v>1</v>
      </c>
      <c r="AF201">
        <v>0</v>
      </c>
      <c r="AG201">
        <v>1</v>
      </c>
      <c r="AH201" s="81">
        <f t="shared" si="27"/>
        <v>0.66</v>
      </c>
      <c r="AI201" s="82">
        <f t="shared" si="30"/>
        <v>0.33999999999999997</v>
      </c>
      <c r="AJ201">
        <v>1</v>
      </c>
      <c r="AK201">
        <v>0</v>
      </c>
      <c r="AL201">
        <f t="shared" si="29"/>
        <v>0</v>
      </c>
      <c r="AM201" s="62" t="s">
        <v>297</v>
      </c>
      <c r="AN201">
        <v>0</v>
      </c>
      <c r="AO201">
        <v>1</v>
      </c>
      <c r="AP201">
        <v>942</v>
      </c>
      <c r="AQ201">
        <v>131</v>
      </c>
      <c r="AR201">
        <v>0.29299999999999998</v>
      </c>
      <c r="AS201" s="80">
        <f t="shared" si="28"/>
        <v>34.78</v>
      </c>
      <c r="AT201">
        <v>0</v>
      </c>
      <c r="AU201">
        <v>1</v>
      </c>
      <c r="AV201">
        <v>0</v>
      </c>
      <c r="AW201">
        <v>0</v>
      </c>
      <c r="AX201">
        <v>0</v>
      </c>
      <c r="AY201">
        <v>0</v>
      </c>
      <c r="AZ201" s="28">
        <v>0</v>
      </c>
      <c r="BA201">
        <v>0</v>
      </c>
      <c r="BB201">
        <v>0</v>
      </c>
      <c r="BC201" s="28">
        <v>1</v>
      </c>
      <c r="BD201">
        <v>1</v>
      </c>
      <c r="BE201">
        <v>1</v>
      </c>
      <c r="BF201">
        <v>0</v>
      </c>
      <c r="BG201">
        <v>1</v>
      </c>
      <c r="BH201">
        <v>1</v>
      </c>
      <c r="BI201">
        <v>0</v>
      </c>
      <c r="BJ201">
        <v>0</v>
      </c>
      <c r="BK201" s="16">
        <v>0</v>
      </c>
      <c r="BL201">
        <v>0</v>
      </c>
      <c r="BM201">
        <v>1</v>
      </c>
      <c r="BN201">
        <v>0</v>
      </c>
      <c r="BO201">
        <v>1</v>
      </c>
      <c r="BP201">
        <v>11</v>
      </c>
      <c r="BQ201" t="s">
        <v>34</v>
      </c>
    </row>
    <row r="202" spans="1:69" x14ac:dyDescent="0.25">
      <c r="A202">
        <v>201</v>
      </c>
      <c r="B202">
        <v>11</v>
      </c>
      <c r="C202" t="s">
        <v>256</v>
      </c>
      <c r="D202" s="79">
        <v>2.2999999999999998</v>
      </c>
      <c r="E202" s="6">
        <f t="shared" si="24"/>
        <v>1.1616161616161615</v>
      </c>
      <c r="F202" s="6">
        <v>1.98</v>
      </c>
      <c r="G202" s="78">
        <v>1</v>
      </c>
      <c r="H202" s="70">
        <v>0</v>
      </c>
      <c r="I202" s="70">
        <v>0</v>
      </c>
      <c r="J202" s="78">
        <v>488</v>
      </c>
      <c r="K202" s="70">
        <v>11</v>
      </c>
      <c r="L202" s="70">
        <f t="shared" si="31"/>
        <v>476</v>
      </c>
      <c r="M202" s="60">
        <f t="shared" si="32"/>
        <v>36</v>
      </c>
      <c r="N202" s="6">
        <f t="shared" si="25"/>
        <v>12.22</v>
      </c>
      <c r="O202" s="6">
        <f t="shared" si="26"/>
        <v>15.03</v>
      </c>
      <c r="P202" s="78">
        <v>1</v>
      </c>
      <c r="Q202" s="70">
        <v>0</v>
      </c>
      <c r="R202" s="78">
        <v>0</v>
      </c>
      <c r="S202" s="70">
        <v>0</v>
      </c>
      <c r="T202" s="70">
        <v>1</v>
      </c>
      <c r="U202" s="70">
        <v>1</v>
      </c>
      <c r="V202" s="70">
        <v>0</v>
      </c>
      <c r="W202" s="78">
        <v>1</v>
      </c>
      <c r="X202" s="70">
        <v>0</v>
      </c>
      <c r="Y202" s="69">
        <v>2002</v>
      </c>
      <c r="Z202" s="28" t="s">
        <v>45</v>
      </c>
      <c r="AA202" t="s">
        <v>45</v>
      </c>
      <c r="AB202" s="28">
        <v>0</v>
      </c>
      <c r="AC202">
        <v>1</v>
      </c>
      <c r="AD202" s="28">
        <v>0</v>
      </c>
      <c r="AE202">
        <v>1</v>
      </c>
      <c r="AF202">
        <v>0</v>
      </c>
      <c r="AG202">
        <v>1</v>
      </c>
      <c r="AH202" s="81">
        <f t="shared" si="27"/>
        <v>0.66</v>
      </c>
      <c r="AI202" s="82">
        <f t="shared" si="30"/>
        <v>0.33999999999999997</v>
      </c>
      <c r="AJ202">
        <v>1</v>
      </c>
      <c r="AK202">
        <v>0</v>
      </c>
      <c r="AL202">
        <f t="shared" si="29"/>
        <v>0</v>
      </c>
      <c r="AM202" s="62" t="s">
        <v>297</v>
      </c>
      <c r="AN202">
        <v>0</v>
      </c>
      <c r="AO202">
        <v>1</v>
      </c>
      <c r="AP202">
        <v>942</v>
      </c>
      <c r="AQ202">
        <v>131</v>
      </c>
      <c r="AR202">
        <v>0.29299999999999998</v>
      </c>
      <c r="AS202" s="80">
        <f t="shared" si="28"/>
        <v>34.78</v>
      </c>
      <c r="AT202">
        <v>0</v>
      </c>
      <c r="AU202">
        <v>0</v>
      </c>
      <c r="AV202">
        <v>0</v>
      </c>
      <c r="AW202">
        <v>0</v>
      </c>
      <c r="AX202">
        <v>0</v>
      </c>
      <c r="AY202">
        <v>1</v>
      </c>
      <c r="AZ202" s="28">
        <v>1</v>
      </c>
      <c r="BA202">
        <v>0</v>
      </c>
      <c r="BB202">
        <v>0</v>
      </c>
      <c r="BC202" s="28">
        <v>1</v>
      </c>
      <c r="BD202">
        <v>1</v>
      </c>
      <c r="BE202">
        <v>1</v>
      </c>
      <c r="BF202">
        <v>0</v>
      </c>
      <c r="BG202">
        <v>1</v>
      </c>
      <c r="BH202">
        <v>1</v>
      </c>
      <c r="BI202">
        <v>0</v>
      </c>
      <c r="BJ202">
        <v>0</v>
      </c>
      <c r="BK202" s="16">
        <v>0</v>
      </c>
      <c r="BL202">
        <v>0</v>
      </c>
      <c r="BM202">
        <v>1</v>
      </c>
      <c r="BN202">
        <v>0</v>
      </c>
      <c r="BO202">
        <v>1</v>
      </c>
      <c r="BP202">
        <v>11</v>
      </c>
      <c r="BQ202" t="s">
        <v>34</v>
      </c>
    </row>
    <row r="203" spans="1:69" x14ac:dyDescent="0.25">
      <c r="A203">
        <v>202</v>
      </c>
      <c r="B203">
        <v>12</v>
      </c>
      <c r="C203" t="s">
        <v>263</v>
      </c>
      <c r="D203" s="79">
        <v>6.5</v>
      </c>
      <c r="E203" s="6">
        <v>0.2</v>
      </c>
      <c r="F203" s="6">
        <f t="shared" ref="F203:F237" si="33">D203/E203</f>
        <v>32.5</v>
      </c>
      <c r="G203" s="78">
        <v>0</v>
      </c>
      <c r="H203" s="70">
        <v>0</v>
      </c>
      <c r="I203" s="70">
        <v>1</v>
      </c>
      <c r="J203" s="78">
        <v>2340</v>
      </c>
      <c r="K203" s="70">
        <v>5</v>
      </c>
      <c r="L203" s="70">
        <f t="shared" si="31"/>
        <v>2334</v>
      </c>
      <c r="M203" s="60">
        <f t="shared" si="32"/>
        <v>22</v>
      </c>
      <c r="N203" s="70">
        <v>12.513999999999999</v>
      </c>
      <c r="O203" s="70">
        <f t="shared" ref="O203:O234" si="34">AS203-N203-6</f>
        <v>18.317000000000004</v>
      </c>
      <c r="P203" s="78">
        <v>1</v>
      </c>
      <c r="Q203" s="70">
        <v>0</v>
      </c>
      <c r="R203" s="78">
        <v>0</v>
      </c>
      <c r="S203" s="70">
        <v>0</v>
      </c>
      <c r="T203" s="70">
        <v>1</v>
      </c>
      <c r="U203" s="70">
        <v>1</v>
      </c>
      <c r="V203" s="70">
        <v>0</v>
      </c>
      <c r="W203" s="78">
        <v>0</v>
      </c>
      <c r="X203" s="70">
        <v>1</v>
      </c>
      <c r="Y203" s="69">
        <v>1985</v>
      </c>
      <c r="Z203" s="28" t="s">
        <v>45</v>
      </c>
      <c r="AA203" t="s">
        <v>45</v>
      </c>
      <c r="AB203" s="28">
        <v>0.46800000000000003</v>
      </c>
      <c r="AC203">
        <f t="shared" ref="AC203:AC258" si="35">1-AB203</f>
        <v>0.53200000000000003</v>
      </c>
      <c r="AD203" s="28" t="s">
        <v>45</v>
      </c>
      <c r="AE203" t="s">
        <v>45</v>
      </c>
      <c r="AF203">
        <v>0</v>
      </c>
      <c r="AG203">
        <v>1</v>
      </c>
      <c r="AH203" s="83">
        <f>0.741*(AJ203+AK203)+0.674*AL203</f>
        <v>0.70750000000000002</v>
      </c>
      <c r="AI203" s="84">
        <f t="shared" si="30"/>
        <v>0.29249999999999998</v>
      </c>
      <c r="AJ203">
        <v>0.25</v>
      </c>
      <c r="AK203">
        <v>0.25</v>
      </c>
      <c r="AL203">
        <v>0.5</v>
      </c>
      <c r="AM203" s="28" t="s">
        <v>304</v>
      </c>
      <c r="AN203">
        <v>1</v>
      </c>
      <c r="AO203">
        <v>0</v>
      </c>
      <c r="AP203">
        <v>17464</v>
      </c>
      <c r="AQ203">
        <v>1807</v>
      </c>
      <c r="AR203">
        <v>0.92300000000000004</v>
      </c>
      <c r="AS203" s="64">
        <v>36.831000000000003</v>
      </c>
      <c r="AT203">
        <v>1</v>
      </c>
      <c r="AU203">
        <v>0</v>
      </c>
      <c r="AV203">
        <v>0</v>
      </c>
      <c r="AW203">
        <v>0</v>
      </c>
      <c r="AX203">
        <v>0</v>
      </c>
      <c r="AY203">
        <v>0</v>
      </c>
      <c r="AZ203" s="28">
        <v>0</v>
      </c>
      <c r="BA203">
        <v>0</v>
      </c>
      <c r="BB203">
        <v>0</v>
      </c>
      <c r="BC203" s="28">
        <v>1</v>
      </c>
      <c r="BD203">
        <v>0</v>
      </c>
      <c r="BE203">
        <v>0</v>
      </c>
      <c r="BF203">
        <v>0</v>
      </c>
      <c r="BG203">
        <v>1</v>
      </c>
      <c r="BH203">
        <v>1</v>
      </c>
      <c r="BI203">
        <v>0</v>
      </c>
      <c r="BJ203">
        <v>0</v>
      </c>
      <c r="BK203" s="16">
        <v>0</v>
      </c>
      <c r="BL203">
        <v>0.29799999999999999</v>
      </c>
      <c r="BM203">
        <v>19</v>
      </c>
      <c r="BN203">
        <v>1</v>
      </c>
      <c r="BO203">
        <v>0</v>
      </c>
      <c r="BP203">
        <v>10</v>
      </c>
      <c r="BQ203" t="s">
        <v>34</v>
      </c>
    </row>
    <row r="204" spans="1:69" x14ac:dyDescent="0.25">
      <c r="A204">
        <v>203</v>
      </c>
      <c r="B204">
        <v>12</v>
      </c>
      <c r="C204" t="s">
        <v>263</v>
      </c>
      <c r="D204" s="79">
        <v>7.6</v>
      </c>
      <c r="E204" s="6">
        <v>0.2</v>
      </c>
      <c r="F204" s="6">
        <f t="shared" si="33"/>
        <v>37.999999999999993</v>
      </c>
      <c r="G204" s="78">
        <v>0</v>
      </c>
      <c r="H204" s="70">
        <v>0</v>
      </c>
      <c r="I204" s="70">
        <v>1</v>
      </c>
      <c r="J204" s="78">
        <v>2340</v>
      </c>
      <c r="K204" s="70">
        <v>5</v>
      </c>
      <c r="L204" s="70">
        <f t="shared" si="31"/>
        <v>2334</v>
      </c>
      <c r="M204" s="60">
        <f t="shared" si="32"/>
        <v>22</v>
      </c>
      <c r="N204" s="70">
        <v>12.513999999999999</v>
      </c>
      <c r="O204" s="70">
        <f t="shared" si="34"/>
        <v>18.317000000000004</v>
      </c>
      <c r="P204" s="78">
        <v>1</v>
      </c>
      <c r="Q204" s="70">
        <v>0</v>
      </c>
      <c r="R204" s="78">
        <v>0</v>
      </c>
      <c r="S204" s="70">
        <v>0</v>
      </c>
      <c r="T204" s="70">
        <v>1</v>
      </c>
      <c r="U204" s="70">
        <v>1</v>
      </c>
      <c r="V204" s="70">
        <v>0</v>
      </c>
      <c r="W204" s="78">
        <v>0</v>
      </c>
      <c r="X204" s="70">
        <v>1</v>
      </c>
      <c r="Y204" s="69">
        <v>1985</v>
      </c>
      <c r="Z204" s="28" t="s">
        <v>45</v>
      </c>
      <c r="AA204" t="s">
        <v>45</v>
      </c>
      <c r="AB204" s="28">
        <v>0.46800000000000003</v>
      </c>
      <c r="AC204">
        <f t="shared" si="35"/>
        <v>0.53200000000000003</v>
      </c>
      <c r="AD204" s="28" t="s">
        <v>45</v>
      </c>
      <c r="AE204" t="s">
        <v>45</v>
      </c>
      <c r="AF204">
        <v>0</v>
      </c>
      <c r="AG204">
        <v>1</v>
      </c>
      <c r="AH204" s="83">
        <f>0.741*(AJ204+AK204)+0.674*AL204</f>
        <v>0.70750000000000002</v>
      </c>
      <c r="AI204" s="84">
        <f t="shared" si="30"/>
        <v>0.29249999999999998</v>
      </c>
      <c r="AJ204">
        <v>0.25</v>
      </c>
      <c r="AK204">
        <v>0.25</v>
      </c>
      <c r="AL204">
        <v>0.5</v>
      </c>
      <c r="AM204" s="28" t="s">
        <v>304</v>
      </c>
      <c r="AN204">
        <v>1</v>
      </c>
      <c r="AO204">
        <v>0</v>
      </c>
      <c r="AP204">
        <v>17464</v>
      </c>
      <c r="AQ204">
        <v>1807</v>
      </c>
      <c r="AR204">
        <v>0.92300000000000004</v>
      </c>
      <c r="AS204" s="64">
        <v>36.831000000000003</v>
      </c>
      <c r="AT204">
        <v>0</v>
      </c>
      <c r="AU204">
        <v>0</v>
      </c>
      <c r="AV204">
        <v>0</v>
      </c>
      <c r="AW204">
        <v>0</v>
      </c>
      <c r="AX204">
        <v>0</v>
      </c>
      <c r="AY204">
        <v>1</v>
      </c>
      <c r="AZ204" s="28">
        <v>1</v>
      </c>
      <c r="BA204">
        <v>0</v>
      </c>
      <c r="BB204">
        <v>0</v>
      </c>
      <c r="BC204" s="28">
        <v>1</v>
      </c>
      <c r="BD204">
        <v>0</v>
      </c>
      <c r="BE204">
        <v>0</v>
      </c>
      <c r="BF204">
        <v>0</v>
      </c>
      <c r="BG204">
        <v>1</v>
      </c>
      <c r="BH204">
        <v>1</v>
      </c>
      <c r="BI204">
        <v>0</v>
      </c>
      <c r="BJ204">
        <v>0</v>
      </c>
      <c r="BK204" s="16">
        <v>0</v>
      </c>
      <c r="BL204">
        <v>0.29799999999999999</v>
      </c>
      <c r="BM204">
        <v>19</v>
      </c>
      <c r="BN204">
        <v>1</v>
      </c>
      <c r="BO204">
        <v>0</v>
      </c>
      <c r="BP204">
        <v>10</v>
      </c>
      <c r="BQ204" t="s">
        <v>34</v>
      </c>
    </row>
    <row r="205" spans="1:69" x14ac:dyDescent="0.25">
      <c r="A205">
        <v>204</v>
      </c>
      <c r="B205">
        <v>12</v>
      </c>
      <c r="C205" t="s">
        <v>263</v>
      </c>
      <c r="D205" s="79">
        <v>2.5</v>
      </c>
      <c r="E205" s="6">
        <v>0.5</v>
      </c>
      <c r="F205" s="6">
        <f t="shared" si="33"/>
        <v>5</v>
      </c>
      <c r="G205" s="78">
        <v>0</v>
      </c>
      <c r="H205" s="70">
        <v>0</v>
      </c>
      <c r="I205" s="70">
        <v>1</v>
      </c>
      <c r="J205" s="78">
        <v>602</v>
      </c>
      <c r="K205" s="70">
        <v>5</v>
      </c>
      <c r="L205" s="70">
        <f t="shared" si="31"/>
        <v>596</v>
      </c>
      <c r="M205" s="60">
        <f t="shared" si="32"/>
        <v>22</v>
      </c>
      <c r="N205" s="70">
        <v>12.513999999999999</v>
      </c>
      <c r="O205" s="70">
        <f t="shared" si="34"/>
        <v>18.317000000000004</v>
      </c>
      <c r="P205" s="78">
        <v>1</v>
      </c>
      <c r="Q205" s="70">
        <v>0</v>
      </c>
      <c r="R205" s="78">
        <v>0</v>
      </c>
      <c r="S205" s="70">
        <v>0</v>
      </c>
      <c r="T205" s="70">
        <v>1</v>
      </c>
      <c r="U205" s="70">
        <v>1</v>
      </c>
      <c r="V205" s="70">
        <v>0</v>
      </c>
      <c r="W205" s="78">
        <v>0</v>
      </c>
      <c r="X205" s="70">
        <v>1</v>
      </c>
      <c r="Y205" s="69">
        <v>1985</v>
      </c>
      <c r="Z205" s="28" t="s">
        <v>45</v>
      </c>
      <c r="AA205" t="s">
        <v>45</v>
      </c>
      <c r="AB205" s="28">
        <v>0.46800000000000003</v>
      </c>
      <c r="AC205">
        <f t="shared" si="35"/>
        <v>0.53200000000000003</v>
      </c>
      <c r="AD205" s="28" t="s">
        <v>45</v>
      </c>
      <c r="AE205" t="s">
        <v>45</v>
      </c>
      <c r="AF205">
        <v>0</v>
      </c>
      <c r="AG205">
        <v>1</v>
      </c>
      <c r="AH205" s="28">
        <v>0.75900000000000001</v>
      </c>
      <c r="AI205" s="12">
        <f t="shared" si="30"/>
        <v>0.24099999999999999</v>
      </c>
      <c r="AJ205">
        <v>1</v>
      </c>
      <c r="AK205">
        <v>0</v>
      </c>
      <c r="AL205">
        <v>0</v>
      </c>
      <c r="AM205" s="28" t="s">
        <v>304</v>
      </c>
      <c r="AN205">
        <v>1</v>
      </c>
      <c r="AO205">
        <v>0</v>
      </c>
      <c r="AP205">
        <v>17464</v>
      </c>
      <c r="AQ205">
        <v>1807</v>
      </c>
      <c r="AR205">
        <v>0.92300000000000004</v>
      </c>
      <c r="AS205" s="64">
        <v>36.831000000000003</v>
      </c>
      <c r="AT205">
        <v>1</v>
      </c>
      <c r="AU205">
        <v>0</v>
      </c>
      <c r="AV205">
        <v>0</v>
      </c>
      <c r="AW205">
        <v>0</v>
      </c>
      <c r="AX205">
        <v>0</v>
      </c>
      <c r="AY205">
        <v>0</v>
      </c>
      <c r="AZ205" s="28">
        <v>0</v>
      </c>
      <c r="BA205">
        <v>0</v>
      </c>
      <c r="BB205">
        <v>0</v>
      </c>
      <c r="BC205" s="28">
        <v>1</v>
      </c>
      <c r="BD205">
        <v>0</v>
      </c>
      <c r="BE205">
        <v>0</v>
      </c>
      <c r="BF205">
        <v>0</v>
      </c>
      <c r="BG205">
        <v>1</v>
      </c>
      <c r="BH205">
        <v>1</v>
      </c>
      <c r="BI205">
        <v>0</v>
      </c>
      <c r="BJ205">
        <v>0</v>
      </c>
      <c r="BK205" s="16">
        <v>0</v>
      </c>
      <c r="BL205">
        <v>0.29799999999999999</v>
      </c>
      <c r="BM205">
        <v>19</v>
      </c>
      <c r="BN205">
        <v>1</v>
      </c>
      <c r="BO205">
        <v>0</v>
      </c>
      <c r="BP205">
        <v>10</v>
      </c>
      <c r="BQ205" t="s">
        <v>34</v>
      </c>
    </row>
    <row r="206" spans="1:69" x14ac:dyDescent="0.25">
      <c r="A206">
        <v>205</v>
      </c>
      <c r="B206">
        <v>12</v>
      </c>
      <c r="C206" t="s">
        <v>263</v>
      </c>
      <c r="D206" s="79">
        <v>4.5</v>
      </c>
      <c r="E206" s="6">
        <v>0.9</v>
      </c>
      <c r="F206" s="6">
        <f t="shared" si="33"/>
        <v>5</v>
      </c>
      <c r="G206" s="78">
        <v>0</v>
      </c>
      <c r="H206" s="70">
        <v>0</v>
      </c>
      <c r="I206" s="70">
        <v>1</v>
      </c>
      <c r="J206" s="78">
        <v>602</v>
      </c>
      <c r="K206" s="70">
        <v>5</v>
      </c>
      <c r="L206" s="70">
        <f t="shared" si="31"/>
        <v>596</v>
      </c>
      <c r="M206" s="60">
        <f t="shared" si="32"/>
        <v>22</v>
      </c>
      <c r="N206" s="70">
        <v>12.513999999999999</v>
      </c>
      <c r="O206" s="70">
        <f t="shared" si="34"/>
        <v>18.317000000000004</v>
      </c>
      <c r="P206" s="78">
        <v>1</v>
      </c>
      <c r="Q206" s="70">
        <v>0</v>
      </c>
      <c r="R206" s="78">
        <v>0</v>
      </c>
      <c r="S206" s="70">
        <v>0</v>
      </c>
      <c r="T206" s="70">
        <v>1</v>
      </c>
      <c r="U206" s="70">
        <v>1</v>
      </c>
      <c r="V206" s="70">
        <v>0</v>
      </c>
      <c r="W206" s="78">
        <v>0</v>
      </c>
      <c r="X206" s="70">
        <v>1</v>
      </c>
      <c r="Y206" s="69">
        <v>1985</v>
      </c>
      <c r="Z206" s="28" t="s">
        <v>45</v>
      </c>
      <c r="AA206" t="s">
        <v>45</v>
      </c>
      <c r="AB206" s="28">
        <v>0.46800000000000003</v>
      </c>
      <c r="AC206">
        <f t="shared" si="35"/>
        <v>0.53200000000000003</v>
      </c>
      <c r="AD206" s="28" t="s">
        <v>45</v>
      </c>
      <c r="AE206" t="s">
        <v>45</v>
      </c>
      <c r="AF206">
        <v>0</v>
      </c>
      <c r="AG206">
        <v>1</v>
      </c>
      <c r="AH206" s="28">
        <v>0.75900000000000001</v>
      </c>
      <c r="AI206" s="12">
        <f t="shared" si="30"/>
        <v>0.24099999999999999</v>
      </c>
      <c r="AJ206">
        <v>1</v>
      </c>
      <c r="AK206">
        <v>0</v>
      </c>
      <c r="AL206">
        <v>0</v>
      </c>
      <c r="AM206" s="28" t="s">
        <v>304</v>
      </c>
      <c r="AN206">
        <v>1</v>
      </c>
      <c r="AO206">
        <v>0</v>
      </c>
      <c r="AP206">
        <v>17464</v>
      </c>
      <c r="AQ206">
        <v>1807</v>
      </c>
      <c r="AR206">
        <v>0.92300000000000004</v>
      </c>
      <c r="AS206" s="64">
        <v>36.831000000000003</v>
      </c>
      <c r="AT206">
        <v>0</v>
      </c>
      <c r="AU206">
        <v>0</v>
      </c>
      <c r="AV206">
        <v>0</v>
      </c>
      <c r="AW206">
        <v>0</v>
      </c>
      <c r="AX206">
        <v>0</v>
      </c>
      <c r="AY206">
        <v>1</v>
      </c>
      <c r="AZ206" s="28">
        <v>1</v>
      </c>
      <c r="BA206">
        <v>0</v>
      </c>
      <c r="BB206">
        <v>0</v>
      </c>
      <c r="BC206" s="28">
        <v>1</v>
      </c>
      <c r="BD206">
        <v>0</v>
      </c>
      <c r="BE206">
        <v>0</v>
      </c>
      <c r="BF206">
        <v>0</v>
      </c>
      <c r="BG206">
        <v>1</v>
      </c>
      <c r="BH206">
        <v>1</v>
      </c>
      <c r="BI206">
        <v>0</v>
      </c>
      <c r="BJ206">
        <v>0</v>
      </c>
      <c r="BK206" s="16">
        <v>0</v>
      </c>
      <c r="BL206">
        <v>0.29799999999999999</v>
      </c>
      <c r="BM206">
        <v>19</v>
      </c>
      <c r="BN206">
        <v>1</v>
      </c>
      <c r="BO206">
        <v>0</v>
      </c>
      <c r="BP206">
        <v>10</v>
      </c>
      <c r="BQ206" t="s">
        <v>34</v>
      </c>
    </row>
    <row r="207" spans="1:69" x14ac:dyDescent="0.25">
      <c r="A207">
        <v>206</v>
      </c>
      <c r="B207">
        <v>12</v>
      </c>
      <c r="C207" t="s">
        <v>263</v>
      </c>
      <c r="D207" s="79">
        <v>4.5</v>
      </c>
      <c r="E207" s="6">
        <v>0.5</v>
      </c>
      <c r="F207" s="6">
        <f t="shared" si="33"/>
        <v>9</v>
      </c>
      <c r="G207" s="78">
        <v>0</v>
      </c>
      <c r="H207" s="70">
        <v>0</v>
      </c>
      <c r="I207" s="70">
        <v>1</v>
      </c>
      <c r="J207" s="78">
        <v>568</v>
      </c>
      <c r="K207" s="70">
        <v>5</v>
      </c>
      <c r="L207" s="70">
        <f t="shared" si="31"/>
        <v>562</v>
      </c>
      <c r="M207" s="60">
        <f t="shared" si="32"/>
        <v>22</v>
      </c>
      <c r="N207" s="70">
        <v>12.695</v>
      </c>
      <c r="O207" s="70">
        <f t="shared" si="34"/>
        <v>16.643000000000001</v>
      </c>
      <c r="P207" s="78">
        <v>1</v>
      </c>
      <c r="Q207" s="70">
        <v>0</v>
      </c>
      <c r="R207" s="78">
        <v>0</v>
      </c>
      <c r="S207" s="70">
        <v>0</v>
      </c>
      <c r="T207" s="70">
        <v>1</v>
      </c>
      <c r="U207" s="70">
        <v>1</v>
      </c>
      <c r="V207" s="70">
        <v>0</v>
      </c>
      <c r="W207" s="78">
        <v>0</v>
      </c>
      <c r="X207" s="70">
        <v>1</v>
      </c>
      <c r="Y207" s="69">
        <v>1985</v>
      </c>
      <c r="Z207" s="28" t="s">
        <v>45</v>
      </c>
      <c r="AA207" t="s">
        <v>45</v>
      </c>
      <c r="AB207" s="28">
        <v>0.505</v>
      </c>
      <c r="AC207">
        <f t="shared" si="35"/>
        <v>0.495</v>
      </c>
      <c r="AD207" s="28" t="s">
        <v>45</v>
      </c>
      <c r="AE207" t="s">
        <v>45</v>
      </c>
      <c r="AF207">
        <v>0</v>
      </c>
      <c r="AG207">
        <v>1</v>
      </c>
      <c r="AH207" s="28">
        <v>0.72199999999999998</v>
      </c>
      <c r="AI207" s="12">
        <f t="shared" si="30"/>
        <v>0.27800000000000002</v>
      </c>
      <c r="AJ207">
        <v>0</v>
      </c>
      <c r="AK207">
        <v>1</v>
      </c>
      <c r="AL207">
        <v>0</v>
      </c>
      <c r="AM207" s="28" t="s">
        <v>304</v>
      </c>
      <c r="AN207">
        <v>1</v>
      </c>
      <c r="AO207">
        <v>0</v>
      </c>
      <c r="AP207">
        <v>17464</v>
      </c>
      <c r="AQ207">
        <v>1807</v>
      </c>
      <c r="AR207">
        <v>0.92300000000000004</v>
      </c>
      <c r="AS207" s="64">
        <v>35.338000000000001</v>
      </c>
      <c r="AT207">
        <v>1</v>
      </c>
      <c r="AU207">
        <v>0</v>
      </c>
      <c r="AV207">
        <v>0</v>
      </c>
      <c r="AW207">
        <v>0</v>
      </c>
      <c r="AX207">
        <v>0</v>
      </c>
      <c r="AY207">
        <v>0</v>
      </c>
      <c r="AZ207" s="28">
        <v>0</v>
      </c>
      <c r="BA207">
        <v>0</v>
      </c>
      <c r="BB207">
        <v>0</v>
      </c>
      <c r="BC207" s="28">
        <v>1</v>
      </c>
      <c r="BD207">
        <v>0</v>
      </c>
      <c r="BE207">
        <v>0</v>
      </c>
      <c r="BF207">
        <v>0</v>
      </c>
      <c r="BG207">
        <v>1</v>
      </c>
      <c r="BH207">
        <v>1</v>
      </c>
      <c r="BI207">
        <v>0</v>
      </c>
      <c r="BJ207">
        <v>0</v>
      </c>
      <c r="BK207" s="16">
        <v>0</v>
      </c>
      <c r="BL207">
        <v>0.29799999999999999</v>
      </c>
      <c r="BM207">
        <v>19</v>
      </c>
      <c r="BN207">
        <v>1</v>
      </c>
      <c r="BO207">
        <v>0</v>
      </c>
      <c r="BP207">
        <v>10</v>
      </c>
      <c r="BQ207" t="s">
        <v>34</v>
      </c>
    </row>
    <row r="208" spans="1:69" x14ac:dyDescent="0.25">
      <c r="A208">
        <v>207</v>
      </c>
      <c r="B208">
        <v>12</v>
      </c>
      <c r="C208" t="s">
        <v>263</v>
      </c>
      <c r="D208" s="79">
        <v>7.4</v>
      </c>
      <c r="E208" s="6">
        <v>0.9</v>
      </c>
      <c r="F208" s="6">
        <f t="shared" si="33"/>
        <v>8.2222222222222232</v>
      </c>
      <c r="G208" s="78">
        <v>0</v>
      </c>
      <c r="H208" s="70">
        <v>0</v>
      </c>
      <c r="I208" s="70">
        <v>1</v>
      </c>
      <c r="J208" s="78">
        <v>568</v>
      </c>
      <c r="K208" s="70">
        <v>5</v>
      </c>
      <c r="L208" s="70">
        <f t="shared" si="31"/>
        <v>562</v>
      </c>
      <c r="M208" s="60">
        <f t="shared" si="32"/>
        <v>22</v>
      </c>
      <c r="N208" s="70">
        <v>12.695</v>
      </c>
      <c r="O208" s="70">
        <f t="shared" si="34"/>
        <v>16.643000000000001</v>
      </c>
      <c r="P208" s="78">
        <v>1</v>
      </c>
      <c r="Q208" s="70">
        <v>0</v>
      </c>
      <c r="R208" s="78">
        <v>0</v>
      </c>
      <c r="S208" s="70">
        <v>0</v>
      </c>
      <c r="T208" s="70">
        <v>1</v>
      </c>
      <c r="U208" s="70">
        <v>1</v>
      </c>
      <c r="V208" s="70">
        <v>0</v>
      </c>
      <c r="W208" s="78">
        <v>0</v>
      </c>
      <c r="X208" s="70">
        <v>1</v>
      </c>
      <c r="Y208" s="69">
        <v>1985</v>
      </c>
      <c r="Z208" s="28" t="s">
        <v>45</v>
      </c>
      <c r="AA208" t="s">
        <v>45</v>
      </c>
      <c r="AB208" s="28">
        <v>0.505</v>
      </c>
      <c r="AC208">
        <f t="shared" si="35"/>
        <v>0.495</v>
      </c>
      <c r="AD208" s="28" t="s">
        <v>45</v>
      </c>
      <c r="AE208" t="s">
        <v>45</v>
      </c>
      <c r="AF208">
        <v>0</v>
      </c>
      <c r="AG208">
        <v>1</v>
      </c>
      <c r="AH208" s="28">
        <v>0.72199999999999998</v>
      </c>
      <c r="AI208" s="12">
        <f t="shared" si="30"/>
        <v>0.27800000000000002</v>
      </c>
      <c r="AJ208">
        <v>0</v>
      </c>
      <c r="AK208">
        <v>1</v>
      </c>
      <c r="AL208">
        <v>0</v>
      </c>
      <c r="AM208" s="28" t="s">
        <v>304</v>
      </c>
      <c r="AN208">
        <v>1</v>
      </c>
      <c r="AO208">
        <v>0</v>
      </c>
      <c r="AP208">
        <v>17464</v>
      </c>
      <c r="AQ208">
        <v>1807</v>
      </c>
      <c r="AR208">
        <v>0.92300000000000004</v>
      </c>
      <c r="AS208" s="64">
        <v>35.338000000000001</v>
      </c>
      <c r="AT208">
        <v>0</v>
      </c>
      <c r="AU208">
        <v>0</v>
      </c>
      <c r="AV208">
        <v>0</v>
      </c>
      <c r="AW208">
        <v>0</v>
      </c>
      <c r="AX208">
        <v>0</v>
      </c>
      <c r="AY208">
        <v>1</v>
      </c>
      <c r="AZ208" s="28">
        <v>1</v>
      </c>
      <c r="BA208">
        <v>0</v>
      </c>
      <c r="BB208">
        <v>0</v>
      </c>
      <c r="BC208" s="28">
        <v>1</v>
      </c>
      <c r="BD208">
        <v>0</v>
      </c>
      <c r="BE208">
        <v>0</v>
      </c>
      <c r="BF208">
        <v>0</v>
      </c>
      <c r="BG208">
        <v>1</v>
      </c>
      <c r="BH208">
        <v>1</v>
      </c>
      <c r="BI208">
        <v>0</v>
      </c>
      <c r="BJ208">
        <v>0</v>
      </c>
      <c r="BK208" s="16">
        <v>0</v>
      </c>
      <c r="BL208">
        <v>0.29799999999999999</v>
      </c>
      <c r="BM208">
        <v>19</v>
      </c>
      <c r="BN208">
        <v>1</v>
      </c>
      <c r="BO208">
        <v>0</v>
      </c>
      <c r="BP208">
        <v>10</v>
      </c>
      <c r="BQ208" t="s">
        <v>34</v>
      </c>
    </row>
    <row r="209" spans="1:69" x14ac:dyDescent="0.25">
      <c r="A209">
        <v>208</v>
      </c>
      <c r="B209">
        <v>12</v>
      </c>
      <c r="C209" t="s">
        <v>263</v>
      </c>
      <c r="D209" s="79">
        <v>4.2</v>
      </c>
      <c r="E209" s="6">
        <v>0.9</v>
      </c>
      <c r="F209" s="6">
        <f t="shared" si="33"/>
        <v>4.666666666666667</v>
      </c>
      <c r="G209" s="78">
        <v>0</v>
      </c>
      <c r="H209" s="70">
        <v>0</v>
      </c>
      <c r="I209" s="70">
        <v>1</v>
      </c>
      <c r="J209" s="78">
        <v>602</v>
      </c>
      <c r="K209" s="70">
        <v>5</v>
      </c>
      <c r="L209" s="70">
        <f t="shared" si="31"/>
        <v>596</v>
      </c>
      <c r="M209" s="60">
        <f t="shared" si="32"/>
        <v>22</v>
      </c>
      <c r="N209" s="70">
        <v>12.513999999999999</v>
      </c>
      <c r="O209" s="70">
        <f t="shared" si="34"/>
        <v>18.317000000000004</v>
      </c>
      <c r="P209" s="78">
        <v>1</v>
      </c>
      <c r="Q209" s="70">
        <v>0</v>
      </c>
      <c r="R209" s="78">
        <v>0</v>
      </c>
      <c r="S209" s="70">
        <v>0</v>
      </c>
      <c r="T209" s="70">
        <v>1</v>
      </c>
      <c r="U209" s="70">
        <v>1</v>
      </c>
      <c r="V209" s="70">
        <v>0</v>
      </c>
      <c r="W209" s="78">
        <v>0</v>
      </c>
      <c r="X209" s="70">
        <v>1</v>
      </c>
      <c r="Y209" s="69">
        <v>1985</v>
      </c>
      <c r="Z209" s="28" t="s">
        <v>45</v>
      </c>
      <c r="AA209" t="s">
        <v>45</v>
      </c>
      <c r="AB209" s="28">
        <v>0.46800000000000003</v>
      </c>
      <c r="AC209">
        <f t="shared" si="35"/>
        <v>0.53200000000000003</v>
      </c>
      <c r="AD209" s="28" t="s">
        <v>45</v>
      </c>
      <c r="AE209" t="s">
        <v>45</v>
      </c>
      <c r="AF209">
        <v>0</v>
      </c>
      <c r="AG209">
        <v>1</v>
      </c>
      <c r="AH209" s="28">
        <v>0.75900000000000001</v>
      </c>
      <c r="AI209" s="12">
        <f t="shared" si="30"/>
        <v>0.24099999999999999</v>
      </c>
      <c r="AJ209">
        <v>1</v>
      </c>
      <c r="AK209">
        <v>0</v>
      </c>
      <c r="AL209">
        <v>0</v>
      </c>
      <c r="AM209" s="28" t="s">
        <v>304</v>
      </c>
      <c r="AN209">
        <v>1</v>
      </c>
      <c r="AO209">
        <v>0</v>
      </c>
      <c r="AP209">
        <v>17464</v>
      </c>
      <c r="AQ209">
        <v>1807</v>
      </c>
      <c r="AR209">
        <v>0.92300000000000004</v>
      </c>
      <c r="AS209" s="64">
        <v>36.831000000000003</v>
      </c>
      <c r="AT209">
        <v>1</v>
      </c>
      <c r="AU209">
        <v>0</v>
      </c>
      <c r="AV209">
        <v>0</v>
      </c>
      <c r="AW209">
        <v>0</v>
      </c>
      <c r="AX209">
        <v>0</v>
      </c>
      <c r="AY209">
        <v>0</v>
      </c>
      <c r="AZ209" s="28">
        <v>0</v>
      </c>
      <c r="BA209">
        <v>0</v>
      </c>
      <c r="BB209">
        <v>0</v>
      </c>
      <c r="BC209" s="28">
        <v>1</v>
      </c>
      <c r="BD209">
        <v>0</v>
      </c>
      <c r="BE209">
        <v>0</v>
      </c>
      <c r="BF209">
        <v>0</v>
      </c>
      <c r="BG209">
        <v>1</v>
      </c>
      <c r="BH209">
        <v>1</v>
      </c>
      <c r="BI209">
        <v>0</v>
      </c>
      <c r="BJ209">
        <v>0</v>
      </c>
      <c r="BK209" s="16">
        <v>0</v>
      </c>
      <c r="BL209">
        <v>0.29799999999999999</v>
      </c>
      <c r="BM209">
        <v>19</v>
      </c>
      <c r="BN209">
        <v>1</v>
      </c>
      <c r="BO209">
        <v>0</v>
      </c>
      <c r="BP209">
        <v>10</v>
      </c>
      <c r="BQ209" t="s">
        <v>34</v>
      </c>
    </row>
    <row r="210" spans="1:69" x14ac:dyDescent="0.25">
      <c r="A210">
        <v>209</v>
      </c>
      <c r="B210">
        <v>12</v>
      </c>
      <c r="C210" t="s">
        <v>263</v>
      </c>
      <c r="D210" s="79">
        <v>1.5</v>
      </c>
      <c r="E210" s="6">
        <v>0.6</v>
      </c>
      <c r="F210" s="6">
        <f t="shared" si="33"/>
        <v>2.5</v>
      </c>
      <c r="G210" s="78">
        <v>0</v>
      </c>
      <c r="H210" s="70">
        <v>0</v>
      </c>
      <c r="I210" s="70">
        <v>1</v>
      </c>
      <c r="J210" s="78">
        <v>602</v>
      </c>
      <c r="K210" s="70">
        <v>5</v>
      </c>
      <c r="L210" s="70">
        <f t="shared" si="31"/>
        <v>596</v>
      </c>
      <c r="M210" s="60">
        <f t="shared" si="32"/>
        <v>22</v>
      </c>
      <c r="N210" s="70">
        <v>12.513999999999999</v>
      </c>
      <c r="O210" s="70">
        <f t="shared" si="34"/>
        <v>18.317000000000004</v>
      </c>
      <c r="P210" s="78">
        <v>1</v>
      </c>
      <c r="Q210" s="70">
        <v>0</v>
      </c>
      <c r="R210" s="78">
        <v>0</v>
      </c>
      <c r="S210" s="70">
        <v>0</v>
      </c>
      <c r="T210" s="70">
        <v>1</v>
      </c>
      <c r="U210" s="70">
        <v>1</v>
      </c>
      <c r="V210" s="70">
        <v>0</v>
      </c>
      <c r="W210" s="78">
        <v>0</v>
      </c>
      <c r="X210" s="70">
        <v>1</v>
      </c>
      <c r="Y210" s="69">
        <v>1985</v>
      </c>
      <c r="Z210" s="28" t="s">
        <v>45</v>
      </c>
      <c r="AA210" t="s">
        <v>45</v>
      </c>
      <c r="AB210" s="28">
        <v>0.46800000000000003</v>
      </c>
      <c r="AC210">
        <f t="shared" si="35"/>
        <v>0.53200000000000003</v>
      </c>
      <c r="AD210" s="28" t="s">
        <v>45</v>
      </c>
      <c r="AE210" t="s">
        <v>45</v>
      </c>
      <c r="AF210">
        <v>0</v>
      </c>
      <c r="AG210">
        <v>1</v>
      </c>
      <c r="AH210" s="28">
        <v>0.75900000000000001</v>
      </c>
      <c r="AI210" s="12">
        <f t="shared" si="30"/>
        <v>0.24099999999999999</v>
      </c>
      <c r="AJ210">
        <v>1</v>
      </c>
      <c r="AK210">
        <v>0</v>
      </c>
      <c r="AL210">
        <v>0</v>
      </c>
      <c r="AM210" s="28" t="s">
        <v>304</v>
      </c>
      <c r="AN210">
        <v>1</v>
      </c>
      <c r="AO210">
        <v>0</v>
      </c>
      <c r="AP210">
        <v>17464</v>
      </c>
      <c r="AQ210">
        <v>1807</v>
      </c>
      <c r="AR210">
        <v>0.92300000000000004</v>
      </c>
      <c r="AS210" s="64">
        <v>36.831000000000003</v>
      </c>
      <c r="AT210">
        <v>1</v>
      </c>
      <c r="AU210">
        <v>0</v>
      </c>
      <c r="AV210">
        <v>0</v>
      </c>
      <c r="AW210">
        <v>0</v>
      </c>
      <c r="AX210">
        <v>0</v>
      </c>
      <c r="AY210">
        <v>0</v>
      </c>
      <c r="AZ210" s="28">
        <v>0</v>
      </c>
      <c r="BA210">
        <v>0</v>
      </c>
      <c r="BB210">
        <v>0</v>
      </c>
      <c r="BC210" s="28">
        <v>1</v>
      </c>
      <c r="BD210">
        <v>0</v>
      </c>
      <c r="BE210">
        <v>0</v>
      </c>
      <c r="BF210">
        <v>0</v>
      </c>
      <c r="BG210">
        <v>1</v>
      </c>
      <c r="BH210">
        <v>1</v>
      </c>
      <c r="BI210">
        <v>0</v>
      </c>
      <c r="BJ210">
        <v>0</v>
      </c>
      <c r="BK210" s="16">
        <v>0</v>
      </c>
      <c r="BL210">
        <v>0.29799999999999999</v>
      </c>
      <c r="BM210">
        <v>19</v>
      </c>
      <c r="BN210">
        <v>1</v>
      </c>
      <c r="BO210">
        <v>0</v>
      </c>
      <c r="BP210">
        <v>10</v>
      </c>
      <c r="BQ210" t="s">
        <v>34</v>
      </c>
    </row>
    <row r="211" spans="1:69" x14ac:dyDescent="0.25">
      <c r="A211">
        <v>210</v>
      </c>
      <c r="B211">
        <v>12</v>
      </c>
      <c r="C211" t="s">
        <v>263</v>
      </c>
      <c r="D211" s="79">
        <v>3.7</v>
      </c>
      <c r="E211" s="6">
        <v>0.7</v>
      </c>
      <c r="F211" s="6">
        <f t="shared" si="33"/>
        <v>5.2857142857142865</v>
      </c>
      <c r="G211" s="78">
        <v>0</v>
      </c>
      <c r="H211" s="70">
        <v>0</v>
      </c>
      <c r="I211" s="70">
        <v>1</v>
      </c>
      <c r="J211" s="78">
        <v>568</v>
      </c>
      <c r="K211" s="70">
        <v>5</v>
      </c>
      <c r="L211" s="70">
        <f t="shared" si="31"/>
        <v>562</v>
      </c>
      <c r="M211" s="60">
        <f t="shared" si="32"/>
        <v>22</v>
      </c>
      <c r="N211" s="70">
        <v>12.695</v>
      </c>
      <c r="O211" s="70">
        <f t="shared" si="34"/>
        <v>16.643000000000001</v>
      </c>
      <c r="P211" s="78">
        <v>1</v>
      </c>
      <c r="Q211" s="70">
        <v>0</v>
      </c>
      <c r="R211" s="78">
        <v>0</v>
      </c>
      <c r="S211" s="70">
        <v>0</v>
      </c>
      <c r="T211" s="70">
        <v>1</v>
      </c>
      <c r="U211" s="70">
        <v>1</v>
      </c>
      <c r="V211" s="70">
        <v>0</v>
      </c>
      <c r="W211" s="78">
        <v>0</v>
      </c>
      <c r="X211" s="70">
        <v>1</v>
      </c>
      <c r="Y211" s="69">
        <v>1985</v>
      </c>
      <c r="Z211" s="28" t="s">
        <v>45</v>
      </c>
      <c r="AA211" t="s">
        <v>45</v>
      </c>
      <c r="AB211" s="28">
        <v>0.505</v>
      </c>
      <c r="AC211">
        <f t="shared" si="35"/>
        <v>0.495</v>
      </c>
      <c r="AD211" s="28" t="s">
        <v>45</v>
      </c>
      <c r="AE211" t="s">
        <v>45</v>
      </c>
      <c r="AF211">
        <v>0</v>
      </c>
      <c r="AG211">
        <v>1</v>
      </c>
      <c r="AH211" s="28">
        <v>0.72199999999999998</v>
      </c>
      <c r="AI211" s="12">
        <f t="shared" si="30"/>
        <v>0.27800000000000002</v>
      </c>
      <c r="AJ211">
        <v>0</v>
      </c>
      <c r="AK211">
        <v>1</v>
      </c>
      <c r="AL211">
        <v>0</v>
      </c>
      <c r="AM211" s="28" t="s">
        <v>304</v>
      </c>
      <c r="AN211">
        <v>1</v>
      </c>
      <c r="AO211">
        <v>0</v>
      </c>
      <c r="AP211">
        <v>17464</v>
      </c>
      <c r="AQ211">
        <v>1807</v>
      </c>
      <c r="AR211">
        <v>0.92300000000000004</v>
      </c>
      <c r="AS211" s="64">
        <v>35.338000000000001</v>
      </c>
      <c r="AT211">
        <v>1</v>
      </c>
      <c r="AU211">
        <v>0</v>
      </c>
      <c r="AV211">
        <v>0</v>
      </c>
      <c r="AW211">
        <v>0</v>
      </c>
      <c r="AX211">
        <v>0</v>
      </c>
      <c r="AY211">
        <v>0</v>
      </c>
      <c r="AZ211" s="28">
        <v>0</v>
      </c>
      <c r="BA211">
        <v>0</v>
      </c>
      <c r="BB211">
        <v>0</v>
      </c>
      <c r="BC211" s="28">
        <v>1</v>
      </c>
      <c r="BD211">
        <v>0</v>
      </c>
      <c r="BE211">
        <v>0</v>
      </c>
      <c r="BF211">
        <v>0</v>
      </c>
      <c r="BG211">
        <v>1</v>
      </c>
      <c r="BH211">
        <v>1</v>
      </c>
      <c r="BI211">
        <v>0</v>
      </c>
      <c r="BJ211">
        <v>0</v>
      </c>
      <c r="BK211" s="16">
        <v>0</v>
      </c>
      <c r="BL211">
        <v>0.29799999999999999</v>
      </c>
      <c r="BM211">
        <v>19</v>
      </c>
      <c r="BN211">
        <v>1</v>
      </c>
      <c r="BO211">
        <v>0</v>
      </c>
      <c r="BP211">
        <v>10</v>
      </c>
      <c r="BQ211" t="s">
        <v>34</v>
      </c>
    </row>
    <row r="212" spans="1:69" x14ac:dyDescent="0.25">
      <c r="A212">
        <v>211</v>
      </c>
      <c r="B212">
        <v>12</v>
      </c>
      <c r="C212" t="s">
        <v>263</v>
      </c>
      <c r="D212" s="79">
        <v>5.0999999999999996</v>
      </c>
      <c r="E212" s="6">
        <v>0.7</v>
      </c>
      <c r="F212" s="6">
        <f t="shared" si="33"/>
        <v>7.2857142857142856</v>
      </c>
      <c r="G212" s="78">
        <v>0</v>
      </c>
      <c r="H212" s="70">
        <v>0</v>
      </c>
      <c r="I212" s="70">
        <v>1</v>
      </c>
      <c r="J212" s="78">
        <v>568</v>
      </c>
      <c r="K212" s="70">
        <v>5</v>
      </c>
      <c r="L212" s="70">
        <f t="shared" si="31"/>
        <v>562</v>
      </c>
      <c r="M212" s="60">
        <f t="shared" si="32"/>
        <v>22</v>
      </c>
      <c r="N212" s="70">
        <v>12.695</v>
      </c>
      <c r="O212" s="70">
        <f t="shared" si="34"/>
        <v>16.643000000000001</v>
      </c>
      <c r="P212" s="78">
        <v>1</v>
      </c>
      <c r="Q212" s="70">
        <v>0</v>
      </c>
      <c r="R212" s="78">
        <v>0</v>
      </c>
      <c r="S212" s="70">
        <v>0</v>
      </c>
      <c r="T212" s="70">
        <v>1</v>
      </c>
      <c r="U212" s="70">
        <v>1</v>
      </c>
      <c r="V212" s="70">
        <v>0</v>
      </c>
      <c r="W212" s="78">
        <v>0</v>
      </c>
      <c r="X212" s="70">
        <v>1</v>
      </c>
      <c r="Y212" s="69">
        <v>1985</v>
      </c>
      <c r="Z212" s="28" t="s">
        <v>45</v>
      </c>
      <c r="AA212" t="s">
        <v>45</v>
      </c>
      <c r="AB212" s="28">
        <v>0.505</v>
      </c>
      <c r="AC212">
        <f t="shared" si="35"/>
        <v>0.495</v>
      </c>
      <c r="AD212" s="28" t="s">
        <v>45</v>
      </c>
      <c r="AE212" t="s">
        <v>45</v>
      </c>
      <c r="AF212">
        <v>0</v>
      </c>
      <c r="AG212">
        <v>1</v>
      </c>
      <c r="AH212" s="28">
        <v>0.72199999999999998</v>
      </c>
      <c r="AI212" s="12">
        <f t="shared" si="30"/>
        <v>0.27800000000000002</v>
      </c>
      <c r="AJ212">
        <v>0</v>
      </c>
      <c r="AK212">
        <v>1</v>
      </c>
      <c r="AL212">
        <v>0</v>
      </c>
      <c r="AM212" s="28" t="s">
        <v>304</v>
      </c>
      <c r="AN212">
        <v>1</v>
      </c>
      <c r="AO212">
        <v>0</v>
      </c>
      <c r="AP212">
        <v>17464</v>
      </c>
      <c r="AQ212">
        <v>1807</v>
      </c>
      <c r="AR212">
        <v>0.92300000000000004</v>
      </c>
      <c r="AS212" s="64">
        <v>35.338000000000001</v>
      </c>
      <c r="AT212">
        <v>1</v>
      </c>
      <c r="AU212">
        <v>0</v>
      </c>
      <c r="AV212">
        <v>0</v>
      </c>
      <c r="AW212">
        <v>0</v>
      </c>
      <c r="AX212">
        <v>0</v>
      </c>
      <c r="AY212">
        <v>0</v>
      </c>
      <c r="AZ212" s="28">
        <v>0</v>
      </c>
      <c r="BA212">
        <v>0</v>
      </c>
      <c r="BB212">
        <v>0</v>
      </c>
      <c r="BC212" s="28">
        <v>1</v>
      </c>
      <c r="BD212">
        <v>0</v>
      </c>
      <c r="BE212">
        <v>0</v>
      </c>
      <c r="BF212">
        <v>0</v>
      </c>
      <c r="BG212">
        <v>1</v>
      </c>
      <c r="BH212">
        <v>1</v>
      </c>
      <c r="BI212">
        <v>0</v>
      </c>
      <c r="BJ212">
        <v>0</v>
      </c>
      <c r="BK212" s="16">
        <v>0</v>
      </c>
      <c r="BL212">
        <v>0.29799999999999999</v>
      </c>
      <c r="BM212">
        <v>19</v>
      </c>
      <c r="BN212">
        <v>1</v>
      </c>
      <c r="BO212">
        <v>0</v>
      </c>
      <c r="BP212">
        <v>10</v>
      </c>
      <c r="BQ212" t="s">
        <v>34</v>
      </c>
    </row>
    <row r="213" spans="1:69" x14ac:dyDescent="0.25">
      <c r="A213">
        <v>212</v>
      </c>
      <c r="B213">
        <v>12</v>
      </c>
      <c r="C213" t="s">
        <v>263</v>
      </c>
      <c r="D213" s="79">
        <v>6.3</v>
      </c>
      <c r="E213" s="6">
        <v>1.4</v>
      </c>
      <c r="F213" s="6">
        <f t="shared" si="33"/>
        <v>4.5</v>
      </c>
      <c r="G213" s="78">
        <v>0</v>
      </c>
      <c r="H213" s="70">
        <v>0</v>
      </c>
      <c r="I213" s="70">
        <v>1</v>
      </c>
      <c r="J213" s="78">
        <v>602</v>
      </c>
      <c r="K213" s="70">
        <v>5</v>
      </c>
      <c r="L213" s="70">
        <f t="shared" si="31"/>
        <v>596</v>
      </c>
      <c r="M213" s="60">
        <f t="shared" si="32"/>
        <v>22</v>
      </c>
      <c r="N213" s="70">
        <v>12.513999999999999</v>
      </c>
      <c r="O213" s="70">
        <f t="shared" si="34"/>
        <v>18.317000000000004</v>
      </c>
      <c r="P213" s="78">
        <v>1</v>
      </c>
      <c r="Q213" s="70">
        <v>0</v>
      </c>
      <c r="R213" s="78">
        <v>0</v>
      </c>
      <c r="S213" s="70">
        <v>0</v>
      </c>
      <c r="T213" s="70">
        <v>1</v>
      </c>
      <c r="U213" s="70">
        <v>1</v>
      </c>
      <c r="V213" s="70">
        <v>0</v>
      </c>
      <c r="W213" s="78">
        <v>0</v>
      </c>
      <c r="X213" s="70">
        <v>1</v>
      </c>
      <c r="Y213" s="69">
        <v>1985</v>
      </c>
      <c r="Z213" s="28" t="s">
        <v>45</v>
      </c>
      <c r="AA213" t="s">
        <v>45</v>
      </c>
      <c r="AB213" s="28">
        <v>0.46800000000000003</v>
      </c>
      <c r="AC213">
        <f t="shared" si="35"/>
        <v>0.53200000000000003</v>
      </c>
      <c r="AD213" s="28" t="s">
        <v>45</v>
      </c>
      <c r="AE213" t="s">
        <v>45</v>
      </c>
      <c r="AF213">
        <v>0</v>
      </c>
      <c r="AG213">
        <v>1</v>
      </c>
      <c r="AH213" s="28">
        <v>0.75900000000000001</v>
      </c>
      <c r="AI213" s="12">
        <f t="shared" si="30"/>
        <v>0.24099999999999999</v>
      </c>
      <c r="AJ213">
        <v>1</v>
      </c>
      <c r="AK213">
        <v>0</v>
      </c>
      <c r="AL213">
        <v>0</v>
      </c>
      <c r="AM213" s="28" t="s">
        <v>304</v>
      </c>
      <c r="AN213">
        <v>1</v>
      </c>
      <c r="AO213">
        <v>0</v>
      </c>
      <c r="AP213">
        <v>17464</v>
      </c>
      <c r="AQ213">
        <v>1807</v>
      </c>
      <c r="AR213">
        <v>0.92300000000000004</v>
      </c>
      <c r="AS213" s="64">
        <v>36.831000000000003</v>
      </c>
      <c r="AT213">
        <v>0</v>
      </c>
      <c r="AU213">
        <v>0</v>
      </c>
      <c r="AV213">
        <v>0</v>
      </c>
      <c r="AW213">
        <v>0</v>
      </c>
      <c r="AX213">
        <v>0</v>
      </c>
      <c r="AY213">
        <v>1</v>
      </c>
      <c r="AZ213" s="28">
        <v>1</v>
      </c>
      <c r="BA213">
        <v>0</v>
      </c>
      <c r="BB213">
        <v>0</v>
      </c>
      <c r="BC213" s="28">
        <v>1</v>
      </c>
      <c r="BD213">
        <v>0</v>
      </c>
      <c r="BE213">
        <v>0</v>
      </c>
      <c r="BF213">
        <v>0</v>
      </c>
      <c r="BG213">
        <v>1</v>
      </c>
      <c r="BH213">
        <v>1</v>
      </c>
      <c r="BI213">
        <v>0</v>
      </c>
      <c r="BJ213">
        <v>0</v>
      </c>
      <c r="BK213" s="16">
        <v>0</v>
      </c>
      <c r="BL213">
        <v>0.29799999999999999</v>
      </c>
      <c r="BM213">
        <v>19</v>
      </c>
      <c r="BN213">
        <v>1</v>
      </c>
      <c r="BO213">
        <v>0</v>
      </c>
      <c r="BP213">
        <v>10</v>
      </c>
      <c r="BQ213" t="s">
        <v>34</v>
      </c>
    </row>
    <row r="214" spans="1:69" x14ac:dyDescent="0.25">
      <c r="A214">
        <v>213</v>
      </c>
      <c r="B214">
        <v>12</v>
      </c>
      <c r="C214" t="s">
        <v>263</v>
      </c>
      <c r="D214" s="79">
        <v>3.2</v>
      </c>
      <c r="E214" s="6">
        <v>1.2</v>
      </c>
      <c r="F214" s="6">
        <f t="shared" si="33"/>
        <v>2.666666666666667</v>
      </c>
      <c r="G214" s="78">
        <v>0</v>
      </c>
      <c r="H214" s="70">
        <v>0</v>
      </c>
      <c r="I214" s="70">
        <v>1</v>
      </c>
      <c r="J214" s="78">
        <v>602</v>
      </c>
      <c r="K214" s="70">
        <v>5</v>
      </c>
      <c r="L214" s="70">
        <f t="shared" si="31"/>
        <v>596</v>
      </c>
      <c r="M214" s="60">
        <f t="shared" si="32"/>
        <v>22</v>
      </c>
      <c r="N214" s="70">
        <v>12.513999999999999</v>
      </c>
      <c r="O214" s="70">
        <f t="shared" si="34"/>
        <v>18.317000000000004</v>
      </c>
      <c r="P214" s="78">
        <v>1</v>
      </c>
      <c r="Q214" s="70">
        <v>0</v>
      </c>
      <c r="R214" s="78">
        <v>0</v>
      </c>
      <c r="S214" s="70">
        <v>0</v>
      </c>
      <c r="T214" s="70">
        <v>1</v>
      </c>
      <c r="U214" s="70">
        <v>1</v>
      </c>
      <c r="V214" s="70">
        <v>0</v>
      </c>
      <c r="W214" s="78">
        <v>0</v>
      </c>
      <c r="X214" s="70">
        <v>1</v>
      </c>
      <c r="Y214" s="69">
        <v>1985</v>
      </c>
      <c r="Z214" s="28" t="s">
        <v>45</v>
      </c>
      <c r="AA214" t="s">
        <v>45</v>
      </c>
      <c r="AB214" s="28">
        <v>0.46800000000000003</v>
      </c>
      <c r="AC214">
        <f t="shared" si="35"/>
        <v>0.53200000000000003</v>
      </c>
      <c r="AD214" s="28" t="s">
        <v>45</v>
      </c>
      <c r="AE214" t="s">
        <v>45</v>
      </c>
      <c r="AF214">
        <v>0</v>
      </c>
      <c r="AG214">
        <v>1</v>
      </c>
      <c r="AH214" s="28">
        <v>0.75900000000000001</v>
      </c>
      <c r="AI214" s="12">
        <f t="shared" si="30"/>
        <v>0.24099999999999999</v>
      </c>
      <c r="AJ214">
        <v>1</v>
      </c>
      <c r="AK214">
        <v>0</v>
      </c>
      <c r="AL214">
        <v>0</v>
      </c>
      <c r="AM214" s="28" t="s">
        <v>304</v>
      </c>
      <c r="AN214">
        <v>1</v>
      </c>
      <c r="AO214">
        <v>0</v>
      </c>
      <c r="AP214">
        <v>17464</v>
      </c>
      <c r="AQ214">
        <v>1807</v>
      </c>
      <c r="AR214">
        <v>0.92300000000000004</v>
      </c>
      <c r="AS214" s="64">
        <v>36.831000000000003</v>
      </c>
      <c r="AT214">
        <v>0</v>
      </c>
      <c r="AU214">
        <v>0</v>
      </c>
      <c r="AV214">
        <v>0</v>
      </c>
      <c r="AW214">
        <v>0</v>
      </c>
      <c r="AX214">
        <v>0</v>
      </c>
      <c r="AY214">
        <v>1</v>
      </c>
      <c r="AZ214" s="28">
        <v>1</v>
      </c>
      <c r="BA214">
        <v>0</v>
      </c>
      <c r="BB214">
        <v>0</v>
      </c>
      <c r="BC214" s="28">
        <v>1</v>
      </c>
      <c r="BD214">
        <v>0</v>
      </c>
      <c r="BE214">
        <v>0</v>
      </c>
      <c r="BF214">
        <v>0</v>
      </c>
      <c r="BG214">
        <v>1</v>
      </c>
      <c r="BH214">
        <v>1</v>
      </c>
      <c r="BI214">
        <v>0</v>
      </c>
      <c r="BJ214">
        <v>0</v>
      </c>
      <c r="BK214" s="16">
        <v>0</v>
      </c>
      <c r="BL214">
        <v>0.29799999999999999</v>
      </c>
      <c r="BM214">
        <v>19</v>
      </c>
      <c r="BN214">
        <v>1</v>
      </c>
      <c r="BO214">
        <v>0</v>
      </c>
      <c r="BP214">
        <v>10</v>
      </c>
      <c r="BQ214" t="s">
        <v>34</v>
      </c>
    </row>
    <row r="215" spans="1:69" x14ac:dyDescent="0.25">
      <c r="A215">
        <v>214</v>
      </c>
      <c r="B215">
        <v>12</v>
      </c>
      <c r="C215" t="s">
        <v>263</v>
      </c>
      <c r="D215" s="79">
        <v>6.9</v>
      </c>
      <c r="E215" s="6">
        <v>1.1000000000000001</v>
      </c>
      <c r="F215" s="6">
        <f t="shared" si="33"/>
        <v>6.2727272727272725</v>
      </c>
      <c r="G215" s="78">
        <v>0</v>
      </c>
      <c r="H215" s="70">
        <v>0</v>
      </c>
      <c r="I215" s="70">
        <v>1</v>
      </c>
      <c r="J215" s="78">
        <v>568</v>
      </c>
      <c r="K215" s="70">
        <v>5</v>
      </c>
      <c r="L215" s="70">
        <f t="shared" si="31"/>
        <v>562</v>
      </c>
      <c r="M215" s="60">
        <f t="shared" si="32"/>
        <v>22</v>
      </c>
      <c r="N215" s="70">
        <v>12.695</v>
      </c>
      <c r="O215" s="70">
        <f t="shared" si="34"/>
        <v>16.643000000000001</v>
      </c>
      <c r="P215" s="78">
        <v>1</v>
      </c>
      <c r="Q215" s="70">
        <v>0</v>
      </c>
      <c r="R215" s="78">
        <v>0</v>
      </c>
      <c r="S215" s="70">
        <v>0</v>
      </c>
      <c r="T215" s="70">
        <v>1</v>
      </c>
      <c r="U215" s="70">
        <v>1</v>
      </c>
      <c r="V215" s="70">
        <v>0</v>
      </c>
      <c r="W215" s="78">
        <v>0</v>
      </c>
      <c r="X215" s="70">
        <v>1</v>
      </c>
      <c r="Y215" s="69">
        <v>1985</v>
      </c>
      <c r="Z215" s="28" t="s">
        <v>45</v>
      </c>
      <c r="AA215" t="s">
        <v>45</v>
      </c>
      <c r="AB215" s="28">
        <v>0.505</v>
      </c>
      <c r="AC215">
        <f t="shared" si="35"/>
        <v>0.495</v>
      </c>
      <c r="AD215" s="28" t="s">
        <v>45</v>
      </c>
      <c r="AE215" t="s">
        <v>45</v>
      </c>
      <c r="AF215">
        <v>0</v>
      </c>
      <c r="AG215">
        <v>1</v>
      </c>
      <c r="AH215" s="28">
        <v>0.72199999999999998</v>
      </c>
      <c r="AI215" s="12">
        <f t="shared" si="30"/>
        <v>0.27800000000000002</v>
      </c>
      <c r="AJ215">
        <v>0</v>
      </c>
      <c r="AK215">
        <v>1</v>
      </c>
      <c r="AL215">
        <v>0</v>
      </c>
      <c r="AM215" s="28" t="s">
        <v>304</v>
      </c>
      <c r="AN215">
        <v>1</v>
      </c>
      <c r="AO215">
        <v>0</v>
      </c>
      <c r="AP215">
        <v>17464</v>
      </c>
      <c r="AQ215">
        <v>1807</v>
      </c>
      <c r="AR215">
        <v>0.92300000000000004</v>
      </c>
      <c r="AS215" s="64">
        <v>35.338000000000001</v>
      </c>
      <c r="AT215">
        <v>0</v>
      </c>
      <c r="AU215">
        <v>0</v>
      </c>
      <c r="AV215">
        <v>0</v>
      </c>
      <c r="AW215">
        <v>0</v>
      </c>
      <c r="AX215">
        <v>0</v>
      </c>
      <c r="AY215">
        <v>1</v>
      </c>
      <c r="AZ215" s="28">
        <v>1</v>
      </c>
      <c r="BA215">
        <v>0</v>
      </c>
      <c r="BB215">
        <v>0</v>
      </c>
      <c r="BC215" s="28">
        <v>1</v>
      </c>
      <c r="BD215">
        <v>0</v>
      </c>
      <c r="BE215">
        <v>0</v>
      </c>
      <c r="BF215">
        <v>0</v>
      </c>
      <c r="BG215">
        <v>1</v>
      </c>
      <c r="BH215">
        <v>1</v>
      </c>
      <c r="BI215">
        <v>0</v>
      </c>
      <c r="BJ215">
        <v>0</v>
      </c>
      <c r="BK215" s="16">
        <v>0</v>
      </c>
      <c r="BL215">
        <v>0.29799999999999999</v>
      </c>
      <c r="BM215">
        <v>19</v>
      </c>
      <c r="BN215">
        <v>1</v>
      </c>
      <c r="BO215">
        <v>0</v>
      </c>
      <c r="BP215">
        <v>10</v>
      </c>
      <c r="BQ215" t="s">
        <v>34</v>
      </c>
    </row>
    <row r="216" spans="1:69" x14ac:dyDescent="0.25">
      <c r="A216">
        <v>215</v>
      </c>
      <c r="B216">
        <v>12</v>
      </c>
      <c r="C216" t="s">
        <v>263</v>
      </c>
      <c r="D216" s="79">
        <v>7.6</v>
      </c>
      <c r="E216" s="6">
        <v>1.2</v>
      </c>
      <c r="F216" s="6">
        <f t="shared" si="33"/>
        <v>6.333333333333333</v>
      </c>
      <c r="G216" s="78">
        <v>0</v>
      </c>
      <c r="H216" s="70">
        <v>0</v>
      </c>
      <c r="I216" s="70">
        <v>1</v>
      </c>
      <c r="J216" s="78">
        <v>568</v>
      </c>
      <c r="K216" s="70">
        <v>5</v>
      </c>
      <c r="L216" s="70">
        <f t="shared" si="31"/>
        <v>562</v>
      </c>
      <c r="M216" s="60">
        <f t="shared" si="32"/>
        <v>22</v>
      </c>
      <c r="N216" s="70">
        <v>12.695</v>
      </c>
      <c r="O216" s="70">
        <f t="shared" si="34"/>
        <v>16.643000000000001</v>
      </c>
      <c r="P216" s="78">
        <v>1</v>
      </c>
      <c r="Q216" s="70">
        <v>0</v>
      </c>
      <c r="R216" s="78">
        <v>0</v>
      </c>
      <c r="S216" s="70">
        <v>0</v>
      </c>
      <c r="T216" s="70">
        <v>1</v>
      </c>
      <c r="U216" s="70">
        <v>1</v>
      </c>
      <c r="V216" s="70">
        <v>0</v>
      </c>
      <c r="W216" s="78">
        <v>0</v>
      </c>
      <c r="X216" s="70">
        <v>1</v>
      </c>
      <c r="Y216" s="69">
        <v>1985</v>
      </c>
      <c r="Z216" s="28" t="s">
        <v>45</v>
      </c>
      <c r="AA216" t="s">
        <v>45</v>
      </c>
      <c r="AB216" s="28">
        <v>0.505</v>
      </c>
      <c r="AC216">
        <f t="shared" si="35"/>
        <v>0.495</v>
      </c>
      <c r="AD216" s="28" t="s">
        <v>45</v>
      </c>
      <c r="AE216" t="s">
        <v>45</v>
      </c>
      <c r="AF216">
        <v>0</v>
      </c>
      <c r="AG216">
        <v>1</v>
      </c>
      <c r="AH216" s="28">
        <v>0.72199999999999998</v>
      </c>
      <c r="AI216" s="12">
        <f t="shared" si="30"/>
        <v>0.27800000000000002</v>
      </c>
      <c r="AJ216">
        <v>0</v>
      </c>
      <c r="AK216">
        <v>1</v>
      </c>
      <c r="AL216">
        <v>0</v>
      </c>
      <c r="AM216" s="28" t="s">
        <v>304</v>
      </c>
      <c r="AN216">
        <v>1</v>
      </c>
      <c r="AO216">
        <v>0</v>
      </c>
      <c r="AP216">
        <v>17464</v>
      </c>
      <c r="AQ216">
        <v>1807</v>
      </c>
      <c r="AR216">
        <v>0.92300000000000004</v>
      </c>
      <c r="AS216" s="64">
        <v>35.338000000000001</v>
      </c>
      <c r="AT216">
        <v>0</v>
      </c>
      <c r="AU216">
        <v>0</v>
      </c>
      <c r="AV216">
        <v>0</v>
      </c>
      <c r="AW216">
        <v>0</v>
      </c>
      <c r="AX216">
        <v>0</v>
      </c>
      <c r="AY216">
        <v>1</v>
      </c>
      <c r="AZ216" s="28">
        <v>1</v>
      </c>
      <c r="BA216">
        <v>0</v>
      </c>
      <c r="BB216">
        <v>0</v>
      </c>
      <c r="BC216" s="28">
        <v>1</v>
      </c>
      <c r="BD216">
        <v>0</v>
      </c>
      <c r="BE216">
        <v>0</v>
      </c>
      <c r="BF216">
        <v>0</v>
      </c>
      <c r="BG216">
        <v>1</v>
      </c>
      <c r="BH216">
        <v>1</v>
      </c>
      <c r="BI216">
        <v>0</v>
      </c>
      <c r="BJ216">
        <v>0</v>
      </c>
      <c r="BK216" s="16">
        <v>0</v>
      </c>
      <c r="BL216">
        <v>0.29799999999999999</v>
      </c>
      <c r="BM216">
        <v>19</v>
      </c>
      <c r="BN216">
        <v>1</v>
      </c>
      <c r="BO216">
        <v>0</v>
      </c>
      <c r="BP216">
        <v>10</v>
      </c>
      <c r="BQ216" t="s">
        <v>34</v>
      </c>
    </row>
    <row r="217" spans="1:69" x14ac:dyDescent="0.25">
      <c r="A217">
        <v>216</v>
      </c>
      <c r="B217">
        <v>12</v>
      </c>
      <c r="C217" t="s">
        <v>263</v>
      </c>
      <c r="D217" s="79">
        <v>4.8</v>
      </c>
      <c r="E217" s="6">
        <v>1.2</v>
      </c>
      <c r="F217" s="6">
        <f t="shared" si="33"/>
        <v>4</v>
      </c>
      <c r="G217" s="78">
        <v>0</v>
      </c>
      <c r="H217" s="70">
        <v>0</v>
      </c>
      <c r="I217" s="70">
        <v>1</v>
      </c>
      <c r="J217" s="78">
        <v>602</v>
      </c>
      <c r="K217" s="70">
        <v>5</v>
      </c>
      <c r="L217" s="70">
        <f t="shared" si="31"/>
        <v>596</v>
      </c>
      <c r="M217" s="60">
        <f t="shared" si="32"/>
        <v>22</v>
      </c>
      <c r="N217" s="70">
        <v>12.513999999999999</v>
      </c>
      <c r="O217" s="70">
        <f t="shared" si="34"/>
        <v>18.317000000000004</v>
      </c>
      <c r="P217" s="78">
        <v>1</v>
      </c>
      <c r="Q217" s="70">
        <v>0</v>
      </c>
      <c r="R217" s="78">
        <v>0</v>
      </c>
      <c r="S217" s="70">
        <v>0</v>
      </c>
      <c r="T217" s="70">
        <v>1</v>
      </c>
      <c r="U217" s="70">
        <v>1</v>
      </c>
      <c r="V217" s="70">
        <v>0</v>
      </c>
      <c r="W217" s="78">
        <v>0</v>
      </c>
      <c r="X217" s="70">
        <v>1</v>
      </c>
      <c r="Y217" s="69">
        <v>1985</v>
      </c>
      <c r="Z217" s="28" t="s">
        <v>45</v>
      </c>
      <c r="AA217" t="s">
        <v>45</v>
      </c>
      <c r="AB217" s="28">
        <v>0.46800000000000003</v>
      </c>
      <c r="AC217">
        <f t="shared" si="35"/>
        <v>0.53200000000000003</v>
      </c>
      <c r="AD217" s="28" t="s">
        <v>45</v>
      </c>
      <c r="AE217" t="s">
        <v>45</v>
      </c>
      <c r="AF217">
        <v>0</v>
      </c>
      <c r="AG217">
        <v>1</v>
      </c>
      <c r="AH217" s="28">
        <v>0.75900000000000001</v>
      </c>
      <c r="AI217" s="12">
        <f t="shared" si="30"/>
        <v>0.24099999999999999</v>
      </c>
      <c r="AJ217">
        <v>1</v>
      </c>
      <c r="AK217">
        <v>0</v>
      </c>
      <c r="AL217">
        <v>0</v>
      </c>
      <c r="AM217" s="28" t="s">
        <v>304</v>
      </c>
      <c r="AN217">
        <v>1</v>
      </c>
      <c r="AO217">
        <v>0</v>
      </c>
      <c r="AP217">
        <v>17464</v>
      </c>
      <c r="AQ217">
        <v>1807</v>
      </c>
      <c r="AR217">
        <v>0.92300000000000004</v>
      </c>
      <c r="AS217" s="64">
        <v>36.831000000000003</v>
      </c>
      <c r="AT217">
        <v>1</v>
      </c>
      <c r="AU217">
        <v>0</v>
      </c>
      <c r="AV217">
        <v>0</v>
      </c>
      <c r="AW217">
        <v>0</v>
      </c>
      <c r="AX217">
        <v>0</v>
      </c>
      <c r="AY217">
        <v>0</v>
      </c>
      <c r="AZ217" s="28">
        <v>0</v>
      </c>
      <c r="BA217">
        <v>0</v>
      </c>
      <c r="BB217">
        <v>0</v>
      </c>
      <c r="BC217" s="28">
        <v>1</v>
      </c>
      <c r="BD217">
        <v>0</v>
      </c>
      <c r="BE217">
        <v>0</v>
      </c>
      <c r="BF217">
        <v>0</v>
      </c>
      <c r="BG217">
        <v>1</v>
      </c>
      <c r="BH217">
        <v>1</v>
      </c>
      <c r="BI217">
        <v>0</v>
      </c>
      <c r="BJ217">
        <v>0</v>
      </c>
      <c r="BK217" s="16">
        <v>0</v>
      </c>
      <c r="BL217">
        <v>0.29799999999999999</v>
      </c>
      <c r="BM217">
        <v>19</v>
      </c>
      <c r="BN217">
        <v>1</v>
      </c>
      <c r="BO217">
        <v>0</v>
      </c>
      <c r="BP217">
        <v>10</v>
      </c>
      <c r="BQ217" t="s">
        <v>34</v>
      </c>
    </row>
    <row r="218" spans="1:69" x14ac:dyDescent="0.25">
      <c r="A218">
        <v>217</v>
      </c>
      <c r="B218">
        <v>12</v>
      </c>
      <c r="C218" t="s">
        <v>263</v>
      </c>
      <c r="D218" s="79">
        <v>1.5</v>
      </c>
      <c r="E218" s="6">
        <v>0.8</v>
      </c>
      <c r="F218" s="6">
        <f t="shared" si="33"/>
        <v>1.875</v>
      </c>
      <c r="G218" s="78">
        <v>0</v>
      </c>
      <c r="H218" s="70">
        <v>0</v>
      </c>
      <c r="I218" s="70">
        <v>1</v>
      </c>
      <c r="J218" s="78">
        <v>602</v>
      </c>
      <c r="K218" s="70">
        <v>5</v>
      </c>
      <c r="L218" s="70">
        <f t="shared" si="31"/>
        <v>596</v>
      </c>
      <c r="M218" s="60">
        <f t="shared" si="32"/>
        <v>22</v>
      </c>
      <c r="N218" s="70">
        <v>12.513999999999999</v>
      </c>
      <c r="O218" s="70">
        <f t="shared" si="34"/>
        <v>18.317000000000004</v>
      </c>
      <c r="P218" s="78">
        <v>1</v>
      </c>
      <c r="Q218" s="70">
        <v>0</v>
      </c>
      <c r="R218" s="78">
        <v>0</v>
      </c>
      <c r="S218" s="70">
        <v>0</v>
      </c>
      <c r="T218" s="70">
        <v>1</v>
      </c>
      <c r="U218" s="70">
        <v>1</v>
      </c>
      <c r="V218" s="70">
        <v>0</v>
      </c>
      <c r="W218" s="78">
        <v>0</v>
      </c>
      <c r="X218" s="70">
        <v>1</v>
      </c>
      <c r="Y218" s="69">
        <v>1985</v>
      </c>
      <c r="Z218" s="28" t="s">
        <v>45</v>
      </c>
      <c r="AA218" t="s">
        <v>45</v>
      </c>
      <c r="AB218" s="28">
        <v>0.46800000000000003</v>
      </c>
      <c r="AC218">
        <f t="shared" si="35"/>
        <v>0.53200000000000003</v>
      </c>
      <c r="AD218" s="28" t="s">
        <v>45</v>
      </c>
      <c r="AE218" t="s">
        <v>45</v>
      </c>
      <c r="AF218">
        <v>0</v>
      </c>
      <c r="AG218">
        <v>1</v>
      </c>
      <c r="AH218" s="28">
        <v>0.75900000000000001</v>
      </c>
      <c r="AI218" s="12">
        <f t="shared" si="30"/>
        <v>0.24099999999999999</v>
      </c>
      <c r="AJ218">
        <v>1</v>
      </c>
      <c r="AK218">
        <v>0</v>
      </c>
      <c r="AL218">
        <v>0</v>
      </c>
      <c r="AM218" s="28" t="s">
        <v>304</v>
      </c>
      <c r="AN218">
        <v>1</v>
      </c>
      <c r="AO218">
        <v>0</v>
      </c>
      <c r="AP218">
        <v>17464</v>
      </c>
      <c r="AQ218">
        <v>1807</v>
      </c>
      <c r="AR218">
        <v>0.92300000000000004</v>
      </c>
      <c r="AS218" s="64">
        <v>36.831000000000003</v>
      </c>
      <c r="AT218">
        <v>1</v>
      </c>
      <c r="AU218">
        <v>0</v>
      </c>
      <c r="AV218">
        <v>0</v>
      </c>
      <c r="AW218">
        <v>0</v>
      </c>
      <c r="AX218">
        <v>0</v>
      </c>
      <c r="AY218">
        <v>0</v>
      </c>
      <c r="AZ218" s="28">
        <v>0</v>
      </c>
      <c r="BA218">
        <v>0</v>
      </c>
      <c r="BB218">
        <v>0</v>
      </c>
      <c r="BC218" s="28">
        <v>1</v>
      </c>
      <c r="BD218">
        <v>0</v>
      </c>
      <c r="BE218">
        <v>0</v>
      </c>
      <c r="BF218">
        <v>0</v>
      </c>
      <c r="BG218">
        <v>1</v>
      </c>
      <c r="BH218">
        <v>1</v>
      </c>
      <c r="BI218">
        <v>0</v>
      </c>
      <c r="BJ218">
        <v>0</v>
      </c>
      <c r="BK218" s="16">
        <v>0</v>
      </c>
      <c r="BL218">
        <v>0.29799999999999999</v>
      </c>
      <c r="BM218">
        <v>19</v>
      </c>
      <c r="BN218">
        <v>1</v>
      </c>
      <c r="BO218">
        <v>0</v>
      </c>
      <c r="BP218">
        <v>10</v>
      </c>
      <c r="BQ218" t="s">
        <v>34</v>
      </c>
    </row>
    <row r="219" spans="1:69" x14ac:dyDescent="0.25">
      <c r="A219">
        <v>218</v>
      </c>
      <c r="B219">
        <v>12</v>
      </c>
      <c r="C219" t="s">
        <v>263</v>
      </c>
      <c r="D219" s="79">
        <v>3.7</v>
      </c>
      <c r="E219" s="6">
        <v>0.9</v>
      </c>
      <c r="F219" s="6">
        <f t="shared" si="33"/>
        <v>4.1111111111111116</v>
      </c>
      <c r="G219" s="78">
        <v>0</v>
      </c>
      <c r="H219" s="70">
        <v>0</v>
      </c>
      <c r="I219" s="70">
        <v>1</v>
      </c>
      <c r="J219" s="78">
        <v>568</v>
      </c>
      <c r="K219" s="70">
        <v>5</v>
      </c>
      <c r="L219" s="70">
        <f t="shared" si="31"/>
        <v>562</v>
      </c>
      <c r="M219" s="60">
        <f t="shared" si="32"/>
        <v>22</v>
      </c>
      <c r="N219" s="70">
        <v>12.695</v>
      </c>
      <c r="O219" s="70">
        <f t="shared" si="34"/>
        <v>16.643000000000001</v>
      </c>
      <c r="P219" s="78">
        <v>1</v>
      </c>
      <c r="Q219" s="70">
        <v>0</v>
      </c>
      <c r="R219" s="78">
        <v>0</v>
      </c>
      <c r="S219" s="70">
        <v>0</v>
      </c>
      <c r="T219" s="70">
        <v>1</v>
      </c>
      <c r="U219" s="70">
        <v>1</v>
      </c>
      <c r="V219" s="70">
        <v>0</v>
      </c>
      <c r="W219" s="78">
        <v>0</v>
      </c>
      <c r="X219" s="70">
        <v>1</v>
      </c>
      <c r="Y219" s="69">
        <v>1985</v>
      </c>
      <c r="Z219" s="28" t="s">
        <v>45</v>
      </c>
      <c r="AA219" t="s">
        <v>45</v>
      </c>
      <c r="AB219" s="28">
        <v>0.505</v>
      </c>
      <c r="AC219">
        <f t="shared" si="35"/>
        <v>0.495</v>
      </c>
      <c r="AD219" s="28" t="s">
        <v>45</v>
      </c>
      <c r="AE219" t="s">
        <v>45</v>
      </c>
      <c r="AF219">
        <v>0</v>
      </c>
      <c r="AG219">
        <v>1</v>
      </c>
      <c r="AH219" s="28">
        <v>0.72199999999999998</v>
      </c>
      <c r="AI219" s="12">
        <f t="shared" si="30"/>
        <v>0.27800000000000002</v>
      </c>
      <c r="AJ219">
        <v>0</v>
      </c>
      <c r="AK219">
        <v>1</v>
      </c>
      <c r="AL219">
        <v>0</v>
      </c>
      <c r="AM219" s="28" t="s">
        <v>304</v>
      </c>
      <c r="AN219">
        <v>1</v>
      </c>
      <c r="AO219">
        <v>0</v>
      </c>
      <c r="AP219">
        <v>17464</v>
      </c>
      <c r="AQ219">
        <v>1807</v>
      </c>
      <c r="AR219">
        <v>0.92300000000000004</v>
      </c>
      <c r="AS219" s="64">
        <v>35.338000000000001</v>
      </c>
      <c r="AT219">
        <v>1</v>
      </c>
      <c r="AU219">
        <v>0</v>
      </c>
      <c r="AV219">
        <v>0</v>
      </c>
      <c r="AW219">
        <v>0</v>
      </c>
      <c r="AX219">
        <v>0</v>
      </c>
      <c r="AY219">
        <v>0</v>
      </c>
      <c r="AZ219" s="28">
        <v>0</v>
      </c>
      <c r="BA219">
        <v>0</v>
      </c>
      <c r="BB219">
        <v>0</v>
      </c>
      <c r="BC219" s="28">
        <v>1</v>
      </c>
      <c r="BD219">
        <v>0</v>
      </c>
      <c r="BE219">
        <v>0</v>
      </c>
      <c r="BF219">
        <v>0</v>
      </c>
      <c r="BG219">
        <v>1</v>
      </c>
      <c r="BH219">
        <v>1</v>
      </c>
      <c r="BI219">
        <v>0</v>
      </c>
      <c r="BJ219">
        <v>0</v>
      </c>
      <c r="BK219" s="16">
        <v>0</v>
      </c>
      <c r="BL219">
        <v>0.29799999999999999</v>
      </c>
      <c r="BM219">
        <v>19</v>
      </c>
      <c r="BN219">
        <v>1</v>
      </c>
      <c r="BO219">
        <v>0</v>
      </c>
      <c r="BP219">
        <v>10</v>
      </c>
      <c r="BQ219" t="s">
        <v>34</v>
      </c>
    </row>
    <row r="220" spans="1:69" x14ac:dyDescent="0.25">
      <c r="A220">
        <v>219</v>
      </c>
      <c r="B220">
        <v>12</v>
      </c>
      <c r="C220" t="s">
        <v>263</v>
      </c>
      <c r="D220" s="79">
        <v>5.7</v>
      </c>
      <c r="E220" s="6">
        <v>0.8</v>
      </c>
      <c r="F220" s="6">
        <f t="shared" si="33"/>
        <v>7.125</v>
      </c>
      <c r="G220" s="78">
        <v>0</v>
      </c>
      <c r="H220" s="70">
        <v>0</v>
      </c>
      <c r="I220" s="70">
        <v>1</v>
      </c>
      <c r="J220" s="78">
        <v>568</v>
      </c>
      <c r="K220" s="70">
        <v>5</v>
      </c>
      <c r="L220" s="70">
        <f t="shared" si="31"/>
        <v>562</v>
      </c>
      <c r="M220" s="60">
        <f t="shared" si="32"/>
        <v>22</v>
      </c>
      <c r="N220" s="70">
        <v>12.695</v>
      </c>
      <c r="O220" s="70">
        <f t="shared" si="34"/>
        <v>16.643000000000001</v>
      </c>
      <c r="P220" s="78">
        <v>1</v>
      </c>
      <c r="Q220" s="70">
        <v>0</v>
      </c>
      <c r="R220" s="78">
        <v>0</v>
      </c>
      <c r="S220" s="70">
        <v>0</v>
      </c>
      <c r="T220" s="70">
        <v>1</v>
      </c>
      <c r="U220" s="70">
        <v>1</v>
      </c>
      <c r="V220" s="70">
        <v>0</v>
      </c>
      <c r="W220" s="78">
        <v>0</v>
      </c>
      <c r="X220" s="70">
        <v>1</v>
      </c>
      <c r="Y220" s="69">
        <v>1985</v>
      </c>
      <c r="Z220" s="28" t="s">
        <v>45</v>
      </c>
      <c r="AA220" t="s">
        <v>45</v>
      </c>
      <c r="AB220" s="28">
        <v>0.505</v>
      </c>
      <c r="AC220">
        <f t="shared" si="35"/>
        <v>0.495</v>
      </c>
      <c r="AD220" s="28" t="s">
        <v>45</v>
      </c>
      <c r="AE220" t="s">
        <v>45</v>
      </c>
      <c r="AF220">
        <v>0</v>
      </c>
      <c r="AG220">
        <v>1</v>
      </c>
      <c r="AH220" s="28">
        <v>0.72199999999999998</v>
      </c>
      <c r="AI220" s="12">
        <f t="shared" si="30"/>
        <v>0.27800000000000002</v>
      </c>
      <c r="AJ220">
        <v>0</v>
      </c>
      <c r="AK220">
        <v>1</v>
      </c>
      <c r="AL220">
        <v>0</v>
      </c>
      <c r="AM220" s="28" t="s">
        <v>304</v>
      </c>
      <c r="AN220">
        <v>1</v>
      </c>
      <c r="AO220">
        <v>0</v>
      </c>
      <c r="AP220">
        <v>17464</v>
      </c>
      <c r="AQ220">
        <v>1807</v>
      </c>
      <c r="AR220">
        <v>0.92300000000000004</v>
      </c>
      <c r="AS220" s="64">
        <v>35.338000000000001</v>
      </c>
      <c r="AT220">
        <v>1</v>
      </c>
      <c r="AU220">
        <v>0</v>
      </c>
      <c r="AV220">
        <v>0</v>
      </c>
      <c r="AW220">
        <v>0</v>
      </c>
      <c r="AX220">
        <v>0</v>
      </c>
      <c r="AY220">
        <v>0</v>
      </c>
      <c r="AZ220" s="28">
        <v>0</v>
      </c>
      <c r="BA220">
        <v>0</v>
      </c>
      <c r="BB220">
        <v>0</v>
      </c>
      <c r="BC220" s="28">
        <v>1</v>
      </c>
      <c r="BD220">
        <v>0</v>
      </c>
      <c r="BE220">
        <v>0</v>
      </c>
      <c r="BF220">
        <v>0</v>
      </c>
      <c r="BG220">
        <v>1</v>
      </c>
      <c r="BH220">
        <v>1</v>
      </c>
      <c r="BI220">
        <v>0</v>
      </c>
      <c r="BJ220">
        <v>0</v>
      </c>
      <c r="BK220" s="16">
        <v>0</v>
      </c>
      <c r="BL220">
        <v>0.29799999999999999</v>
      </c>
      <c r="BM220">
        <v>19</v>
      </c>
      <c r="BN220">
        <v>1</v>
      </c>
      <c r="BO220">
        <v>0</v>
      </c>
      <c r="BP220">
        <v>10</v>
      </c>
      <c r="BQ220" t="s">
        <v>34</v>
      </c>
    </row>
    <row r="221" spans="1:69" x14ac:dyDescent="0.25">
      <c r="A221">
        <v>220</v>
      </c>
      <c r="B221">
        <v>12</v>
      </c>
      <c r="C221" t="s">
        <v>263</v>
      </c>
      <c r="D221" s="79">
        <v>7.8</v>
      </c>
      <c r="E221" s="6">
        <v>2.4</v>
      </c>
      <c r="F221" s="6">
        <f t="shared" si="33"/>
        <v>3.25</v>
      </c>
      <c r="G221" s="78">
        <v>0</v>
      </c>
      <c r="H221" s="70">
        <v>0</v>
      </c>
      <c r="I221" s="70">
        <v>1</v>
      </c>
      <c r="J221" s="78">
        <v>602</v>
      </c>
      <c r="K221" s="70">
        <v>5</v>
      </c>
      <c r="L221" s="70">
        <f t="shared" si="31"/>
        <v>596</v>
      </c>
      <c r="M221" s="60">
        <f t="shared" si="32"/>
        <v>22</v>
      </c>
      <c r="N221" s="70">
        <v>12.513999999999999</v>
      </c>
      <c r="O221" s="70">
        <f t="shared" si="34"/>
        <v>18.317000000000004</v>
      </c>
      <c r="P221" s="78">
        <v>1</v>
      </c>
      <c r="Q221" s="70">
        <v>0</v>
      </c>
      <c r="R221" s="78">
        <v>0</v>
      </c>
      <c r="S221" s="70">
        <v>0</v>
      </c>
      <c r="T221" s="70">
        <v>1</v>
      </c>
      <c r="U221" s="70">
        <v>1</v>
      </c>
      <c r="V221" s="70">
        <v>0</v>
      </c>
      <c r="W221" s="78">
        <v>0</v>
      </c>
      <c r="X221" s="70">
        <v>1</v>
      </c>
      <c r="Y221" s="69">
        <v>1985</v>
      </c>
      <c r="Z221" s="28" t="s">
        <v>45</v>
      </c>
      <c r="AA221" t="s">
        <v>45</v>
      </c>
      <c r="AB221" s="28">
        <v>0.46800000000000003</v>
      </c>
      <c r="AC221">
        <f t="shared" si="35"/>
        <v>0.53200000000000003</v>
      </c>
      <c r="AD221" s="28" t="s">
        <v>45</v>
      </c>
      <c r="AE221" t="s">
        <v>45</v>
      </c>
      <c r="AF221">
        <v>0</v>
      </c>
      <c r="AG221">
        <v>1</v>
      </c>
      <c r="AH221" s="28">
        <v>0.75900000000000001</v>
      </c>
      <c r="AI221" s="12">
        <f t="shared" si="30"/>
        <v>0.24099999999999999</v>
      </c>
      <c r="AJ221">
        <v>1</v>
      </c>
      <c r="AK221">
        <v>0</v>
      </c>
      <c r="AL221">
        <v>0</v>
      </c>
      <c r="AM221" s="28" t="s">
        <v>304</v>
      </c>
      <c r="AN221">
        <v>1</v>
      </c>
      <c r="AO221">
        <v>0</v>
      </c>
      <c r="AP221">
        <v>17464</v>
      </c>
      <c r="AQ221">
        <v>1807</v>
      </c>
      <c r="AR221">
        <v>0.92300000000000004</v>
      </c>
      <c r="AS221" s="64">
        <v>36.831000000000003</v>
      </c>
      <c r="AT221">
        <v>0</v>
      </c>
      <c r="AU221">
        <v>0</v>
      </c>
      <c r="AV221">
        <v>0</v>
      </c>
      <c r="AW221">
        <v>0</v>
      </c>
      <c r="AX221">
        <v>0</v>
      </c>
      <c r="AY221">
        <v>1</v>
      </c>
      <c r="AZ221" s="28">
        <v>1</v>
      </c>
      <c r="BA221">
        <v>0</v>
      </c>
      <c r="BB221">
        <v>0</v>
      </c>
      <c r="BC221" s="28">
        <v>1</v>
      </c>
      <c r="BD221">
        <v>0</v>
      </c>
      <c r="BE221">
        <v>0</v>
      </c>
      <c r="BF221">
        <v>0</v>
      </c>
      <c r="BG221">
        <v>1</v>
      </c>
      <c r="BH221">
        <v>1</v>
      </c>
      <c r="BI221">
        <v>0</v>
      </c>
      <c r="BJ221">
        <v>0</v>
      </c>
      <c r="BK221" s="16">
        <v>0</v>
      </c>
      <c r="BL221">
        <v>0.29799999999999999</v>
      </c>
      <c r="BM221">
        <v>19</v>
      </c>
      <c r="BN221">
        <v>1</v>
      </c>
      <c r="BO221">
        <v>0</v>
      </c>
      <c r="BP221">
        <v>10</v>
      </c>
      <c r="BQ221" t="s">
        <v>34</v>
      </c>
    </row>
    <row r="222" spans="1:69" x14ac:dyDescent="0.25">
      <c r="A222">
        <v>221</v>
      </c>
      <c r="B222">
        <v>12</v>
      </c>
      <c r="C222" t="s">
        <v>263</v>
      </c>
      <c r="D222" s="79">
        <v>3.1</v>
      </c>
      <c r="E222" s="6">
        <v>1.5</v>
      </c>
      <c r="F222" s="6">
        <f t="shared" si="33"/>
        <v>2.0666666666666669</v>
      </c>
      <c r="G222" s="78">
        <v>0</v>
      </c>
      <c r="H222" s="70">
        <v>0</v>
      </c>
      <c r="I222" s="70">
        <v>1</v>
      </c>
      <c r="J222" s="78">
        <v>602</v>
      </c>
      <c r="K222" s="70">
        <v>5</v>
      </c>
      <c r="L222" s="70">
        <f t="shared" si="31"/>
        <v>596</v>
      </c>
      <c r="M222" s="60">
        <f t="shared" si="32"/>
        <v>22</v>
      </c>
      <c r="N222" s="70">
        <v>12.513999999999999</v>
      </c>
      <c r="O222" s="70">
        <f t="shared" si="34"/>
        <v>18.317000000000004</v>
      </c>
      <c r="P222" s="78">
        <v>1</v>
      </c>
      <c r="Q222" s="70">
        <v>0</v>
      </c>
      <c r="R222" s="78">
        <v>0</v>
      </c>
      <c r="S222" s="70">
        <v>0</v>
      </c>
      <c r="T222" s="70">
        <v>1</v>
      </c>
      <c r="U222" s="70">
        <v>1</v>
      </c>
      <c r="V222" s="70">
        <v>0</v>
      </c>
      <c r="W222" s="78">
        <v>0</v>
      </c>
      <c r="X222" s="70">
        <v>1</v>
      </c>
      <c r="Y222" s="69">
        <v>1985</v>
      </c>
      <c r="Z222" s="28" t="s">
        <v>45</v>
      </c>
      <c r="AA222" t="s">
        <v>45</v>
      </c>
      <c r="AB222" s="28">
        <v>0.46800000000000003</v>
      </c>
      <c r="AC222">
        <f t="shared" si="35"/>
        <v>0.53200000000000003</v>
      </c>
      <c r="AD222" s="28" t="s">
        <v>45</v>
      </c>
      <c r="AE222" t="s">
        <v>45</v>
      </c>
      <c r="AF222">
        <v>0</v>
      </c>
      <c r="AG222">
        <v>1</v>
      </c>
      <c r="AH222" s="28">
        <v>0.75900000000000001</v>
      </c>
      <c r="AI222" s="12">
        <f t="shared" si="30"/>
        <v>0.24099999999999999</v>
      </c>
      <c r="AJ222">
        <v>1</v>
      </c>
      <c r="AK222">
        <v>0</v>
      </c>
      <c r="AL222">
        <v>0</v>
      </c>
      <c r="AM222" s="28" t="s">
        <v>304</v>
      </c>
      <c r="AN222">
        <v>1</v>
      </c>
      <c r="AO222">
        <v>0</v>
      </c>
      <c r="AP222">
        <v>17464</v>
      </c>
      <c r="AQ222">
        <v>1807</v>
      </c>
      <c r="AR222">
        <v>0.92300000000000004</v>
      </c>
      <c r="AS222" s="64">
        <v>36.831000000000003</v>
      </c>
      <c r="AT222">
        <v>0</v>
      </c>
      <c r="AU222">
        <v>0</v>
      </c>
      <c r="AV222">
        <v>0</v>
      </c>
      <c r="AW222">
        <v>0</v>
      </c>
      <c r="AX222">
        <v>0</v>
      </c>
      <c r="AY222">
        <v>1</v>
      </c>
      <c r="AZ222" s="28">
        <v>1</v>
      </c>
      <c r="BA222">
        <v>0</v>
      </c>
      <c r="BB222">
        <v>0</v>
      </c>
      <c r="BC222" s="28">
        <v>1</v>
      </c>
      <c r="BD222">
        <v>0</v>
      </c>
      <c r="BE222">
        <v>0</v>
      </c>
      <c r="BF222">
        <v>0</v>
      </c>
      <c r="BG222">
        <v>1</v>
      </c>
      <c r="BH222">
        <v>1</v>
      </c>
      <c r="BI222">
        <v>0</v>
      </c>
      <c r="BJ222">
        <v>0</v>
      </c>
      <c r="BK222" s="16">
        <v>0</v>
      </c>
      <c r="BL222">
        <v>0.29799999999999999</v>
      </c>
      <c r="BM222">
        <v>19</v>
      </c>
      <c r="BN222">
        <v>1</v>
      </c>
      <c r="BO222">
        <v>0</v>
      </c>
      <c r="BP222">
        <v>10</v>
      </c>
      <c r="BQ222" t="s">
        <v>34</v>
      </c>
    </row>
    <row r="223" spans="1:69" x14ac:dyDescent="0.25">
      <c r="A223">
        <v>222</v>
      </c>
      <c r="B223">
        <v>12</v>
      </c>
      <c r="C223" t="s">
        <v>263</v>
      </c>
      <c r="D223" s="79">
        <v>7.6</v>
      </c>
      <c r="E223" s="6">
        <v>1.5</v>
      </c>
      <c r="F223" s="6">
        <f t="shared" si="33"/>
        <v>5.0666666666666664</v>
      </c>
      <c r="G223" s="78">
        <v>0</v>
      </c>
      <c r="H223" s="70">
        <v>0</v>
      </c>
      <c r="I223" s="70">
        <v>1</v>
      </c>
      <c r="J223" s="78">
        <v>568</v>
      </c>
      <c r="K223" s="70">
        <v>5</v>
      </c>
      <c r="L223" s="70">
        <f t="shared" si="31"/>
        <v>562</v>
      </c>
      <c r="M223" s="60">
        <f t="shared" si="32"/>
        <v>22</v>
      </c>
      <c r="N223" s="70">
        <v>12.695</v>
      </c>
      <c r="O223" s="70">
        <f t="shared" si="34"/>
        <v>16.643000000000001</v>
      </c>
      <c r="P223" s="78">
        <v>1</v>
      </c>
      <c r="Q223" s="70">
        <v>0</v>
      </c>
      <c r="R223" s="78">
        <v>0</v>
      </c>
      <c r="S223" s="70">
        <v>0</v>
      </c>
      <c r="T223" s="70">
        <v>1</v>
      </c>
      <c r="U223" s="70">
        <v>1</v>
      </c>
      <c r="V223" s="70">
        <v>0</v>
      </c>
      <c r="W223" s="78">
        <v>0</v>
      </c>
      <c r="X223" s="70">
        <v>1</v>
      </c>
      <c r="Y223" s="69">
        <v>1985</v>
      </c>
      <c r="Z223" s="28" t="s">
        <v>45</v>
      </c>
      <c r="AA223" t="s">
        <v>45</v>
      </c>
      <c r="AB223" s="28">
        <v>0.505</v>
      </c>
      <c r="AC223">
        <f t="shared" si="35"/>
        <v>0.495</v>
      </c>
      <c r="AD223" s="28" t="s">
        <v>45</v>
      </c>
      <c r="AE223" t="s">
        <v>45</v>
      </c>
      <c r="AF223">
        <v>0</v>
      </c>
      <c r="AG223">
        <v>1</v>
      </c>
      <c r="AH223" s="28">
        <v>0.72199999999999998</v>
      </c>
      <c r="AI223" s="12">
        <f t="shared" si="30"/>
        <v>0.27800000000000002</v>
      </c>
      <c r="AJ223">
        <v>0</v>
      </c>
      <c r="AK223">
        <v>1</v>
      </c>
      <c r="AL223">
        <v>0</v>
      </c>
      <c r="AM223" s="28" t="s">
        <v>304</v>
      </c>
      <c r="AN223">
        <v>1</v>
      </c>
      <c r="AO223">
        <v>0</v>
      </c>
      <c r="AP223">
        <v>17464</v>
      </c>
      <c r="AQ223">
        <v>1807</v>
      </c>
      <c r="AR223">
        <v>0.92300000000000004</v>
      </c>
      <c r="AS223" s="64">
        <v>35.338000000000001</v>
      </c>
      <c r="AT223">
        <v>0</v>
      </c>
      <c r="AU223">
        <v>0</v>
      </c>
      <c r="AV223">
        <v>0</v>
      </c>
      <c r="AW223">
        <v>0</v>
      </c>
      <c r="AX223">
        <v>0</v>
      </c>
      <c r="AY223">
        <v>1</v>
      </c>
      <c r="AZ223" s="28">
        <v>1</v>
      </c>
      <c r="BA223">
        <v>0</v>
      </c>
      <c r="BB223">
        <v>0</v>
      </c>
      <c r="BC223" s="28">
        <v>1</v>
      </c>
      <c r="BD223">
        <v>0</v>
      </c>
      <c r="BE223">
        <v>0</v>
      </c>
      <c r="BF223">
        <v>0</v>
      </c>
      <c r="BG223">
        <v>1</v>
      </c>
      <c r="BH223">
        <v>1</v>
      </c>
      <c r="BI223">
        <v>0</v>
      </c>
      <c r="BJ223">
        <v>0</v>
      </c>
      <c r="BK223" s="16">
        <v>0</v>
      </c>
      <c r="BL223">
        <v>0.29799999999999999</v>
      </c>
      <c r="BM223">
        <v>19</v>
      </c>
      <c r="BN223">
        <v>1</v>
      </c>
      <c r="BO223">
        <v>0</v>
      </c>
      <c r="BP223">
        <v>10</v>
      </c>
      <c r="BQ223" t="s">
        <v>34</v>
      </c>
    </row>
    <row r="224" spans="1:69" x14ac:dyDescent="0.25">
      <c r="A224">
        <v>223</v>
      </c>
      <c r="B224">
        <v>12</v>
      </c>
      <c r="C224" t="s">
        <v>263</v>
      </c>
      <c r="D224" s="79">
        <v>7.7</v>
      </c>
      <c r="E224" s="6">
        <v>1.4</v>
      </c>
      <c r="F224" s="6">
        <f t="shared" si="33"/>
        <v>5.5000000000000009</v>
      </c>
      <c r="G224" s="78">
        <v>0</v>
      </c>
      <c r="H224" s="70">
        <v>0</v>
      </c>
      <c r="I224" s="70">
        <v>1</v>
      </c>
      <c r="J224" s="78">
        <v>568</v>
      </c>
      <c r="K224" s="70">
        <v>5</v>
      </c>
      <c r="L224" s="70">
        <f t="shared" si="31"/>
        <v>562</v>
      </c>
      <c r="M224" s="60">
        <f t="shared" si="32"/>
        <v>22</v>
      </c>
      <c r="N224" s="70">
        <v>12.695</v>
      </c>
      <c r="O224" s="70">
        <f t="shared" si="34"/>
        <v>16.643000000000001</v>
      </c>
      <c r="P224" s="78">
        <v>1</v>
      </c>
      <c r="Q224" s="70">
        <v>0</v>
      </c>
      <c r="R224" s="78">
        <v>0</v>
      </c>
      <c r="S224" s="70">
        <v>0</v>
      </c>
      <c r="T224" s="70">
        <v>1</v>
      </c>
      <c r="U224" s="70">
        <v>1</v>
      </c>
      <c r="V224" s="70">
        <v>0</v>
      </c>
      <c r="W224" s="78">
        <v>0</v>
      </c>
      <c r="X224" s="70">
        <v>1</v>
      </c>
      <c r="Y224" s="69">
        <v>1985</v>
      </c>
      <c r="Z224" s="28" t="s">
        <v>45</v>
      </c>
      <c r="AA224" t="s">
        <v>45</v>
      </c>
      <c r="AB224" s="28">
        <v>0.505</v>
      </c>
      <c r="AC224">
        <f t="shared" si="35"/>
        <v>0.495</v>
      </c>
      <c r="AD224" s="28" t="s">
        <v>45</v>
      </c>
      <c r="AE224" t="s">
        <v>45</v>
      </c>
      <c r="AF224">
        <v>0</v>
      </c>
      <c r="AG224">
        <v>1</v>
      </c>
      <c r="AH224" s="28">
        <v>0.72199999999999998</v>
      </c>
      <c r="AI224" s="12">
        <f t="shared" si="30"/>
        <v>0.27800000000000002</v>
      </c>
      <c r="AJ224">
        <v>0</v>
      </c>
      <c r="AK224">
        <v>1</v>
      </c>
      <c r="AL224">
        <v>0</v>
      </c>
      <c r="AM224" s="28" t="s">
        <v>304</v>
      </c>
      <c r="AN224">
        <v>1</v>
      </c>
      <c r="AO224">
        <v>0</v>
      </c>
      <c r="AP224">
        <v>17464</v>
      </c>
      <c r="AQ224">
        <v>1807</v>
      </c>
      <c r="AR224">
        <v>0.92300000000000004</v>
      </c>
      <c r="AS224" s="64">
        <v>35.338000000000001</v>
      </c>
      <c r="AT224">
        <v>0</v>
      </c>
      <c r="AU224">
        <v>0</v>
      </c>
      <c r="AV224">
        <v>0</v>
      </c>
      <c r="AW224">
        <v>0</v>
      </c>
      <c r="AX224">
        <v>0</v>
      </c>
      <c r="AY224">
        <v>1</v>
      </c>
      <c r="AZ224" s="28">
        <v>1</v>
      </c>
      <c r="BA224">
        <v>0</v>
      </c>
      <c r="BB224">
        <v>0</v>
      </c>
      <c r="BC224" s="28">
        <v>1</v>
      </c>
      <c r="BD224">
        <v>0</v>
      </c>
      <c r="BE224">
        <v>0</v>
      </c>
      <c r="BF224">
        <v>0</v>
      </c>
      <c r="BG224">
        <v>1</v>
      </c>
      <c r="BH224">
        <v>1</v>
      </c>
      <c r="BI224">
        <v>0</v>
      </c>
      <c r="BJ224">
        <v>0</v>
      </c>
      <c r="BK224" s="16">
        <v>0</v>
      </c>
      <c r="BL224">
        <v>0.29799999999999999</v>
      </c>
      <c r="BM224">
        <v>19</v>
      </c>
      <c r="BN224">
        <v>1</v>
      </c>
      <c r="BO224">
        <v>0</v>
      </c>
      <c r="BP224">
        <v>10</v>
      </c>
      <c r="BQ224" t="s">
        <v>34</v>
      </c>
    </row>
    <row r="225" spans="1:69" x14ac:dyDescent="0.25">
      <c r="A225">
        <v>224</v>
      </c>
      <c r="B225">
        <v>13</v>
      </c>
      <c r="C225" t="s">
        <v>269</v>
      </c>
      <c r="D225" s="79">
        <v>4.5</v>
      </c>
      <c r="E225" s="6">
        <v>0.2</v>
      </c>
      <c r="F225" s="6">
        <f t="shared" si="33"/>
        <v>22.5</v>
      </c>
      <c r="G225" s="78">
        <v>0</v>
      </c>
      <c r="H225" s="70">
        <v>0</v>
      </c>
      <c r="I225" s="70">
        <v>1</v>
      </c>
      <c r="J225" s="78">
        <v>2214</v>
      </c>
      <c r="K225" s="70">
        <v>6</v>
      </c>
      <c r="L225" s="70">
        <f t="shared" si="31"/>
        <v>2207</v>
      </c>
      <c r="M225" s="60">
        <f t="shared" si="32"/>
        <v>13</v>
      </c>
      <c r="N225" s="6">
        <v>11.3</v>
      </c>
      <c r="O225" s="6">
        <f t="shared" si="34"/>
        <v>29.519999999999996</v>
      </c>
      <c r="P225" s="78">
        <v>1</v>
      </c>
      <c r="Q225" s="70">
        <v>0</v>
      </c>
      <c r="R225" s="78">
        <v>0</v>
      </c>
      <c r="S225" s="70">
        <v>0</v>
      </c>
      <c r="T225" s="70">
        <v>1</v>
      </c>
      <c r="U225" s="70">
        <v>1</v>
      </c>
      <c r="V225" s="70">
        <v>0</v>
      </c>
      <c r="W225" s="78">
        <v>0</v>
      </c>
      <c r="X225" s="70">
        <v>1</v>
      </c>
      <c r="Y225" s="69">
        <v>1990</v>
      </c>
      <c r="Z225" s="28" t="s">
        <v>45</v>
      </c>
      <c r="AA225" t="s">
        <v>45</v>
      </c>
      <c r="AB225" s="28">
        <v>0.54</v>
      </c>
      <c r="AC225">
        <f t="shared" si="35"/>
        <v>0.45999999999999996</v>
      </c>
      <c r="AD225" s="28">
        <v>1</v>
      </c>
      <c r="AE225">
        <v>0</v>
      </c>
      <c r="AF225">
        <v>1</v>
      </c>
      <c r="AG225">
        <v>0</v>
      </c>
      <c r="AH225" s="28">
        <v>0.67</v>
      </c>
      <c r="AI225" s="12">
        <f t="shared" si="30"/>
        <v>0.32999999999999996</v>
      </c>
      <c r="AJ225">
        <v>0.42499999999999999</v>
      </c>
      <c r="AK225">
        <v>0.57499999999999996</v>
      </c>
      <c r="AL225">
        <v>0</v>
      </c>
      <c r="AM225" s="28" t="s">
        <v>321</v>
      </c>
      <c r="AN225">
        <v>1</v>
      </c>
      <c r="AO225">
        <v>0</v>
      </c>
      <c r="AP225">
        <v>16476</v>
      </c>
      <c r="AQ225">
        <v>1012</v>
      </c>
      <c r="AR225">
        <v>0.95099999999999996</v>
      </c>
      <c r="AS225" s="64">
        <v>46.82</v>
      </c>
      <c r="AT225">
        <v>1</v>
      </c>
      <c r="AU225">
        <v>0</v>
      </c>
      <c r="AV225">
        <v>0</v>
      </c>
      <c r="AW225">
        <v>0</v>
      </c>
      <c r="AX225">
        <v>0</v>
      </c>
      <c r="AY225">
        <v>0</v>
      </c>
      <c r="AZ225" s="28">
        <v>0</v>
      </c>
      <c r="BA225">
        <v>0</v>
      </c>
      <c r="BB225">
        <v>0</v>
      </c>
      <c r="BC225" s="28">
        <v>1</v>
      </c>
      <c r="BD225">
        <v>1</v>
      </c>
      <c r="BE225">
        <v>0</v>
      </c>
      <c r="BF225">
        <v>0</v>
      </c>
      <c r="BG225">
        <v>1</v>
      </c>
      <c r="BH225">
        <v>1</v>
      </c>
      <c r="BI225">
        <v>0</v>
      </c>
      <c r="BJ225">
        <v>0</v>
      </c>
      <c r="BK225" s="16">
        <v>0</v>
      </c>
      <c r="BL225">
        <v>0.52800000000000002</v>
      </c>
      <c r="BM225">
        <v>177</v>
      </c>
      <c r="BN225">
        <v>1</v>
      </c>
      <c r="BO225">
        <v>0</v>
      </c>
      <c r="BP225">
        <v>5</v>
      </c>
      <c r="BQ225" t="s">
        <v>34</v>
      </c>
    </row>
    <row r="226" spans="1:69" x14ac:dyDescent="0.25">
      <c r="A226">
        <v>225</v>
      </c>
      <c r="B226">
        <v>13</v>
      </c>
      <c r="C226" t="s">
        <v>269</v>
      </c>
      <c r="D226" s="79">
        <v>4.5999999999999996</v>
      </c>
      <c r="E226" s="6">
        <v>0.1</v>
      </c>
      <c r="F226" s="6">
        <f t="shared" si="33"/>
        <v>45.999999999999993</v>
      </c>
      <c r="G226" s="78">
        <v>0</v>
      </c>
      <c r="H226" s="70">
        <v>0</v>
      </c>
      <c r="I226" s="70">
        <v>1</v>
      </c>
      <c r="J226" s="78">
        <v>4984</v>
      </c>
      <c r="K226" s="70">
        <v>6</v>
      </c>
      <c r="L226" s="70">
        <f t="shared" si="31"/>
        <v>4977</v>
      </c>
      <c r="M226" s="60">
        <f t="shared" si="32"/>
        <v>13</v>
      </c>
      <c r="N226" s="6">
        <v>11.54</v>
      </c>
      <c r="O226" s="6">
        <f t="shared" si="34"/>
        <v>26.560000000000002</v>
      </c>
      <c r="P226" s="78">
        <v>1</v>
      </c>
      <c r="Q226" s="70">
        <v>0</v>
      </c>
      <c r="R226" s="78">
        <v>0</v>
      </c>
      <c r="S226" s="70">
        <v>0</v>
      </c>
      <c r="T226" s="70">
        <v>1</v>
      </c>
      <c r="U226" s="70">
        <v>1</v>
      </c>
      <c r="V226" s="70">
        <v>0</v>
      </c>
      <c r="W226" s="78">
        <v>0</v>
      </c>
      <c r="X226" s="70">
        <v>1</v>
      </c>
      <c r="Y226" s="69">
        <v>1990</v>
      </c>
      <c r="Z226" s="28" t="s">
        <v>45</v>
      </c>
      <c r="AA226" t="s">
        <v>45</v>
      </c>
      <c r="AB226" s="28">
        <v>0.52</v>
      </c>
      <c r="AC226">
        <f t="shared" si="35"/>
        <v>0.48</v>
      </c>
      <c r="AD226" s="28">
        <v>1</v>
      </c>
      <c r="AE226">
        <v>0</v>
      </c>
      <c r="AF226">
        <v>1</v>
      </c>
      <c r="AG226">
        <v>0</v>
      </c>
      <c r="AH226" s="28">
        <v>0.66</v>
      </c>
      <c r="AI226" s="12">
        <f t="shared" si="30"/>
        <v>0.33999999999999997</v>
      </c>
      <c r="AJ226">
        <v>1</v>
      </c>
      <c r="AK226">
        <v>0</v>
      </c>
      <c r="AL226">
        <v>0</v>
      </c>
      <c r="AM226" s="28" t="s">
        <v>321</v>
      </c>
      <c r="AN226">
        <v>1</v>
      </c>
      <c r="AO226">
        <v>0</v>
      </c>
      <c r="AP226">
        <v>16476</v>
      </c>
      <c r="AQ226">
        <v>1012</v>
      </c>
      <c r="AR226">
        <v>0.95099999999999996</v>
      </c>
      <c r="AS226" s="64">
        <v>44.1</v>
      </c>
      <c r="AT226">
        <v>1</v>
      </c>
      <c r="AU226">
        <v>0</v>
      </c>
      <c r="AV226">
        <v>0</v>
      </c>
      <c r="AW226">
        <v>0</v>
      </c>
      <c r="AX226">
        <v>0</v>
      </c>
      <c r="AY226">
        <v>0</v>
      </c>
      <c r="AZ226" s="28">
        <v>0</v>
      </c>
      <c r="BA226">
        <v>0</v>
      </c>
      <c r="BB226">
        <v>0</v>
      </c>
      <c r="BC226" s="28">
        <v>1</v>
      </c>
      <c r="BD226">
        <v>1</v>
      </c>
      <c r="BE226">
        <v>0</v>
      </c>
      <c r="BF226">
        <v>0</v>
      </c>
      <c r="BG226">
        <v>1</v>
      </c>
      <c r="BH226">
        <v>1</v>
      </c>
      <c r="BI226">
        <v>0</v>
      </c>
      <c r="BJ226">
        <v>0</v>
      </c>
      <c r="BK226" s="16">
        <v>0</v>
      </c>
      <c r="BL226">
        <v>0.52800000000000002</v>
      </c>
      <c r="BM226">
        <v>177</v>
      </c>
      <c r="BN226">
        <v>1</v>
      </c>
      <c r="BO226">
        <v>0</v>
      </c>
      <c r="BP226">
        <v>5</v>
      </c>
      <c r="BQ226" t="s">
        <v>34</v>
      </c>
    </row>
    <row r="227" spans="1:69" x14ac:dyDescent="0.25">
      <c r="A227">
        <v>226</v>
      </c>
      <c r="B227">
        <v>13</v>
      </c>
      <c r="C227" t="s">
        <v>269</v>
      </c>
      <c r="D227" s="79">
        <v>4.7</v>
      </c>
      <c r="E227" s="6">
        <v>0.1</v>
      </c>
      <c r="F227" s="6">
        <f t="shared" si="33"/>
        <v>47</v>
      </c>
      <c r="G227" s="78">
        <v>0</v>
      </c>
      <c r="H227" s="70">
        <v>0</v>
      </c>
      <c r="I227" s="70">
        <v>1</v>
      </c>
      <c r="J227" s="78">
        <v>6736</v>
      </c>
      <c r="K227" s="70">
        <v>6</v>
      </c>
      <c r="L227" s="70">
        <f t="shared" si="31"/>
        <v>6729</v>
      </c>
      <c r="M227" s="60">
        <f t="shared" si="32"/>
        <v>13</v>
      </c>
      <c r="N227" s="6">
        <v>11.36</v>
      </c>
      <c r="O227" s="6">
        <f t="shared" si="34"/>
        <v>26.5</v>
      </c>
      <c r="P227" s="78">
        <v>1</v>
      </c>
      <c r="Q227" s="70">
        <v>0</v>
      </c>
      <c r="R227" s="78">
        <v>0</v>
      </c>
      <c r="S227" s="70">
        <v>0</v>
      </c>
      <c r="T227" s="70">
        <v>1</v>
      </c>
      <c r="U227" s="70">
        <v>1</v>
      </c>
      <c r="V227" s="70">
        <v>0</v>
      </c>
      <c r="W227" s="78">
        <v>0</v>
      </c>
      <c r="X227" s="70">
        <v>1</v>
      </c>
      <c r="Y227" s="69">
        <v>1990</v>
      </c>
      <c r="Z227" s="28" t="s">
        <v>45</v>
      </c>
      <c r="AA227" t="s">
        <v>45</v>
      </c>
      <c r="AB227" s="28">
        <v>0.57999999999999996</v>
      </c>
      <c r="AC227">
        <f t="shared" si="35"/>
        <v>0.42000000000000004</v>
      </c>
      <c r="AD227" s="28">
        <v>1</v>
      </c>
      <c r="AE227">
        <v>0</v>
      </c>
      <c r="AF227">
        <v>1</v>
      </c>
      <c r="AG227">
        <v>0</v>
      </c>
      <c r="AH227" s="28">
        <v>0.66</v>
      </c>
      <c r="AI227" s="12">
        <f t="shared" si="30"/>
        <v>0.33999999999999997</v>
      </c>
      <c r="AJ227">
        <v>0</v>
      </c>
      <c r="AK227">
        <v>1</v>
      </c>
      <c r="AL227">
        <v>0</v>
      </c>
      <c r="AM227" s="28" t="s">
        <v>321</v>
      </c>
      <c r="AN227">
        <v>1</v>
      </c>
      <c r="AO227">
        <v>0</v>
      </c>
      <c r="AP227">
        <v>16476</v>
      </c>
      <c r="AQ227">
        <v>1012</v>
      </c>
      <c r="AR227">
        <v>0.95099999999999996</v>
      </c>
      <c r="AS227" s="64">
        <v>43.86</v>
      </c>
      <c r="AT227">
        <v>1</v>
      </c>
      <c r="AU227">
        <v>0</v>
      </c>
      <c r="AV227">
        <v>0</v>
      </c>
      <c r="AW227">
        <v>0</v>
      </c>
      <c r="AX227">
        <v>0</v>
      </c>
      <c r="AY227">
        <v>0</v>
      </c>
      <c r="AZ227" s="28">
        <v>0</v>
      </c>
      <c r="BA227">
        <v>0</v>
      </c>
      <c r="BB227">
        <v>0</v>
      </c>
      <c r="BC227" s="28">
        <v>1</v>
      </c>
      <c r="BD227">
        <v>1</v>
      </c>
      <c r="BE227">
        <v>0</v>
      </c>
      <c r="BF227">
        <v>0</v>
      </c>
      <c r="BG227">
        <v>1</v>
      </c>
      <c r="BH227">
        <v>1</v>
      </c>
      <c r="BI227">
        <v>0</v>
      </c>
      <c r="BJ227">
        <v>0</v>
      </c>
      <c r="BK227" s="16">
        <v>0</v>
      </c>
      <c r="BL227">
        <v>0.52800000000000002</v>
      </c>
      <c r="BM227">
        <v>177</v>
      </c>
      <c r="BN227">
        <v>1</v>
      </c>
      <c r="BO227">
        <v>0</v>
      </c>
      <c r="BP227">
        <v>5</v>
      </c>
      <c r="BQ227" t="s">
        <v>34</v>
      </c>
    </row>
    <row r="228" spans="1:69" x14ac:dyDescent="0.25">
      <c r="A228">
        <v>227</v>
      </c>
      <c r="B228">
        <v>13</v>
      </c>
      <c r="C228" t="s">
        <v>269</v>
      </c>
      <c r="D228" s="79">
        <v>2.2000000000000002</v>
      </c>
      <c r="E228" s="6">
        <v>0.2</v>
      </c>
      <c r="F228" s="6">
        <f t="shared" si="33"/>
        <v>11</v>
      </c>
      <c r="G228" s="78">
        <v>0</v>
      </c>
      <c r="H228" s="70">
        <v>0</v>
      </c>
      <c r="I228" s="70">
        <v>1</v>
      </c>
      <c r="J228" s="78">
        <v>4984</v>
      </c>
      <c r="K228" s="70">
        <v>6</v>
      </c>
      <c r="L228" s="70">
        <f t="shared" si="31"/>
        <v>4977</v>
      </c>
      <c r="M228" s="60">
        <f t="shared" si="32"/>
        <v>13</v>
      </c>
      <c r="N228" s="6">
        <v>11.54</v>
      </c>
      <c r="O228" s="6">
        <f t="shared" si="34"/>
        <v>26.560000000000002</v>
      </c>
      <c r="P228" s="78">
        <v>1</v>
      </c>
      <c r="Q228" s="70">
        <v>0</v>
      </c>
      <c r="R228" s="78">
        <v>0</v>
      </c>
      <c r="S228" s="70">
        <v>0</v>
      </c>
      <c r="T228" s="70">
        <v>1</v>
      </c>
      <c r="U228" s="70">
        <v>1</v>
      </c>
      <c r="V228" s="70">
        <v>0</v>
      </c>
      <c r="W228" s="78">
        <v>0</v>
      </c>
      <c r="X228" s="70">
        <v>1</v>
      </c>
      <c r="Y228" s="69">
        <v>1990</v>
      </c>
      <c r="Z228" s="28" t="s">
        <v>45</v>
      </c>
      <c r="AA228" t="s">
        <v>45</v>
      </c>
      <c r="AB228" s="28">
        <v>0.52</v>
      </c>
      <c r="AC228">
        <f t="shared" si="35"/>
        <v>0.48</v>
      </c>
      <c r="AD228" s="28">
        <v>1</v>
      </c>
      <c r="AE228">
        <v>0</v>
      </c>
      <c r="AF228">
        <v>1</v>
      </c>
      <c r="AG228">
        <v>0</v>
      </c>
      <c r="AH228" s="28">
        <v>0.66</v>
      </c>
      <c r="AI228" s="12">
        <f t="shared" si="30"/>
        <v>0.33999999999999997</v>
      </c>
      <c r="AJ228">
        <v>1</v>
      </c>
      <c r="AK228">
        <v>0</v>
      </c>
      <c r="AL228">
        <v>0</v>
      </c>
      <c r="AM228" s="28" t="s">
        <v>321</v>
      </c>
      <c r="AN228">
        <v>1</v>
      </c>
      <c r="AO228">
        <v>0</v>
      </c>
      <c r="AP228">
        <v>16476</v>
      </c>
      <c r="AQ228">
        <v>1012</v>
      </c>
      <c r="AR228">
        <v>0.95099999999999996</v>
      </c>
      <c r="AS228" s="64">
        <v>44.1</v>
      </c>
      <c r="AT228">
        <v>0</v>
      </c>
      <c r="AU228">
        <v>0</v>
      </c>
      <c r="AV228">
        <v>1</v>
      </c>
      <c r="AW228">
        <v>0</v>
      </c>
      <c r="AX228">
        <v>0</v>
      </c>
      <c r="AY228">
        <v>0</v>
      </c>
      <c r="AZ228" s="28">
        <v>0</v>
      </c>
      <c r="BA228">
        <v>0</v>
      </c>
      <c r="BB228">
        <v>0</v>
      </c>
      <c r="BC228" s="28">
        <v>1</v>
      </c>
      <c r="BD228">
        <v>1</v>
      </c>
      <c r="BE228">
        <v>0</v>
      </c>
      <c r="BF228">
        <v>0</v>
      </c>
      <c r="BG228">
        <v>1</v>
      </c>
      <c r="BH228">
        <v>1</v>
      </c>
      <c r="BI228">
        <v>0</v>
      </c>
      <c r="BJ228">
        <v>0</v>
      </c>
      <c r="BK228" s="16">
        <v>0</v>
      </c>
      <c r="BL228">
        <v>0.52800000000000002</v>
      </c>
      <c r="BM228">
        <v>177</v>
      </c>
      <c r="BN228">
        <v>1</v>
      </c>
      <c r="BO228">
        <v>0</v>
      </c>
      <c r="BP228">
        <v>5</v>
      </c>
      <c r="BQ228" t="s">
        <v>34</v>
      </c>
    </row>
    <row r="229" spans="1:69" x14ac:dyDescent="0.25">
      <c r="A229">
        <v>228</v>
      </c>
      <c r="B229">
        <v>13</v>
      </c>
      <c r="C229" t="s">
        <v>269</v>
      </c>
      <c r="D229" s="79">
        <v>3.9</v>
      </c>
      <c r="E229" s="6">
        <v>0.2</v>
      </c>
      <c r="F229" s="6">
        <f t="shared" si="33"/>
        <v>19.5</v>
      </c>
      <c r="G229" s="78">
        <v>0</v>
      </c>
      <c r="H229" s="70">
        <v>0</v>
      </c>
      <c r="I229" s="70">
        <v>1</v>
      </c>
      <c r="J229" s="78">
        <v>6736</v>
      </c>
      <c r="K229" s="70">
        <v>6</v>
      </c>
      <c r="L229" s="70">
        <f t="shared" si="31"/>
        <v>6729</v>
      </c>
      <c r="M229" s="60">
        <f t="shared" si="32"/>
        <v>13</v>
      </c>
      <c r="N229" s="6">
        <v>11.36</v>
      </c>
      <c r="O229" s="6">
        <f t="shared" si="34"/>
        <v>26.5</v>
      </c>
      <c r="P229" s="78">
        <v>1</v>
      </c>
      <c r="Q229" s="70">
        <v>0</v>
      </c>
      <c r="R229" s="78">
        <v>0</v>
      </c>
      <c r="S229" s="70">
        <v>0</v>
      </c>
      <c r="T229" s="70">
        <v>1</v>
      </c>
      <c r="U229" s="70">
        <v>1</v>
      </c>
      <c r="V229" s="70">
        <v>0</v>
      </c>
      <c r="W229" s="78">
        <v>0</v>
      </c>
      <c r="X229" s="70">
        <v>1</v>
      </c>
      <c r="Y229" s="69">
        <v>1990</v>
      </c>
      <c r="Z229" s="28" t="s">
        <v>45</v>
      </c>
      <c r="AA229" t="s">
        <v>45</v>
      </c>
      <c r="AB229" s="28">
        <v>0.57999999999999996</v>
      </c>
      <c r="AC229">
        <f t="shared" si="35"/>
        <v>0.42000000000000004</v>
      </c>
      <c r="AD229" s="28">
        <v>1</v>
      </c>
      <c r="AE229">
        <v>0</v>
      </c>
      <c r="AF229">
        <v>1</v>
      </c>
      <c r="AG229">
        <v>0</v>
      </c>
      <c r="AH229" s="28">
        <v>0.66</v>
      </c>
      <c r="AI229" s="12">
        <f t="shared" si="30"/>
        <v>0.33999999999999997</v>
      </c>
      <c r="AJ229">
        <v>0</v>
      </c>
      <c r="AK229">
        <v>1</v>
      </c>
      <c r="AL229">
        <v>0</v>
      </c>
      <c r="AM229" s="28" t="s">
        <v>321</v>
      </c>
      <c r="AN229">
        <v>1</v>
      </c>
      <c r="AO229">
        <v>0</v>
      </c>
      <c r="AP229">
        <v>16476</v>
      </c>
      <c r="AQ229">
        <v>1012</v>
      </c>
      <c r="AR229">
        <v>0.95099999999999996</v>
      </c>
      <c r="AS229" s="64">
        <v>43.86</v>
      </c>
      <c r="AT229">
        <v>0</v>
      </c>
      <c r="AU229">
        <v>0</v>
      </c>
      <c r="AV229">
        <v>1</v>
      </c>
      <c r="AW229">
        <v>0</v>
      </c>
      <c r="AX229">
        <v>0</v>
      </c>
      <c r="AY229">
        <v>0</v>
      </c>
      <c r="AZ229" s="28">
        <v>0</v>
      </c>
      <c r="BA229">
        <v>0</v>
      </c>
      <c r="BB229">
        <v>0</v>
      </c>
      <c r="BC229" s="28">
        <v>1</v>
      </c>
      <c r="BD229">
        <v>1</v>
      </c>
      <c r="BE229">
        <v>0</v>
      </c>
      <c r="BF229">
        <v>0</v>
      </c>
      <c r="BG229">
        <v>1</v>
      </c>
      <c r="BH229">
        <v>1</v>
      </c>
      <c r="BI229">
        <v>0</v>
      </c>
      <c r="BJ229">
        <v>0</v>
      </c>
      <c r="BK229" s="16">
        <v>0</v>
      </c>
      <c r="BL229">
        <v>0.52800000000000002</v>
      </c>
      <c r="BM229">
        <v>177</v>
      </c>
      <c r="BN229">
        <v>1</v>
      </c>
      <c r="BO229">
        <v>0</v>
      </c>
      <c r="BP229">
        <v>5</v>
      </c>
      <c r="BQ229" t="s">
        <v>34</v>
      </c>
    </row>
    <row r="230" spans="1:69" x14ac:dyDescent="0.25">
      <c r="A230">
        <v>229</v>
      </c>
      <c r="B230">
        <v>13</v>
      </c>
      <c r="C230" t="s">
        <v>269</v>
      </c>
      <c r="D230" s="79">
        <v>2.7</v>
      </c>
      <c r="E230" s="6">
        <v>0.3</v>
      </c>
      <c r="F230" s="6">
        <f t="shared" si="33"/>
        <v>9.0000000000000018</v>
      </c>
      <c r="G230" s="78">
        <v>0</v>
      </c>
      <c r="H230" s="70">
        <v>0</v>
      </c>
      <c r="I230" s="70">
        <v>1</v>
      </c>
      <c r="J230" s="78">
        <v>4984</v>
      </c>
      <c r="K230" s="70">
        <v>6</v>
      </c>
      <c r="L230" s="70">
        <f t="shared" si="31"/>
        <v>4977</v>
      </c>
      <c r="M230" s="60">
        <f t="shared" si="32"/>
        <v>13</v>
      </c>
      <c r="N230" s="6">
        <v>11.54</v>
      </c>
      <c r="O230" s="6">
        <f t="shared" si="34"/>
        <v>26.560000000000002</v>
      </c>
      <c r="P230" s="78">
        <v>1</v>
      </c>
      <c r="Q230" s="70">
        <v>0</v>
      </c>
      <c r="R230" s="78">
        <v>0</v>
      </c>
      <c r="S230" s="70">
        <v>0</v>
      </c>
      <c r="T230" s="70">
        <v>1</v>
      </c>
      <c r="U230" s="70">
        <v>1</v>
      </c>
      <c r="V230" s="70">
        <v>0</v>
      </c>
      <c r="W230" s="78">
        <v>0</v>
      </c>
      <c r="X230" s="70">
        <v>1</v>
      </c>
      <c r="Y230" s="69">
        <v>1990</v>
      </c>
      <c r="Z230" s="28" t="s">
        <v>45</v>
      </c>
      <c r="AA230" t="s">
        <v>45</v>
      </c>
      <c r="AB230" s="28">
        <v>0.52</v>
      </c>
      <c r="AC230">
        <f t="shared" si="35"/>
        <v>0.48</v>
      </c>
      <c r="AD230" s="28">
        <v>1</v>
      </c>
      <c r="AE230">
        <v>0</v>
      </c>
      <c r="AF230">
        <v>1</v>
      </c>
      <c r="AG230">
        <v>0</v>
      </c>
      <c r="AH230" s="28">
        <v>0.66</v>
      </c>
      <c r="AI230" s="12">
        <f t="shared" si="30"/>
        <v>0.33999999999999997</v>
      </c>
      <c r="AJ230">
        <v>1</v>
      </c>
      <c r="AK230">
        <v>0</v>
      </c>
      <c r="AL230">
        <v>0</v>
      </c>
      <c r="AM230" s="28" t="s">
        <v>321</v>
      </c>
      <c r="AN230">
        <v>1</v>
      </c>
      <c r="AO230">
        <v>0</v>
      </c>
      <c r="AP230">
        <v>16476</v>
      </c>
      <c r="AQ230">
        <v>1012</v>
      </c>
      <c r="AR230">
        <v>0.95099999999999996</v>
      </c>
      <c r="AS230" s="64">
        <v>44.1</v>
      </c>
      <c r="AT230">
        <v>0</v>
      </c>
      <c r="AU230">
        <v>0</v>
      </c>
      <c r="AV230">
        <v>1</v>
      </c>
      <c r="AW230">
        <v>0</v>
      </c>
      <c r="AX230">
        <v>0</v>
      </c>
      <c r="AY230">
        <v>0</v>
      </c>
      <c r="AZ230" s="28">
        <v>0</v>
      </c>
      <c r="BA230">
        <v>0</v>
      </c>
      <c r="BB230">
        <v>0</v>
      </c>
      <c r="BC230" s="28">
        <v>1</v>
      </c>
      <c r="BD230">
        <v>1</v>
      </c>
      <c r="BE230">
        <v>0</v>
      </c>
      <c r="BF230">
        <v>0</v>
      </c>
      <c r="BG230">
        <v>1</v>
      </c>
      <c r="BH230">
        <v>1</v>
      </c>
      <c r="BI230">
        <v>0</v>
      </c>
      <c r="BJ230">
        <v>0</v>
      </c>
      <c r="BK230" s="16">
        <v>0</v>
      </c>
      <c r="BL230">
        <v>0.52800000000000002</v>
      </c>
      <c r="BM230">
        <v>177</v>
      </c>
      <c r="BN230">
        <v>1</v>
      </c>
      <c r="BO230">
        <v>0</v>
      </c>
      <c r="BP230">
        <v>5</v>
      </c>
      <c r="BQ230" t="s">
        <v>34</v>
      </c>
    </row>
    <row r="231" spans="1:69" x14ac:dyDescent="0.25">
      <c r="A231">
        <v>230</v>
      </c>
      <c r="B231">
        <v>13</v>
      </c>
      <c r="C231" t="s">
        <v>269</v>
      </c>
      <c r="D231" s="79">
        <v>4.4000000000000004</v>
      </c>
      <c r="E231" s="6">
        <v>0.2</v>
      </c>
      <c r="F231" s="6">
        <f t="shared" si="33"/>
        <v>22</v>
      </c>
      <c r="G231" s="78">
        <v>0</v>
      </c>
      <c r="H231" s="70">
        <v>0</v>
      </c>
      <c r="I231" s="70">
        <v>1</v>
      </c>
      <c r="J231" s="78">
        <v>6736</v>
      </c>
      <c r="K231" s="70">
        <v>6</v>
      </c>
      <c r="L231" s="70">
        <f t="shared" si="31"/>
        <v>6729</v>
      </c>
      <c r="M231" s="60">
        <f t="shared" si="32"/>
        <v>13</v>
      </c>
      <c r="N231" s="6">
        <v>11.36</v>
      </c>
      <c r="O231" s="6">
        <f t="shared" si="34"/>
        <v>26.5</v>
      </c>
      <c r="P231" s="78">
        <v>1</v>
      </c>
      <c r="Q231" s="70">
        <v>0</v>
      </c>
      <c r="R231" s="78">
        <v>0</v>
      </c>
      <c r="S231" s="70">
        <v>0</v>
      </c>
      <c r="T231" s="70">
        <v>1</v>
      </c>
      <c r="U231" s="70">
        <v>1</v>
      </c>
      <c r="V231" s="70">
        <v>0</v>
      </c>
      <c r="W231" s="78">
        <v>0</v>
      </c>
      <c r="X231" s="70">
        <v>1</v>
      </c>
      <c r="Y231" s="69">
        <v>1990</v>
      </c>
      <c r="Z231" s="28" t="s">
        <v>45</v>
      </c>
      <c r="AA231" t="s">
        <v>45</v>
      </c>
      <c r="AB231" s="28">
        <v>0.57999999999999996</v>
      </c>
      <c r="AC231">
        <f t="shared" si="35"/>
        <v>0.42000000000000004</v>
      </c>
      <c r="AD231" s="28">
        <v>1</v>
      </c>
      <c r="AE231">
        <v>0</v>
      </c>
      <c r="AF231">
        <v>1</v>
      </c>
      <c r="AG231">
        <v>0</v>
      </c>
      <c r="AH231" s="28">
        <v>0.66</v>
      </c>
      <c r="AI231" s="12">
        <f t="shared" si="30"/>
        <v>0.33999999999999997</v>
      </c>
      <c r="AJ231">
        <v>0</v>
      </c>
      <c r="AK231">
        <v>1</v>
      </c>
      <c r="AL231">
        <v>0</v>
      </c>
      <c r="AM231" s="28" t="s">
        <v>321</v>
      </c>
      <c r="AN231">
        <v>1</v>
      </c>
      <c r="AO231">
        <v>0</v>
      </c>
      <c r="AP231">
        <v>16476</v>
      </c>
      <c r="AQ231">
        <v>1012</v>
      </c>
      <c r="AR231">
        <v>0.95099999999999996</v>
      </c>
      <c r="AS231" s="64">
        <v>43.86</v>
      </c>
      <c r="AT231">
        <v>0</v>
      </c>
      <c r="AU231">
        <v>0</v>
      </c>
      <c r="AV231">
        <v>1</v>
      </c>
      <c r="AW231">
        <v>0</v>
      </c>
      <c r="AX231">
        <v>0</v>
      </c>
      <c r="AY231">
        <v>0</v>
      </c>
      <c r="AZ231" s="28">
        <v>0</v>
      </c>
      <c r="BA231">
        <v>0</v>
      </c>
      <c r="BB231">
        <v>0</v>
      </c>
      <c r="BC231" s="28">
        <v>1</v>
      </c>
      <c r="BD231">
        <v>1</v>
      </c>
      <c r="BE231">
        <v>0</v>
      </c>
      <c r="BF231">
        <v>0</v>
      </c>
      <c r="BG231">
        <v>1</v>
      </c>
      <c r="BH231">
        <v>1</v>
      </c>
      <c r="BI231">
        <v>0</v>
      </c>
      <c r="BJ231">
        <v>0</v>
      </c>
      <c r="BK231" s="16">
        <v>0</v>
      </c>
      <c r="BL231">
        <v>0.52800000000000002</v>
      </c>
      <c r="BM231">
        <v>177</v>
      </c>
      <c r="BN231">
        <v>1</v>
      </c>
      <c r="BO231">
        <v>0</v>
      </c>
      <c r="BP231">
        <v>5</v>
      </c>
      <c r="BQ231" t="s">
        <v>34</v>
      </c>
    </row>
    <row r="232" spans="1:69" x14ac:dyDescent="0.25">
      <c r="A232">
        <v>231</v>
      </c>
      <c r="B232">
        <v>13</v>
      </c>
      <c r="C232" t="s">
        <v>269</v>
      </c>
      <c r="D232" s="79">
        <v>3.7</v>
      </c>
      <c r="E232" s="6">
        <v>0.4</v>
      </c>
      <c r="F232" s="6">
        <f t="shared" si="33"/>
        <v>9.25</v>
      </c>
      <c r="G232" s="78">
        <v>0</v>
      </c>
      <c r="H232" s="70">
        <v>0</v>
      </c>
      <c r="I232" s="70">
        <v>1</v>
      </c>
      <c r="J232" s="78">
        <v>4984</v>
      </c>
      <c r="K232" s="70">
        <v>6</v>
      </c>
      <c r="L232" s="70">
        <f t="shared" si="31"/>
        <v>4977</v>
      </c>
      <c r="M232" s="60">
        <f t="shared" si="32"/>
        <v>13</v>
      </c>
      <c r="N232" s="6">
        <v>11.54</v>
      </c>
      <c r="O232" s="6">
        <f t="shared" si="34"/>
        <v>26.560000000000002</v>
      </c>
      <c r="P232" s="78">
        <v>1</v>
      </c>
      <c r="Q232" s="70">
        <v>0</v>
      </c>
      <c r="R232" s="78">
        <v>0</v>
      </c>
      <c r="S232" s="70">
        <v>0</v>
      </c>
      <c r="T232" s="70">
        <v>1</v>
      </c>
      <c r="U232" s="70">
        <v>1</v>
      </c>
      <c r="V232" s="70">
        <v>0</v>
      </c>
      <c r="W232" s="78">
        <v>0</v>
      </c>
      <c r="X232" s="70">
        <v>1</v>
      </c>
      <c r="Y232" s="69">
        <v>1990</v>
      </c>
      <c r="Z232" s="28" t="s">
        <v>45</v>
      </c>
      <c r="AA232" t="s">
        <v>45</v>
      </c>
      <c r="AB232" s="28">
        <v>0.52</v>
      </c>
      <c r="AC232">
        <f t="shared" si="35"/>
        <v>0.48</v>
      </c>
      <c r="AD232" s="28">
        <v>1</v>
      </c>
      <c r="AE232">
        <v>0</v>
      </c>
      <c r="AF232">
        <v>1</v>
      </c>
      <c r="AG232">
        <v>0</v>
      </c>
      <c r="AH232" s="28">
        <v>0.66</v>
      </c>
      <c r="AI232" s="12">
        <f t="shared" si="30"/>
        <v>0.33999999999999997</v>
      </c>
      <c r="AJ232">
        <v>1</v>
      </c>
      <c r="AK232">
        <v>0</v>
      </c>
      <c r="AL232">
        <v>0</v>
      </c>
      <c r="AM232" s="28" t="s">
        <v>321</v>
      </c>
      <c r="AN232">
        <v>1</v>
      </c>
      <c r="AO232">
        <v>0</v>
      </c>
      <c r="AP232">
        <v>16476</v>
      </c>
      <c r="AQ232">
        <v>1012</v>
      </c>
      <c r="AR232">
        <v>0.95099999999999996</v>
      </c>
      <c r="AS232" s="64">
        <v>44.1</v>
      </c>
      <c r="AT232">
        <v>0</v>
      </c>
      <c r="AU232">
        <v>0</v>
      </c>
      <c r="AV232">
        <v>1</v>
      </c>
      <c r="AW232">
        <v>0</v>
      </c>
      <c r="AX232">
        <v>0</v>
      </c>
      <c r="AY232">
        <v>0</v>
      </c>
      <c r="AZ232" s="28">
        <v>0</v>
      </c>
      <c r="BA232">
        <v>0</v>
      </c>
      <c r="BB232">
        <v>0</v>
      </c>
      <c r="BC232" s="28">
        <v>1</v>
      </c>
      <c r="BD232">
        <v>1</v>
      </c>
      <c r="BE232">
        <v>0</v>
      </c>
      <c r="BF232">
        <v>0</v>
      </c>
      <c r="BG232">
        <v>1</v>
      </c>
      <c r="BH232">
        <v>1</v>
      </c>
      <c r="BI232">
        <v>0</v>
      </c>
      <c r="BJ232">
        <v>0</v>
      </c>
      <c r="BK232" s="16">
        <v>0</v>
      </c>
      <c r="BL232">
        <v>0.52800000000000002</v>
      </c>
      <c r="BM232">
        <v>177</v>
      </c>
      <c r="BN232">
        <v>1</v>
      </c>
      <c r="BO232">
        <v>0</v>
      </c>
      <c r="BP232">
        <v>5</v>
      </c>
      <c r="BQ232" t="s">
        <v>34</v>
      </c>
    </row>
    <row r="233" spans="1:69" x14ac:dyDescent="0.25">
      <c r="A233">
        <v>232</v>
      </c>
      <c r="B233">
        <v>13</v>
      </c>
      <c r="C233" t="s">
        <v>269</v>
      </c>
      <c r="D233" s="79">
        <v>5</v>
      </c>
      <c r="E233" s="6">
        <v>0.2</v>
      </c>
      <c r="F233" s="6">
        <f t="shared" si="33"/>
        <v>25</v>
      </c>
      <c r="G233" s="78">
        <v>0</v>
      </c>
      <c r="H233" s="70">
        <v>0</v>
      </c>
      <c r="I233" s="70">
        <v>1</v>
      </c>
      <c r="J233" s="78">
        <v>6736</v>
      </c>
      <c r="K233" s="70">
        <v>6</v>
      </c>
      <c r="L233" s="70">
        <f t="shared" si="31"/>
        <v>6729</v>
      </c>
      <c r="M233" s="60">
        <f t="shared" si="32"/>
        <v>13</v>
      </c>
      <c r="N233" s="6">
        <v>11.36</v>
      </c>
      <c r="O233" s="6">
        <f t="shared" si="34"/>
        <v>26.5</v>
      </c>
      <c r="P233" s="78">
        <v>1</v>
      </c>
      <c r="Q233" s="70">
        <v>0</v>
      </c>
      <c r="R233" s="78">
        <v>0</v>
      </c>
      <c r="S233" s="70">
        <v>0</v>
      </c>
      <c r="T233" s="70">
        <v>1</v>
      </c>
      <c r="U233" s="70">
        <v>1</v>
      </c>
      <c r="V233" s="70">
        <v>0</v>
      </c>
      <c r="W233" s="78">
        <v>0</v>
      </c>
      <c r="X233" s="70">
        <v>1</v>
      </c>
      <c r="Y233" s="69">
        <v>1990</v>
      </c>
      <c r="Z233" s="28" t="s">
        <v>45</v>
      </c>
      <c r="AA233" t="s">
        <v>45</v>
      </c>
      <c r="AB233" s="28">
        <v>0.57999999999999996</v>
      </c>
      <c r="AC233">
        <f t="shared" si="35"/>
        <v>0.42000000000000004</v>
      </c>
      <c r="AD233" s="28">
        <v>1</v>
      </c>
      <c r="AE233">
        <v>0</v>
      </c>
      <c r="AF233">
        <v>1</v>
      </c>
      <c r="AG233">
        <v>0</v>
      </c>
      <c r="AH233" s="28">
        <v>0.66</v>
      </c>
      <c r="AI233" s="12">
        <f t="shared" si="30"/>
        <v>0.33999999999999997</v>
      </c>
      <c r="AJ233">
        <v>0</v>
      </c>
      <c r="AK233">
        <v>1</v>
      </c>
      <c r="AL233">
        <v>0</v>
      </c>
      <c r="AM233" s="28" t="s">
        <v>321</v>
      </c>
      <c r="AN233">
        <v>1</v>
      </c>
      <c r="AO233">
        <v>0</v>
      </c>
      <c r="AP233">
        <v>16476</v>
      </c>
      <c r="AQ233">
        <v>1012</v>
      </c>
      <c r="AR233">
        <v>0.95099999999999996</v>
      </c>
      <c r="AS233" s="64">
        <v>43.86</v>
      </c>
      <c r="AT233">
        <v>0</v>
      </c>
      <c r="AU233">
        <v>0</v>
      </c>
      <c r="AV233">
        <v>1</v>
      </c>
      <c r="AW233">
        <v>0</v>
      </c>
      <c r="AX233">
        <v>0</v>
      </c>
      <c r="AY233">
        <v>0</v>
      </c>
      <c r="AZ233" s="28">
        <v>0</v>
      </c>
      <c r="BA233">
        <v>0</v>
      </c>
      <c r="BB233">
        <v>0</v>
      </c>
      <c r="BC233" s="28">
        <v>1</v>
      </c>
      <c r="BD233">
        <v>1</v>
      </c>
      <c r="BE233">
        <v>0</v>
      </c>
      <c r="BF233">
        <v>0</v>
      </c>
      <c r="BG233">
        <v>1</v>
      </c>
      <c r="BH233">
        <v>1</v>
      </c>
      <c r="BI233">
        <v>0</v>
      </c>
      <c r="BJ233">
        <v>0</v>
      </c>
      <c r="BK233" s="16">
        <v>0</v>
      </c>
      <c r="BL233">
        <v>0.52800000000000002</v>
      </c>
      <c r="BM233">
        <v>177</v>
      </c>
      <c r="BN233">
        <v>1</v>
      </c>
      <c r="BO233">
        <v>0</v>
      </c>
      <c r="BP233">
        <v>5</v>
      </c>
      <c r="BQ233" t="s">
        <v>34</v>
      </c>
    </row>
    <row r="234" spans="1:69" x14ac:dyDescent="0.25">
      <c r="A234">
        <v>233</v>
      </c>
      <c r="B234">
        <v>13</v>
      </c>
      <c r="C234" t="s">
        <v>269</v>
      </c>
      <c r="D234" s="79">
        <v>4.2</v>
      </c>
      <c r="E234" s="6">
        <v>0.5</v>
      </c>
      <c r="F234" s="6">
        <f t="shared" si="33"/>
        <v>8.4</v>
      </c>
      <c r="G234" s="78">
        <v>0</v>
      </c>
      <c r="H234" s="70">
        <v>0</v>
      </c>
      <c r="I234" s="70">
        <v>1</v>
      </c>
      <c r="J234" s="78">
        <v>4984</v>
      </c>
      <c r="K234" s="70">
        <v>6</v>
      </c>
      <c r="L234" s="70">
        <f t="shared" si="31"/>
        <v>4977</v>
      </c>
      <c r="M234" s="60">
        <f t="shared" si="32"/>
        <v>13</v>
      </c>
      <c r="N234" s="6">
        <v>11.54</v>
      </c>
      <c r="O234" s="6">
        <f t="shared" si="34"/>
        <v>26.560000000000002</v>
      </c>
      <c r="P234" s="78">
        <v>1</v>
      </c>
      <c r="Q234" s="70">
        <v>0</v>
      </c>
      <c r="R234" s="78">
        <v>0</v>
      </c>
      <c r="S234" s="70">
        <v>0</v>
      </c>
      <c r="T234" s="70">
        <v>1</v>
      </c>
      <c r="U234" s="70">
        <v>1</v>
      </c>
      <c r="V234" s="70">
        <v>0</v>
      </c>
      <c r="W234" s="78">
        <v>0</v>
      </c>
      <c r="X234" s="70">
        <v>1</v>
      </c>
      <c r="Y234" s="69">
        <v>1990</v>
      </c>
      <c r="Z234" s="28" t="s">
        <v>45</v>
      </c>
      <c r="AA234" t="s">
        <v>45</v>
      </c>
      <c r="AB234" s="28">
        <v>0.52</v>
      </c>
      <c r="AC234">
        <f t="shared" si="35"/>
        <v>0.48</v>
      </c>
      <c r="AD234" s="28">
        <v>1</v>
      </c>
      <c r="AE234">
        <v>0</v>
      </c>
      <c r="AF234">
        <v>1</v>
      </c>
      <c r="AG234">
        <v>0</v>
      </c>
      <c r="AH234" s="28">
        <v>0.66</v>
      </c>
      <c r="AI234" s="12">
        <f t="shared" si="30"/>
        <v>0.33999999999999997</v>
      </c>
      <c r="AJ234">
        <v>1</v>
      </c>
      <c r="AK234">
        <v>0</v>
      </c>
      <c r="AL234">
        <v>0</v>
      </c>
      <c r="AM234" s="28" t="s">
        <v>321</v>
      </c>
      <c r="AN234">
        <v>1</v>
      </c>
      <c r="AO234">
        <v>0</v>
      </c>
      <c r="AP234">
        <v>16476</v>
      </c>
      <c r="AQ234">
        <v>1012</v>
      </c>
      <c r="AR234">
        <v>0.95099999999999996</v>
      </c>
      <c r="AS234" s="64">
        <v>44.1</v>
      </c>
      <c r="AT234">
        <v>0</v>
      </c>
      <c r="AU234">
        <v>0</v>
      </c>
      <c r="AV234">
        <v>1</v>
      </c>
      <c r="AW234">
        <v>0</v>
      </c>
      <c r="AX234">
        <v>0</v>
      </c>
      <c r="AY234">
        <v>0</v>
      </c>
      <c r="AZ234" s="28">
        <v>0</v>
      </c>
      <c r="BA234">
        <v>0</v>
      </c>
      <c r="BB234">
        <v>0</v>
      </c>
      <c r="BC234" s="28">
        <v>1</v>
      </c>
      <c r="BD234">
        <v>1</v>
      </c>
      <c r="BE234">
        <v>0</v>
      </c>
      <c r="BF234">
        <v>0</v>
      </c>
      <c r="BG234">
        <v>1</v>
      </c>
      <c r="BH234">
        <v>1</v>
      </c>
      <c r="BI234">
        <v>0</v>
      </c>
      <c r="BJ234">
        <v>0</v>
      </c>
      <c r="BK234" s="16">
        <v>0</v>
      </c>
      <c r="BL234">
        <v>0.52800000000000002</v>
      </c>
      <c r="BM234">
        <v>177</v>
      </c>
      <c r="BN234">
        <v>1</v>
      </c>
      <c r="BO234">
        <v>0</v>
      </c>
      <c r="BP234">
        <v>5</v>
      </c>
      <c r="BQ234" t="s">
        <v>34</v>
      </c>
    </row>
    <row r="235" spans="1:69" x14ac:dyDescent="0.25">
      <c r="A235">
        <v>234</v>
      </c>
      <c r="B235">
        <v>13</v>
      </c>
      <c r="C235" t="s">
        <v>269</v>
      </c>
      <c r="D235" s="79">
        <v>5.3</v>
      </c>
      <c r="E235" s="6">
        <v>0.3</v>
      </c>
      <c r="F235" s="6">
        <f t="shared" si="33"/>
        <v>17.666666666666668</v>
      </c>
      <c r="G235" s="78">
        <v>0</v>
      </c>
      <c r="H235" s="70">
        <v>0</v>
      </c>
      <c r="I235" s="70">
        <v>1</v>
      </c>
      <c r="J235" s="78">
        <v>6736</v>
      </c>
      <c r="K235" s="70">
        <v>6</v>
      </c>
      <c r="L235" s="70">
        <f t="shared" si="31"/>
        <v>6729</v>
      </c>
      <c r="M235" s="60">
        <f t="shared" si="32"/>
        <v>13</v>
      </c>
      <c r="N235" s="6">
        <v>11.36</v>
      </c>
      <c r="O235" s="6">
        <f t="shared" ref="O235:O266" si="36">AS235-N235-6</f>
        <v>26.5</v>
      </c>
      <c r="P235" s="78">
        <v>1</v>
      </c>
      <c r="Q235" s="70">
        <v>0</v>
      </c>
      <c r="R235" s="78">
        <v>0</v>
      </c>
      <c r="S235" s="70">
        <v>0</v>
      </c>
      <c r="T235" s="70">
        <v>1</v>
      </c>
      <c r="U235" s="70">
        <v>1</v>
      </c>
      <c r="V235" s="70">
        <v>0</v>
      </c>
      <c r="W235" s="78">
        <v>0</v>
      </c>
      <c r="X235" s="70">
        <v>1</v>
      </c>
      <c r="Y235" s="69">
        <v>1990</v>
      </c>
      <c r="Z235" s="28" t="s">
        <v>45</v>
      </c>
      <c r="AA235" t="s">
        <v>45</v>
      </c>
      <c r="AB235" s="28">
        <v>0.57999999999999996</v>
      </c>
      <c r="AC235">
        <f t="shared" si="35"/>
        <v>0.42000000000000004</v>
      </c>
      <c r="AD235" s="28">
        <v>1</v>
      </c>
      <c r="AE235">
        <v>0</v>
      </c>
      <c r="AF235">
        <v>1</v>
      </c>
      <c r="AG235">
        <v>0</v>
      </c>
      <c r="AH235" s="28">
        <v>0.66</v>
      </c>
      <c r="AI235" s="12">
        <f t="shared" si="30"/>
        <v>0.33999999999999997</v>
      </c>
      <c r="AJ235">
        <v>0</v>
      </c>
      <c r="AK235">
        <v>1</v>
      </c>
      <c r="AL235">
        <v>0</v>
      </c>
      <c r="AM235" s="28" t="s">
        <v>321</v>
      </c>
      <c r="AN235">
        <v>1</v>
      </c>
      <c r="AO235">
        <v>0</v>
      </c>
      <c r="AP235">
        <v>16476</v>
      </c>
      <c r="AQ235">
        <v>1012</v>
      </c>
      <c r="AR235">
        <v>0.95099999999999996</v>
      </c>
      <c r="AS235" s="64">
        <v>43.86</v>
      </c>
      <c r="AT235">
        <v>0</v>
      </c>
      <c r="AU235">
        <v>0</v>
      </c>
      <c r="AV235">
        <v>1</v>
      </c>
      <c r="AW235">
        <v>0</v>
      </c>
      <c r="AX235">
        <v>0</v>
      </c>
      <c r="AY235">
        <v>0</v>
      </c>
      <c r="AZ235" s="28">
        <v>0</v>
      </c>
      <c r="BA235">
        <v>0</v>
      </c>
      <c r="BB235">
        <v>0</v>
      </c>
      <c r="BC235" s="28">
        <v>1</v>
      </c>
      <c r="BD235">
        <v>1</v>
      </c>
      <c r="BE235">
        <v>0</v>
      </c>
      <c r="BF235">
        <v>0</v>
      </c>
      <c r="BG235">
        <v>1</v>
      </c>
      <c r="BH235">
        <v>1</v>
      </c>
      <c r="BI235">
        <v>0</v>
      </c>
      <c r="BJ235">
        <v>0</v>
      </c>
      <c r="BK235" s="16">
        <v>0</v>
      </c>
      <c r="BL235">
        <v>0.52800000000000002</v>
      </c>
      <c r="BM235">
        <v>177</v>
      </c>
      <c r="BN235">
        <v>1</v>
      </c>
      <c r="BO235">
        <v>0</v>
      </c>
      <c r="BP235">
        <v>5</v>
      </c>
      <c r="BQ235" t="s">
        <v>34</v>
      </c>
    </row>
    <row r="236" spans="1:69" x14ac:dyDescent="0.25">
      <c r="A236">
        <v>235</v>
      </c>
      <c r="B236">
        <v>13</v>
      </c>
      <c r="C236" t="s">
        <v>269</v>
      </c>
      <c r="D236" s="79">
        <v>6</v>
      </c>
      <c r="E236" s="6">
        <v>0.7</v>
      </c>
      <c r="F236" s="6">
        <f t="shared" si="33"/>
        <v>8.5714285714285712</v>
      </c>
      <c r="G236" s="78">
        <v>0</v>
      </c>
      <c r="H236" s="70">
        <v>0</v>
      </c>
      <c r="I236" s="70">
        <v>1</v>
      </c>
      <c r="J236" s="78">
        <v>4984</v>
      </c>
      <c r="K236" s="70">
        <v>6</v>
      </c>
      <c r="L236" s="70">
        <f t="shared" si="31"/>
        <v>4977</v>
      </c>
      <c r="M236" s="60">
        <f t="shared" si="32"/>
        <v>13</v>
      </c>
      <c r="N236" s="6">
        <v>11.54</v>
      </c>
      <c r="O236" s="6">
        <f t="shared" si="36"/>
        <v>26.560000000000002</v>
      </c>
      <c r="P236" s="78">
        <v>1</v>
      </c>
      <c r="Q236" s="70">
        <v>0</v>
      </c>
      <c r="R236" s="78">
        <v>0</v>
      </c>
      <c r="S236" s="70">
        <v>0</v>
      </c>
      <c r="T236" s="70">
        <v>1</v>
      </c>
      <c r="U236" s="70">
        <v>1</v>
      </c>
      <c r="V236" s="70">
        <v>0</v>
      </c>
      <c r="W236" s="78">
        <v>0</v>
      </c>
      <c r="X236" s="70">
        <v>1</v>
      </c>
      <c r="Y236" s="69">
        <v>1990</v>
      </c>
      <c r="Z236" s="28" t="s">
        <v>45</v>
      </c>
      <c r="AA236" t="s">
        <v>45</v>
      </c>
      <c r="AB236" s="28">
        <v>0.52</v>
      </c>
      <c r="AC236">
        <f t="shared" si="35"/>
        <v>0.48</v>
      </c>
      <c r="AD236" s="28">
        <v>1</v>
      </c>
      <c r="AE236">
        <v>0</v>
      </c>
      <c r="AF236">
        <v>1</v>
      </c>
      <c r="AG236">
        <v>0</v>
      </c>
      <c r="AH236" s="28">
        <v>0.66</v>
      </c>
      <c r="AI236" s="12">
        <f t="shared" si="30"/>
        <v>0.33999999999999997</v>
      </c>
      <c r="AJ236">
        <v>1</v>
      </c>
      <c r="AK236">
        <v>0</v>
      </c>
      <c r="AL236">
        <v>0</v>
      </c>
      <c r="AM236" s="28" t="s">
        <v>321</v>
      </c>
      <c r="AN236">
        <v>1</v>
      </c>
      <c r="AO236">
        <v>0</v>
      </c>
      <c r="AP236">
        <v>16476</v>
      </c>
      <c r="AQ236">
        <v>1012</v>
      </c>
      <c r="AR236">
        <v>0.95099999999999996</v>
      </c>
      <c r="AS236" s="64">
        <v>44.1</v>
      </c>
      <c r="AT236">
        <v>0</v>
      </c>
      <c r="AU236">
        <v>0</v>
      </c>
      <c r="AV236">
        <v>1</v>
      </c>
      <c r="AW236">
        <v>0</v>
      </c>
      <c r="AX236">
        <v>0</v>
      </c>
      <c r="AY236">
        <v>0</v>
      </c>
      <c r="AZ236" s="28">
        <v>0</v>
      </c>
      <c r="BA236">
        <v>0</v>
      </c>
      <c r="BB236">
        <v>0</v>
      </c>
      <c r="BC236" s="28">
        <v>1</v>
      </c>
      <c r="BD236">
        <v>1</v>
      </c>
      <c r="BE236">
        <v>0</v>
      </c>
      <c r="BF236">
        <v>0</v>
      </c>
      <c r="BG236">
        <v>1</v>
      </c>
      <c r="BH236">
        <v>1</v>
      </c>
      <c r="BI236">
        <v>0</v>
      </c>
      <c r="BJ236">
        <v>0</v>
      </c>
      <c r="BK236" s="16">
        <v>0</v>
      </c>
      <c r="BL236">
        <v>0.52800000000000002</v>
      </c>
      <c r="BM236">
        <v>177</v>
      </c>
      <c r="BN236">
        <v>1</v>
      </c>
      <c r="BO236">
        <v>0</v>
      </c>
      <c r="BP236">
        <v>5</v>
      </c>
      <c r="BQ236" t="s">
        <v>34</v>
      </c>
    </row>
    <row r="237" spans="1:69" x14ac:dyDescent="0.25">
      <c r="A237">
        <v>236</v>
      </c>
      <c r="B237">
        <v>13</v>
      </c>
      <c r="C237" t="s">
        <v>269</v>
      </c>
      <c r="D237" s="79">
        <v>6</v>
      </c>
      <c r="E237" s="6">
        <v>0.3</v>
      </c>
      <c r="F237" s="6">
        <f t="shared" si="33"/>
        <v>20</v>
      </c>
      <c r="G237" s="78">
        <v>0</v>
      </c>
      <c r="H237" s="70">
        <v>0</v>
      </c>
      <c r="I237" s="70">
        <v>1</v>
      </c>
      <c r="J237" s="78">
        <v>6736</v>
      </c>
      <c r="K237" s="70">
        <v>6</v>
      </c>
      <c r="L237" s="70">
        <f t="shared" si="31"/>
        <v>6729</v>
      </c>
      <c r="M237" s="60">
        <f t="shared" si="32"/>
        <v>13</v>
      </c>
      <c r="N237" s="6">
        <v>11.36</v>
      </c>
      <c r="O237" s="6">
        <f t="shared" si="36"/>
        <v>26.5</v>
      </c>
      <c r="P237" s="78">
        <v>1</v>
      </c>
      <c r="Q237" s="70">
        <v>0</v>
      </c>
      <c r="R237" s="78">
        <v>0</v>
      </c>
      <c r="S237" s="70">
        <v>0</v>
      </c>
      <c r="T237" s="70">
        <v>1</v>
      </c>
      <c r="U237" s="70">
        <v>1</v>
      </c>
      <c r="V237" s="70">
        <v>0</v>
      </c>
      <c r="W237" s="78">
        <v>0</v>
      </c>
      <c r="X237" s="70">
        <v>1</v>
      </c>
      <c r="Y237" s="69">
        <v>1990</v>
      </c>
      <c r="Z237" s="28" t="s">
        <v>45</v>
      </c>
      <c r="AA237" t="s">
        <v>45</v>
      </c>
      <c r="AB237" s="28">
        <v>0.57999999999999996</v>
      </c>
      <c r="AC237">
        <f t="shared" si="35"/>
        <v>0.42000000000000004</v>
      </c>
      <c r="AD237" s="28">
        <v>1</v>
      </c>
      <c r="AE237">
        <v>0</v>
      </c>
      <c r="AF237">
        <v>1</v>
      </c>
      <c r="AG237">
        <v>0</v>
      </c>
      <c r="AH237" s="28">
        <v>0.66</v>
      </c>
      <c r="AI237" s="12">
        <f t="shared" si="30"/>
        <v>0.33999999999999997</v>
      </c>
      <c r="AJ237">
        <v>0</v>
      </c>
      <c r="AK237">
        <v>1</v>
      </c>
      <c r="AL237">
        <v>0</v>
      </c>
      <c r="AM237" s="28" t="s">
        <v>321</v>
      </c>
      <c r="AN237">
        <v>1</v>
      </c>
      <c r="AO237">
        <v>0</v>
      </c>
      <c r="AP237">
        <v>16476</v>
      </c>
      <c r="AQ237">
        <v>1012</v>
      </c>
      <c r="AR237">
        <v>0.95099999999999996</v>
      </c>
      <c r="AS237" s="64">
        <v>43.86</v>
      </c>
      <c r="AT237">
        <v>0</v>
      </c>
      <c r="AU237">
        <v>0</v>
      </c>
      <c r="AV237">
        <v>1</v>
      </c>
      <c r="AW237">
        <v>0</v>
      </c>
      <c r="AX237">
        <v>0</v>
      </c>
      <c r="AY237">
        <v>0</v>
      </c>
      <c r="AZ237" s="28">
        <v>0</v>
      </c>
      <c r="BA237">
        <v>0</v>
      </c>
      <c r="BB237">
        <v>0</v>
      </c>
      <c r="BC237" s="28">
        <v>1</v>
      </c>
      <c r="BD237">
        <v>1</v>
      </c>
      <c r="BE237">
        <v>0</v>
      </c>
      <c r="BF237">
        <v>0</v>
      </c>
      <c r="BG237">
        <v>1</v>
      </c>
      <c r="BH237">
        <v>1</v>
      </c>
      <c r="BI237">
        <v>0</v>
      </c>
      <c r="BJ237">
        <v>0</v>
      </c>
      <c r="BK237" s="16">
        <v>0</v>
      </c>
      <c r="BL237">
        <v>0.52800000000000002</v>
      </c>
      <c r="BM237">
        <v>177</v>
      </c>
      <c r="BN237">
        <v>1</v>
      </c>
      <c r="BO237">
        <v>0</v>
      </c>
      <c r="BP237">
        <v>5</v>
      </c>
      <c r="BQ237" t="s">
        <v>34</v>
      </c>
    </row>
    <row r="238" spans="1:69" x14ac:dyDescent="0.25">
      <c r="A238">
        <v>237</v>
      </c>
      <c r="B238">
        <v>14</v>
      </c>
      <c r="C238" t="s">
        <v>322</v>
      </c>
      <c r="D238" s="79">
        <v>5.95</v>
      </c>
      <c r="E238" s="6">
        <f t="shared" ref="E238:E258" si="37">D238/F238</f>
        <v>0.3289110005527916</v>
      </c>
      <c r="F238" s="6">
        <v>18.09</v>
      </c>
      <c r="G238" s="78">
        <v>0</v>
      </c>
      <c r="H238" s="70">
        <v>0</v>
      </c>
      <c r="I238" s="70">
        <v>1</v>
      </c>
      <c r="J238" s="78">
        <v>9614</v>
      </c>
      <c r="K238" s="70">
        <v>7</v>
      </c>
      <c r="L238" s="70">
        <f t="shared" si="31"/>
        <v>9606</v>
      </c>
      <c r="M238" s="60">
        <f t="shared" si="32"/>
        <v>21</v>
      </c>
      <c r="N238" s="6">
        <v>12.9</v>
      </c>
      <c r="O238" s="6">
        <f t="shared" si="36"/>
        <v>19.100000000000001</v>
      </c>
      <c r="P238" s="78">
        <v>1</v>
      </c>
      <c r="Q238" s="70">
        <v>0</v>
      </c>
      <c r="R238" s="78">
        <v>1</v>
      </c>
      <c r="S238" s="70">
        <v>0</v>
      </c>
      <c r="T238" s="70">
        <v>0</v>
      </c>
      <c r="U238" s="70">
        <v>0</v>
      </c>
      <c r="V238" s="70">
        <v>1</v>
      </c>
      <c r="W238" s="78">
        <v>0</v>
      </c>
      <c r="X238" s="70">
        <v>1</v>
      </c>
      <c r="Y238" s="69">
        <v>1981</v>
      </c>
      <c r="Z238" s="28">
        <f t="shared" ref="Z238:Z258" si="38">1-AA238</f>
        <v>0.94299999999999995</v>
      </c>
      <c r="AA238">
        <v>5.7000000000000002E-2</v>
      </c>
      <c r="AB238" s="28">
        <v>0.51700000000000002</v>
      </c>
      <c r="AC238">
        <f t="shared" si="35"/>
        <v>0.48299999999999998</v>
      </c>
      <c r="AD238" s="28">
        <f t="shared" ref="AD238:AD258" si="39">1-AE238</f>
        <v>0.96099999999999997</v>
      </c>
      <c r="AE238">
        <v>3.9E-2</v>
      </c>
      <c r="AF238">
        <v>0</v>
      </c>
      <c r="AG238">
        <v>1</v>
      </c>
      <c r="AH238" s="28">
        <f t="shared" ref="AH238:AH258" si="40">1-AI238</f>
        <v>0.48299999999999998</v>
      </c>
      <c r="AI238" s="12">
        <v>0.51700000000000002</v>
      </c>
      <c r="AJ238">
        <v>4.4000000000000003E-3</v>
      </c>
      <c r="AK238">
        <f t="shared" ref="AK238:AK245" si="41">1-AL238-AJ238</f>
        <v>1.0199999999999945E-2</v>
      </c>
      <c r="AL238">
        <v>0.98540000000000005</v>
      </c>
      <c r="AM238" s="28" t="s">
        <v>67</v>
      </c>
      <c r="AN238">
        <v>1</v>
      </c>
      <c r="AO238">
        <v>0</v>
      </c>
      <c r="AP238">
        <v>19368</v>
      </c>
      <c r="AQ238">
        <v>1730</v>
      </c>
      <c r="AR238">
        <v>0.91900000000000004</v>
      </c>
      <c r="AS238" s="64">
        <v>38</v>
      </c>
      <c r="AT238">
        <v>1</v>
      </c>
      <c r="AU238">
        <v>0</v>
      </c>
      <c r="AV238">
        <v>0</v>
      </c>
      <c r="AW238">
        <v>0</v>
      </c>
      <c r="AX238">
        <v>0</v>
      </c>
      <c r="AY238">
        <v>0</v>
      </c>
      <c r="AZ238" s="28">
        <v>0</v>
      </c>
      <c r="BA238">
        <v>0</v>
      </c>
      <c r="BB238">
        <v>0</v>
      </c>
      <c r="BC238" s="28">
        <v>0</v>
      </c>
      <c r="BD238">
        <v>0</v>
      </c>
      <c r="BE238">
        <v>0</v>
      </c>
      <c r="BF238">
        <v>0</v>
      </c>
      <c r="BG238">
        <v>1</v>
      </c>
      <c r="BH238">
        <v>0</v>
      </c>
      <c r="BI238">
        <v>1</v>
      </c>
      <c r="BJ238">
        <v>0</v>
      </c>
      <c r="BK238" s="16">
        <v>0</v>
      </c>
      <c r="BL238">
        <v>0</v>
      </c>
      <c r="BM238">
        <v>17</v>
      </c>
      <c r="BN238">
        <v>0</v>
      </c>
      <c r="BO238">
        <v>1</v>
      </c>
      <c r="BP238">
        <v>5</v>
      </c>
      <c r="BQ238" t="s">
        <v>34</v>
      </c>
    </row>
    <row r="239" spans="1:69" x14ac:dyDescent="0.25">
      <c r="A239">
        <v>238</v>
      </c>
      <c r="B239">
        <v>14</v>
      </c>
      <c r="C239" t="s">
        <v>322</v>
      </c>
      <c r="D239" s="79">
        <v>4.96</v>
      </c>
      <c r="E239" s="6">
        <f t="shared" si="37"/>
        <v>0.34089347079037796</v>
      </c>
      <c r="F239" s="6">
        <v>14.55</v>
      </c>
      <c r="G239" s="78">
        <v>0</v>
      </c>
      <c r="H239" s="70">
        <v>0</v>
      </c>
      <c r="I239" s="70">
        <v>1</v>
      </c>
      <c r="J239" s="78">
        <v>9614</v>
      </c>
      <c r="K239" s="70">
        <v>8</v>
      </c>
      <c r="L239" s="70">
        <f t="shared" si="31"/>
        <v>9605</v>
      </c>
      <c r="M239" s="60">
        <f t="shared" si="32"/>
        <v>21</v>
      </c>
      <c r="N239" s="6">
        <v>12.9</v>
      </c>
      <c r="O239" s="6">
        <f t="shared" si="36"/>
        <v>19.100000000000001</v>
      </c>
      <c r="P239" s="78">
        <v>1</v>
      </c>
      <c r="Q239" s="70">
        <v>0</v>
      </c>
      <c r="R239" s="78">
        <v>1</v>
      </c>
      <c r="S239" s="70">
        <v>0</v>
      </c>
      <c r="T239" s="70">
        <v>0</v>
      </c>
      <c r="U239" s="70">
        <v>0</v>
      </c>
      <c r="V239" s="70">
        <v>1</v>
      </c>
      <c r="W239" s="78">
        <v>0</v>
      </c>
      <c r="X239" s="70">
        <v>1</v>
      </c>
      <c r="Y239" s="69">
        <v>1981</v>
      </c>
      <c r="Z239" s="28">
        <f t="shared" si="38"/>
        <v>0.94299999999999995</v>
      </c>
      <c r="AA239">
        <v>5.7000000000000002E-2</v>
      </c>
      <c r="AB239" s="28">
        <v>0.51700000000000002</v>
      </c>
      <c r="AC239">
        <f t="shared" si="35"/>
        <v>0.48299999999999998</v>
      </c>
      <c r="AD239" s="28">
        <f t="shared" si="39"/>
        <v>0.96099999999999997</v>
      </c>
      <c r="AE239">
        <v>3.9E-2</v>
      </c>
      <c r="AF239">
        <v>0</v>
      </c>
      <c r="AG239">
        <v>1</v>
      </c>
      <c r="AH239" s="28">
        <f t="shared" si="40"/>
        <v>0.48299999999999998</v>
      </c>
      <c r="AI239" s="12">
        <v>0.51700000000000002</v>
      </c>
      <c r="AJ239">
        <v>4.4000000000000003E-3</v>
      </c>
      <c r="AK239">
        <f t="shared" si="41"/>
        <v>1.0199999999999945E-2</v>
      </c>
      <c r="AL239">
        <v>0.98540000000000005</v>
      </c>
      <c r="AM239" s="28" t="s">
        <v>67</v>
      </c>
      <c r="AN239">
        <v>1</v>
      </c>
      <c r="AO239">
        <v>0</v>
      </c>
      <c r="AP239">
        <v>19368</v>
      </c>
      <c r="AQ239">
        <v>1730</v>
      </c>
      <c r="AR239">
        <v>0.91900000000000004</v>
      </c>
      <c r="AS239" s="64">
        <v>38</v>
      </c>
      <c r="AT239">
        <v>1</v>
      </c>
      <c r="AU239">
        <v>0</v>
      </c>
      <c r="AV239">
        <v>0</v>
      </c>
      <c r="AW239">
        <v>0</v>
      </c>
      <c r="AX239">
        <v>0</v>
      </c>
      <c r="AY239">
        <v>0</v>
      </c>
      <c r="AZ239" s="28">
        <v>0</v>
      </c>
      <c r="BA239">
        <v>0</v>
      </c>
      <c r="BB239">
        <v>0</v>
      </c>
      <c r="BC239" s="28">
        <v>0</v>
      </c>
      <c r="BD239">
        <v>0</v>
      </c>
      <c r="BE239">
        <v>0</v>
      </c>
      <c r="BF239">
        <v>0</v>
      </c>
      <c r="BG239">
        <v>1</v>
      </c>
      <c r="BH239">
        <v>0</v>
      </c>
      <c r="BI239">
        <v>1</v>
      </c>
      <c r="BJ239">
        <v>0</v>
      </c>
      <c r="BK239" s="16">
        <v>0</v>
      </c>
      <c r="BL239">
        <v>0</v>
      </c>
      <c r="BM239">
        <v>17</v>
      </c>
      <c r="BN239">
        <v>0</v>
      </c>
      <c r="BO239">
        <v>1</v>
      </c>
      <c r="BP239">
        <v>5</v>
      </c>
      <c r="BQ239" t="s">
        <v>34</v>
      </c>
    </row>
    <row r="240" spans="1:69" x14ac:dyDescent="0.25">
      <c r="A240">
        <v>239</v>
      </c>
      <c r="B240">
        <v>14</v>
      </c>
      <c r="C240" t="s">
        <v>322</v>
      </c>
      <c r="D240" s="79">
        <v>4.42</v>
      </c>
      <c r="E240" s="6">
        <f t="shared" si="37"/>
        <v>0.35359999999999997</v>
      </c>
      <c r="F240" s="6">
        <v>12.5</v>
      </c>
      <c r="G240" s="78">
        <v>0</v>
      </c>
      <c r="H240" s="70">
        <v>0</v>
      </c>
      <c r="I240" s="70">
        <v>1</v>
      </c>
      <c r="J240" s="78">
        <v>9614</v>
      </c>
      <c r="K240" s="70">
        <v>8</v>
      </c>
      <c r="L240" s="70">
        <f t="shared" si="31"/>
        <v>9605</v>
      </c>
      <c r="M240" s="60">
        <f t="shared" si="32"/>
        <v>21</v>
      </c>
      <c r="N240" s="6">
        <v>12.9</v>
      </c>
      <c r="O240" s="6">
        <f t="shared" si="36"/>
        <v>19.100000000000001</v>
      </c>
      <c r="P240" s="78">
        <v>1</v>
      </c>
      <c r="Q240" s="70">
        <v>0</v>
      </c>
      <c r="R240" s="78">
        <v>1</v>
      </c>
      <c r="S240" s="70">
        <v>0</v>
      </c>
      <c r="T240" s="70">
        <v>0</v>
      </c>
      <c r="U240" s="70">
        <v>0</v>
      </c>
      <c r="V240" s="70">
        <v>1</v>
      </c>
      <c r="W240" s="78">
        <v>0</v>
      </c>
      <c r="X240" s="70">
        <v>1</v>
      </c>
      <c r="Y240" s="69">
        <v>1981</v>
      </c>
      <c r="Z240" s="28">
        <f t="shared" si="38"/>
        <v>0.94299999999999995</v>
      </c>
      <c r="AA240">
        <v>5.7000000000000002E-2</v>
      </c>
      <c r="AB240" s="28">
        <v>0.51700000000000002</v>
      </c>
      <c r="AC240">
        <f t="shared" si="35"/>
        <v>0.48299999999999998</v>
      </c>
      <c r="AD240" s="28">
        <f t="shared" si="39"/>
        <v>0.96099999999999997</v>
      </c>
      <c r="AE240">
        <v>3.9E-2</v>
      </c>
      <c r="AF240">
        <v>0</v>
      </c>
      <c r="AG240">
        <v>1</v>
      </c>
      <c r="AH240" s="28">
        <f t="shared" si="40"/>
        <v>0.48299999999999998</v>
      </c>
      <c r="AI240" s="12">
        <v>0.51700000000000002</v>
      </c>
      <c r="AJ240">
        <v>4.4000000000000003E-3</v>
      </c>
      <c r="AK240">
        <f t="shared" si="41"/>
        <v>1.0199999999999945E-2</v>
      </c>
      <c r="AL240">
        <v>0.98540000000000005</v>
      </c>
      <c r="AM240" s="28" t="s">
        <v>67</v>
      </c>
      <c r="AN240">
        <v>1</v>
      </c>
      <c r="AO240">
        <v>0</v>
      </c>
      <c r="AP240">
        <v>19368</v>
      </c>
      <c r="AQ240">
        <v>1730</v>
      </c>
      <c r="AR240">
        <v>0.91900000000000004</v>
      </c>
      <c r="AS240" s="64">
        <v>38</v>
      </c>
      <c r="AT240">
        <v>1</v>
      </c>
      <c r="AU240">
        <v>0</v>
      </c>
      <c r="AV240">
        <v>0</v>
      </c>
      <c r="AW240">
        <v>0</v>
      </c>
      <c r="AX240">
        <v>0</v>
      </c>
      <c r="AY240">
        <v>0</v>
      </c>
      <c r="AZ240" s="28">
        <v>0</v>
      </c>
      <c r="BA240">
        <v>0</v>
      </c>
      <c r="BB240">
        <v>0</v>
      </c>
      <c r="BC240" s="28">
        <v>0</v>
      </c>
      <c r="BD240">
        <v>0</v>
      </c>
      <c r="BE240">
        <v>0</v>
      </c>
      <c r="BF240">
        <v>0</v>
      </c>
      <c r="BG240">
        <v>1</v>
      </c>
      <c r="BH240">
        <v>0</v>
      </c>
      <c r="BI240">
        <v>1</v>
      </c>
      <c r="BJ240">
        <v>0</v>
      </c>
      <c r="BK240" s="16">
        <v>0</v>
      </c>
      <c r="BL240">
        <v>0</v>
      </c>
      <c r="BM240">
        <v>17</v>
      </c>
      <c r="BN240">
        <v>0</v>
      </c>
      <c r="BO240">
        <v>1</v>
      </c>
      <c r="BP240">
        <v>5</v>
      </c>
      <c r="BQ240" t="s">
        <v>34</v>
      </c>
    </row>
    <row r="241" spans="1:69" x14ac:dyDescent="0.25">
      <c r="A241">
        <v>240</v>
      </c>
      <c r="B241">
        <v>14</v>
      </c>
      <c r="C241" t="s">
        <v>322</v>
      </c>
      <c r="D241" s="79">
        <v>4.38</v>
      </c>
      <c r="E241" s="6">
        <f t="shared" si="37"/>
        <v>0.35813573180703184</v>
      </c>
      <c r="F241" s="6">
        <v>12.23</v>
      </c>
      <c r="G241" s="78">
        <v>0</v>
      </c>
      <c r="H241" s="70">
        <v>0</v>
      </c>
      <c r="I241" s="70">
        <v>1</v>
      </c>
      <c r="J241" s="78">
        <v>9614</v>
      </c>
      <c r="K241" s="70">
        <v>8</v>
      </c>
      <c r="L241" s="70">
        <f t="shared" si="31"/>
        <v>9605</v>
      </c>
      <c r="M241" s="60">
        <f t="shared" si="32"/>
        <v>21</v>
      </c>
      <c r="N241" s="6">
        <v>12.9</v>
      </c>
      <c r="O241" s="6">
        <f t="shared" si="36"/>
        <v>19.100000000000001</v>
      </c>
      <c r="P241" s="78">
        <v>1</v>
      </c>
      <c r="Q241" s="70">
        <v>0</v>
      </c>
      <c r="R241" s="78">
        <v>1</v>
      </c>
      <c r="S241" s="70">
        <v>0</v>
      </c>
      <c r="T241" s="70">
        <v>0</v>
      </c>
      <c r="U241" s="70">
        <v>0</v>
      </c>
      <c r="V241" s="70">
        <v>1</v>
      </c>
      <c r="W241" s="78">
        <v>0</v>
      </c>
      <c r="X241" s="70">
        <v>1</v>
      </c>
      <c r="Y241" s="69">
        <v>1981</v>
      </c>
      <c r="Z241" s="28">
        <f t="shared" si="38"/>
        <v>0.94299999999999995</v>
      </c>
      <c r="AA241">
        <v>5.7000000000000002E-2</v>
      </c>
      <c r="AB241" s="28">
        <v>0.51700000000000002</v>
      </c>
      <c r="AC241">
        <f t="shared" si="35"/>
        <v>0.48299999999999998</v>
      </c>
      <c r="AD241" s="28">
        <f t="shared" si="39"/>
        <v>0.96099999999999997</v>
      </c>
      <c r="AE241">
        <v>3.9E-2</v>
      </c>
      <c r="AF241">
        <v>0</v>
      </c>
      <c r="AG241">
        <v>1</v>
      </c>
      <c r="AH241" s="28">
        <f t="shared" si="40"/>
        <v>0.48299999999999998</v>
      </c>
      <c r="AI241" s="12">
        <v>0.51700000000000002</v>
      </c>
      <c r="AJ241">
        <v>4.4000000000000003E-3</v>
      </c>
      <c r="AK241">
        <f t="shared" si="41"/>
        <v>1.0199999999999945E-2</v>
      </c>
      <c r="AL241">
        <v>0.98540000000000005</v>
      </c>
      <c r="AM241" s="28" t="s">
        <v>67</v>
      </c>
      <c r="AN241">
        <v>1</v>
      </c>
      <c r="AO241">
        <v>0</v>
      </c>
      <c r="AP241">
        <v>19368</v>
      </c>
      <c r="AQ241">
        <v>1730</v>
      </c>
      <c r="AR241">
        <v>0.91900000000000004</v>
      </c>
      <c r="AS241" s="64">
        <v>38</v>
      </c>
      <c r="AT241">
        <v>1</v>
      </c>
      <c r="AU241">
        <v>0</v>
      </c>
      <c r="AV241">
        <v>0</v>
      </c>
      <c r="AW241">
        <v>0</v>
      </c>
      <c r="AX241">
        <v>0</v>
      </c>
      <c r="AY241">
        <v>0</v>
      </c>
      <c r="AZ241" s="28">
        <v>0</v>
      </c>
      <c r="BA241">
        <v>0</v>
      </c>
      <c r="BB241">
        <v>0</v>
      </c>
      <c r="BC241" s="28">
        <v>0</v>
      </c>
      <c r="BD241">
        <v>0</v>
      </c>
      <c r="BE241">
        <v>0</v>
      </c>
      <c r="BF241">
        <v>0</v>
      </c>
      <c r="BG241">
        <v>1</v>
      </c>
      <c r="BH241">
        <v>0</v>
      </c>
      <c r="BI241">
        <v>1</v>
      </c>
      <c r="BJ241">
        <v>0</v>
      </c>
      <c r="BK241" s="16">
        <v>0</v>
      </c>
      <c r="BL241">
        <v>0</v>
      </c>
      <c r="BM241">
        <v>17</v>
      </c>
      <c r="BN241">
        <v>0</v>
      </c>
      <c r="BO241">
        <v>1</v>
      </c>
      <c r="BP241">
        <v>5</v>
      </c>
      <c r="BQ241" t="s">
        <v>34</v>
      </c>
    </row>
    <row r="242" spans="1:69" x14ac:dyDescent="0.25">
      <c r="A242">
        <v>241</v>
      </c>
      <c r="B242">
        <v>14</v>
      </c>
      <c r="C242" t="s">
        <v>322</v>
      </c>
      <c r="D242" s="79">
        <v>3.97</v>
      </c>
      <c r="E242" s="6">
        <f t="shared" si="37"/>
        <v>0.3618960802187785</v>
      </c>
      <c r="F242" s="6">
        <v>10.97</v>
      </c>
      <c r="G242" s="78">
        <v>0</v>
      </c>
      <c r="H242" s="70">
        <v>0</v>
      </c>
      <c r="I242" s="70">
        <v>1</v>
      </c>
      <c r="J242" s="78">
        <v>9614</v>
      </c>
      <c r="K242" s="70">
        <v>10</v>
      </c>
      <c r="L242" s="70">
        <f t="shared" si="31"/>
        <v>9603</v>
      </c>
      <c r="M242" s="60">
        <f t="shared" si="32"/>
        <v>21</v>
      </c>
      <c r="N242" s="6">
        <v>12.9</v>
      </c>
      <c r="O242" s="6">
        <f t="shared" si="36"/>
        <v>19.100000000000001</v>
      </c>
      <c r="P242" s="78">
        <v>1</v>
      </c>
      <c r="Q242" s="70">
        <v>0</v>
      </c>
      <c r="R242" s="78">
        <v>1</v>
      </c>
      <c r="S242" s="70">
        <v>0</v>
      </c>
      <c r="T242" s="70">
        <v>0</v>
      </c>
      <c r="U242" s="70">
        <v>0</v>
      </c>
      <c r="V242" s="70">
        <v>1</v>
      </c>
      <c r="W242" s="78">
        <v>0</v>
      </c>
      <c r="X242" s="70">
        <v>1</v>
      </c>
      <c r="Y242" s="69">
        <v>1981</v>
      </c>
      <c r="Z242" s="28">
        <f t="shared" si="38"/>
        <v>0.94299999999999995</v>
      </c>
      <c r="AA242">
        <v>5.7000000000000002E-2</v>
      </c>
      <c r="AB242" s="28">
        <v>0.51700000000000002</v>
      </c>
      <c r="AC242">
        <f t="shared" si="35"/>
        <v>0.48299999999999998</v>
      </c>
      <c r="AD242" s="28">
        <f t="shared" si="39"/>
        <v>0.96099999999999997</v>
      </c>
      <c r="AE242">
        <v>3.9E-2</v>
      </c>
      <c r="AF242">
        <v>0</v>
      </c>
      <c r="AG242">
        <v>1</v>
      </c>
      <c r="AH242" s="28">
        <f t="shared" si="40"/>
        <v>0.48299999999999998</v>
      </c>
      <c r="AI242" s="12">
        <v>0.51700000000000002</v>
      </c>
      <c r="AJ242">
        <v>4.4000000000000003E-3</v>
      </c>
      <c r="AK242">
        <f t="shared" si="41"/>
        <v>1.0199999999999945E-2</v>
      </c>
      <c r="AL242">
        <v>0.98540000000000005</v>
      </c>
      <c r="AM242" s="28" t="s">
        <v>67</v>
      </c>
      <c r="AN242">
        <v>1</v>
      </c>
      <c r="AO242">
        <v>0</v>
      </c>
      <c r="AP242">
        <v>19368</v>
      </c>
      <c r="AQ242">
        <v>1730</v>
      </c>
      <c r="AR242">
        <v>0.91900000000000004</v>
      </c>
      <c r="AS242" s="64">
        <v>38</v>
      </c>
      <c r="AT242">
        <v>1</v>
      </c>
      <c r="AU242">
        <v>0</v>
      </c>
      <c r="AV242">
        <v>0</v>
      </c>
      <c r="AW242">
        <v>0</v>
      </c>
      <c r="AX242">
        <v>0</v>
      </c>
      <c r="AY242">
        <v>0</v>
      </c>
      <c r="AZ242" s="28">
        <v>0</v>
      </c>
      <c r="BA242">
        <v>0</v>
      </c>
      <c r="BB242">
        <v>0</v>
      </c>
      <c r="BC242" s="28">
        <v>0</v>
      </c>
      <c r="BD242">
        <v>0</v>
      </c>
      <c r="BE242">
        <v>0</v>
      </c>
      <c r="BF242">
        <v>0</v>
      </c>
      <c r="BG242">
        <v>1</v>
      </c>
      <c r="BH242">
        <v>0</v>
      </c>
      <c r="BI242">
        <v>1</v>
      </c>
      <c r="BJ242">
        <v>0</v>
      </c>
      <c r="BK242" s="16">
        <v>0</v>
      </c>
      <c r="BL242">
        <v>0</v>
      </c>
      <c r="BM242">
        <v>17</v>
      </c>
      <c r="BN242">
        <v>0</v>
      </c>
      <c r="BO242">
        <v>1</v>
      </c>
      <c r="BP242">
        <v>5</v>
      </c>
      <c r="BQ242" t="s">
        <v>34</v>
      </c>
    </row>
    <row r="243" spans="1:69" x14ac:dyDescent="0.25">
      <c r="A243">
        <v>242</v>
      </c>
      <c r="B243">
        <v>14</v>
      </c>
      <c r="C243" t="s">
        <v>322</v>
      </c>
      <c r="D243" s="79">
        <v>4.3600000000000003</v>
      </c>
      <c r="E243" s="6">
        <f t="shared" si="37"/>
        <v>0.35447154471544717</v>
      </c>
      <c r="F243" s="6">
        <v>12.3</v>
      </c>
      <c r="G243" s="78">
        <v>0</v>
      </c>
      <c r="H243" s="70">
        <v>0</v>
      </c>
      <c r="I243" s="70">
        <v>1</v>
      </c>
      <c r="J243" s="78">
        <v>9614</v>
      </c>
      <c r="K243" s="70">
        <v>7</v>
      </c>
      <c r="L243" s="70">
        <f t="shared" si="31"/>
        <v>9606</v>
      </c>
      <c r="M243" s="60">
        <f t="shared" si="32"/>
        <v>21</v>
      </c>
      <c r="N243" s="6">
        <v>12.9</v>
      </c>
      <c r="O243" s="6">
        <f t="shared" si="36"/>
        <v>19.100000000000001</v>
      </c>
      <c r="P243" s="78">
        <v>1</v>
      </c>
      <c r="Q243" s="70">
        <v>0</v>
      </c>
      <c r="R243" s="78">
        <v>1</v>
      </c>
      <c r="S243" s="70">
        <v>0</v>
      </c>
      <c r="T243" s="70">
        <v>0</v>
      </c>
      <c r="U243" s="70">
        <v>0</v>
      </c>
      <c r="V243" s="70">
        <v>1</v>
      </c>
      <c r="W243" s="78">
        <v>0</v>
      </c>
      <c r="X243" s="70">
        <v>1</v>
      </c>
      <c r="Y243" s="69">
        <v>1981</v>
      </c>
      <c r="Z243" s="28">
        <f t="shared" si="38"/>
        <v>0.94299999999999995</v>
      </c>
      <c r="AA243">
        <v>5.7000000000000002E-2</v>
      </c>
      <c r="AB243" s="28">
        <v>0.51700000000000002</v>
      </c>
      <c r="AC243">
        <f t="shared" si="35"/>
        <v>0.48299999999999998</v>
      </c>
      <c r="AD243" s="28">
        <f t="shared" si="39"/>
        <v>0.96099999999999997</v>
      </c>
      <c r="AE243">
        <v>3.9E-2</v>
      </c>
      <c r="AF243">
        <v>0</v>
      </c>
      <c r="AG243">
        <v>1</v>
      </c>
      <c r="AH243" s="28">
        <f t="shared" si="40"/>
        <v>0.48299999999999998</v>
      </c>
      <c r="AI243" s="12">
        <v>0.51700000000000002</v>
      </c>
      <c r="AJ243">
        <v>4.4000000000000003E-3</v>
      </c>
      <c r="AK243">
        <f t="shared" si="41"/>
        <v>1.0199999999999945E-2</v>
      </c>
      <c r="AL243">
        <v>0.98540000000000005</v>
      </c>
      <c r="AM243" s="28" t="s">
        <v>67</v>
      </c>
      <c r="AN243">
        <v>1</v>
      </c>
      <c r="AO243">
        <v>0</v>
      </c>
      <c r="AP243">
        <v>19368</v>
      </c>
      <c r="AQ243">
        <v>1730</v>
      </c>
      <c r="AR243">
        <v>0.91900000000000004</v>
      </c>
      <c r="AS243" s="64">
        <v>38</v>
      </c>
      <c r="AT243">
        <v>0</v>
      </c>
      <c r="AU243">
        <v>0</v>
      </c>
      <c r="AV243">
        <v>0</v>
      </c>
      <c r="AW243">
        <v>0</v>
      </c>
      <c r="AX243">
        <v>0</v>
      </c>
      <c r="AY243">
        <v>1</v>
      </c>
      <c r="AZ243" s="28">
        <v>0</v>
      </c>
      <c r="BA243">
        <v>0</v>
      </c>
      <c r="BB243">
        <v>1</v>
      </c>
      <c r="BC243" s="28">
        <v>0</v>
      </c>
      <c r="BD243">
        <v>0</v>
      </c>
      <c r="BE243">
        <v>0</v>
      </c>
      <c r="BF243">
        <v>0</v>
      </c>
      <c r="BG243">
        <v>1</v>
      </c>
      <c r="BH243">
        <v>0</v>
      </c>
      <c r="BI243">
        <v>1</v>
      </c>
      <c r="BJ243">
        <v>0</v>
      </c>
      <c r="BK243" s="16">
        <v>0</v>
      </c>
      <c r="BL243">
        <v>0</v>
      </c>
      <c r="BM243">
        <v>17</v>
      </c>
      <c r="BN243">
        <v>0</v>
      </c>
      <c r="BO243">
        <v>1</v>
      </c>
      <c r="BP243">
        <v>5</v>
      </c>
      <c r="BQ243" t="s">
        <v>34</v>
      </c>
    </row>
    <row r="244" spans="1:69" x14ac:dyDescent="0.25">
      <c r="A244">
        <v>243</v>
      </c>
      <c r="B244">
        <v>14</v>
      </c>
      <c r="C244" t="s">
        <v>322</v>
      </c>
      <c r="D244" s="79">
        <v>4.8899999999999997</v>
      </c>
      <c r="E244" s="6">
        <f t="shared" si="37"/>
        <v>0.34148044692737428</v>
      </c>
      <c r="F244" s="6">
        <v>14.32</v>
      </c>
      <c r="G244" s="78">
        <v>0</v>
      </c>
      <c r="H244" s="70">
        <v>0</v>
      </c>
      <c r="I244" s="70">
        <v>1</v>
      </c>
      <c r="J244" s="78">
        <v>9614</v>
      </c>
      <c r="K244" s="70">
        <v>7</v>
      </c>
      <c r="L244" s="70">
        <f t="shared" si="31"/>
        <v>9606</v>
      </c>
      <c r="M244" s="60">
        <f t="shared" si="32"/>
        <v>21</v>
      </c>
      <c r="N244" s="6">
        <v>12.9</v>
      </c>
      <c r="O244" s="6">
        <f t="shared" si="36"/>
        <v>19.100000000000001</v>
      </c>
      <c r="P244" s="78">
        <v>1</v>
      </c>
      <c r="Q244" s="70">
        <v>0</v>
      </c>
      <c r="R244" s="78">
        <v>1</v>
      </c>
      <c r="S244" s="70">
        <v>0</v>
      </c>
      <c r="T244" s="70">
        <v>0</v>
      </c>
      <c r="U244" s="70">
        <v>0</v>
      </c>
      <c r="V244" s="70">
        <v>1</v>
      </c>
      <c r="W244" s="78">
        <v>0</v>
      </c>
      <c r="X244" s="70">
        <v>1</v>
      </c>
      <c r="Y244" s="69">
        <v>1981</v>
      </c>
      <c r="Z244" s="28">
        <f t="shared" si="38"/>
        <v>0.94299999999999995</v>
      </c>
      <c r="AA244">
        <v>5.7000000000000002E-2</v>
      </c>
      <c r="AB244" s="28">
        <v>0.51700000000000002</v>
      </c>
      <c r="AC244">
        <f t="shared" si="35"/>
        <v>0.48299999999999998</v>
      </c>
      <c r="AD244" s="28">
        <f t="shared" si="39"/>
        <v>0.96099999999999997</v>
      </c>
      <c r="AE244">
        <v>3.9E-2</v>
      </c>
      <c r="AF244">
        <v>0</v>
      </c>
      <c r="AG244">
        <v>1</v>
      </c>
      <c r="AH244" s="28">
        <f t="shared" si="40"/>
        <v>0.48299999999999998</v>
      </c>
      <c r="AI244" s="12">
        <v>0.51700000000000002</v>
      </c>
      <c r="AJ244">
        <v>4.4000000000000003E-3</v>
      </c>
      <c r="AK244">
        <f t="shared" si="41"/>
        <v>1.0199999999999945E-2</v>
      </c>
      <c r="AL244">
        <v>0.98540000000000005</v>
      </c>
      <c r="AM244" s="28" t="s">
        <v>67</v>
      </c>
      <c r="AN244">
        <v>1</v>
      </c>
      <c r="AO244">
        <v>0</v>
      </c>
      <c r="AP244">
        <v>19368</v>
      </c>
      <c r="AQ244">
        <v>1730</v>
      </c>
      <c r="AR244">
        <v>0.91900000000000004</v>
      </c>
      <c r="AS244" s="64">
        <v>38</v>
      </c>
      <c r="AT244">
        <v>0</v>
      </c>
      <c r="AU244">
        <v>0</v>
      </c>
      <c r="AV244">
        <v>0</v>
      </c>
      <c r="AW244">
        <v>0</v>
      </c>
      <c r="AX244">
        <v>0</v>
      </c>
      <c r="AY244">
        <v>1</v>
      </c>
      <c r="AZ244" s="28">
        <v>0</v>
      </c>
      <c r="BA244">
        <v>0</v>
      </c>
      <c r="BB244">
        <v>1</v>
      </c>
      <c r="BC244" s="28">
        <v>0</v>
      </c>
      <c r="BD244">
        <v>0</v>
      </c>
      <c r="BE244">
        <v>0</v>
      </c>
      <c r="BF244">
        <v>0</v>
      </c>
      <c r="BG244">
        <v>1</v>
      </c>
      <c r="BH244">
        <v>0</v>
      </c>
      <c r="BI244">
        <v>1</v>
      </c>
      <c r="BJ244">
        <v>0</v>
      </c>
      <c r="BK244" s="16">
        <v>0</v>
      </c>
      <c r="BL244">
        <v>0</v>
      </c>
      <c r="BM244">
        <v>17</v>
      </c>
      <c r="BN244">
        <v>0</v>
      </c>
      <c r="BO244">
        <v>1</v>
      </c>
      <c r="BP244">
        <v>5</v>
      </c>
      <c r="BQ244" t="s">
        <v>34</v>
      </c>
    </row>
    <row r="245" spans="1:69" x14ac:dyDescent="0.25">
      <c r="A245">
        <v>244</v>
      </c>
      <c r="B245">
        <v>14</v>
      </c>
      <c r="C245" t="s">
        <v>322</v>
      </c>
      <c r="D245" s="79">
        <v>4.24</v>
      </c>
      <c r="E245" s="6">
        <f t="shared" si="37"/>
        <v>0.35421888053466999</v>
      </c>
      <c r="F245" s="6">
        <v>11.97</v>
      </c>
      <c r="G245" s="78">
        <v>0</v>
      </c>
      <c r="H245" s="70">
        <v>0</v>
      </c>
      <c r="I245" s="70">
        <v>1</v>
      </c>
      <c r="J245" s="78">
        <v>9614</v>
      </c>
      <c r="K245" s="70">
        <v>7</v>
      </c>
      <c r="L245" s="70">
        <f t="shared" si="31"/>
        <v>9606</v>
      </c>
      <c r="M245" s="60">
        <f t="shared" si="32"/>
        <v>21</v>
      </c>
      <c r="N245" s="6">
        <v>12.9</v>
      </c>
      <c r="O245" s="6">
        <f t="shared" si="36"/>
        <v>19.100000000000001</v>
      </c>
      <c r="P245" s="78">
        <v>1</v>
      </c>
      <c r="Q245" s="70">
        <v>0</v>
      </c>
      <c r="R245" s="78">
        <v>1</v>
      </c>
      <c r="S245" s="70">
        <v>0</v>
      </c>
      <c r="T245" s="70">
        <v>0</v>
      </c>
      <c r="U245" s="70">
        <v>0</v>
      </c>
      <c r="V245" s="70">
        <v>1</v>
      </c>
      <c r="W245" s="78">
        <v>0</v>
      </c>
      <c r="X245" s="70">
        <v>1</v>
      </c>
      <c r="Y245" s="69">
        <v>1981</v>
      </c>
      <c r="Z245" s="28">
        <f t="shared" si="38"/>
        <v>0.94299999999999995</v>
      </c>
      <c r="AA245">
        <v>5.7000000000000002E-2</v>
      </c>
      <c r="AB245" s="28">
        <v>0.51700000000000002</v>
      </c>
      <c r="AC245">
        <f t="shared" si="35"/>
        <v>0.48299999999999998</v>
      </c>
      <c r="AD245" s="28">
        <f t="shared" si="39"/>
        <v>0.96099999999999997</v>
      </c>
      <c r="AE245">
        <v>3.9E-2</v>
      </c>
      <c r="AF245">
        <v>0</v>
      </c>
      <c r="AG245">
        <v>1</v>
      </c>
      <c r="AH245" s="28">
        <f t="shared" si="40"/>
        <v>0.48299999999999998</v>
      </c>
      <c r="AI245" s="12">
        <v>0.51700000000000002</v>
      </c>
      <c r="AJ245">
        <v>4.4000000000000003E-3</v>
      </c>
      <c r="AK245">
        <f t="shared" si="41"/>
        <v>1.0199999999999945E-2</v>
      </c>
      <c r="AL245">
        <v>0.98540000000000005</v>
      </c>
      <c r="AM245" s="28" t="s">
        <v>67</v>
      </c>
      <c r="AN245">
        <v>1</v>
      </c>
      <c r="AO245">
        <v>0</v>
      </c>
      <c r="AP245">
        <v>19368</v>
      </c>
      <c r="AQ245">
        <v>1730</v>
      </c>
      <c r="AR245">
        <v>0.91900000000000004</v>
      </c>
      <c r="AS245" s="64">
        <v>38</v>
      </c>
      <c r="AT245">
        <v>0</v>
      </c>
      <c r="AU245">
        <v>0</v>
      </c>
      <c r="AV245">
        <v>0</v>
      </c>
      <c r="AW245">
        <v>0</v>
      </c>
      <c r="AX245">
        <v>0</v>
      </c>
      <c r="AY245">
        <v>1</v>
      </c>
      <c r="AZ245" s="28">
        <v>0</v>
      </c>
      <c r="BA245">
        <v>0</v>
      </c>
      <c r="BB245">
        <v>1</v>
      </c>
      <c r="BC245" s="28">
        <v>0</v>
      </c>
      <c r="BD245">
        <v>0</v>
      </c>
      <c r="BE245">
        <v>0</v>
      </c>
      <c r="BF245">
        <v>0</v>
      </c>
      <c r="BG245">
        <v>1</v>
      </c>
      <c r="BH245">
        <v>0</v>
      </c>
      <c r="BI245">
        <v>1</v>
      </c>
      <c r="BJ245">
        <v>0</v>
      </c>
      <c r="BK245" s="16">
        <v>0</v>
      </c>
      <c r="BL245">
        <v>0</v>
      </c>
      <c r="BM245">
        <v>17</v>
      </c>
      <c r="BN245">
        <v>0</v>
      </c>
      <c r="BO245">
        <v>1</v>
      </c>
      <c r="BP245">
        <v>5</v>
      </c>
      <c r="BQ245" t="s">
        <v>34</v>
      </c>
    </row>
    <row r="246" spans="1:69" x14ac:dyDescent="0.25">
      <c r="A246">
        <v>245</v>
      </c>
      <c r="B246">
        <v>14</v>
      </c>
      <c r="C246" t="s">
        <v>322</v>
      </c>
      <c r="D246" s="79">
        <v>11.35</v>
      </c>
      <c r="E246" s="6">
        <f t="shared" si="37"/>
        <v>2.260956175298805</v>
      </c>
      <c r="F246" s="6">
        <v>5.0199999999999996</v>
      </c>
      <c r="G246" s="78">
        <v>0</v>
      </c>
      <c r="H246" s="70">
        <v>0</v>
      </c>
      <c r="I246" s="70">
        <v>1</v>
      </c>
      <c r="J246" s="78">
        <v>206</v>
      </c>
      <c r="K246" s="70">
        <v>7</v>
      </c>
      <c r="L246" s="70">
        <f t="shared" si="31"/>
        <v>198</v>
      </c>
      <c r="M246" s="60">
        <f t="shared" si="32"/>
        <v>21</v>
      </c>
      <c r="N246" s="6">
        <v>12.9</v>
      </c>
      <c r="O246" s="6">
        <f t="shared" si="36"/>
        <v>19.100000000000001</v>
      </c>
      <c r="P246" s="78">
        <v>1</v>
      </c>
      <c r="Q246" s="70">
        <v>0</v>
      </c>
      <c r="R246" s="78">
        <v>1</v>
      </c>
      <c r="S246" s="70">
        <v>0</v>
      </c>
      <c r="T246" s="70">
        <v>0</v>
      </c>
      <c r="U246" s="70">
        <v>0</v>
      </c>
      <c r="V246" s="70">
        <v>1</v>
      </c>
      <c r="W246" s="78">
        <v>0</v>
      </c>
      <c r="X246" s="70">
        <v>1</v>
      </c>
      <c r="Y246" s="69">
        <v>1981</v>
      </c>
      <c r="Z246" s="28">
        <f t="shared" si="38"/>
        <v>0.96199999999999997</v>
      </c>
      <c r="AA246">
        <v>3.7999999999999999E-2</v>
      </c>
      <c r="AB246" s="28">
        <v>0.51400000000000001</v>
      </c>
      <c r="AC246">
        <f t="shared" si="35"/>
        <v>0.48599999999999999</v>
      </c>
      <c r="AD246" s="28">
        <f t="shared" si="39"/>
        <v>0.97899999999999998</v>
      </c>
      <c r="AE246">
        <v>2.1000000000000001E-2</v>
      </c>
      <c r="AF246">
        <v>0</v>
      </c>
      <c r="AG246">
        <v>1</v>
      </c>
      <c r="AH246" s="28">
        <f t="shared" si="40"/>
        <v>0.47199999999999998</v>
      </c>
      <c r="AI246" s="12">
        <v>0.52800000000000002</v>
      </c>
      <c r="AJ246">
        <v>0.30299999999999999</v>
      </c>
      <c r="AK246">
        <v>0.69699999999999995</v>
      </c>
      <c r="AL246">
        <v>0</v>
      </c>
      <c r="AM246" s="28" t="s">
        <v>67</v>
      </c>
      <c r="AN246">
        <v>1</v>
      </c>
      <c r="AO246">
        <v>0</v>
      </c>
      <c r="AP246">
        <v>19368</v>
      </c>
      <c r="AQ246">
        <v>1730</v>
      </c>
      <c r="AR246">
        <v>0.91900000000000004</v>
      </c>
      <c r="AS246" s="64">
        <v>38</v>
      </c>
      <c r="AT246">
        <v>1</v>
      </c>
      <c r="AU246">
        <v>0</v>
      </c>
      <c r="AV246">
        <v>0</v>
      </c>
      <c r="AW246">
        <v>0</v>
      </c>
      <c r="AX246">
        <v>0</v>
      </c>
      <c r="AY246">
        <v>0</v>
      </c>
      <c r="AZ246" s="28">
        <v>0</v>
      </c>
      <c r="BA246">
        <v>0</v>
      </c>
      <c r="BB246">
        <v>0</v>
      </c>
      <c r="BC246" s="28">
        <v>0</v>
      </c>
      <c r="BD246">
        <v>0</v>
      </c>
      <c r="BE246">
        <v>0</v>
      </c>
      <c r="BF246">
        <v>0</v>
      </c>
      <c r="BG246">
        <v>1</v>
      </c>
      <c r="BH246">
        <v>0</v>
      </c>
      <c r="BI246">
        <v>1</v>
      </c>
      <c r="BJ246">
        <v>0</v>
      </c>
      <c r="BK246" s="16">
        <v>0</v>
      </c>
      <c r="BL246">
        <v>0</v>
      </c>
      <c r="BM246">
        <v>17</v>
      </c>
      <c r="BN246">
        <v>0</v>
      </c>
      <c r="BO246">
        <v>1</v>
      </c>
      <c r="BP246">
        <v>5</v>
      </c>
      <c r="BQ246" t="s">
        <v>34</v>
      </c>
    </row>
    <row r="247" spans="1:69" x14ac:dyDescent="0.25">
      <c r="A247">
        <v>246</v>
      </c>
      <c r="B247">
        <v>14</v>
      </c>
      <c r="C247" t="s">
        <v>322</v>
      </c>
      <c r="D247" s="79">
        <v>8.41</v>
      </c>
      <c r="E247" s="6">
        <f t="shared" si="37"/>
        <v>2.5562310030395139</v>
      </c>
      <c r="F247" s="6">
        <v>3.29</v>
      </c>
      <c r="G247" s="78">
        <v>0</v>
      </c>
      <c r="H247" s="70">
        <v>0</v>
      </c>
      <c r="I247" s="70">
        <v>1</v>
      </c>
      <c r="J247" s="78">
        <v>206</v>
      </c>
      <c r="K247" s="70">
        <v>8</v>
      </c>
      <c r="L247" s="70">
        <f t="shared" si="31"/>
        <v>197</v>
      </c>
      <c r="M247" s="60">
        <f t="shared" si="32"/>
        <v>21</v>
      </c>
      <c r="N247" s="6">
        <v>12.9</v>
      </c>
      <c r="O247" s="6">
        <f t="shared" si="36"/>
        <v>19.100000000000001</v>
      </c>
      <c r="P247" s="78">
        <v>1</v>
      </c>
      <c r="Q247" s="70">
        <v>0</v>
      </c>
      <c r="R247" s="78">
        <v>1</v>
      </c>
      <c r="S247" s="70">
        <v>0</v>
      </c>
      <c r="T247" s="70">
        <v>0</v>
      </c>
      <c r="U247" s="70">
        <v>0</v>
      </c>
      <c r="V247" s="70">
        <v>1</v>
      </c>
      <c r="W247" s="78">
        <v>0</v>
      </c>
      <c r="X247" s="70">
        <v>1</v>
      </c>
      <c r="Y247" s="69">
        <v>1981</v>
      </c>
      <c r="Z247" s="28">
        <f t="shared" si="38"/>
        <v>0.96199999999999997</v>
      </c>
      <c r="AA247">
        <v>3.7999999999999999E-2</v>
      </c>
      <c r="AB247" s="28">
        <v>0.51400000000000001</v>
      </c>
      <c r="AC247">
        <f t="shared" si="35"/>
        <v>0.48599999999999999</v>
      </c>
      <c r="AD247" s="28">
        <f t="shared" si="39"/>
        <v>0.97899999999999998</v>
      </c>
      <c r="AE247">
        <v>2.1000000000000001E-2</v>
      </c>
      <c r="AF247">
        <v>0</v>
      </c>
      <c r="AG247">
        <v>1</v>
      </c>
      <c r="AH247" s="28">
        <f t="shared" si="40"/>
        <v>0.47199999999999998</v>
      </c>
      <c r="AI247" s="12">
        <v>0.52800000000000002</v>
      </c>
      <c r="AJ247">
        <v>0.30299999999999999</v>
      </c>
      <c r="AK247">
        <v>0.69699999999999995</v>
      </c>
      <c r="AL247">
        <v>0</v>
      </c>
      <c r="AM247" s="28" t="s">
        <v>67</v>
      </c>
      <c r="AN247">
        <v>1</v>
      </c>
      <c r="AO247">
        <v>0</v>
      </c>
      <c r="AP247">
        <v>19368</v>
      </c>
      <c r="AQ247">
        <v>1730</v>
      </c>
      <c r="AR247">
        <v>0.91900000000000004</v>
      </c>
      <c r="AS247" s="64">
        <v>38</v>
      </c>
      <c r="AT247">
        <v>0</v>
      </c>
      <c r="AU247">
        <v>0</v>
      </c>
      <c r="AV247">
        <v>0</v>
      </c>
      <c r="AW247">
        <v>0</v>
      </c>
      <c r="AX247">
        <v>0</v>
      </c>
      <c r="AY247">
        <v>1</v>
      </c>
      <c r="AZ247" s="28">
        <v>0</v>
      </c>
      <c r="BA247">
        <v>0</v>
      </c>
      <c r="BB247">
        <v>1</v>
      </c>
      <c r="BC247" s="28">
        <v>0</v>
      </c>
      <c r="BD247">
        <v>0</v>
      </c>
      <c r="BE247">
        <v>0</v>
      </c>
      <c r="BF247">
        <v>0</v>
      </c>
      <c r="BG247">
        <v>1</v>
      </c>
      <c r="BH247">
        <v>0</v>
      </c>
      <c r="BI247">
        <v>1</v>
      </c>
      <c r="BJ247">
        <v>0</v>
      </c>
      <c r="BK247" s="16">
        <v>0</v>
      </c>
      <c r="BL247">
        <v>0</v>
      </c>
      <c r="BM247">
        <v>17</v>
      </c>
      <c r="BN247">
        <v>0</v>
      </c>
      <c r="BO247">
        <v>1</v>
      </c>
      <c r="BP247">
        <v>5</v>
      </c>
      <c r="BQ247" t="s">
        <v>34</v>
      </c>
    </row>
    <row r="248" spans="1:69" x14ac:dyDescent="0.25">
      <c r="A248">
        <v>247</v>
      </c>
      <c r="B248">
        <v>14</v>
      </c>
      <c r="C248" t="s">
        <v>322</v>
      </c>
      <c r="D248" s="79">
        <v>9.51</v>
      </c>
      <c r="E248" s="6">
        <f t="shared" si="37"/>
        <v>2.4830287206266317</v>
      </c>
      <c r="F248" s="6">
        <v>3.83</v>
      </c>
      <c r="G248" s="78">
        <v>0</v>
      </c>
      <c r="H248" s="70">
        <v>0</v>
      </c>
      <c r="I248" s="70">
        <v>1</v>
      </c>
      <c r="J248" s="78">
        <v>206</v>
      </c>
      <c r="K248" s="70">
        <v>8</v>
      </c>
      <c r="L248" s="70">
        <f t="shared" si="31"/>
        <v>197</v>
      </c>
      <c r="M248" s="60">
        <f t="shared" si="32"/>
        <v>21</v>
      </c>
      <c r="N248" s="6">
        <v>12.9</v>
      </c>
      <c r="O248" s="6">
        <f t="shared" si="36"/>
        <v>19.100000000000001</v>
      </c>
      <c r="P248" s="78">
        <v>1</v>
      </c>
      <c r="Q248" s="70">
        <v>0</v>
      </c>
      <c r="R248" s="78">
        <v>1</v>
      </c>
      <c r="S248" s="70">
        <v>0</v>
      </c>
      <c r="T248" s="70">
        <v>0</v>
      </c>
      <c r="U248" s="70">
        <v>0</v>
      </c>
      <c r="V248" s="70">
        <v>1</v>
      </c>
      <c r="W248" s="78">
        <v>0</v>
      </c>
      <c r="X248" s="70">
        <v>1</v>
      </c>
      <c r="Y248" s="69">
        <v>1981</v>
      </c>
      <c r="Z248" s="28">
        <f t="shared" si="38"/>
        <v>0.96199999999999997</v>
      </c>
      <c r="AA248">
        <v>3.7999999999999999E-2</v>
      </c>
      <c r="AB248" s="28">
        <v>0.51400000000000001</v>
      </c>
      <c r="AC248">
        <f t="shared" si="35"/>
        <v>0.48599999999999999</v>
      </c>
      <c r="AD248" s="28">
        <f t="shared" si="39"/>
        <v>0.97899999999999998</v>
      </c>
      <c r="AE248">
        <v>2.1000000000000001E-2</v>
      </c>
      <c r="AF248">
        <v>0</v>
      </c>
      <c r="AG248">
        <v>1</v>
      </c>
      <c r="AH248" s="28">
        <f t="shared" si="40"/>
        <v>0.47199999999999998</v>
      </c>
      <c r="AI248" s="12">
        <v>0.52800000000000002</v>
      </c>
      <c r="AJ248">
        <v>0.30299999999999999</v>
      </c>
      <c r="AK248">
        <v>0.69699999999999995</v>
      </c>
      <c r="AL248">
        <v>0</v>
      </c>
      <c r="AM248" s="28" t="s">
        <v>67</v>
      </c>
      <c r="AN248">
        <v>1</v>
      </c>
      <c r="AO248">
        <v>0</v>
      </c>
      <c r="AP248">
        <v>19368</v>
      </c>
      <c r="AQ248">
        <v>1730</v>
      </c>
      <c r="AR248">
        <v>0.91900000000000004</v>
      </c>
      <c r="AS248" s="64">
        <v>38</v>
      </c>
      <c r="AT248">
        <v>0</v>
      </c>
      <c r="AU248">
        <v>0</v>
      </c>
      <c r="AV248">
        <v>0</v>
      </c>
      <c r="AW248">
        <v>0</v>
      </c>
      <c r="AX248">
        <v>0</v>
      </c>
      <c r="AY248">
        <v>1</v>
      </c>
      <c r="AZ248" s="28">
        <v>0</v>
      </c>
      <c r="BA248">
        <v>0</v>
      </c>
      <c r="BB248">
        <v>1</v>
      </c>
      <c r="BC248" s="28">
        <v>0</v>
      </c>
      <c r="BD248">
        <v>0</v>
      </c>
      <c r="BE248">
        <v>0</v>
      </c>
      <c r="BF248">
        <v>0</v>
      </c>
      <c r="BG248">
        <v>1</v>
      </c>
      <c r="BH248">
        <v>0</v>
      </c>
      <c r="BI248">
        <v>1</v>
      </c>
      <c r="BJ248">
        <v>0</v>
      </c>
      <c r="BK248" s="16">
        <v>0</v>
      </c>
      <c r="BL248">
        <v>0</v>
      </c>
      <c r="BM248">
        <v>17</v>
      </c>
      <c r="BN248">
        <v>0</v>
      </c>
      <c r="BO248">
        <v>1</v>
      </c>
      <c r="BP248">
        <v>5</v>
      </c>
      <c r="BQ248" t="s">
        <v>34</v>
      </c>
    </row>
    <row r="249" spans="1:69" x14ac:dyDescent="0.25">
      <c r="A249">
        <v>248</v>
      </c>
      <c r="B249">
        <v>14</v>
      </c>
      <c r="C249" t="s">
        <v>322</v>
      </c>
      <c r="D249" s="79">
        <v>7.91</v>
      </c>
      <c r="E249" s="6">
        <f t="shared" si="37"/>
        <v>2.6722972972972974</v>
      </c>
      <c r="F249" s="6">
        <v>2.96</v>
      </c>
      <c r="G249" s="78">
        <v>0</v>
      </c>
      <c r="H249" s="70">
        <v>0</v>
      </c>
      <c r="I249" s="70">
        <v>1</v>
      </c>
      <c r="J249" s="78">
        <v>206</v>
      </c>
      <c r="K249" s="70">
        <v>8</v>
      </c>
      <c r="L249" s="70">
        <f t="shared" si="31"/>
        <v>197</v>
      </c>
      <c r="M249" s="60">
        <f t="shared" si="32"/>
        <v>21</v>
      </c>
      <c r="N249" s="6">
        <v>12.9</v>
      </c>
      <c r="O249" s="6">
        <f t="shared" si="36"/>
        <v>19.100000000000001</v>
      </c>
      <c r="P249" s="78">
        <v>1</v>
      </c>
      <c r="Q249" s="70">
        <v>0</v>
      </c>
      <c r="R249" s="78">
        <v>1</v>
      </c>
      <c r="S249" s="70">
        <v>0</v>
      </c>
      <c r="T249" s="70">
        <v>0</v>
      </c>
      <c r="U249" s="70">
        <v>0</v>
      </c>
      <c r="V249" s="70">
        <v>1</v>
      </c>
      <c r="W249" s="78">
        <v>0</v>
      </c>
      <c r="X249" s="70">
        <v>1</v>
      </c>
      <c r="Y249" s="69">
        <v>1981</v>
      </c>
      <c r="Z249" s="28">
        <f t="shared" si="38"/>
        <v>0.96199999999999997</v>
      </c>
      <c r="AA249">
        <v>3.7999999999999999E-2</v>
      </c>
      <c r="AB249" s="28">
        <v>0.51400000000000001</v>
      </c>
      <c r="AC249">
        <f t="shared" si="35"/>
        <v>0.48599999999999999</v>
      </c>
      <c r="AD249" s="28">
        <f t="shared" si="39"/>
        <v>0.97899999999999998</v>
      </c>
      <c r="AE249">
        <v>2.1000000000000001E-2</v>
      </c>
      <c r="AF249">
        <v>0</v>
      </c>
      <c r="AG249">
        <v>1</v>
      </c>
      <c r="AH249" s="28">
        <f t="shared" si="40"/>
        <v>0.47199999999999998</v>
      </c>
      <c r="AI249" s="12">
        <v>0.52800000000000002</v>
      </c>
      <c r="AJ249">
        <v>0.30299999999999999</v>
      </c>
      <c r="AK249">
        <v>0.69699999999999995</v>
      </c>
      <c r="AL249">
        <v>0</v>
      </c>
      <c r="AM249" s="28" t="s">
        <v>67</v>
      </c>
      <c r="AN249">
        <v>1</v>
      </c>
      <c r="AO249">
        <v>0</v>
      </c>
      <c r="AP249">
        <v>19368</v>
      </c>
      <c r="AQ249">
        <v>1730</v>
      </c>
      <c r="AR249">
        <v>0.91900000000000004</v>
      </c>
      <c r="AS249" s="64">
        <v>38</v>
      </c>
      <c r="AT249">
        <v>0</v>
      </c>
      <c r="AU249">
        <v>0</v>
      </c>
      <c r="AV249">
        <v>0</v>
      </c>
      <c r="AW249">
        <v>0</v>
      </c>
      <c r="AX249">
        <v>0</v>
      </c>
      <c r="AY249">
        <v>1</v>
      </c>
      <c r="AZ249" s="28">
        <v>0</v>
      </c>
      <c r="BA249">
        <v>0</v>
      </c>
      <c r="BB249">
        <v>1</v>
      </c>
      <c r="BC249" s="28">
        <v>0</v>
      </c>
      <c r="BD249">
        <v>0</v>
      </c>
      <c r="BE249">
        <v>0</v>
      </c>
      <c r="BF249">
        <v>0</v>
      </c>
      <c r="BG249">
        <v>1</v>
      </c>
      <c r="BH249">
        <v>0</v>
      </c>
      <c r="BI249">
        <v>1</v>
      </c>
      <c r="BJ249">
        <v>0</v>
      </c>
      <c r="BK249" s="16">
        <v>0</v>
      </c>
      <c r="BL249">
        <v>0</v>
      </c>
      <c r="BM249">
        <v>17</v>
      </c>
      <c r="BN249">
        <v>0</v>
      </c>
      <c r="BO249">
        <v>1</v>
      </c>
      <c r="BP249">
        <v>5</v>
      </c>
      <c r="BQ249" t="s">
        <v>34</v>
      </c>
    </row>
    <row r="250" spans="1:69" x14ac:dyDescent="0.25">
      <c r="A250">
        <v>249</v>
      </c>
      <c r="B250">
        <v>14</v>
      </c>
      <c r="C250" t="s">
        <v>322</v>
      </c>
      <c r="D250" s="79">
        <v>8.2200000000000006</v>
      </c>
      <c r="E250" s="6">
        <f t="shared" si="37"/>
        <v>2.6430868167202575</v>
      </c>
      <c r="F250" s="6">
        <v>3.11</v>
      </c>
      <c r="G250" s="78">
        <v>0</v>
      </c>
      <c r="H250" s="70">
        <v>0</v>
      </c>
      <c r="I250" s="70">
        <v>1</v>
      </c>
      <c r="J250" s="78">
        <v>197</v>
      </c>
      <c r="K250" s="70">
        <v>8</v>
      </c>
      <c r="L250" s="70">
        <f t="shared" si="31"/>
        <v>188</v>
      </c>
      <c r="M250" s="60">
        <f t="shared" si="32"/>
        <v>21</v>
      </c>
      <c r="N250" s="6">
        <v>12.9</v>
      </c>
      <c r="O250" s="6">
        <f t="shared" si="36"/>
        <v>19.100000000000001</v>
      </c>
      <c r="P250" s="78">
        <v>1</v>
      </c>
      <c r="Q250" s="70">
        <v>0</v>
      </c>
      <c r="R250" s="78">
        <v>1</v>
      </c>
      <c r="S250" s="70">
        <v>0</v>
      </c>
      <c r="T250" s="70">
        <v>0</v>
      </c>
      <c r="U250" s="70">
        <v>0</v>
      </c>
      <c r="V250" s="70">
        <v>1</v>
      </c>
      <c r="W250" s="78">
        <v>0</v>
      </c>
      <c r="X250" s="70">
        <v>1</v>
      </c>
      <c r="Y250" s="69">
        <v>1981</v>
      </c>
      <c r="Z250" s="28">
        <f t="shared" si="38"/>
        <v>0.96199999999999997</v>
      </c>
      <c r="AA250">
        <v>3.7999999999999999E-2</v>
      </c>
      <c r="AB250" s="28">
        <v>0.51400000000000001</v>
      </c>
      <c r="AC250">
        <f t="shared" si="35"/>
        <v>0.48599999999999999</v>
      </c>
      <c r="AD250" s="28">
        <f t="shared" si="39"/>
        <v>0.97899999999999998</v>
      </c>
      <c r="AE250">
        <v>2.1000000000000001E-2</v>
      </c>
      <c r="AF250">
        <v>0</v>
      </c>
      <c r="AG250">
        <v>1</v>
      </c>
      <c r="AH250" s="28">
        <f t="shared" si="40"/>
        <v>0.47199999999999998</v>
      </c>
      <c r="AI250" s="12">
        <v>0.52800000000000002</v>
      </c>
      <c r="AJ250">
        <v>0.30299999999999999</v>
      </c>
      <c r="AK250">
        <v>0.69699999999999995</v>
      </c>
      <c r="AL250">
        <v>0</v>
      </c>
      <c r="AM250" s="28" t="s">
        <v>67</v>
      </c>
      <c r="AN250">
        <v>1</v>
      </c>
      <c r="AO250">
        <v>0</v>
      </c>
      <c r="AP250">
        <v>19368</v>
      </c>
      <c r="AQ250">
        <v>1730</v>
      </c>
      <c r="AR250">
        <v>0.91900000000000004</v>
      </c>
      <c r="AS250" s="64">
        <v>38</v>
      </c>
      <c r="AT250">
        <v>0</v>
      </c>
      <c r="AU250">
        <v>0</v>
      </c>
      <c r="AV250">
        <v>0</v>
      </c>
      <c r="AW250">
        <v>0</v>
      </c>
      <c r="AX250">
        <v>0</v>
      </c>
      <c r="AY250">
        <v>1</v>
      </c>
      <c r="AZ250" s="28">
        <v>0</v>
      </c>
      <c r="BA250">
        <v>0</v>
      </c>
      <c r="BB250">
        <v>1</v>
      </c>
      <c r="BC250" s="28">
        <v>0</v>
      </c>
      <c r="BD250">
        <v>0</v>
      </c>
      <c r="BE250">
        <v>0</v>
      </c>
      <c r="BF250">
        <v>0</v>
      </c>
      <c r="BG250">
        <v>1</v>
      </c>
      <c r="BH250">
        <v>0</v>
      </c>
      <c r="BI250">
        <v>1</v>
      </c>
      <c r="BJ250">
        <v>0</v>
      </c>
      <c r="BK250" s="16">
        <v>0</v>
      </c>
      <c r="BL250">
        <v>0</v>
      </c>
      <c r="BM250">
        <v>17</v>
      </c>
      <c r="BN250">
        <v>0</v>
      </c>
      <c r="BO250">
        <v>1</v>
      </c>
      <c r="BP250">
        <v>5</v>
      </c>
      <c r="BQ250" t="s">
        <v>34</v>
      </c>
    </row>
    <row r="251" spans="1:69" x14ac:dyDescent="0.25">
      <c r="A251">
        <v>250</v>
      </c>
      <c r="B251">
        <v>14</v>
      </c>
      <c r="C251" t="s">
        <v>322</v>
      </c>
      <c r="D251" s="79">
        <v>8.66</v>
      </c>
      <c r="E251" s="6">
        <f t="shared" si="37"/>
        <v>2.6163141993957706</v>
      </c>
      <c r="F251" s="6">
        <v>3.31</v>
      </c>
      <c r="G251" s="78">
        <v>0</v>
      </c>
      <c r="H251" s="70">
        <v>0</v>
      </c>
      <c r="I251" s="70">
        <v>1</v>
      </c>
      <c r="J251" s="78">
        <v>197</v>
      </c>
      <c r="K251" s="70">
        <v>8</v>
      </c>
      <c r="L251" s="70">
        <f t="shared" si="31"/>
        <v>188</v>
      </c>
      <c r="M251" s="60">
        <f t="shared" si="32"/>
        <v>21</v>
      </c>
      <c r="N251" s="6">
        <v>12.9</v>
      </c>
      <c r="O251" s="6">
        <f t="shared" si="36"/>
        <v>19.100000000000001</v>
      </c>
      <c r="P251" s="78">
        <v>1</v>
      </c>
      <c r="Q251" s="70">
        <v>0</v>
      </c>
      <c r="R251" s="78">
        <v>1</v>
      </c>
      <c r="S251" s="70">
        <v>0</v>
      </c>
      <c r="T251" s="70">
        <v>0</v>
      </c>
      <c r="U251" s="70">
        <v>0</v>
      </c>
      <c r="V251" s="70">
        <v>1</v>
      </c>
      <c r="W251" s="78">
        <v>0</v>
      </c>
      <c r="X251" s="70">
        <v>1</v>
      </c>
      <c r="Y251" s="69">
        <v>1981</v>
      </c>
      <c r="Z251" s="28">
        <f t="shared" si="38"/>
        <v>0.96199999999999997</v>
      </c>
      <c r="AA251">
        <v>3.7999999999999999E-2</v>
      </c>
      <c r="AB251" s="28">
        <v>0.51400000000000001</v>
      </c>
      <c r="AC251">
        <f t="shared" si="35"/>
        <v>0.48599999999999999</v>
      </c>
      <c r="AD251" s="28">
        <f t="shared" si="39"/>
        <v>0.97899999999999998</v>
      </c>
      <c r="AE251">
        <v>2.1000000000000001E-2</v>
      </c>
      <c r="AF251">
        <v>0</v>
      </c>
      <c r="AG251">
        <v>1</v>
      </c>
      <c r="AH251" s="28">
        <f t="shared" si="40"/>
        <v>0.47199999999999998</v>
      </c>
      <c r="AI251" s="12">
        <v>0.52800000000000002</v>
      </c>
      <c r="AJ251">
        <v>0.30299999999999999</v>
      </c>
      <c r="AK251">
        <v>0.69699999999999995</v>
      </c>
      <c r="AL251">
        <v>0</v>
      </c>
      <c r="AM251" s="28" t="s">
        <v>67</v>
      </c>
      <c r="AN251">
        <v>1</v>
      </c>
      <c r="AO251">
        <v>0</v>
      </c>
      <c r="AP251">
        <v>19368</v>
      </c>
      <c r="AQ251">
        <v>1730</v>
      </c>
      <c r="AR251">
        <v>0.91900000000000004</v>
      </c>
      <c r="AS251" s="64">
        <v>38</v>
      </c>
      <c r="AT251">
        <v>0</v>
      </c>
      <c r="AU251">
        <v>0</v>
      </c>
      <c r="AV251">
        <v>0</v>
      </c>
      <c r="AW251">
        <v>0</v>
      </c>
      <c r="AX251">
        <v>0</v>
      </c>
      <c r="AY251">
        <v>1</v>
      </c>
      <c r="AZ251" s="28">
        <v>0</v>
      </c>
      <c r="BA251">
        <v>0</v>
      </c>
      <c r="BB251">
        <v>1</v>
      </c>
      <c r="BC251" s="28">
        <v>0</v>
      </c>
      <c r="BD251">
        <v>0</v>
      </c>
      <c r="BE251">
        <v>0</v>
      </c>
      <c r="BF251">
        <v>0</v>
      </c>
      <c r="BG251">
        <v>1</v>
      </c>
      <c r="BH251">
        <v>0</v>
      </c>
      <c r="BI251">
        <v>1</v>
      </c>
      <c r="BJ251">
        <v>0</v>
      </c>
      <c r="BK251" s="16">
        <v>0</v>
      </c>
      <c r="BL251">
        <v>0</v>
      </c>
      <c r="BM251">
        <v>17</v>
      </c>
      <c r="BN251">
        <v>0</v>
      </c>
      <c r="BO251">
        <v>1</v>
      </c>
      <c r="BP251">
        <v>5</v>
      </c>
      <c r="BQ251" t="s">
        <v>34</v>
      </c>
    </row>
    <row r="252" spans="1:69" x14ac:dyDescent="0.25">
      <c r="A252">
        <v>251</v>
      </c>
      <c r="B252">
        <v>14</v>
      </c>
      <c r="C252" t="s">
        <v>322</v>
      </c>
      <c r="D252" s="79">
        <v>7.77</v>
      </c>
      <c r="E252" s="6">
        <f t="shared" si="37"/>
        <v>2.6793103448275861</v>
      </c>
      <c r="F252" s="6">
        <v>2.9</v>
      </c>
      <c r="G252" s="78">
        <v>0</v>
      </c>
      <c r="H252" s="70">
        <v>0</v>
      </c>
      <c r="I252" s="70">
        <v>1</v>
      </c>
      <c r="J252" s="78">
        <v>197</v>
      </c>
      <c r="K252" s="70">
        <v>8</v>
      </c>
      <c r="L252" s="70">
        <f t="shared" si="31"/>
        <v>188</v>
      </c>
      <c r="M252" s="60">
        <f t="shared" si="32"/>
        <v>21</v>
      </c>
      <c r="N252" s="6">
        <v>12.9</v>
      </c>
      <c r="O252" s="6">
        <f t="shared" si="36"/>
        <v>19.100000000000001</v>
      </c>
      <c r="P252" s="78">
        <v>1</v>
      </c>
      <c r="Q252" s="70">
        <v>0</v>
      </c>
      <c r="R252" s="78">
        <v>1</v>
      </c>
      <c r="S252" s="70">
        <v>0</v>
      </c>
      <c r="T252" s="70">
        <v>0</v>
      </c>
      <c r="U252" s="70">
        <v>0</v>
      </c>
      <c r="V252" s="70">
        <v>1</v>
      </c>
      <c r="W252" s="78">
        <v>0</v>
      </c>
      <c r="X252" s="70">
        <v>1</v>
      </c>
      <c r="Y252" s="69">
        <v>1981</v>
      </c>
      <c r="Z252" s="28">
        <f t="shared" si="38"/>
        <v>0.96199999999999997</v>
      </c>
      <c r="AA252">
        <v>3.7999999999999999E-2</v>
      </c>
      <c r="AB252" s="28">
        <v>0.51400000000000001</v>
      </c>
      <c r="AC252">
        <f t="shared" si="35"/>
        <v>0.48599999999999999</v>
      </c>
      <c r="AD252" s="28">
        <f t="shared" si="39"/>
        <v>0.97899999999999998</v>
      </c>
      <c r="AE252">
        <v>2.1000000000000001E-2</v>
      </c>
      <c r="AF252">
        <v>0</v>
      </c>
      <c r="AG252">
        <v>1</v>
      </c>
      <c r="AH252" s="28">
        <f t="shared" si="40"/>
        <v>0.47199999999999998</v>
      </c>
      <c r="AI252" s="12">
        <v>0.52800000000000002</v>
      </c>
      <c r="AJ252">
        <v>0.30299999999999999</v>
      </c>
      <c r="AK252">
        <v>0.69699999999999995</v>
      </c>
      <c r="AL252">
        <v>0</v>
      </c>
      <c r="AM252" s="28" t="s">
        <v>67</v>
      </c>
      <c r="AN252">
        <v>1</v>
      </c>
      <c r="AO252">
        <v>0</v>
      </c>
      <c r="AP252">
        <v>19368</v>
      </c>
      <c r="AQ252">
        <v>1730</v>
      </c>
      <c r="AR252">
        <v>0.91900000000000004</v>
      </c>
      <c r="AS252" s="64">
        <v>38</v>
      </c>
      <c r="AT252">
        <v>0</v>
      </c>
      <c r="AU252">
        <v>0</v>
      </c>
      <c r="AV252">
        <v>0</v>
      </c>
      <c r="AW252">
        <v>0</v>
      </c>
      <c r="AX252">
        <v>0</v>
      </c>
      <c r="AY252">
        <v>1</v>
      </c>
      <c r="AZ252" s="28">
        <v>0</v>
      </c>
      <c r="BA252">
        <v>0</v>
      </c>
      <c r="BB252">
        <v>1</v>
      </c>
      <c r="BC252" s="28">
        <v>0</v>
      </c>
      <c r="BD252">
        <v>0</v>
      </c>
      <c r="BE252">
        <v>0</v>
      </c>
      <c r="BF252">
        <v>0</v>
      </c>
      <c r="BG252">
        <v>1</v>
      </c>
      <c r="BH252">
        <v>0</v>
      </c>
      <c r="BI252">
        <v>1</v>
      </c>
      <c r="BJ252">
        <v>0</v>
      </c>
      <c r="BK252" s="16">
        <v>0</v>
      </c>
      <c r="BL252">
        <v>0</v>
      </c>
      <c r="BM252">
        <v>17</v>
      </c>
      <c r="BN252">
        <v>0</v>
      </c>
      <c r="BO252">
        <v>1</v>
      </c>
      <c r="BP252">
        <v>5</v>
      </c>
      <c r="BQ252" t="s">
        <v>34</v>
      </c>
    </row>
    <row r="253" spans="1:69" x14ac:dyDescent="0.25">
      <c r="A253">
        <v>252</v>
      </c>
      <c r="B253">
        <v>14</v>
      </c>
      <c r="C253" t="s">
        <v>322</v>
      </c>
      <c r="D253" s="79">
        <v>5.99</v>
      </c>
      <c r="E253" s="6">
        <f t="shared" si="37"/>
        <v>0.36502132845825719</v>
      </c>
      <c r="F253" s="6">
        <v>16.41</v>
      </c>
      <c r="G253" s="78">
        <v>0</v>
      </c>
      <c r="H253" s="70">
        <v>0</v>
      </c>
      <c r="I253" s="70">
        <v>1</v>
      </c>
      <c r="J253" s="78">
        <v>7855</v>
      </c>
      <c r="K253" s="70">
        <v>8</v>
      </c>
      <c r="L253" s="70">
        <f t="shared" si="31"/>
        <v>7846</v>
      </c>
      <c r="M253" s="60">
        <f t="shared" si="32"/>
        <v>21</v>
      </c>
      <c r="N253" s="6">
        <v>12.9</v>
      </c>
      <c r="O253" s="6">
        <f t="shared" si="36"/>
        <v>19.100000000000001</v>
      </c>
      <c r="P253" s="78">
        <v>1</v>
      </c>
      <c r="Q253" s="70">
        <v>0</v>
      </c>
      <c r="R253" s="78">
        <v>1</v>
      </c>
      <c r="S253" s="70">
        <v>0</v>
      </c>
      <c r="T253" s="70">
        <v>0</v>
      </c>
      <c r="U253" s="70">
        <v>0</v>
      </c>
      <c r="V253" s="70">
        <v>1</v>
      </c>
      <c r="W253" s="78">
        <v>0</v>
      </c>
      <c r="X253" s="70">
        <v>1</v>
      </c>
      <c r="Y253" s="69">
        <v>1981</v>
      </c>
      <c r="Z253" s="28">
        <f t="shared" si="38"/>
        <v>0.94299999999999995</v>
      </c>
      <c r="AA253">
        <v>5.7000000000000002E-2</v>
      </c>
      <c r="AB253" s="28">
        <v>0.51700000000000002</v>
      </c>
      <c r="AC253">
        <f t="shared" si="35"/>
        <v>0.48299999999999998</v>
      </c>
      <c r="AD253" s="28">
        <f t="shared" si="39"/>
        <v>0.96099999999999997</v>
      </c>
      <c r="AE253">
        <v>3.9E-2</v>
      </c>
      <c r="AF253">
        <v>0</v>
      </c>
      <c r="AG253">
        <v>1</v>
      </c>
      <c r="AH253" s="28">
        <f t="shared" si="40"/>
        <v>0.48299999999999998</v>
      </c>
      <c r="AI253" s="12">
        <v>0.51700000000000002</v>
      </c>
      <c r="AJ253">
        <v>4.4000000000000003E-3</v>
      </c>
      <c r="AK253">
        <f t="shared" ref="AK253:AK258" si="42">1-AL253-AJ253</f>
        <v>1.0199999999999945E-2</v>
      </c>
      <c r="AL253">
        <v>0.98540000000000005</v>
      </c>
      <c r="AM253" s="28" t="s">
        <v>67</v>
      </c>
      <c r="AN253">
        <v>1</v>
      </c>
      <c r="AO253">
        <v>0</v>
      </c>
      <c r="AP253">
        <v>19368</v>
      </c>
      <c r="AQ253">
        <v>1730</v>
      </c>
      <c r="AR253">
        <v>0.91900000000000004</v>
      </c>
      <c r="AS253" s="64">
        <v>38</v>
      </c>
      <c r="AT253">
        <v>1</v>
      </c>
      <c r="AU253">
        <v>0</v>
      </c>
      <c r="AV253">
        <v>0</v>
      </c>
      <c r="AW253">
        <v>0</v>
      </c>
      <c r="AX253">
        <v>0</v>
      </c>
      <c r="AY253">
        <v>0</v>
      </c>
      <c r="AZ253" s="28">
        <v>0</v>
      </c>
      <c r="BA253">
        <v>0</v>
      </c>
      <c r="BB253">
        <v>0</v>
      </c>
      <c r="BC253" s="28">
        <v>0</v>
      </c>
      <c r="BD253">
        <v>0</v>
      </c>
      <c r="BE253">
        <v>0</v>
      </c>
      <c r="BF253">
        <v>0</v>
      </c>
      <c r="BG253">
        <v>1</v>
      </c>
      <c r="BH253">
        <v>0</v>
      </c>
      <c r="BI253">
        <v>1</v>
      </c>
      <c r="BJ253">
        <v>0</v>
      </c>
      <c r="BK253" s="16">
        <v>0</v>
      </c>
      <c r="BL253">
        <v>0</v>
      </c>
      <c r="BM253">
        <v>17</v>
      </c>
      <c r="BN253">
        <v>0</v>
      </c>
      <c r="BO253">
        <v>1</v>
      </c>
      <c r="BP253">
        <v>5</v>
      </c>
      <c r="BQ253" t="s">
        <v>34</v>
      </c>
    </row>
    <row r="254" spans="1:69" x14ac:dyDescent="0.25">
      <c r="A254">
        <v>253</v>
      </c>
      <c r="B254">
        <v>14</v>
      </c>
      <c r="C254" t="s">
        <v>322</v>
      </c>
      <c r="D254" s="79">
        <v>8.9700000000000006</v>
      </c>
      <c r="E254" s="6">
        <f t="shared" si="37"/>
        <v>0.63707386363636365</v>
      </c>
      <c r="F254" s="6">
        <v>14.08</v>
      </c>
      <c r="G254" s="78">
        <v>0</v>
      </c>
      <c r="H254" s="70">
        <v>0</v>
      </c>
      <c r="I254" s="70">
        <v>1</v>
      </c>
      <c r="J254" s="78">
        <v>7855</v>
      </c>
      <c r="K254" s="70">
        <v>8</v>
      </c>
      <c r="L254" s="70">
        <f t="shared" si="31"/>
        <v>7846</v>
      </c>
      <c r="M254" s="60">
        <f t="shared" si="32"/>
        <v>21</v>
      </c>
      <c r="N254" s="6">
        <v>12.9</v>
      </c>
      <c r="O254" s="6">
        <f t="shared" si="36"/>
        <v>19.100000000000001</v>
      </c>
      <c r="P254" s="78">
        <v>1</v>
      </c>
      <c r="Q254" s="70">
        <v>0</v>
      </c>
      <c r="R254" s="78">
        <v>1</v>
      </c>
      <c r="S254" s="70">
        <v>0</v>
      </c>
      <c r="T254" s="70">
        <v>0</v>
      </c>
      <c r="U254" s="70">
        <v>0</v>
      </c>
      <c r="V254" s="70">
        <v>1</v>
      </c>
      <c r="W254" s="78">
        <v>0</v>
      </c>
      <c r="X254" s="70">
        <v>1</v>
      </c>
      <c r="Y254" s="69">
        <v>1981</v>
      </c>
      <c r="Z254" s="28">
        <f t="shared" si="38"/>
        <v>0.94299999999999995</v>
      </c>
      <c r="AA254">
        <v>5.7000000000000002E-2</v>
      </c>
      <c r="AB254" s="28">
        <v>0.51700000000000002</v>
      </c>
      <c r="AC254">
        <f t="shared" si="35"/>
        <v>0.48299999999999998</v>
      </c>
      <c r="AD254" s="28">
        <f t="shared" si="39"/>
        <v>0.96099999999999997</v>
      </c>
      <c r="AE254">
        <v>3.9E-2</v>
      </c>
      <c r="AF254">
        <v>0</v>
      </c>
      <c r="AG254">
        <v>1</v>
      </c>
      <c r="AH254" s="28">
        <f t="shared" si="40"/>
        <v>0.48299999999999998</v>
      </c>
      <c r="AI254" s="12">
        <v>0.51700000000000002</v>
      </c>
      <c r="AJ254">
        <v>4.4000000000000003E-3</v>
      </c>
      <c r="AK254">
        <f t="shared" si="42"/>
        <v>1.0199999999999945E-2</v>
      </c>
      <c r="AL254">
        <v>0.98540000000000005</v>
      </c>
      <c r="AM254" s="28" t="s">
        <v>67</v>
      </c>
      <c r="AN254">
        <v>1</v>
      </c>
      <c r="AO254">
        <v>0</v>
      </c>
      <c r="AP254">
        <v>19368</v>
      </c>
      <c r="AQ254">
        <v>1730</v>
      </c>
      <c r="AR254">
        <v>0.91900000000000004</v>
      </c>
      <c r="AS254" s="64">
        <v>38</v>
      </c>
      <c r="AT254">
        <v>0</v>
      </c>
      <c r="AU254">
        <v>0</v>
      </c>
      <c r="AV254">
        <v>0</v>
      </c>
      <c r="AW254">
        <v>0</v>
      </c>
      <c r="AX254">
        <v>0</v>
      </c>
      <c r="AY254">
        <v>1</v>
      </c>
      <c r="AZ254" s="28">
        <v>0</v>
      </c>
      <c r="BA254">
        <v>0</v>
      </c>
      <c r="BB254">
        <v>1</v>
      </c>
      <c r="BC254" s="28">
        <v>0</v>
      </c>
      <c r="BD254">
        <v>0</v>
      </c>
      <c r="BE254">
        <v>0</v>
      </c>
      <c r="BF254">
        <v>0</v>
      </c>
      <c r="BG254">
        <v>1</v>
      </c>
      <c r="BH254">
        <v>0</v>
      </c>
      <c r="BI254">
        <v>1</v>
      </c>
      <c r="BJ254">
        <v>0</v>
      </c>
      <c r="BK254" s="16">
        <v>0</v>
      </c>
      <c r="BL254">
        <v>0</v>
      </c>
      <c r="BM254">
        <v>17</v>
      </c>
      <c r="BN254">
        <v>0</v>
      </c>
      <c r="BO254">
        <v>1</v>
      </c>
      <c r="BP254">
        <v>5</v>
      </c>
      <c r="BQ254" t="s">
        <v>34</v>
      </c>
    </row>
    <row r="255" spans="1:69" x14ac:dyDescent="0.25">
      <c r="A255">
        <v>254</v>
      </c>
      <c r="B255">
        <v>14</v>
      </c>
      <c r="C255" t="s">
        <v>322</v>
      </c>
      <c r="D255" s="79">
        <v>4.5</v>
      </c>
      <c r="E255" s="6">
        <f t="shared" si="37"/>
        <v>0.76791808873720135</v>
      </c>
      <c r="F255" s="6">
        <v>5.86</v>
      </c>
      <c r="G255" s="78">
        <v>0</v>
      </c>
      <c r="H255" s="70">
        <v>0</v>
      </c>
      <c r="I255" s="70">
        <v>1</v>
      </c>
      <c r="J255" s="78">
        <v>7855</v>
      </c>
      <c r="K255" s="70">
        <v>9</v>
      </c>
      <c r="L255" s="70">
        <f t="shared" si="31"/>
        <v>7845</v>
      </c>
      <c r="M255" s="60">
        <f t="shared" si="32"/>
        <v>21</v>
      </c>
      <c r="N255" s="6">
        <v>12.9</v>
      </c>
      <c r="O255" s="6">
        <f t="shared" si="36"/>
        <v>19.100000000000001</v>
      </c>
      <c r="P255" s="78">
        <v>1</v>
      </c>
      <c r="Q255" s="70">
        <v>0</v>
      </c>
      <c r="R255" s="78">
        <v>1</v>
      </c>
      <c r="S255" s="70">
        <v>0</v>
      </c>
      <c r="T255" s="70">
        <v>0</v>
      </c>
      <c r="U255" s="70">
        <v>0</v>
      </c>
      <c r="V255" s="70">
        <v>1</v>
      </c>
      <c r="W255" s="78">
        <v>0</v>
      </c>
      <c r="X255" s="70">
        <v>1</v>
      </c>
      <c r="Y255" s="69">
        <v>1981</v>
      </c>
      <c r="Z255" s="28">
        <f t="shared" si="38"/>
        <v>0.94299999999999995</v>
      </c>
      <c r="AA255">
        <v>5.7000000000000002E-2</v>
      </c>
      <c r="AB255" s="28">
        <v>0.51700000000000002</v>
      </c>
      <c r="AC255">
        <f t="shared" si="35"/>
        <v>0.48299999999999998</v>
      </c>
      <c r="AD255" s="28">
        <f t="shared" si="39"/>
        <v>0.96099999999999997</v>
      </c>
      <c r="AE255">
        <v>3.9E-2</v>
      </c>
      <c r="AF255">
        <v>0</v>
      </c>
      <c r="AG255">
        <v>1</v>
      </c>
      <c r="AH255" s="28">
        <f t="shared" si="40"/>
        <v>0.48299999999999998</v>
      </c>
      <c r="AI255" s="12">
        <v>0.51700000000000002</v>
      </c>
      <c r="AJ255">
        <v>4.4000000000000003E-3</v>
      </c>
      <c r="AK255">
        <f t="shared" si="42"/>
        <v>1.0199999999999945E-2</v>
      </c>
      <c r="AL255">
        <v>0.98540000000000005</v>
      </c>
      <c r="AM255" s="28" t="s">
        <v>67</v>
      </c>
      <c r="AN255">
        <v>1</v>
      </c>
      <c r="AO255">
        <v>0</v>
      </c>
      <c r="AP255">
        <v>19368</v>
      </c>
      <c r="AQ255">
        <v>1730</v>
      </c>
      <c r="AR255">
        <v>0.91900000000000004</v>
      </c>
      <c r="AS255" s="64">
        <v>38</v>
      </c>
      <c r="AT255">
        <v>0</v>
      </c>
      <c r="AU255">
        <v>0</v>
      </c>
      <c r="AV255">
        <v>0</v>
      </c>
      <c r="AW255">
        <v>0</v>
      </c>
      <c r="AX255">
        <v>0</v>
      </c>
      <c r="AY255">
        <v>1</v>
      </c>
      <c r="AZ255" s="28">
        <v>0</v>
      </c>
      <c r="BA255">
        <v>0</v>
      </c>
      <c r="BB255">
        <v>1</v>
      </c>
      <c r="BC255" s="28">
        <v>0</v>
      </c>
      <c r="BD255">
        <v>0</v>
      </c>
      <c r="BE255">
        <v>0</v>
      </c>
      <c r="BF255">
        <v>0</v>
      </c>
      <c r="BG255">
        <v>1</v>
      </c>
      <c r="BH255">
        <v>0</v>
      </c>
      <c r="BI255">
        <v>1</v>
      </c>
      <c r="BJ255">
        <v>0</v>
      </c>
      <c r="BK255" s="16">
        <v>0</v>
      </c>
      <c r="BL255">
        <v>0</v>
      </c>
      <c r="BM255">
        <v>17</v>
      </c>
      <c r="BN255">
        <v>0</v>
      </c>
      <c r="BO255">
        <v>1</v>
      </c>
      <c r="BP255">
        <v>5</v>
      </c>
      <c r="BQ255" t="s">
        <v>34</v>
      </c>
    </row>
    <row r="256" spans="1:69" x14ac:dyDescent="0.25">
      <c r="A256">
        <v>255</v>
      </c>
      <c r="B256">
        <v>14</v>
      </c>
      <c r="C256" t="s">
        <v>322</v>
      </c>
      <c r="D256" s="79">
        <v>7.13</v>
      </c>
      <c r="E256" s="6">
        <f t="shared" si="37"/>
        <v>0.68295019157088122</v>
      </c>
      <c r="F256" s="6">
        <v>10.44</v>
      </c>
      <c r="G256" s="78">
        <v>0</v>
      </c>
      <c r="H256" s="70">
        <v>0</v>
      </c>
      <c r="I256" s="70">
        <v>1</v>
      </c>
      <c r="J256" s="78">
        <v>7855</v>
      </c>
      <c r="K256" s="70">
        <v>9</v>
      </c>
      <c r="L256" s="70">
        <f t="shared" si="31"/>
        <v>7845</v>
      </c>
      <c r="M256" s="60">
        <f t="shared" si="32"/>
        <v>21</v>
      </c>
      <c r="N256" s="6">
        <v>12.9</v>
      </c>
      <c r="O256" s="6">
        <f t="shared" si="36"/>
        <v>19.100000000000001</v>
      </c>
      <c r="P256" s="78">
        <v>1</v>
      </c>
      <c r="Q256" s="70">
        <v>0</v>
      </c>
      <c r="R256" s="78">
        <v>1</v>
      </c>
      <c r="S256" s="70">
        <v>0</v>
      </c>
      <c r="T256" s="70">
        <v>0</v>
      </c>
      <c r="U256" s="70">
        <v>0</v>
      </c>
      <c r="V256" s="70">
        <v>1</v>
      </c>
      <c r="W256" s="78">
        <v>0</v>
      </c>
      <c r="X256" s="70">
        <v>1</v>
      </c>
      <c r="Y256" s="69">
        <v>1981</v>
      </c>
      <c r="Z256" s="28">
        <f t="shared" si="38"/>
        <v>0.94299999999999995</v>
      </c>
      <c r="AA256">
        <v>5.7000000000000002E-2</v>
      </c>
      <c r="AB256" s="28">
        <v>0.51700000000000002</v>
      </c>
      <c r="AC256">
        <f t="shared" si="35"/>
        <v>0.48299999999999998</v>
      </c>
      <c r="AD256" s="28">
        <f t="shared" si="39"/>
        <v>0.96099999999999997</v>
      </c>
      <c r="AE256">
        <v>3.9E-2</v>
      </c>
      <c r="AF256">
        <v>0</v>
      </c>
      <c r="AG256">
        <v>1</v>
      </c>
      <c r="AH256" s="28">
        <f t="shared" si="40"/>
        <v>0.48299999999999998</v>
      </c>
      <c r="AI256" s="12">
        <v>0.51700000000000002</v>
      </c>
      <c r="AJ256">
        <v>4.4000000000000003E-3</v>
      </c>
      <c r="AK256">
        <f t="shared" si="42"/>
        <v>1.0199999999999945E-2</v>
      </c>
      <c r="AL256">
        <v>0.98540000000000005</v>
      </c>
      <c r="AM256" s="28" t="s">
        <v>67</v>
      </c>
      <c r="AN256">
        <v>1</v>
      </c>
      <c r="AO256">
        <v>0</v>
      </c>
      <c r="AP256">
        <v>19368</v>
      </c>
      <c r="AQ256">
        <v>1730</v>
      </c>
      <c r="AR256">
        <v>0.91900000000000004</v>
      </c>
      <c r="AS256" s="64">
        <v>38</v>
      </c>
      <c r="AT256">
        <v>0</v>
      </c>
      <c r="AU256">
        <v>0</v>
      </c>
      <c r="AV256">
        <v>0</v>
      </c>
      <c r="AW256">
        <v>0</v>
      </c>
      <c r="AX256">
        <v>0</v>
      </c>
      <c r="AY256">
        <v>1</v>
      </c>
      <c r="AZ256" s="28">
        <v>0</v>
      </c>
      <c r="BA256">
        <v>0</v>
      </c>
      <c r="BB256">
        <v>1</v>
      </c>
      <c r="BC256" s="28">
        <v>0</v>
      </c>
      <c r="BD256">
        <v>0</v>
      </c>
      <c r="BE256">
        <v>0</v>
      </c>
      <c r="BF256">
        <v>0</v>
      </c>
      <c r="BG256">
        <v>1</v>
      </c>
      <c r="BH256">
        <v>0</v>
      </c>
      <c r="BI256">
        <v>1</v>
      </c>
      <c r="BJ256">
        <v>0</v>
      </c>
      <c r="BK256" s="16">
        <v>0</v>
      </c>
      <c r="BL256">
        <v>0</v>
      </c>
      <c r="BM256">
        <v>17</v>
      </c>
      <c r="BN256">
        <v>0</v>
      </c>
      <c r="BO256">
        <v>1</v>
      </c>
      <c r="BP256">
        <v>5</v>
      </c>
      <c r="BQ256" t="s">
        <v>34</v>
      </c>
    </row>
    <row r="257" spans="1:69" x14ac:dyDescent="0.25">
      <c r="A257">
        <v>256</v>
      </c>
      <c r="B257">
        <v>14</v>
      </c>
      <c r="C257" t="s">
        <v>322</v>
      </c>
      <c r="D257" s="79">
        <v>7.13</v>
      </c>
      <c r="E257" s="6">
        <f t="shared" si="37"/>
        <v>0.64995442114858704</v>
      </c>
      <c r="F257" s="6">
        <v>10.97</v>
      </c>
      <c r="G257" s="78">
        <v>0</v>
      </c>
      <c r="H257" s="70">
        <v>0</v>
      </c>
      <c r="I257" s="70">
        <v>1</v>
      </c>
      <c r="J257" s="78">
        <v>7855</v>
      </c>
      <c r="K257" s="70">
        <v>9</v>
      </c>
      <c r="L257" s="70">
        <f t="shared" si="31"/>
        <v>7845</v>
      </c>
      <c r="M257" s="60">
        <f t="shared" si="32"/>
        <v>21</v>
      </c>
      <c r="N257" s="6">
        <v>12.9</v>
      </c>
      <c r="O257" s="6">
        <f t="shared" si="36"/>
        <v>19.100000000000001</v>
      </c>
      <c r="P257" s="78">
        <v>1</v>
      </c>
      <c r="Q257" s="70">
        <v>0</v>
      </c>
      <c r="R257" s="78">
        <v>1</v>
      </c>
      <c r="S257" s="70">
        <v>0</v>
      </c>
      <c r="T257" s="70">
        <v>0</v>
      </c>
      <c r="U257" s="70">
        <v>0</v>
      </c>
      <c r="V257" s="70">
        <v>1</v>
      </c>
      <c r="W257" s="78">
        <v>0</v>
      </c>
      <c r="X257" s="70">
        <v>1</v>
      </c>
      <c r="Y257" s="69">
        <v>1981</v>
      </c>
      <c r="Z257" s="28">
        <f t="shared" si="38"/>
        <v>0.94299999999999995</v>
      </c>
      <c r="AA257">
        <v>5.7000000000000002E-2</v>
      </c>
      <c r="AB257" s="28">
        <v>0.51700000000000002</v>
      </c>
      <c r="AC257">
        <f t="shared" si="35"/>
        <v>0.48299999999999998</v>
      </c>
      <c r="AD257" s="28">
        <f t="shared" si="39"/>
        <v>0.96099999999999997</v>
      </c>
      <c r="AE257">
        <v>3.9E-2</v>
      </c>
      <c r="AF257">
        <v>0</v>
      </c>
      <c r="AG257">
        <v>1</v>
      </c>
      <c r="AH257" s="28">
        <f t="shared" si="40"/>
        <v>0.48299999999999998</v>
      </c>
      <c r="AI257" s="12">
        <v>0.51700000000000002</v>
      </c>
      <c r="AJ257">
        <v>4.4000000000000003E-3</v>
      </c>
      <c r="AK257">
        <f t="shared" si="42"/>
        <v>1.0199999999999945E-2</v>
      </c>
      <c r="AL257">
        <v>0.98540000000000005</v>
      </c>
      <c r="AM257" s="28" t="s">
        <v>67</v>
      </c>
      <c r="AN257">
        <v>1</v>
      </c>
      <c r="AO257">
        <v>0</v>
      </c>
      <c r="AP257">
        <v>19368</v>
      </c>
      <c r="AQ257">
        <v>1730</v>
      </c>
      <c r="AR257">
        <v>0.91900000000000004</v>
      </c>
      <c r="AS257" s="64">
        <v>38</v>
      </c>
      <c r="AT257">
        <v>0</v>
      </c>
      <c r="AU257">
        <v>0</v>
      </c>
      <c r="AV257">
        <v>0</v>
      </c>
      <c r="AW257">
        <v>0</v>
      </c>
      <c r="AX257">
        <v>0</v>
      </c>
      <c r="AY257">
        <v>1</v>
      </c>
      <c r="AZ257" s="28">
        <v>0</v>
      </c>
      <c r="BA257">
        <v>0</v>
      </c>
      <c r="BB257">
        <v>1</v>
      </c>
      <c r="BC257" s="28">
        <v>0</v>
      </c>
      <c r="BD257">
        <v>0</v>
      </c>
      <c r="BE257">
        <v>0</v>
      </c>
      <c r="BF257">
        <v>0</v>
      </c>
      <c r="BG257">
        <v>1</v>
      </c>
      <c r="BH257">
        <v>0</v>
      </c>
      <c r="BI257">
        <v>1</v>
      </c>
      <c r="BJ257">
        <v>0</v>
      </c>
      <c r="BK257" s="16">
        <v>0</v>
      </c>
      <c r="BL257">
        <v>0</v>
      </c>
      <c r="BM257">
        <v>17</v>
      </c>
      <c r="BN257">
        <v>0</v>
      </c>
      <c r="BO257">
        <v>1</v>
      </c>
      <c r="BP257">
        <v>5</v>
      </c>
      <c r="BQ257" t="s">
        <v>34</v>
      </c>
    </row>
    <row r="258" spans="1:69" x14ac:dyDescent="0.25">
      <c r="A258">
        <v>257</v>
      </c>
      <c r="B258">
        <v>14</v>
      </c>
      <c r="C258" t="s">
        <v>322</v>
      </c>
      <c r="D258" s="79">
        <v>5.25</v>
      </c>
      <c r="E258" s="6">
        <f t="shared" si="37"/>
        <v>0.75</v>
      </c>
      <c r="F258" s="6">
        <v>7</v>
      </c>
      <c r="G258" s="78">
        <v>0</v>
      </c>
      <c r="H258" s="70">
        <v>0</v>
      </c>
      <c r="I258" s="70">
        <v>1</v>
      </c>
      <c r="J258" s="78">
        <v>7855</v>
      </c>
      <c r="K258" s="70">
        <v>9</v>
      </c>
      <c r="L258" s="70">
        <f t="shared" ref="L258:L294" si="43">J258-K258-1</f>
        <v>7845</v>
      </c>
      <c r="M258" s="60">
        <f t="shared" ref="M258:M294" si="44">COUNTIF(B:B,B258)</f>
        <v>21</v>
      </c>
      <c r="N258" s="6">
        <v>12.9</v>
      </c>
      <c r="O258" s="6">
        <f t="shared" si="36"/>
        <v>19.100000000000001</v>
      </c>
      <c r="P258" s="78">
        <v>1</v>
      </c>
      <c r="Q258" s="70">
        <v>0</v>
      </c>
      <c r="R258" s="78">
        <v>1</v>
      </c>
      <c r="S258" s="70">
        <v>0</v>
      </c>
      <c r="T258" s="70">
        <v>0</v>
      </c>
      <c r="U258" s="70">
        <v>0</v>
      </c>
      <c r="V258" s="70">
        <v>1</v>
      </c>
      <c r="W258" s="78">
        <v>0</v>
      </c>
      <c r="X258" s="70">
        <v>1</v>
      </c>
      <c r="Y258" s="69">
        <v>1981</v>
      </c>
      <c r="Z258" s="28">
        <f t="shared" si="38"/>
        <v>0.94299999999999995</v>
      </c>
      <c r="AA258">
        <v>5.7000000000000002E-2</v>
      </c>
      <c r="AB258" s="28">
        <v>0.51700000000000002</v>
      </c>
      <c r="AC258">
        <f t="shared" si="35"/>
        <v>0.48299999999999998</v>
      </c>
      <c r="AD258" s="28">
        <f t="shared" si="39"/>
        <v>0.96099999999999997</v>
      </c>
      <c r="AE258">
        <v>3.9E-2</v>
      </c>
      <c r="AF258">
        <v>0</v>
      </c>
      <c r="AG258">
        <v>1</v>
      </c>
      <c r="AH258" s="28">
        <f t="shared" si="40"/>
        <v>0.48299999999999998</v>
      </c>
      <c r="AI258" s="12">
        <v>0.51700000000000002</v>
      </c>
      <c r="AJ258">
        <v>4.4000000000000003E-3</v>
      </c>
      <c r="AK258">
        <f t="shared" si="42"/>
        <v>1.0199999999999945E-2</v>
      </c>
      <c r="AL258">
        <v>0.98540000000000005</v>
      </c>
      <c r="AM258" s="28" t="s">
        <v>67</v>
      </c>
      <c r="AN258">
        <v>1</v>
      </c>
      <c r="AO258">
        <v>0</v>
      </c>
      <c r="AP258">
        <v>19368</v>
      </c>
      <c r="AQ258">
        <v>1730</v>
      </c>
      <c r="AR258">
        <v>0.91900000000000004</v>
      </c>
      <c r="AS258" s="64">
        <v>38</v>
      </c>
      <c r="AT258">
        <v>0</v>
      </c>
      <c r="AU258">
        <v>0</v>
      </c>
      <c r="AV258">
        <v>0</v>
      </c>
      <c r="AW258">
        <v>0</v>
      </c>
      <c r="AX258">
        <v>0</v>
      </c>
      <c r="AY258">
        <v>1</v>
      </c>
      <c r="AZ258" s="28">
        <v>0</v>
      </c>
      <c r="BA258">
        <v>0</v>
      </c>
      <c r="BB258">
        <v>1</v>
      </c>
      <c r="BC258" s="28">
        <v>0</v>
      </c>
      <c r="BD258">
        <v>0</v>
      </c>
      <c r="BE258">
        <v>0</v>
      </c>
      <c r="BF258">
        <v>0</v>
      </c>
      <c r="BG258">
        <v>1</v>
      </c>
      <c r="BH258">
        <v>0</v>
      </c>
      <c r="BI258">
        <v>1</v>
      </c>
      <c r="BJ258">
        <v>0</v>
      </c>
      <c r="BK258" s="16">
        <v>0</v>
      </c>
      <c r="BL258">
        <v>0</v>
      </c>
      <c r="BM258">
        <v>17</v>
      </c>
      <c r="BN258">
        <v>0</v>
      </c>
      <c r="BO258">
        <v>1</v>
      </c>
      <c r="BP258">
        <v>5</v>
      </c>
      <c r="BQ258" t="s">
        <v>34</v>
      </c>
    </row>
    <row r="259" spans="1:69" x14ac:dyDescent="0.25">
      <c r="A259">
        <v>258</v>
      </c>
      <c r="B259">
        <v>15</v>
      </c>
      <c r="C259" t="s">
        <v>328</v>
      </c>
      <c r="D259" s="79">
        <v>2.98</v>
      </c>
      <c r="E259" s="6">
        <v>0.05</v>
      </c>
      <c r="F259" s="6">
        <f t="shared" ref="F259:F294" si="45">D259/E259</f>
        <v>59.599999999999994</v>
      </c>
      <c r="G259" s="78">
        <v>0</v>
      </c>
      <c r="H259" s="70">
        <v>0</v>
      </c>
      <c r="I259" s="70">
        <v>1</v>
      </c>
      <c r="J259" s="78">
        <v>8740</v>
      </c>
      <c r="K259" s="70">
        <v>4</v>
      </c>
      <c r="L259" s="70">
        <f t="shared" si="43"/>
        <v>8735</v>
      </c>
      <c r="M259" s="60">
        <f t="shared" si="44"/>
        <v>16</v>
      </c>
      <c r="N259" s="6">
        <v>12.62</v>
      </c>
      <c r="O259" s="6">
        <f t="shared" si="36"/>
        <v>19.75</v>
      </c>
      <c r="P259" s="78">
        <v>1</v>
      </c>
      <c r="Q259" s="70">
        <v>0</v>
      </c>
      <c r="R259" s="78">
        <v>0</v>
      </c>
      <c r="S259" s="70">
        <v>0</v>
      </c>
      <c r="T259" s="70">
        <v>1</v>
      </c>
      <c r="U259" s="70">
        <v>0</v>
      </c>
      <c r="V259" s="70">
        <v>1</v>
      </c>
      <c r="W259" s="78">
        <v>0</v>
      </c>
      <c r="X259" s="70">
        <v>1</v>
      </c>
      <c r="Y259" s="69">
        <v>1991</v>
      </c>
      <c r="Z259" s="28">
        <v>1</v>
      </c>
      <c r="AA259">
        <v>0</v>
      </c>
      <c r="AB259" s="28">
        <v>0.6</v>
      </c>
      <c r="AC259">
        <v>0.4</v>
      </c>
      <c r="AD259" s="28">
        <v>1</v>
      </c>
      <c r="AE259">
        <v>0</v>
      </c>
      <c r="AF259">
        <v>1</v>
      </c>
      <c r="AG259">
        <v>0</v>
      </c>
      <c r="AH259" s="28">
        <v>1</v>
      </c>
      <c r="AI259" s="12">
        <v>0</v>
      </c>
      <c r="AJ259">
        <v>1</v>
      </c>
      <c r="AK259">
        <v>0</v>
      </c>
      <c r="AL259">
        <v>0</v>
      </c>
      <c r="AM259" s="28" t="s">
        <v>340</v>
      </c>
      <c r="AN259">
        <v>1</v>
      </c>
      <c r="AO259">
        <v>0</v>
      </c>
      <c r="AP259">
        <v>19392</v>
      </c>
      <c r="AQ259">
        <v>856</v>
      </c>
      <c r="AR259">
        <v>0.96899999999999997</v>
      </c>
      <c r="AS259" s="64">
        <v>38.369999999999997</v>
      </c>
      <c r="AT259">
        <v>1</v>
      </c>
      <c r="AU259">
        <v>0</v>
      </c>
      <c r="AV259">
        <v>0</v>
      </c>
      <c r="AW259">
        <v>0</v>
      </c>
      <c r="AX259">
        <v>0</v>
      </c>
      <c r="AY259">
        <v>0</v>
      </c>
      <c r="AZ259" s="28">
        <v>0</v>
      </c>
      <c r="BA259">
        <v>0</v>
      </c>
      <c r="BB259">
        <v>0</v>
      </c>
      <c r="BC259" s="28">
        <v>1</v>
      </c>
      <c r="BD259">
        <v>1</v>
      </c>
      <c r="BE259">
        <v>0</v>
      </c>
      <c r="BF259">
        <v>0</v>
      </c>
      <c r="BG259">
        <v>0</v>
      </c>
      <c r="BH259">
        <v>0</v>
      </c>
      <c r="BI259">
        <v>0</v>
      </c>
      <c r="BJ259">
        <v>1</v>
      </c>
      <c r="BK259" s="16">
        <v>0</v>
      </c>
      <c r="BL259">
        <v>0</v>
      </c>
      <c r="BM259">
        <v>8</v>
      </c>
      <c r="BN259">
        <v>0</v>
      </c>
      <c r="BO259">
        <v>1</v>
      </c>
      <c r="BP259">
        <v>15</v>
      </c>
      <c r="BQ259" t="s">
        <v>34</v>
      </c>
    </row>
    <row r="260" spans="1:69" x14ac:dyDescent="0.25">
      <c r="A260">
        <v>259</v>
      </c>
      <c r="B260">
        <v>15</v>
      </c>
      <c r="C260" t="s">
        <v>328</v>
      </c>
      <c r="D260" s="79">
        <v>3.31</v>
      </c>
      <c r="E260" s="6">
        <v>0.04</v>
      </c>
      <c r="F260" s="6">
        <f t="shared" si="45"/>
        <v>82.75</v>
      </c>
      <c r="G260" s="78">
        <v>0</v>
      </c>
      <c r="H260" s="70">
        <v>0</v>
      </c>
      <c r="I260" s="70">
        <v>1</v>
      </c>
      <c r="J260" s="78">
        <v>14136</v>
      </c>
      <c r="K260" s="70">
        <v>4</v>
      </c>
      <c r="L260" s="70">
        <f t="shared" si="43"/>
        <v>14131</v>
      </c>
      <c r="M260" s="60">
        <f t="shared" si="44"/>
        <v>16</v>
      </c>
      <c r="N260" s="6">
        <v>12.41</v>
      </c>
      <c r="O260" s="6">
        <f t="shared" si="36"/>
        <v>20.930000000000003</v>
      </c>
      <c r="P260" s="78">
        <v>1</v>
      </c>
      <c r="Q260" s="70">
        <v>0</v>
      </c>
      <c r="R260" s="78">
        <v>0</v>
      </c>
      <c r="S260" s="70">
        <v>0</v>
      </c>
      <c r="T260" s="70">
        <v>1</v>
      </c>
      <c r="U260" s="70">
        <v>0</v>
      </c>
      <c r="V260" s="70">
        <v>1</v>
      </c>
      <c r="W260" s="78">
        <v>0</v>
      </c>
      <c r="X260" s="70">
        <v>1</v>
      </c>
      <c r="Y260" s="69">
        <v>1991</v>
      </c>
      <c r="Z260" s="28">
        <v>1</v>
      </c>
      <c r="AA260">
        <v>0</v>
      </c>
      <c r="AB260" s="28">
        <v>0.6</v>
      </c>
      <c r="AC260">
        <v>0.4</v>
      </c>
      <c r="AD260" s="28">
        <v>1</v>
      </c>
      <c r="AE260">
        <v>0</v>
      </c>
      <c r="AF260">
        <v>1</v>
      </c>
      <c r="AG260">
        <v>0</v>
      </c>
      <c r="AH260" s="28">
        <v>1</v>
      </c>
      <c r="AI260" s="12">
        <v>0</v>
      </c>
      <c r="AJ260">
        <v>0</v>
      </c>
      <c r="AK260">
        <v>1</v>
      </c>
      <c r="AL260">
        <v>0</v>
      </c>
      <c r="AM260" s="28" t="s">
        <v>340</v>
      </c>
      <c r="AN260">
        <v>1</v>
      </c>
      <c r="AO260">
        <v>0</v>
      </c>
      <c r="AP260">
        <v>19392</v>
      </c>
      <c r="AQ260">
        <v>856</v>
      </c>
      <c r="AR260">
        <v>0.96899999999999997</v>
      </c>
      <c r="AS260" s="64">
        <v>39.340000000000003</v>
      </c>
      <c r="AT260">
        <v>1</v>
      </c>
      <c r="AU260">
        <v>0</v>
      </c>
      <c r="AV260">
        <v>0</v>
      </c>
      <c r="AW260">
        <v>0</v>
      </c>
      <c r="AX260">
        <v>0</v>
      </c>
      <c r="AY260">
        <v>0</v>
      </c>
      <c r="AZ260" s="28">
        <v>0</v>
      </c>
      <c r="BA260">
        <v>0</v>
      </c>
      <c r="BB260">
        <v>0</v>
      </c>
      <c r="BC260" s="28">
        <v>1</v>
      </c>
      <c r="BD260">
        <v>1</v>
      </c>
      <c r="BE260">
        <v>0</v>
      </c>
      <c r="BF260">
        <v>0</v>
      </c>
      <c r="BG260">
        <v>0</v>
      </c>
      <c r="BH260">
        <v>0</v>
      </c>
      <c r="BI260">
        <v>0</v>
      </c>
      <c r="BJ260">
        <v>1</v>
      </c>
      <c r="BK260" s="16">
        <v>0</v>
      </c>
      <c r="BL260">
        <v>0</v>
      </c>
      <c r="BM260">
        <v>8</v>
      </c>
      <c r="BN260">
        <v>0</v>
      </c>
      <c r="BO260">
        <v>1</v>
      </c>
      <c r="BP260">
        <v>15</v>
      </c>
      <c r="BQ260" t="s">
        <v>34</v>
      </c>
    </row>
    <row r="261" spans="1:69" x14ac:dyDescent="0.25">
      <c r="A261">
        <v>260</v>
      </c>
      <c r="B261">
        <v>15</v>
      </c>
      <c r="C261" t="s">
        <v>328</v>
      </c>
      <c r="D261" s="79">
        <v>3.73</v>
      </c>
      <c r="E261" s="6">
        <v>0.06</v>
      </c>
      <c r="F261" s="6">
        <f t="shared" si="45"/>
        <v>62.166666666666671</v>
      </c>
      <c r="G261" s="78">
        <v>0</v>
      </c>
      <c r="H261" s="70">
        <v>0</v>
      </c>
      <c r="I261" s="70">
        <v>1</v>
      </c>
      <c r="J261" s="78">
        <v>8000</v>
      </c>
      <c r="K261" s="70">
        <v>4</v>
      </c>
      <c r="L261" s="70">
        <f t="shared" si="43"/>
        <v>7995</v>
      </c>
      <c r="M261" s="60">
        <f t="shared" si="44"/>
        <v>16</v>
      </c>
      <c r="N261" s="6">
        <v>12.5</v>
      </c>
      <c r="O261" s="6">
        <f t="shared" si="36"/>
        <v>19.189999999999998</v>
      </c>
      <c r="P261" s="78">
        <v>1</v>
      </c>
      <c r="Q261" s="70">
        <v>0</v>
      </c>
      <c r="R261" s="78">
        <v>0</v>
      </c>
      <c r="S261" s="70">
        <v>0</v>
      </c>
      <c r="T261" s="70">
        <v>1</v>
      </c>
      <c r="U261" s="70">
        <v>0</v>
      </c>
      <c r="V261" s="70">
        <v>1</v>
      </c>
      <c r="W261" s="78">
        <v>0</v>
      </c>
      <c r="X261" s="70">
        <v>1</v>
      </c>
      <c r="Y261" s="69">
        <v>1991</v>
      </c>
      <c r="Z261" s="28">
        <v>1</v>
      </c>
      <c r="AA261">
        <v>0</v>
      </c>
      <c r="AB261" s="28">
        <v>0.6</v>
      </c>
      <c r="AC261">
        <v>0.4</v>
      </c>
      <c r="AD261" s="28">
        <v>1</v>
      </c>
      <c r="AE261">
        <v>0</v>
      </c>
      <c r="AF261">
        <v>1</v>
      </c>
      <c r="AG261">
        <v>0</v>
      </c>
      <c r="AH261" s="28">
        <v>1</v>
      </c>
      <c r="AI261" s="12">
        <v>0</v>
      </c>
      <c r="AJ261">
        <v>1</v>
      </c>
      <c r="AK261">
        <v>0</v>
      </c>
      <c r="AL261">
        <v>0</v>
      </c>
      <c r="AM261" s="28" t="s">
        <v>340</v>
      </c>
      <c r="AN261">
        <v>1</v>
      </c>
      <c r="AO261">
        <v>0</v>
      </c>
      <c r="AP261">
        <v>19392</v>
      </c>
      <c r="AQ261">
        <v>856</v>
      </c>
      <c r="AR261">
        <v>0.96899999999999997</v>
      </c>
      <c r="AS261" s="64">
        <v>37.69</v>
      </c>
      <c r="AT261">
        <v>1</v>
      </c>
      <c r="AU261">
        <v>0</v>
      </c>
      <c r="AV261">
        <v>0</v>
      </c>
      <c r="AW261">
        <v>0</v>
      </c>
      <c r="AX261">
        <v>0</v>
      </c>
      <c r="AY261">
        <v>0</v>
      </c>
      <c r="AZ261" s="28">
        <v>0</v>
      </c>
      <c r="BA261">
        <v>0</v>
      </c>
      <c r="BB261">
        <v>0</v>
      </c>
      <c r="BC261" s="28">
        <v>1</v>
      </c>
      <c r="BD261">
        <v>1</v>
      </c>
      <c r="BE261">
        <v>0</v>
      </c>
      <c r="BF261">
        <v>0</v>
      </c>
      <c r="BG261">
        <v>0</v>
      </c>
      <c r="BH261">
        <v>0</v>
      </c>
      <c r="BI261">
        <v>0</v>
      </c>
      <c r="BJ261">
        <v>1</v>
      </c>
      <c r="BK261" s="16">
        <v>0</v>
      </c>
      <c r="BL261">
        <v>0</v>
      </c>
      <c r="BM261">
        <v>8</v>
      </c>
      <c r="BN261">
        <v>0</v>
      </c>
      <c r="BO261">
        <v>1</v>
      </c>
      <c r="BP261">
        <v>15</v>
      </c>
      <c r="BQ261" t="s">
        <v>34</v>
      </c>
    </row>
    <row r="262" spans="1:69" x14ac:dyDescent="0.25">
      <c r="A262">
        <v>261</v>
      </c>
      <c r="B262">
        <v>15</v>
      </c>
      <c r="C262" t="s">
        <v>328</v>
      </c>
      <c r="D262" s="79">
        <v>3.7</v>
      </c>
      <c r="E262" s="6">
        <v>0.05</v>
      </c>
      <c r="F262" s="6">
        <f t="shared" si="45"/>
        <v>74</v>
      </c>
      <c r="G262" s="78">
        <v>0</v>
      </c>
      <c r="H262" s="70">
        <v>0</v>
      </c>
      <c r="I262" s="70">
        <v>1</v>
      </c>
      <c r="J262" s="78">
        <v>11236</v>
      </c>
      <c r="K262" s="70">
        <v>4</v>
      </c>
      <c r="L262" s="70">
        <f t="shared" si="43"/>
        <v>11231</v>
      </c>
      <c r="M262" s="60">
        <f t="shared" si="44"/>
        <v>16</v>
      </c>
      <c r="N262" s="6">
        <v>12.16</v>
      </c>
      <c r="O262" s="6">
        <f t="shared" si="36"/>
        <v>20.69</v>
      </c>
      <c r="P262" s="78">
        <v>1</v>
      </c>
      <c r="Q262" s="70">
        <v>0</v>
      </c>
      <c r="R262" s="78">
        <v>0</v>
      </c>
      <c r="S262" s="70">
        <v>0</v>
      </c>
      <c r="T262" s="70">
        <v>1</v>
      </c>
      <c r="U262" s="70">
        <v>0</v>
      </c>
      <c r="V262" s="70">
        <v>1</v>
      </c>
      <c r="W262" s="78">
        <v>0</v>
      </c>
      <c r="X262" s="70">
        <v>1</v>
      </c>
      <c r="Y262" s="69">
        <v>1991</v>
      </c>
      <c r="Z262" s="28">
        <v>1</v>
      </c>
      <c r="AA262">
        <v>0</v>
      </c>
      <c r="AB262" s="28">
        <v>0.6</v>
      </c>
      <c r="AC262">
        <v>0.4</v>
      </c>
      <c r="AD262" s="28">
        <v>1</v>
      </c>
      <c r="AE262">
        <v>0</v>
      </c>
      <c r="AF262">
        <v>1</v>
      </c>
      <c r="AG262">
        <v>0</v>
      </c>
      <c r="AH262" s="28">
        <v>1</v>
      </c>
      <c r="AI262" s="12">
        <v>0</v>
      </c>
      <c r="AJ262">
        <v>0</v>
      </c>
      <c r="AK262">
        <v>1</v>
      </c>
      <c r="AL262">
        <v>0</v>
      </c>
      <c r="AM262" s="28" t="s">
        <v>340</v>
      </c>
      <c r="AN262">
        <v>1</v>
      </c>
      <c r="AO262">
        <v>0</v>
      </c>
      <c r="AP262">
        <v>19392</v>
      </c>
      <c r="AQ262">
        <v>856</v>
      </c>
      <c r="AR262">
        <v>0.96899999999999997</v>
      </c>
      <c r="AS262" s="64">
        <v>38.85</v>
      </c>
      <c r="AT262">
        <v>1</v>
      </c>
      <c r="AU262">
        <v>0</v>
      </c>
      <c r="AV262">
        <v>0</v>
      </c>
      <c r="AW262">
        <v>0</v>
      </c>
      <c r="AX262">
        <v>0</v>
      </c>
      <c r="AY262">
        <v>0</v>
      </c>
      <c r="AZ262" s="28">
        <v>0</v>
      </c>
      <c r="BA262">
        <v>0</v>
      </c>
      <c r="BB262">
        <v>0</v>
      </c>
      <c r="BC262" s="28">
        <v>1</v>
      </c>
      <c r="BD262">
        <v>1</v>
      </c>
      <c r="BE262">
        <v>0</v>
      </c>
      <c r="BF262">
        <v>0</v>
      </c>
      <c r="BG262">
        <v>0</v>
      </c>
      <c r="BH262">
        <v>0</v>
      </c>
      <c r="BI262">
        <v>0</v>
      </c>
      <c r="BJ262">
        <v>1</v>
      </c>
      <c r="BK262" s="16">
        <v>0</v>
      </c>
      <c r="BL262">
        <v>0</v>
      </c>
      <c r="BM262">
        <v>8</v>
      </c>
      <c r="BN262">
        <v>0</v>
      </c>
      <c r="BO262">
        <v>1</v>
      </c>
      <c r="BP262">
        <v>15</v>
      </c>
      <c r="BQ262" t="s">
        <v>34</v>
      </c>
    </row>
    <row r="263" spans="1:69" x14ac:dyDescent="0.25">
      <c r="A263">
        <v>262</v>
      </c>
      <c r="B263">
        <v>15</v>
      </c>
      <c r="C263" t="s">
        <v>328</v>
      </c>
      <c r="D263" s="79">
        <v>3.17</v>
      </c>
      <c r="E263" s="6">
        <v>0.03</v>
      </c>
      <c r="F263" s="6">
        <f t="shared" si="45"/>
        <v>105.66666666666667</v>
      </c>
      <c r="G263" s="78">
        <v>0</v>
      </c>
      <c r="H263" s="70">
        <v>0</v>
      </c>
      <c r="I263" s="70">
        <v>1</v>
      </c>
      <c r="J263" s="78">
        <v>22876</v>
      </c>
      <c r="K263" s="70">
        <v>4</v>
      </c>
      <c r="L263" s="70">
        <f t="shared" si="43"/>
        <v>22871</v>
      </c>
      <c r="M263" s="60">
        <f t="shared" si="44"/>
        <v>16</v>
      </c>
      <c r="N263" s="6">
        <v>12.49</v>
      </c>
      <c r="O263" s="6">
        <f t="shared" si="36"/>
        <v>20.479999999999997</v>
      </c>
      <c r="P263" s="78">
        <v>1</v>
      </c>
      <c r="Q263" s="70">
        <v>0</v>
      </c>
      <c r="R263" s="78">
        <v>0</v>
      </c>
      <c r="S263" s="70">
        <v>0</v>
      </c>
      <c r="T263" s="70">
        <v>1</v>
      </c>
      <c r="U263" s="70">
        <v>0</v>
      </c>
      <c r="V263" s="70">
        <v>1</v>
      </c>
      <c r="W263" s="78">
        <v>0</v>
      </c>
      <c r="X263" s="70">
        <v>1</v>
      </c>
      <c r="Y263" s="69">
        <v>1991</v>
      </c>
      <c r="Z263" s="28">
        <v>1</v>
      </c>
      <c r="AA263">
        <v>0</v>
      </c>
      <c r="AB263" s="28">
        <v>0.6</v>
      </c>
      <c r="AC263">
        <v>0.4</v>
      </c>
      <c r="AD263" s="28">
        <v>1</v>
      </c>
      <c r="AE263">
        <v>0</v>
      </c>
      <c r="AF263">
        <v>1</v>
      </c>
      <c r="AG263">
        <v>0</v>
      </c>
      <c r="AH263" s="28">
        <v>1</v>
      </c>
      <c r="AI263" s="12">
        <v>0</v>
      </c>
      <c r="AJ263">
        <v>0.6179</v>
      </c>
      <c r="AK263">
        <v>0.3821</v>
      </c>
      <c r="AL263">
        <v>0</v>
      </c>
      <c r="AM263" s="28" t="s">
        <v>340</v>
      </c>
      <c r="AN263">
        <v>1</v>
      </c>
      <c r="AO263">
        <v>0</v>
      </c>
      <c r="AP263">
        <v>19392</v>
      </c>
      <c r="AQ263">
        <v>856</v>
      </c>
      <c r="AR263">
        <v>0.96899999999999997</v>
      </c>
      <c r="AS263" s="64">
        <v>38.97</v>
      </c>
      <c r="AT263">
        <v>1</v>
      </c>
      <c r="AU263">
        <v>0</v>
      </c>
      <c r="AV263">
        <v>0</v>
      </c>
      <c r="AW263">
        <v>0</v>
      </c>
      <c r="AX263">
        <v>0</v>
      </c>
      <c r="AY263">
        <v>0</v>
      </c>
      <c r="AZ263" s="28">
        <v>0</v>
      </c>
      <c r="BA263">
        <v>0</v>
      </c>
      <c r="BB263">
        <v>0</v>
      </c>
      <c r="BC263" s="28">
        <v>1</v>
      </c>
      <c r="BD263">
        <v>1</v>
      </c>
      <c r="BE263">
        <v>0</v>
      </c>
      <c r="BF263">
        <v>0</v>
      </c>
      <c r="BG263">
        <v>0</v>
      </c>
      <c r="BH263">
        <v>0</v>
      </c>
      <c r="BI263">
        <v>0</v>
      </c>
      <c r="BJ263">
        <v>1</v>
      </c>
      <c r="BK263" s="16">
        <v>0</v>
      </c>
      <c r="BL263">
        <v>0</v>
      </c>
      <c r="BM263">
        <v>8</v>
      </c>
      <c r="BN263">
        <v>0</v>
      </c>
      <c r="BO263">
        <v>1</v>
      </c>
      <c r="BP263">
        <v>15</v>
      </c>
      <c r="BQ263" t="s">
        <v>34</v>
      </c>
    </row>
    <row r="264" spans="1:69" x14ac:dyDescent="0.25">
      <c r="A264">
        <v>263</v>
      </c>
      <c r="B264">
        <v>15</v>
      </c>
      <c r="C264" t="s">
        <v>328</v>
      </c>
      <c r="D264" s="79">
        <v>3.73</v>
      </c>
      <c r="E264" s="6">
        <v>0.03</v>
      </c>
      <c r="F264" s="6">
        <f t="shared" si="45"/>
        <v>124.33333333333334</v>
      </c>
      <c r="G264" s="78">
        <v>0</v>
      </c>
      <c r="H264" s="70">
        <v>0</v>
      </c>
      <c r="I264" s="70">
        <v>1</v>
      </c>
      <c r="J264" s="78">
        <v>19236</v>
      </c>
      <c r="K264" s="70">
        <v>4</v>
      </c>
      <c r="L264" s="70">
        <f t="shared" si="43"/>
        <v>19231</v>
      </c>
      <c r="M264" s="60">
        <f t="shared" si="44"/>
        <v>16</v>
      </c>
      <c r="N264" s="6">
        <v>12.3</v>
      </c>
      <c r="O264" s="6">
        <f t="shared" si="36"/>
        <v>20.080000000000002</v>
      </c>
      <c r="P264" s="78">
        <v>1</v>
      </c>
      <c r="Q264" s="70">
        <v>0</v>
      </c>
      <c r="R264" s="78">
        <v>0</v>
      </c>
      <c r="S264" s="70">
        <v>0</v>
      </c>
      <c r="T264" s="70">
        <v>1</v>
      </c>
      <c r="U264" s="70">
        <v>0</v>
      </c>
      <c r="V264" s="70">
        <v>1</v>
      </c>
      <c r="W264" s="78">
        <v>0</v>
      </c>
      <c r="X264" s="70">
        <v>1</v>
      </c>
      <c r="Y264" s="69">
        <v>1991</v>
      </c>
      <c r="Z264" s="28">
        <v>1</v>
      </c>
      <c r="AA264">
        <v>0</v>
      </c>
      <c r="AB264" s="28">
        <v>0.6</v>
      </c>
      <c r="AC264">
        <v>0.4</v>
      </c>
      <c r="AD264" s="28">
        <v>1</v>
      </c>
      <c r="AE264">
        <v>0</v>
      </c>
      <c r="AF264">
        <v>1</v>
      </c>
      <c r="AG264">
        <v>0</v>
      </c>
      <c r="AH264" s="28">
        <v>1</v>
      </c>
      <c r="AI264" s="12">
        <v>0</v>
      </c>
      <c r="AJ264">
        <v>0.58409999999999995</v>
      </c>
      <c r="AK264">
        <v>0.41589999999999999</v>
      </c>
      <c r="AL264">
        <v>0</v>
      </c>
      <c r="AM264" s="28" t="s">
        <v>340</v>
      </c>
      <c r="AN264">
        <v>1</v>
      </c>
      <c r="AO264">
        <v>0</v>
      </c>
      <c r="AP264">
        <v>19392</v>
      </c>
      <c r="AQ264">
        <v>856</v>
      </c>
      <c r="AR264">
        <v>0.96899999999999997</v>
      </c>
      <c r="AS264" s="64">
        <v>38.380000000000003</v>
      </c>
      <c r="AT264">
        <v>1</v>
      </c>
      <c r="AU264">
        <v>0</v>
      </c>
      <c r="AV264">
        <v>0</v>
      </c>
      <c r="AW264">
        <v>0</v>
      </c>
      <c r="AX264">
        <v>0</v>
      </c>
      <c r="AY264">
        <v>0</v>
      </c>
      <c r="AZ264" s="28">
        <v>0</v>
      </c>
      <c r="BA264">
        <v>0</v>
      </c>
      <c r="BB264">
        <v>0</v>
      </c>
      <c r="BC264" s="28">
        <v>1</v>
      </c>
      <c r="BD264">
        <v>1</v>
      </c>
      <c r="BE264">
        <v>0</v>
      </c>
      <c r="BF264">
        <v>0</v>
      </c>
      <c r="BG264">
        <v>0</v>
      </c>
      <c r="BH264">
        <v>0</v>
      </c>
      <c r="BI264">
        <v>0</v>
      </c>
      <c r="BJ264">
        <v>1</v>
      </c>
      <c r="BK264" s="16">
        <v>0</v>
      </c>
      <c r="BL264">
        <v>0</v>
      </c>
      <c r="BM264">
        <v>8</v>
      </c>
      <c r="BN264">
        <v>0</v>
      </c>
      <c r="BO264">
        <v>1</v>
      </c>
      <c r="BP264">
        <v>15</v>
      </c>
      <c r="BQ264" t="s">
        <v>34</v>
      </c>
    </row>
    <row r="265" spans="1:69" x14ac:dyDescent="0.25">
      <c r="A265">
        <v>264</v>
      </c>
      <c r="B265">
        <v>15</v>
      </c>
      <c r="C265" t="s">
        <v>328</v>
      </c>
      <c r="D265" s="79">
        <v>6.52</v>
      </c>
      <c r="E265" s="6">
        <v>0.11</v>
      </c>
      <c r="F265" s="6">
        <f t="shared" si="45"/>
        <v>59.272727272727266</v>
      </c>
      <c r="G265" s="78">
        <v>0</v>
      </c>
      <c r="H265" s="70">
        <v>0</v>
      </c>
      <c r="I265" s="70">
        <v>1</v>
      </c>
      <c r="J265" s="78">
        <v>22876</v>
      </c>
      <c r="K265" s="70">
        <v>4</v>
      </c>
      <c r="L265" s="70">
        <f t="shared" si="43"/>
        <v>22871</v>
      </c>
      <c r="M265" s="60">
        <f t="shared" si="44"/>
        <v>16</v>
      </c>
      <c r="N265" s="6">
        <v>12.49</v>
      </c>
      <c r="O265" s="6">
        <f t="shared" si="36"/>
        <v>20.479999999999997</v>
      </c>
      <c r="P265" s="78">
        <v>1</v>
      </c>
      <c r="Q265" s="70">
        <v>0</v>
      </c>
      <c r="R265" s="78">
        <v>0</v>
      </c>
      <c r="S265" s="70">
        <v>0</v>
      </c>
      <c r="T265" s="70">
        <v>1</v>
      </c>
      <c r="U265" s="70">
        <v>0</v>
      </c>
      <c r="V265" s="70">
        <v>1</v>
      </c>
      <c r="W265" s="78">
        <v>0</v>
      </c>
      <c r="X265" s="70">
        <v>1</v>
      </c>
      <c r="Y265" s="69">
        <v>1991</v>
      </c>
      <c r="Z265" s="28">
        <v>1</v>
      </c>
      <c r="AA265">
        <v>0</v>
      </c>
      <c r="AB265" s="28">
        <v>0.6</v>
      </c>
      <c r="AC265">
        <v>0.4</v>
      </c>
      <c r="AD265" s="28">
        <v>1</v>
      </c>
      <c r="AE265">
        <v>0</v>
      </c>
      <c r="AF265">
        <v>1</v>
      </c>
      <c r="AG265">
        <v>0</v>
      </c>
      <c r="AH265" s="28">
        <v>1</v>
      </c>
      <c r="AI265" s="12">
        <v>0</v>
      </c>
      <c r="AJ265">
        <v>0.6179</v>
      </c>
      <c r="AK265">
        <v>0.3821</v>
      </c>
      <c r="AL265">
        <v>0</v>
      </c>
      <c r="AM265" s="28" t="s">
        <v>340</v>
      </c>
      <c r="AN265">
        <v>1</v>
      </c>
      <c r="AO265">
        <v>0</v>
      </c>
      <c r="AP265">
        <v>19392</v>
      </c>
      <c r="AQ265">
        <v>856</v>
      </c>
      <c r="AR265">
        <v>0.96899999999999997</v>
      </c>
      <c r="AS265" s="64">
        <v>38.97</v>
      </c>
      <c r="AT265">
        <v>0</v>
      </c>
      <c r="AU265">
        <v>0</v>
      </c>
      <c r="AV265">
        <v>0</v>
      </c>
      <c r="AW265">
        <v>0</v>
      </c>
      <c r="AX265">
        <v>0</v>
      </c>
      <c r="AY265">
        <v>1</v>
      </c>
      <c r="AZ265" s="28">
        <v>1</v>
      </c>
      <c r="BA265">
        <v>0</v>
      </c>
      <c r="BB265">
        <v>0</v>
      </c>
      <c r="BC265" s="28">
        <v>1</v>
      </c>
      <c r="BD265">
        <v>1</v>
      </c>
      <c r="BE265">
        <v>0</v>
      </c>
      <c r="BF265">
        <v>0</v>
      </c>
      <c r="BG265">
        <v>0</v>
      </c>
      <c r="BH265">
        <v>0</v>
      </c>
      <c r="BI265">
        <v>0</v>
      </c>
      <c r="BJ265">
        <v>1</v>
      </c>
      <c r="BK265" s="16">
        <v>0</v>
      </c>
      <c r="BL265">
        <v>0</v>
      </c>
      <c r="BM265">
        <v>8</v>
      </c>
      <c r="BN265">
        <v>0</v>
      </c>
      <c r="BO265">
        <v>1</v>
      </c>
      <c r="BP265">
        <v>15</v>
      </c>
      <c r="BQ265" t="s">
        <v>34</v>
      </c>
    </row>
    <row r="266" spans="1:69" x14ac:dyDescent="0.25">
      <c r="A266">
        <v>265</v>
      </c>
      <c r="B266">
        <v>15</v>
      </c>
      <c r="C266" t="s">
        <v>328</v>
      </c>
      <c r="D266" s="79">
        <v>5.42</v>
      </c>
      <c r="E266" s="6">
        <v>0.14000000000000001</v>
      </c>
      <c r="F266" s="6">
        <f t="shared" si="45"/>
        <v>38.714285714285708</v>
      </c>
      <c r="G266" s="78">
        <v>0</v>
      </c>
      <c r="H266" s="70">
        <v>0</v>
      </c>
      <c r="I266" s="70">
        <v>1</v>
      </c>
      <c r="J266" s="78">
        <v>19236</v>
      </c>
      <c r="K266" s="70">
        <v>4</v>
      </c>
      <c r="L266" s="70">
        <f t="shared" si="43"/>
        <v>19231</v>
      </c>
      <c r="M266" s="60">
        <f t="shared" si="44"/>
        <v>16</v>
      </c>
      <c r="N266" s="6">
        <v>12.3</v>
      </c>
      <c r="O266" s="6">
        <f t="shared" si="36"/>
        <v>20.080000000000002</v>
      </c>
      <c r="P266" s="78">
        <v>1</v>
      </c>
      <c r="Q266" s="70">
        <v>0</v>
      </c>
      <c r="R266" s="78">
        <v>0</v>
      </c>
      <c r="S266" s="70">
        <v>0</v>
      </c>
      <c r="T266" s="70">
        <v>1</v>
      </c>
      <c r="U266" s="70">
        <v>0</v>
      </c>
      <c r="V266" s="70">
        <v>1</v>
      </c>
      <c r="W266" s="78">
        <v>0</v>
      </c>
      <c r="X266" s="70">
        <v>1</v>
      </c>
      <c r="Y266" s="69">
        <v>1991</v>
      </c>
      <c r="Z266" s="28">
        <v>1</v>
      </c>
      <c r="AA266">
        <v>0</v>
      </c>
      <c r="AB266" s="28">
        <v>0.6</v>
      </c>
      <c r="AC266">
        <v>0.4</v>
      </c>
      <c r="AD266" s="28">
        <v>1</v>
      </c>
      <c r="AE266">
        <v>0</v>
      </c>
      <c r="AF266">
        <v>1</v>
      </c>
      <c r="AG266">
        <v>0</v>
      </c>
      <c r="AH266" s="28">
        <v>1</v>
      </c>
      <c r="AI266" s="12">
        <v>0</v>
      </c>
      <c r="AJ266">
        <v>0.58409999999999995</v>
      </c>
      <c r="AK266">
        <v>0.41589999999999999</v>
      </c>
      <c r="AL266">
        <v>0</v>
      </c>
      <c r="AM266" s="28" t="s">
        <v>340</v>
      </c>
      <c r="AN266">
        <v>1</v>
      </c>
      <c r="AO266">
        <v>0</v>
      </c>
      <c r="AP266">
        <v>19392</v>
      </c>
      <c r="AQ266">
        <v>856</v>
      </c>
      <c r="AR266">
        <v>0.96899999999999997</v>
      </c>
      <c r="AS266" s="64">
        <v>38.380000000000003</v>
      </c>
      <c r="AT266">
        <v>0</v>
      </c>
      <c r="AU266">
        <v>0</v>
      </c>
      <c r="AV266">
        <v>0</v>
      </c>
      <c r="AW266">
        <v>0</v>
      </c>
      <c r="AX266">
        <v>0</v>
      </c>
      <c r="AY266">
        <v>1</v>
      </c>
      <c r="AZ266" s="28">
        <v>1</v>
      </c>
      <c r="BA266">
        <v>0</v>
      </c>
      <c r="BB266">
        <v>0</v>
      </c>
      <c r="BC266" s="28">
        <v>1</v>
      </c>
      <c r="BD266">
        <v>1</v>
      </c>
      <c r="BE266">
        <v>0</v>
      </c>
      <c r="BF266">
        <v>0</v>
      </c>
      <c r="BG266">
        <v>0</v>
      </c>
      <c r="BH266">
        <v>0</v>
      </c>
      <c r="BI266">
        <v>0</v>
      </c>
      <c r="BJ266">
        <v>1</v>
      </c>
      <c r="BK266" s="16">
        <v>0</v>
      </c>
      <c r="BL266">
        <v>0</v>
      </c>
      <c r="BM266">
        <v>8</v>
      </c>
      <c r="BN266">
        <v>0</v>
      </c>
      <c r="BO266">
        <v>1</v>
      </c>
      <c r="BP266">
        <v>15</v>
      </c>
      <c r="BQ266" t="s">
        <v>34</v>
      </c>
    </row>
    <row r="267" spans="1:69" x14ac:dyDescent="0.25">
      <c r="A267">
        <v>266</v>
      </c>
      <c r="B267">
        <v>15</v>
      </c>
      <c r="C267" t="s">
        <v>328</v>
      </c>
      <c r="D267" s="79">
        <v>4.9000000000000004</v>
      </c>
      <c r="E267" s="6">
        <v>0.09</v>
      </c>
      <c r="F267" s="6">
        <f t="shared" si="45"/>
        <v>54.44444444444445</v>
      </c>
      <c r="G267" s="78">
        <v>0</v>
      </c>
      <c r="H267" s="70">
        <v>0</v>
      </c>
      <c r="I267" s="70">
        <v>1</v>
      </c>
      <c r="J267" s="78">
        <v>8740</v>
      </c>
      <c r="K267" s="70">
        <v>4</v>
      </c>
      <c r="L267" s="70">
        <f t="shared" si="43"/>
        <v>8735</v>
      </c>
      <c r="M267" s="60">
        <f t="shared" si="44"/>
        <v>16</v>
      </c>
      <c r="N267" s="6">
        <v>12.62</v>
      </c>
      <c r="O267" s="6">
        <f t="shared" ref="O267:O298" si="46">AS267-N267-6</f>
        <v>19.75</v>
      </c>
      <c r="P267" s="78">
        <v>1</v>
      </c>
      <c r="Q267" s="70">
        <v>0</v>
      </c>
      <c r="R267" s="78">
        <v>0</v>
      </c>
      <c r="S267" s="70">
        <v>0</v>
      </c>
      <c r="T267" s="70">
        <v>1</v>
      </c>
      <c r="U267" s="70">
        <v>0</v>
      </c>
      <c r="V267" s="70">
        <v>1</v>
      </c>
      <c r="W267" s="78">
        <v>0</v>
      </c>
      <c r="X267" s="70">
        <v>1</v>
      </c>
      <c r="Y267" s="69">
        <v>1991</v>
      </c>
      <c r="Z267" s="28">
        <v>1</v>
      </c>
      <c r="AA267">
        <v>0</v>
      </c>
      <c r="AB267" s="28">
        <v>0.6</v>
      </c>
      <c r="AC267">
        <v>0.4</v>
      </c>
      <c r="AD267" s="28">
        <v>1</v>
      </c>
      <c r="AE267">
        <v>0</v>
      </c>
      <c r="AF267">
        <v>1</v>
      </c>
      <c r="AG267">
        <v>0</v>
      </c>
      <c r="AH267" s="28">
        <v>1</v>
      </c>
      <c r="AI267" s="12">
        <v>0</v>
      </c>
      <c r="AJ267">
        <v>1</v>
      </c>
      <c r="AK267">
        <v>0</v>
      </c>
      <c r="AL267">
        <v>0</v>
      </c>
      <c r="AM267" s="28" t="s">
        <v>340</v>
      </c>
      <c r="AN267">
        <v>1</v>
      </c>
      <c r="AO267">
        <v>0</v>
      </c>
      <c r="AP267">
        <v>19392</v>
      </c>
      <c r="AQ267">
        <v>856</v>
      </c>
      <c r="AR267">
        <v>0.96899999999999997</v>
      </c>
      <c r="AS267" s="64">
        <v>38.369999999999997</v>
      </c>
      <c r="AT267">
        <v>1</v>
      </c>
      <c r="AU267">
        <v>0</v>
      </c>
      <c r="AV267">
        <v>0</v>
      </c>
      <c r="AW267">
        <v>0</v>
      </c>
      <c r="AX267">
        <v>0</v>
      </c>
      <c r="AY267">
        <v>0</v>
      </c>
      <c r="AZ267" s="28">
        <v>0</v>
      </c>
      <c r="BA267">
        <v>0</v>
      </c>
      <c r="BB267">
        <v>0</v>
      </c>
      <c r="BC267" s="28">
        <v>1</v>
      </c>
      <c r="BD267">
        <v>1</v>
      </c>
      <c r="BE267">
        <v>0</v>
      </c>
      <c r="BF267">
        <v>0</v>
      </c>
      <c r="BG267">
        <v>0</v>
      </c>
      <c r="BH267">
        <v>0</v>
      </c>
      <c r="BI267">
        <v>0</v>
      </c>
      <c r="BJ267">
        <v>1</v>
      </c>
      <c r="BK267" s="16">
        <v>0</v>
      </c>
      <c r="BL267">
        <v>0</v>
      </c>
      <c r="BM267">
        <v>8</v>
      </c>
      <c r="BN267">
        <v>0</v>
      </c>
      <c r="BO267">
        <v>1</v>
      </c>
      <c r="BP267">
        <v>15</v>
      </c>
      <c r="BQ267" t="s">
        <v>34</v>
      </c>
    </row>
    <row r="268" spans="1:69" x14ac:dyDescent="0.25">
      <c r="A268">
        <v>267</v>
      </c>
      <c r="B268">
        <v>15</v>
      </c>
      <c r="C268" t="s">
        <v>328</v>
      </c>
      <c r="D268" s="79">
        <v>1.83</v>
      </c>
      <c r="E268" s="6">
        <v>7.0000000000000007E-2</v>
      </c>
      <c r="F268" s="6">
        <f t="shared" si="45"/>
        <v>26.142857142857142</v>
      </c>
      <c r="G268" s="78">
        <v>0</v>
      </c>
      <c r="H268" s="70">
        <v>0</v>
      </c>
      <c r="I268" s="70">
        <v>1</v>
      </c>
      <c r="J268" s="78">
        <v>14136</v>
      </c>
      <c r="K268" s="70">
        <v>4</v>
      </c>
      <c r="L268" s="70">
        <f t="shared" si="43"/>
        <v>14131</v>
      </c>
      <c r="M268" s="60">
        <f t="shared" si="44"/>
        <v>16</v>
      </c>
      <c r="N268" s="6">
        <v>12.41</v>
      </c>
      <c r="O268" s="6">
        <f t="shared" si="46"/>
        <v>20.930000000000003</v>
      </c>
      <c r="P268" s="78">
        <v>1</v>
      </c>
      <c r="Q268" s="70">
        <v>0</v>
      </c>
      <c r="R268" s="78">
        <v>0</v>
      </c>
      <c r="S268" s="70">
        <v>0</v>
      </c>
      <c r="T268" s="70">
        <v>1</v>
      </c>
      <c r="U268" s="70">
        <v>0</v>
      </c>
      <c r="V268" s="70">
        <v>1</v>
      </c>
      <c r="W268" s="78">
        <v>0</v>
      </c>
      <c r="X268" s="70">
        <v>1</v>
      </c>
      <c r="Y268" s="69">
        <v>1991</v>
      </c>
      <c r="Z268" s="28">
        <v>1</v>
      </c>
      <c r="AA268">
        <v>0</v>
      </c>
      <c r="AB268" s="28">
        <v>0.6</v>
      </c>
      <c r="AC268">
        <v>0.4</v>
      </c>
      <c r="AD268" s="28">
        <v>1</v>
      </c>
      <c r="AE268">
        <v>0</v>
      </c>
      <c r="AF268">
        <v>1</v>
      </c>
      <c r="AG268">
        <v>0</v>
      </c>
      <c r="AH268" s="28">
        <v>1</v>
      </c>
      <c r="AI268" s="12">
        <v>0</v>
      </c>
      <c r="AJ268">
        <v>0</v>
      </c>
      <c r="AK268">
        <v>1</v>
      </c>
      <c r="AL268">
        <v>0</v>
      </c>
      <c r="AM268" s="28" t="s">
        <v>340</v>
      </c>
      <c r="AN268">
        <v>1</v>
      </c>
      <c r="AO268">
        <v>0</v>
      </c>
      <c r="AP268">
        <v>19392</v>
      </c>
      <c r="AQ268">
        <v>856</v>
      </c>
      <c r="AR268">
        <v>0.96899999999999997</v>
      </c>
      <c r="AS268" s="64">
        <v>39.340000000000003</v>
      </c>
      <c r="AT268">
        <v>1</v>
      </c>
      <c r="AU268">
        <v>0</v>
      </c>
      <c r="AV268">
        <v>0</v>
      </c>
      <c r="AW268">
        <v>0</v>
      </c>
      <c r="AX268">
        <v>0</v>
      </c>
      <c r="AY268">
        <v>0</v>
      </c>
      <c r="AZ268" s="28">
        <v>0</v>
      </c>
      <c r="BA268">
        <v>0</v>
      </c>
      <c r="BB268">
        <v>0</v>
      </c>
      <c r="BC268" s="28">
        <v>1</v>
      </c>
      <c r="BD268">
        <v>1</v>
      </c>
      <c r="BE268">
        <v>0</v>
      </c>
      <c r="BF268">
        <v>0</v>
      </c>
      <c r="BG268">
        <v>0</v>
      </c>
      <c r="BH268">
        <v>0</v>
      </c>
      <c r="BI268">
        <v>0</v>
      </c>
      <c r="BJ268">
        <v>1</v>
      </c>
      <c r="BK268" s="16">
        <v>0</v>
      </c>
      <c r="BL268">
        <v>0</v>
      </c>
      <c r="BM268">
        <v>8</v>
      </c>
      <c r="BN268">
        <v>0</v>
      </c>
      <c r="BO268">
        <v>1</v>
      </c>
      <c r="BP268">
        <v>15</v>
      </c>
      <c r="BQ268" t="s">
        <v>34</v>
      </c>
    </row>
    <row r="269" spans="1:69" x14ac:dyDescent="0.25">
      <c r="A269">
        <v>268</v>
      </c>
      <c r="B269">
        <v>15</v>
      </c>
      <c r="C269" t="s">
        <v>328</v>
      </c>
      <c r="D269" s="79">
        <v>0.93</v>
      </c>
      <c r="E269" s="6">
        <v>0.12</v>
      </c>
      <c r="F269" s="6">
        <f t="shared" si="45"/>
        <v>7.7500000000000009</v>
      </c>
      <c r="G269" s="78">
        <v>0</v>
      </c>
      <c r="H269" s="70">
        <v>0</v>
      </c>
      <c r="I269" s="70">
        <v>1</v>
      </c>
      <c r="J269" s="78">
        <v>8000</v>
      </c>
      <c r="K269" s="70">
        <v>4</v>
      </c>
      <c r="L269" s="70">
        <f t="shared" si="43"/>
        <v>7995</v>
      </c>
      <c r="M269" s="60">
        <f t="shared" si="44"/>
        <v>16</v>
      </c>
      <c r="N269" s="6">
        <v>12.5</v>
      </c>
      <c r="O269" s="6">
        <f t="shared" si="46"/>
        <v>19.189999999999998</v>
      </c>
      <c r="P269" s="78">
        <v>1</v>
      </c>
      <c r="Q269" s="70">
        <v>0</v>
      </c>
      <c r="R269" s="78">
        <v>0</v>
      </c>
      <c r="S269" s="70">
        <v>0</v>
      </c>
      <c r="T269" s="70">
        <v>1</v>
      </c>
      <c r="U269" s="70">
        <v>0</v>
      </c>
      <c r="V269" s="70">
        <v>1</v>
      </c>
      <c r="W269" s="78">
        <v>0</v>
      </c>
      <c r="X269" s="70">
        <v>1</v>
      </c>
      <c r="Y269" s="69">
        <v>1991</v>
      </c>
      <c r="Z269" s="28">
        <v>1</v>
      </c>
      <c r="AA269">
        <v>0</v>
      </c>
      <c r="AB269" s="28">
        <v>0.6</v>
      </c>
      <c r="AC269">
        <v>0.4</v>
      </c>
      <c r="AD269" s="28">
        <v>1</v>
      </c>
      <c r="AE269">
        <v>0</v>
      </c>
      <c r="AF269">
        <v>1</v>
      </c>
      <c r="AG269">
        <v>0</v>
      </c>
      <c r="AH269" s="28">
        <v>1</v>
      </c>
      <c r="AI269" s="12">
        <v>0</v>
      </c>
      <c r="AJ269">
        <v>1</v>
      </c>
      <c r="AK269">
        <v>0</v>
      </c>
      <c r="AL269">
        <v>0</v>
      </c>
      <c r="AM269" s="28" t="s">
        <v>340</v>
      </c>
      <c r="AN269">
        <v>1</v>
      </c>
      <c r="AO269">
        <v>0</v>
      </c>
      <c r="AP269">
        <v>19392</v>
      </c>
      <c r="AQ269">
        <v>856</v>
      </c>
      <c r="AR269">
        <v>0.96899999999999997</v>
      </c>
      <c r="AS269" s="64">
        <v>37.69</v>
      </c>
      <c r="AT269">
        <v>1</v>
      </c>
      <c r="AU269">
        <v>0</v>
      </c>
      <c r="AV269">
        <v>0</v>
      </c>
      <c r="AW269">
        <v>0</v>
      </c>
      <c r="AX269">
        <v>0</v>
      </c>
      <c r="AY269">
        <v>0</v>
      </c>
      <c r="AZ269" s="28">
        <v>0</v>
      </c>
      <c r="BA269">
        <v>0</v>
      </c>
      <c r="BB269">
        <v>0</v>
      </c>
      <c r="BC269" s="28">
        <v>1</v>
      </c>
      <c r="BD269">
        <v>1</v>
      </c>
      <c r="BE269">
        <v>0</v>
      </c>
      <c r="BF269">
        <v>0</v>
      </c>
      <c r="BG269">
        <v>0</v>
      </c>
      <c r="BH269">
        <v>0</v>
      </c>
      <c r="BI269">
        <v>0</v>
      </c>
      <c r="BJ269">
        <v>1</v>
      </c>
      <c r="BK269" s="16">
        <v>0</v>
      </c>
      <c r="BL269">
        <v>0</v>
      </c>
      <c r="BM269">
        <v>8</v>
      </c>
      <c r="BN269">
        <v>0</v>
      </c>
      <c r="BO269">
        <v>1</v>
      </c>
      <c r="BP269">
        <v>15</v>
      </c>
      <c r="BQ269" t="s">
        <v>34</v>
      </c>
    </row>
    <row r="270" spans="1:69" x14ac:dyDescent="0.25">
      <c r="A270">
        <v>269</v>
      </c>
      <c r="B270">
        <v>15</v>
      </c>
      <c r="C270" t="s">
        <v>328</v>
      </c>
      <c r="D270" s="79">
        <v>2.5</v>
      </c>
      <c r="E270" s="6">
        <v>0.09</v>
      </c>
      <c r="F270" s="6">
        <f t="shared" si="45"/>
        <v>27.777777777777779</v>
      </c>
      <c r="G270" s="78">
        <v>0</v>
      </c>
      <c r="H270" s="70">
        <v>0</v>
      </c>
      <c r="I270" s="70">
        <v>1</v>
      </c>
      <c r="J270" s="78">
        <v>11236</v>
      </c>
      <c r="K270" s="70">
        <v>4</v>
      </c>
      <c r="L270" s="70">
        <f t="shared" si="43"/>
        <v>11231</v>
      </c>
      <c r="M270" s="60">
        <f t="shared" si="44"/>
        <v>16</v>
      </c>
      <c r="N270" s="6">
        <v>12.16</v>
      </c>
      <c r="O270" s="6">
        <f t="shared" si="46"/>
        <v>20.69</v>
      </c>
      <c r="P270" s="78">
        <v>1</v>
      </c>
      <c r="Q270" s="70">
        <v>0</v>
      </c>
      <c r="R270" s="78">
        <v>0</v>
      </c>
      <c r="S270" s="70">
        <v>0</v>
      </c>
      <c r="T270" s="70">
        <v>1</v>
      </c>
      <c r="U270" s="70">
        <v>0</v>
      </c>
      <c r="V270" s="70">
        <v>1</v>
      </c>
      <c r="W270" s="78">
        <v>0</v>
      </c>
      <c r="X270" s="70">
        <v>1</v>
      </c>
      <c r="Y270" s="69">
        <v>1991</v>
      </c>
      <c r="Z270" s="28">
        <v>1</v>
      </c>
      <c r="AA270">
        <v>0</v>
      </c>
      <c r="AB270" s="28">
        <v>0.6</v>
      </c>
      <c r="AC270">
        <v>0.4</v>
      </c>
      <c r="AD270" s="28">
        <v>1</v>
      </c>
      <c r="AE270">
        <v>0</v>
      </c>
      <c r="AF270">
        <v>1</v>
      </c>
      <c r="AG270">
        <v>0</v>
      </c>
      <c r="AH270" s="28">
        <v>1</v>
      </c>
      <c r="AI270" s="12">
        <v>0</v>
      </c>
      <c r="AJ270">
        <v>0</v>
      </c>
      <c r="AK270">
        <v>1</v>
      </c>
      <c r="AL270">
        <v>0</v>
      </c>
      <c r="AM270" s="28" t="s">
        <v>340</v>
      </c>
      <c r="AN270">
        <v>1</v>
      </c>
      <c r="AO270">
        <v>0</v>
      </c>
      <c r="AP270">
        <v>19392</v>
      </c>
      <c r="AQ270">
        <v>856</v>
      </c>
      <c r="AR270">
        <v>0.96899999999999997</v>
      </c>
      <c r="AS270" s="64">
        <v>38.85</v>
      </c>
      <c r="AT270">
        <v>1</v>
      </c>
      <c r="AU270">
        <v>0</v>
      </c>
      <c r="AV270">
        <v>0</v>
      </c>
      <c r="AW270">
        <v>0</v>
      </c>
      <c r="AX270">
        <v>0</v>
      </c>
      <c r="AY270">
        <v>0</v>
      </c>
      <c r="AZ270" s="28">
        <v>0</v>
      </c>
      <c r="BA270">
        <v>0</v>
      </c>
      <c r="BB270">
        <v>0</v>
      </c>
      <c r="BC270" s="28">
        <v>1</v>
      </c>
      <c r="BD270">
        <v>1</v>
      </c>
      <c r="BE270">
        <v>0</v>
      </c>
      <c r="BF270">
        <v>0</v>
      </c>
      <c r="BG270">
        <v>0</v>
      </c>
      <c r="BH270">
        <v>0</v>
      </c>
      <c r="BI270">
        <v>0</v>
      </c>
      <c r="BJ270">
        <v>1</v>
      </c>
      <c r="BK270" s="16">
        <v>0</v>
      </c>
      <c r="BL270">
        <v>0</v>
      </c>
      <c r="BM270">
        <v>8</v>
      </c>
      <c r="BN270">
        <v>0</v>
      </c>
      <c r="BO270">
        <v>1</v>
      </c>
      <c r="BP270">
        <v>15</v>
      </c>
      <c r="BQ270" t="s">
        <v>34</v>
      </c>
    </row>
    <row r="271" spans="1:69" x14ac:dyDescent="0.25">
      <c r="A271">
        <v>270</v>
      </c>
      <c r="B271">
        <v>15</v>
      </c>
      <c r="C271" t="s">
        <v>328</v>
      </c>
      <c r="D271" s="79">
        <v>4.51</v>
      </c>
      <c r="E271" s="6">
        <v>0.99</v>
      </c>
      <c r="F271" s="6">
        <f t="shared" si="45"/>
        <v>4.5555555555555554</v>
      </c>
      <c r="G271" s="78">
        <v>0</v>
      </c>
      <c r="H271" s="70">
        <v>0</v>
      </c>
      <c r="I271" s="70">
        <v>1</v>
      </c>
      <c r="J271" s="78">
        <v>8740</v>
      </c>
      <c r="K271" s="70">
        <v>4</v>
      </c>
      <c r="L271" s="70">
        <f t="shared" si="43"/>
        <v>8735</v>
      </c>
      <c r="M271" s="60">
        <f t="shared" si="44"/>
        <v>16</v>
      </c>
      <c r="N271" s="6">
        <v>12.62</v>
      </c>
      <c r="O271" s="6">
        <f t="shared" si="46"/>
        <v>19.75</v>
      </c>
      <c r="P271" s="78">
        <v>1</v>
      </c>
      <c r="Q271" s="70">
        <v>0</v>
      </c>
      <c r="R271" s="78">
        <v>0</v>
      </c>
      <c r="S271" s="70">
        <v>0</v>
      </c>
      <c r="T271" s="70">
        <v>1</v>
      </c>
      <c r="U271" s="70">
        <v>0</v>
      </c>
      <c r="V271" s="70">
        <v>1</v>
      </c>
      <c r="W271" s="78">
        <v>0</v>
      </c>
      <c r="X271" s="70">
        <v>1</v>
      </c>
      <c r="Y271" s="69">
        <v>1991</v>
      </c>
      <c r="Z271" s="28">
        <v>1</v>
      </c>
      <c r="AA271">
        <v>0</v>
      </c>
      <c r="AB271" s="28">
        <v>0.6</v>
      </c>
      <c r="AC271">
        <v>0.4</v>
      </c>
      <c r="AD271" s="28">
        <v>1</v>
      </c>
      <c r="AE271">
        <v>0</v>
      </c>
      <c r="AF271">
        <v>1</v>
      </c>
      <c r="AG271">
        <v>0</v>
      </c>
      <c r="AH271" s="28">
        <v>1</v>
      </c>
      <c r="AI271" s="12">
        <v>0</v>
      </c>
      <c r="AJ271">
        <v>1</v>
      </c>
      <c r="AK271">
        <v>0</v>
      </c>
      <c r="AL271">
        <v>0</v>
      </c>
      <c r="AM271" s="28" t="s">
        <v>340</v>
      </c>
      <c r="AN271">
        <v>1</v>
      </c>
      <c r="AO271">
        <v>0</v>
      </c>
      <c r="AP271">
        <v>19392</v>
      </c>
      <c r="AQ271">
        <v>856</v>
      </c>
      <c r="AR271">
        <v>0.96899999999999997</v>
      </c>
      <c r="AS271" s="64">
        <v>38.369999999999997</v>
      </c>
      <c r="AT271">
        <v>0</v>
      </c>
      <c r="AU271">
        <v>0</v>
      </c>
      <c r="AV271">
        <v>0</v>
      </c>
      <c r="AW271">
        <v>0</v>
      </c>
      <c r="AX271">
        <v>0</v>
      </c>
      <c r="AY271">
        <v>1</v>
      </c>
      <c r="AZ271" s="28">
        <v>1</v>
      </c>
      <c r="BA271">
        <v>0</v>
      </c>
      <c r="BB271">
        <v>0</v>
      </c>
      <c r="BC271" s="28">
        <v>1</v>
      </c>
      <c r="BD271">
        <v>1</v>
      </c>
      <c r="BE271">
        <v>0</v>
      </c>
      <c r="BF271">
        <v>0</v>
      </c>
      <c r="BG271">
        <v>0</v>
      </c>
      <c r="BH271">
        <v>0</v>
      </c>
      <c r="BI271">
        <v>0</v>
      </c>
      <c r="BJ271">
        <v>1</v>
      </c>
      <c r="BK271" s="16">
        <v>0</v>
      </c>
      <c r="BL271">
        <v>0</v>
      </c>
      <c r="BM271">
        <v>8</v>
      </c>
      <c r="BN271">
        <v>0</v>
      </c>
      <c r="BO271">
        <v>1</v>
      </c>
      <c r="BP271">
        <v>15</v>
      </c>
      <c r="BQ271" t="s">
        <v>34</v>
      </c>
    </row>
    <row r="272" spans="1:69" x14ac:dyDescent="0.25">
      <c r="A272">
        <v>271</v>
      </c>
      <c r="B272">
        <v>15</v>
      </c>
      <c r="C272" t="s">
        <v>328</v>
      </c>
      <c r="D272" s="79">
        <v>9.4600000000000009</v>
      </c>
      <c r="E272" s="6">
        <v>0.63</v>
      </c>
      <c r="F272" s="6">
        <f t="shared" si="45"/>
        <v>15.015873015873018</v>
      </c>
      <c r="G272" s="78">
        <v>0</v>
      </c>
      <c r="H272" s="70">
        <v>0</v>
      </c>
      <c r="I272" s="70">
        <v>1</v>
      </c>
      <c r="J272" s="78">
        <v>14136</v>
      </c>
      <c r="K272" s="70">
        <v>4</v>
      </c>
      <c r="L272" s="70">
        <f t="shared" si="43"/>
        <v>14131</v>
      </c>
      <c r="M272" s="60">
        <f t="shared" si="44"/>
        <v>16</v>
      </c>
      <c r="N272" s="6">
        <v>12.41</v>
      </c>
      <c r="O272" s="6">
        <f t="shared" si="46"/>
        <v>20.930000000000003</v>
      </c>
      <c r="P272" s="78">
        <v>1</v>
      </c>
      <c r="Q272" s="70">
        <v>0</v>
      </c>
      <c r="R272" s="78">
        <v>0</v>
      </c>
      <c r="S272" s="70">
        <v>0</v>
      </c>
      <c r="T272" s="70">
        <v>1</v>
      </c>
      <c r="U272" s="70">
        <v>0</v>
      </c>
      <c r="V272" s="70">
        <v>1</v>
      </c>
      <c r="W272" s="78">
        <v>0</v>
      </c>
      <c r="X272" s="70">
        <v>1</v>
      </c>
      <c r="Y272" s="69">
        <v>1991</v>
      </c>
      <c r="Z272" s="28">
        <v>1</v>
      </c>
      <c r="AA272">
        <v>0</v>
      </c>
      <c r="AB272" s="28">
        <v>0.6</v>
      </c>
      <c r="AC272">
        <v>0.4</v>
      </c>
      <c r="AD272" s="28">
        <v>1</v>
      </c>
      <c r="AE272">
        <v>0</v>
      </c>
      <c r="AF272">
        <v>1</v>
      </c>
      <c r="AG272">
        <v>0</v>
      </c>
      <c r="AH272" s="28">
        <v>1</v>
      </c>
      <c r="AI272" s="12">
        <v>0</v>
      </c>
      <c r="AJ272">
        <v>0</v>
      </c>
      <c r="AK272">
        <v>1</v>
      </c>
      <c r="AL272">
        <v>0</v>
      </c>
      <c r="AM272" s="28" t="s">
        <v>340</v>
      </c>
      <c r="AN272">
        <v>1</v>
      </c>
      <c r="AO272">
        <v>0</v>
      </c>
      <c r="AP272">
        <v>19392</v>
      </c>
      <c r="AQ272">
        <v>856</v>
      </c>
      <c r="AR272">
        <v>0.96899999999999997</v>
      </c>
      <c r="AS272" s="64">
        <v>39.340000000000003</v>
      </c>
      <c r="AT272">
        <v>0</v>
      </c>
      <c r="AU272">
        <v>0</v>
      </c>
      <c r="AV272">
        <v>0</v>
      </c>
      <c r="AW272">
        <v>0</v>
      </c>
      <c r="AX272">
        <v>0</v>
      </c>
      <c r="AY272">
        <v>1</v>
      </c>
      <c r="AZ272" s="28">
        <v>1</v>
      </c>
      <c r="BA272">
        <v>0</v>
      </c>
      <c r="BB272">
        <v>0</v>
      </c>
      <c r="BC272" s="28">
        <v>1</v>
      </c>
      <c r="BD272">
        <v>1</v>
      </c>
      <c r="BE272">
        <v>0</v>
      </c>
      <c r="BF272">
        <v>0</v>
      </c>
      <c r="BG272">
        <v>0</v>
      </c>
      <c r="BH272">
        <v>0</v>
      </c>
      <c r="BI272">
        <v>0</v>
      </c>
      <c r="BJ272">
        <v>1</v>
      </c>
      <c r="BK272" s="16">
        <v>0</v>
      </c>
      <c r="BL272">
        <v>0</v>
      </c>
      <c r="BM272">
        <v>8</v>
      </c>
      <c r="BN272">
        <v>0</v>
      </c>
      <c r="BO272">
        <v>1</v>
      </c>
      <c r="BP272">
        <v>15</v>
      </c>
      <c r="BQ272" t="s">
        <v>34</v>
      </c>
    </row>
    <row r="273" spans="1:69" x14ac:dyDescent="0.25">
      <c r="A273">
        <v>272</v>
      </c>
      <c r="B273">
        <v>15</v>
      </c>
      <c r="C273" t="s">
        <v>328</v>
      </c>
      <c r="D273" s="79">
        <v>4.41</v>
      </c>
      <c r="E273" s="6">
        <v>0.83</v>
      </c>
      <c r="F273" s="6">
        <f t="shared" si="45"/>
        <v>5.3132530120481931</v>
      </c>
      <c r="G273" s="78">
        <v>0</v>
      </c>
      <c r="H273" s="70">
        <v>0</v>
      </c>
      <c r="I273" s="70">
        <v>1</v>
      </c>
      <c r="J273" s="78">
        <v>8000</v>
      </c>
      <c r="K273" s="70">
        <v>4</v>
      </c>
      <c r="L273" s="70">
        <f t="shared" si="43"/>
        <v>7995</v>
      </c>
      <c r="M273" s="60">
        <f t="shared" si="44"/>
        <v>16</v>
      </c>
      <c r="N273" s="6">
        <v>12.5</v>
      </c>
      <c r="O273" s="6">
        <f t="shared" si="46"/>
        <v>19.189999999999998</v>
      </c>
      <c r="P273" s="78">
        <v>1</v>
      </c>
      <c r="Q273" s="70">
        <v>0</v>
      </c>
      <c r="R273" s="78">
        <v>0</v>
      </c>
      <c r="S273" s="70">
        <v>0</v>
      </c>
      <c r="T273" s="70">
        <v>1</v>
      </c>
      <c r="U273" s="70">
        <v>0</v>
      </c>
      <c r="V273" s="70">
        <v>1</v>
      </c>
      <c r="W273" s="78">
        <v>0</v>
      </c>
      <c r="X273" s="70">
        <v>1</v>
      </c>
      <c r="Y273" s="69">
        <v>1991</v>
      </c>
      <c r="Z273" s="28">
        <v>1</v>
      </c>
      <c r="AA273">
        <v>0</v>
      </c>
      <c r="AB273" s="28">
        <v>0.6</v>
      </c>
      <c r="AC273">
        <v>0.4</v>
      </c>
      <c r="AD273" s="28">
        <v>1</v>
      </c>
      <c r="AE273">
        <v>0</v>
      </c>
      <c r="AF273">
        <v>1</v>
      </c>
      <c r="AG273">
        <v>0</v>
      </c>
      <c r="AH273" s="28">
        <v>1</v>
      </c>
      <c r="AI273" s="12">
        <v>0</v>
      </c>
      <c r="AJ273">
        <v>1</v>
      </c>
      <c r="AK273">
        <v>0</v>
      </c>
      <c r="AL273">
        <v>0</v>
      </c>
      <c r="AM273" s="28" t="s">
        <v>340</v>
      </c>
      <c r="AN273">
        <v>1</v>
      </c>
      <c r="AO273">
        <v>0</v>
      </c>
      <c r="AP273">
        <v>19392</v>
      </c>
      <c r="AQ273">
        <v>856</v>
      </c>
      <c r="AR273">
        <v>0.96899999999999997</v>
      </c>
      <c r="AS273" s="64">
        <v>37.69</v>
      </c>
      <c r="AT273">
        <v>0</v>
      </c>
      <c r="AU273">
        <v>0</v>
      </c>
      <c r="AV273">
        <v>0</v>
      </c>
      <c r="AW273">
        <v>0</v>
      </c>
      <c r="AX273">
        <v>0</v>
      </c>
      <c r="AY273">
        <v>1</v>
      </c>
      <c r="AZ273" s="28">
        <v>1</v>
      </c>
      <c r="BA273">
        <v>0</v>
      </c>
      <c r="BB273">
        <v>0</v>
      </c>
      <c r="BC273" s="28">
        <v>1</v>
      </c>
      <c r="BD273">
        <v>1</v>
      </c>
      <c r="BE273">
        <v>0</v>
      </c>
      <c r="BF273">
        <v>0</v>
      </c>
      <c r="BG273">
        <v>0</v>
      </c>
      <c r="BH273">
        <v>0</v>
      </c>
      <c r="BI273">
        <v>0</v>
      </c>
      <c r="BJ273">
        <v>1</v>
      </c>
      <c r="BK273" s="16">
        <v>0</v>
      </c>
      <c r="BL273">
        <v>0</v>
      </c>
      <c r="BM273">
        <v>8</v>
      </c>
      <c r="BN273">
        <v>0</v>
      </c>
      <c r="BO273">
        <v>1</v>
      </c>
      <c r="BP273">
        <v>15</v>
      </c>
      <c r="BQ273" t="s">
        <v>34</v>
      </c>
    </row>
    <row r="274" spans="1:69" x14ac:dyDescent="0.25">
      <c r="A274">
        <v>273</v>
      </c>
      <c r="B274">
        <v>15</v>
      </c>
      <c r="C274" t="s">
        <v>328</v>
      </c>
      <c r="D274" s="79">
        <v>5.35</v>
      </c>
      <c r="E274" s="6">
        <v>0.61</v>
      </c>
      <c r="F274" s="6">
        <f t="shared" si="45"/>
        <v>8.7704918032786878</v>
      </c>
      <c r="G274" s="78">
        <v>0</v>
      </c>
      <c r="H274" s="70">
        <v>0</v>
      </c>
      <c r="I274" s="70">
        <v>1</v>
      </c>
      <c r="J274" s="78">
        <v>11236</v>
      </c>
      <c r="K274" s="70">
        <v>4</v>
      </c>
      <c r="L274" s="70">
        <f t="shared" si="43"/>
        <v>11231</v>
      </c>
      <c r="M274" s="60">
        <f t="shared" si="44"/>
        <v>16</v>
      </c>
      <c r="N274" s="6">
        <v>12.16</v>
      </c>
      <c r="O274" s="6">
        <f t="shared" si="46"/>
        <v>20.69</v>
      </c>
      <c r="P274" s="78">
        <v>1</v>
      </c>
      <c r="Q274" s="70">
        <v>0</v>
      </c>
      <c r="R274" s="78">
        <v>0</v>
      </c>
      <c r="S274" s="70">
        <v>0</v>
      </c>
      <c r="T274" s="70">
        <v>1</v>
      </c>
      <c r="U274" s="70">
        <v>0</v>
      </c>
      <c r="V274" s="70">
        <v>1</v>
      </c>
      <c r="W274" s="78">
        <v>0</v>
      </c>
      <c r="X274" s="70">
        <v>1</v>
      </c>
      <c r="Y274" s="69">
        <v>1991</v>
      </c>
      <c r="Z274" s="28">
        <v>1</v>
      </c>
      <c r="AA274">
        <v>0</v>
      </c>
      <c r="AB274" s="28">
        <v>0.6</v>
      </c>
      <c r="AC274">
        <v>0.4</v>
      </c>
      <c r="AD274" s="28">
        <v>1</v>
      </c>
      <c r="AE274">
        <v>0</v>
      </c>
      <c r="AF274">
        <v>1</v>
      </c>
      <c r="AG274">
        <v>0</v>
      </c>
      <c r="AH274" s="28">
        <v>1</v>
      </c>
      <c r="AI274" s="12">
        <v>0</v>
      </c>
      <c r="AJ274">
        <v>0</v>
      </c>
      <c r="AK274">
        <v>1</v>
      </c>
      <c r="AL274">
        <v>0</v>
      </c>
      <c r="AM274" s="28" t="s">
        <v>340</v>
      </c>
      <c r="AN274">
        <v>1</v>
      </c>
      <c r="AO274">
        <v>0</v>
      </c>
      <c r="AP274">
        <v>19392</v>
      </c>
      <c r="AQ274">
        <v>856</v>
      </c>
      <c r="AR274">
        <v>0.96899999999999997</v>
      </c>
      <c r="AS274" s="64">
        <v>38.85</v>
      </c>
      <c r="AT274">
        <v>0</v>
      </c>
      <c r="AU274">
        <v>0</v>
      </c>
      <c r="AV274">
        <v>0</v>
      </c>
      <c r="AW274">
        <v>0</v>
      </c>
      <c r="AX274">
        <v>0</v>
      </c>
      <c r="AY274">
        <v>1</v>
      </c>
      <c r="AZ274" s="28">
        <v>1</v>
      </c>
      <c r="BA274">
        <v>0</v>
      </c>
      <c r="BB274">
        <v>0</v>
      </c>
      <c r="BC274" s="28">
        <v>1</v>
      </c>
      <c r="BD274">
        <v>1</v>
      </c>
      <c r="BE274">
        <v>0</v>
      </c>
      <c r="BF274">
        <v>0</v>
      </c>
      <c r="BG274">
        <v>0</v>
      </c>
      <c r="BH274">
        <v>0</v>
      </c>
      <c r="BI274">
        <v>0</v>
      </c>
      <c r="BJ274">
        <v>1</v>
      </c>
      <c r="BK274" s="16">
        <v>0</v>
      </c>
      <c r="BL274">
        <v>0</v>
      </c>
      <c r="BM274">
        <v>8</v>
      </c>
      <c r="BN274">
        <v>0</v>
      </c>
      <c r="BO274">
        <v>1</v>
      </c>
      <c r="BP274">
        <v>15</v>
      </c>
      <c r="BQ274" t="s">
        <v>34</v>
      </c>
    </row>
    <row r="275" spans="1:69" x14ac:dyDescent="0.25">
      <c r="A275">
        <v>274</v>
      </c>
      <c r="B275">
        <v>16</v>
      </c>
      <c r="C275" t="s">
        <v>333</v>
      </c>
      <c r="D275" s="79">
        <v>5.2</v>
      </c>
      <c r="E275" s="6">
        <v>0.3</v>
      </c>
      <c r="F275" s="6">
        <f t="shared" si="45"/>
        <v>17.333333333333336</v>
      </c>
      <c r="G275" s="78">
        <v>0</v>
      </c>
      <c r="H275" s="70">
        <v>0</v>
      </c>
      <c r="I275" s="70">
        <v>1</v>
      </c>
      <c r="J275" s="78">
        <v>1964</v>
      </c>
      <c r="K275" s="70">
        <v>4</v>
      </c>
      <c r="L275" s="70">
        <f t="shared" si="43"/>
        <v>1959</v>
      </c>
      <c r="M275" s="60">
        <f t="shared" si="44"/>
        <v>20</v>
      </c>
      <c r="N275" s="6">
        <v>11.3</v>
      </c>
      <c r="O275" s="6">
        <f t="shared" si="46"/>
        <v>28.400000000000006</v>
      </c>
      <c r="P275" s="78">
        <v>1</v>
      </c>
      <c r="Q275" s="70">
        <v>0</v>
      </c>
      <c r="R275" s="78">
        <v>0</v>
      </c>
      <c r="S275" s="70">
        <v>0</v>
      </c>
      <c r="T275" s="70">
        <v>1</v>
      </c>
      <c r="U275" s="70">
        <v>1</v>
      </c>
      <c r="V275" s="70">
        <v>0</v>
      </c>
      <c r="W275" s="78">
        <v>0</v>
      </c>
      <c r="X275" s="70">
        <v>1</v>
      </c>
      <c r="Y275" s="69">
        <v>1990</v>
      </c>
      <c r="Z275" s="28" t="s">
        <v>45</v>
      </c>
      <c r="AA275" t="s">
        <v>45</v>
      </c>
      <c r="AB275" s="28">
        <v>0.52400000000000002</v>
      </c>
      <c r="AC275">
        <f t="shared" ref="AC275:AC294" si="47">1-AB275</f>
        <v>0.47599999999999998</v>
      </c>
      <c r="AD275" s="28">
        <v>1</v>
      </c>
      <c r="AE275">
        <v>0</v>
      </c>
      <c r="AF275">
        <v>1</v>
      </c>
      <c r="AG275">
        <v>0</v>
      </c>
      <c r="AH275" s="28" t="s">
        <v>45</v>
      </c>
      <c r="AI275" s="12" t="s">
        <v>45</v>
      </c>
      <c r="AJ275">
        <v>0</v>
      </c>
      <c r="AK275">
        <v>0</v>
      </c>
      <c r="AL275">
        <v>1</v>
      </c>
      <c r="AM275" s="28" t="s">
        <v>321</v>
      </c>
      <c r="AN275">
        <v>1</v>
      </c>
      <c r="AO275">
        <v>0</v>
      </c>
      <c r="AP275">
        <v>16476</v>
      </c>
      <c r="AQ275">
        <v>1012</v>
      </c>
      <c r="AR275">
        <v>0.95099999999999996</v>
      </c>
      <c r="AS275" s="64">
        <v>45.7</v>
      </c>
      <c r="AT275">
        <v>1</v>
      </c>
      <c r="AU275">
        <v>0</v>
      </c>
      <c r="AV275">
        <v>0</v>
      </c>
      <c r="AW275">
        <v>0</v>
      </c>
      <c r="AX275">
        <v>0</v>
      </c>
      <c r="AY275">
        <v>0</v>
      </c>
      <c r="AZ275" s="28">
        <v>0</v>
      </c>
      <c r="BA275">
        <v>0</v>
      </c>
      <c r="BB275">
        <v>0</v>
      </c>
      <c r="BC275" s="28">
        <v>1</v>
      </c>
      <c r="BD275">
        <v>1</v>
      </c>
      <c r="BE275">
        <v>0</v>
      </c>
      <c r="BF275">
        <v>0</v>
      </c>
      <c r="BG275">
        <v>1</v>
      </c>
      <c r="BH275">
        <v>0</v>
      </c>
      <c r="BI275">
        <v>0</v>
      </c>
      <c r="BJ275">
        <v>0</v>
      </c>
      <c r="BK275" s="16">
        <v>0</v>
      </c>
      <c r="BL275">
        <v>0.96399999999999997</v>
      </c>
      <c r="BM275">
        <v>85</v>
      </c>
      <c r="BN275">
        <v>1</v>
      </c>
      <c r="BO275">
        <v>0</v>
      </c>
      <c r="BP275">
        <v>10</v>
      </c>
      <c r="BQ275" t="s">
        <v>34</v>
      </c>
    </row>
    <row r="276" spans="1:69" x14ac:dyDescent="0.25">
      <c r="A276">
        <v>275</v>
      </c>
      <c r="B276">
        <v>16</v>
      </c>
      <c r="C276" t="s">
        <v>333</v>
      </c>
      <c r="D276" s="79">
        <v>5.3</v>
      </c>
      <c r="E276" s="6">
        <v>0.2</v>
      </c>
      <c r="F276" s="6">
        <f t="shared" si="45"/>
        <v>26.499999999999996</v>
      </c>
      <c r="G276" s="78">
        <v>0</v>
      </c>
      <c r="H276" s="70">
        <v>0</v>
      </c>
      <c r="I276" s="70">
        <v>1</v>
      </c>
      <c r="J276" s="78">
        <v>1964</v>
      </c>
      <c r="K276" s="70">
        <v>4</v>
      </c>
      <c r="L276" s="70">
        <f t="shared" si="43"/>
        <v>1959</v>
      </c>
      <c r="M276" s="60">
        <f t="shared" si="44"/>
        <v>20</v>
      </c>
      <c r="N276" s="6">
        <v>11.3</v>
      </c>
      <c r="O276" s="6">
        <f t="shared" si="46"/>
        <v>28.400000000000006</v>
      </c>
      <c r="P276" s="78">
        <v>1</v>
      </c>
      <c r="Q276" s="70">
        <v>0</v>
      </c>
      <c r="R276" s="78">
        <v>0</v>
      </c>
      <c r="S276" s="70">
        <v>0</v>
      </c>
      <c r="T276" s="70">
        <v>1</v>
      </c>
      <c r="U276" s="70">
        <v>1</v>
      </c>
      <c r="V276" s="70">
        <v>0</v>
      </c>
      <c r="W276" s="78">
        <v>0</v>
      </c>
      <c r="X276" s="70">
        <v>1</v>
      </c>
      <c r="Y276" s="69">
        <v>1990</v>
      </c>
      <c r="Z276" s="28" t="s">
        <v>45</v>
      </c>
      <c r="AA276" t="s">
        <v>45</v>
      </c>
      <c r="AB276" s="28">
        <v>0.52400000000000002</v>
      </c>
      <c r="AC276">
        <f t="shared" si="47"/>
        <v>0.47599999999999998</v>
      </c>
      <c r="AD276" s="28">
        <v>1</v>
      </c>
      <c r="AE276">
        <v>0</v>
      </c>
      <c r="AF276">
        <v>1</v>
      </c>
      <c r="AG276">
        <v>0</v>
      </c>
      <c r="AH276" s="28" t="s">
        <v>45</v>
      </c>
      <c r="AI276" s="12" t="s">
        <v>45</v>
      </c>
      <c r="AJ276">
        <v>0</v>
      </c>
      <c r="AK276">
        <v>0</v>
      </c>
      <c r="AL276">
        <v>1</v>
      </c>
      <c r="AM276" s="28" t="s">
        <v>321</v>
      </c>
      <c r="AN276">
        <v>1</v>
      </c>
      <c r="AO276">
        <v>0</v>
      </c>
      <c r="AP276">
        <v>16476</v>
      </c>
      <c r="AQ276">
        <v>1012</v>
      </c>
      <c r="AR276">
        <v>0.95099999999999996</v>
      </c>
      <c r="AS276" s="64">
        <v>45.7</v>
      </c>
      <c r="AT276">
        <v>1</v>
      </c>
      <c r="AU276">
        <v>0</v>
      </c>
      <c r="AV276">
        <v>0</v>
      </c>
      <c r="AW276">
        <v>0</v>
      </c>
      <c r="AX276">
        <v>0</v>
      </c>
      <c r="AY276">
        <v>0</v>
      </c>
      <c r="AZ276" s="28">
        <v>0</v>
      </c>
      <c r="BA276">
        <v>0</v>
      </c>
      <c r="BB276">
        <v>0</v>
      </c>
      <c r="BC276" s="28">
        <v>1</v>
      </c>
      <c r="BD276">
        <v>1</v>
      </c>
      <c r="BE276">
        <v>0</v>
      </c>
      <c r="BF276">
        <v>0</v>
      </c>
      <c r="BG276">
        <v>1</v>
      </c>
      <c r="BH276">
        <v>0</v>
      </c>
      <c r="BI276">
        <v>0</v>
      </c>
      <c r="BJ276">
        <v>0</v>
      </c>
      <c r="BK276" s="16">
        <v>0</v>
      </c>
      <c r="BL276">
        <v>0.96399999999999997</v>
      </c>
      <c r="BM276">
        <v>85</v>
      </c>
      <c r="BN276">
        <v>1</v>
      </c>
      <c r="BO276">
        <v>0</v>
      </c>
      <c r="BP276">
        <v>10</v>
      </c>
      <c r="BQ276" t="s">
        <v>34</v>
      </c>
    </row>
    <row r="277" spans="1:69" x14ac:dyDescent="0.25">
      <c r="A277">
        <v>276</v>
      </c>
      <c r="B277">
        <v>16</v>
      </c>
      <c r="C277" t="s">
        <v>333</v>
      </c>
      <c r="D277" s="79">
        <v>5.2</v>
      </c>
      <c r="E277" s="6">
        <v>0.4</v>
      </c>
      <c r="F277" s="6">
        <f t="shared" si="45"/>
        <v>13</v>
      </c>
      <c r="G277" s="78">
        <v>0</v>
      </c>
      <c r="H277" s="70">
        <v>0</v>
      </c>
      <c r="I277" s="70">
        <v>1</v>
      </c>
      <c r="J277" s="78">
        <v>1964</v>
      </c>
      <c r="K277" s="70">
        <v>4</v>
      </c>
      <c r="L277" s="70">
        <f t="shared" si="43"/>
        <v>1959</v>
      </c>
      <c r="M277" s="60">
        <f t="shared" si="44"/>
        <v>20</v>
      </c>
      <c r="N277" s="6">
        <v>11.3</v>
      </c>
      <c r="O277" s="6">
        <f t="shared" si="46"/>
        <v>28.400000000000006</v>
      </c>
      <c r="P277" s="78">
        <v>1</v>
      </c>
      <c r="Q277" s="70">
        <v>0</v>
      </c>
      <c r="R277" s="78">
        <v>0</v>
      </c>
      <c r="S277" s="70">
        <v>0</v>
      </c>
      <c r="T277" s="70">
        <v>1</v>
      </c>
      <c r="U277" s="70">
        <v>1</v>
      </c>
      <c r="V277" s="70">
        <v>0</v>
      </c>
      <c r="W277" s="78">
        <v>0</v>
      </c>
      <c r="X277" s="70">
        <v>1</v>
      </c>
      <c r="Y277" s="69">
        <v>1990</v>
      </c>
      <c r="Z277" s="28" t="s">
        <v>45</v>
      </c>
      <c r="AA277" t="s">
        <v>45</v>
      </c>
      <c r="AB277" s="28">
        <v>0.52400000000000002</v>
      </c>
      <c r="AC277">
        <f t="shared" si="47"/>
        <v>0.47599999999999998</v>
      </c>
      <c r="AD277" s="28">
        <v>1</v>
      </c>
      <c r="AE277">
        <v>0</v>
      </c>
      <c r="AF277">
        <v>1</v>
      </c>
      <c r="AG277">
        <v>0</v>
      </c>
      <c r="AH277" s="28" t="s">
        <v>45</v>
      </c>
      <c r="AI277" s="12" t="s">
        <v>45</v>
      </c>
      <c r="AJ277">
        <v>0</v>
      </c>
      <c r="AK277">
        <v>0</v>
      </c>
      <c r="AL277">
        <v>1</v>
      </c>
      <c r="AM277" s="28" t="s">
        <v>321</v>
      </c>
      <c r="AN277">
        <v>1</v>
      </c>
      <c r="AO277">
        <v>0</v>
      </c>
      <c r="AP277">
        <v>16476</v>
      </c>
      <c r="AQ277">
        <v>1012</v>
      </c>
      <c r="AR277">
        <v>0.95099999999999996</v>
      </c>
      <c r="AS277" s="64">
        <v>45.7</v>
      </c>
      <c r="AT277">
        <v>1</v>
      </c>
      <c r="AU277">
        <v>0</v>
      </c>
      <c r="AV277">
        <v>0</v>
      </c>
      <c r="AW277">
        <v>0</v>
      </c>
      <c r="AX277">
        <v>0</v>
      </c>
      <c r="AY277">
        <v>0</v>
      </c>
      <c r="AZ277" s="28">
        <v>0</v>
      </c>
      <c r="BA277">
        <v>0</v>
      </c>
      <c r="BB277">
        <v>0</v>
      </c>
      <c r="BC277" s="28">
        <v>1</v>
      </c>
      <c r="BD277">
        <v>1</v>
      </c>
      <c r="BE277">
        <v>0</v>
      </c>
      <c r="BF277">
        <v>0</v>
      </c>
      <c r="BG277">
        <v>1</v>
      </c>
      <c r="BH277">
        <v>0</v>
      </c>
      <c r="BI277">
        <v>0</v>
      </c>
      <c r="BJ277">
        <v>0</v>
      </c>
      <c r="BK277" s="16">
        <v>0</v>
      </c>
      <c r="BL277">
        <v>0.96399999999999997</v>
      </c>
      <c r="BM277">
        <v>85</v>
      </c>
      <c r="BN277">
        <v>1</v>
      </c>
      <c r="BO277">
        <v>0</v>
      </c>
      <c r="BP277">
        <v>10</v>
      </c>
      <c r="BQ277" t="s">
        <v>34</v>
      </c>
    </row>
    <row r="278" spans="1:69" x14ac:dyDescent="0.25">
      <c r="A278">
        <v>277</v>
      </c>
      <c r="B278">
        <v>16</v>
      </c>
      <c r="C278" t="s">
        <v>333</v>
      </c>
      <c r="D278" s="79">
        <v>6.1</v>
      </c>
      <c r="E278" s="6">
        <v>0.3</v>
      </c>
      <c r="F278" s="6">
        <f t="shared" si="45"/>
        <v>20.333333333333332</v>
      </c>
      <c r="G278" s="78">
        <v>0</v>
      </c>
      <c r="H278" s="70">
        <v>0</v>
      </c>
      <c r="I278" s="70">
        <v>1</v>
      </c>
      <c r="J278" s="78">
        <v>1964</v>
      </c>
      <c r="K278" s="70">
        <v>4</v>
      </c>
      <c r="L278" s="70">
        <f t="shared" si="43"/>
        <v>1959</v>
      </c>
      <c r="M278" s="60">
        <f t="shared" si="44"/>
        <v>20</v>
      </c>
      <c r="N278" s="6">
        <v>11.3</v>
      </c>
      <c r="O278" s="6">
        <f t="shared" si="46"/>
        <v>28.400000000000006</v>
      </c>
      <c r="P278" s="78">
        <v>1</v>
      </c>
      <c r="Q278" s="70">
        <v>0</v>
      </c>
      <c r="R278" s="78">
        <v>0</v>
      </c>
      <c r="S278" s="70">
        <v>0</v>
      </c>
      <c r="T278" s="70">
        <v>1</v>
      </c>
      <c r="U278" s="70">
        <v>1</v>
      </c>
      <c r="V278" s="70">
        <v>0</v>
      </c>
      <c r="W278" s="78">
        <v>0</v>
      </c>
      <c r="X278" s="70">
        <v>1</v>
      </c>
      <c r="Y278" s="69">
        <v>1990</v>
      </c>
      <c r="Z278" s="28" t="s">
        <v>45</v>
      </c>
      <c r="AA278" t="s">
        <v>45</v>
      </c>
      <c r="AB278" s="28">
        <v>0.52400000000000002</v>
      </c>
      <c r="AC278">
        <f t="shared" si="47"/>
        <v>0.47599999999999998</v>
      </c>
      <c r="AD278" s="28">
        <v>1</v>
      </c>
      <c r="AE278">
        <v>0</v>
      </c>
      <c r="AF278">
        <v>1</v>
      </c>
      <c r="AG278">
        <v>0</v>
      </c>
      <c r="AH278" s="28" t="s">
        <v>45</v>
      </c>
      <c r="AI278" s="12" t="s">
        <v>45</v>
      </c>
      <c r="AJ278">
        <v>0</v>
      </c>
      <c r="AK278">
        <v>0</v>
      </c>
      <c r="AL278">
        <v>1</v>
      </c>
      <c r="AM278" s="28" t="s">
        <v>321</v>
      </c>
      <c r="AN278">
        <v>1</v>
      </c>
      <c r="AO278">
        <v>0</v>
      </c>
      <c r="AP278">
        <v>16476</v>
      </c>
      <c r="AQ278">
        <v>1012</v>
      </c>
      <c r="AR278">
        <v>0.95099999999999996</v>
      </c>
      <c r="AS278" s="64">
        <v>45.7</v>
      </c>
      <c r="AT278">
        <v>1</v>
      </c>
      <c r="AU278">
        <v>0</v>
      </c>
      <c r="AV278">
        <v>0</v>
      </c>
      <c r="AW278">
        <v>0</v>
      </c>
      <c r="AX278">
        <v>0</v>
      </c>
      <c r="AY278">
        <v>0</v>
      </c>
      <c r="AZ278" s="28">
        <v>0</v>
      </c>
      <c r="BA278">
        <v>0</v>
      </c>
      <c r="BB278">
        <v>0</v>
      </c>
      <c r="BC278" s="28">
        <v>1</v>
      </c>
      <c r="BD278">
        <v>1</v>
      </c>
      <c r="BE278">
        <v>0</v>
      </c>
      <c r="BF278">
        <v>0</v>
      </c>
      <c r="BG278">
        <v>1</v>
      </c>
      <c r="BH278">
        <v>0</v>
      </c>
      <c r="BI278">
        <v>0</v>
      </c>
      <c r="BJ278">
        <v>0</v>
      </c>
      <c r="BK278" s="16">
        <v>0</v>
      </c>
      <c r="BL278">
        <v>0.96399999999999997</v>
      </c>
      <c r="BM278">
        <v>85</v>
      </c>
      <c r="BN278">
        <v>1</v>
      </c>
      <c r="BO278">
        <v>0</v>
      </c>
      <c r="BP278">
        <v>10</v>
      </c>
      <c r="BQ278" t="s">
        <v>34</v>
      </c>
    </row>
    <row r="279" spans="1:69" x14ac:dyDescent="0.25">
      <c r="A279">
        <v>278</v>
      </c>
      <c r="B279">
        <v>16</v>
      </c>
      <c r="C279" t="s">
        <v>333</v>
      </c>
      <c r="D279" s="79">
        <v>5.2</v>
      </c>
      <c r="E279" s="6">
        <v>0.2</v>
      </c>
      <c r="F279" s="6">
        <f t="shared" si="45"/>
        <v>26</v>
      </c>
      <c r="G279" s="78">
        <v>0</v>
      </c>
      <c r="H279" s="70">
        <v>0</v>
      </c>
      <c r="I279" s="70">
        <v>1</v>
      </c>
      <c r="J279" s="78">
        <v>5218</v>
      </c>
      <c r="K279" s="70">
        <v>4</v>
      </c>
      <c r="L279" s="70">
        <f t="shared" si="43"/>
        <v>5213</v>
      </c>
      <c r="M279" s="60">
        <f t="shared" si="44"/>
        <v>20</v>
      </c>
      <c r="N279" s="6">
        <v>11.3</v>
      </c>
      <c r="O279" s="6">
        <f t="shared" si="46"/>
        <v>26.700000000000003</v>
      </c>
      <c r="P279" s="78">
        <v>1</v>
      </c>
      <c r="Q279" s="70">
        <v>0</v>
      </c>
      <c r="R279" s="78">
        <v>0</v>
      </c>
      <c r="S279" s="70">
        <v>0</v>
      </c>
      <c r="T279" s="70">
        <v>1</v>
      </c>
      <c r="U279" s="70">
        <v>0</v>
      </c>
      <c r="V279" s="70">
        <v>1</v>
      </c>
      <c r="W279" s="78">
        <v>0</v>
      </c>
      <c r="X279" s="70">
        <v>1</v>
      </c>
      <c r="Y279" s="69">
        <v>1990</v>
      </c>
      <c r="Z279" s="28" t="s">
        <v>45</v>
      </c>
      <c r="AA279" t="s">
        <v>45</v>
      </c>
      <c r="AB279" s="28">
        <v>0.44</v>
      </c>
      <c r="AC279">
        <f t="shared" si="47"/>
        <v>0.56000000000000005</v>
      </c>
      <c r="AD279" s="28">
        <v>1</v>
      </c>
      <c r="AE279">
        <v>0</v>
      </c>
      <c r="AF279">
        <v>1</v>
      </c>
      <c r="AG279">
        <v>0</v>
      </c>
      <c r="AH279" s="28" t="s">
        <v>45</v>
      </c>
      <c r="AI279" s="12" t="s">
        <v>45</v>
      </c>
      <c r="AJ279">
        <v>1</v>
      </c>
      <c r="AK279">
        <v>0</v>
      </c>
      <c r="AL279">
        <v>0</v>
      </c>
      <c r="AM279" s="28" t="s">
        <v>321</v>
      </c>
      <c r="AN279">
        <v>1</v>
      </c>
      <c r="AO279">
        <v>0</v>
      </c>
      <c r="AP279">
        <v>16476</v>
      </c>
      <c r="AQ279">
        <v>1012</v>
      </c>
      <c r="AR279">
        <v>0.95099999999999996</v>
      </c>
      <c r="AS279" s="64">
        <v>44</v>
      </c>
      <c r="AT279">
        <v>1</v>
      </c>
      <c r="AU279">
        <v>0</v>
      </c>
      <c r="AV279">
        <v>0</v>
      </c>
      <c r="AW279">
        <v>0</v>
      </c>
      <c r="AX279">
        <v>0</v>
      </c>
      <c r="AY279">
        <v>0</v>
      </c>
      <c r="AZ279" s="28">
        <v>0</v>
      </c>
      <c r="BA279">
        <v>0</v>
      </c>
      <c r="BB279">
        <v>0</v>
      </c>
      <c r="BC279" s="28">
        <v>1</v>
      </c>
      <c r="BD279">
        <v>1</v>
      </c>
      <c r="BE279">
        <v>0</v>
      </c>
      <c r="BF279">
        <v>0</v>
      </c>
      <c r="BG279">
        <v>1</v>
      </c>
      <c r="BH279">
        <v>0</v>
      </c>
      <c r="BI279">
        <v>0</v>
      </c>
      <c r="BJ279">
        <v>0</v>
      </c>
      <c r="BK279" s="16">
        <v>0</v>
      </c>
      <c r="BL279">
        <v>0.96399999999999997</v>
      </c>
      <c r="BM279">
        <v>85</v>
      </c>
      <c r="BN279">
        <v>1</v>
      </c>
      <c r="BO279">
        <v>0</v>
      </c>
      <c r="BP279">
        <v>10</v>
      </c>
      <c r="BQ279" t="s">
        <v>34</v>
      </c>
    </row>
    <row r="280" spans="1:69" x14ac:dyDescent="0.25">
      <c r="A280">
        <v>279</v>
      </c>
      <c r="B280">
        <v>16</v>
      </c>
      <c r="C280" t="s">
        <v>333</v>
      </c>
      <c r="D280" s="79">
        <v>5.2</v>
      </c>
      <c r="E280" s="6">
        <v>0.1</v>
      </c>
      <c r="F280" s="6">
        <f t="shared" si="45"/>
        <v>52</v>
      </c>
      <c r="G280" s="78">
        <v>0</v>
      </c>
      <c r="H280" s="70">
        <v>0</v>
      </c>
      <c r="I280" s="70">
        <v>1</v>
      </c>
      <c r="J280" s="78">
        <v>5218</v>
      </c>
      <c r="K280" s="70">
        <v>4</v>
      </c>
      <c r="L280" s="70">
        <f t="shared" si="43"/>
        <v>5213</v>
      </c>
      <c r="M280" s="60">
        <f t="shared" si="44"/>
        <v>20</v>
      </c>
      <c r="N280" s="6">
        <v>11.3</v>
      </c>
      <c r="O280" s="6">
        <f t="shared" si="46"/>
        <v>26.700000000000003</v>
      </c>
      <c r="P280" s="78">
        <v>1</v>
      </c>
      <c r="Q280" s="70">
        <v>0</v>
      </c>
      <c r="R280" s="78">
        <v>0</v>
      </c>
      <c r="S280" s="70">
        <v>0</v>
      </c>
      <c r="T280" s="70">
        <v>1</v>
      </c>
      <c r="U280" s="70">
        <v>0</v>
      </c>
      <c r="V280" s="70">
        <v>1</v>
      </c>
      <c r="W280" s="78">
        <v>0</v>
      </c>
      <c r="X280" s="70">
        <v>1</v>
      </c>
      <c r="Y280" s="69">
        <v>1990</v>
      </c>
      <c r="Z280" s="28" t="s">
        <v>45</v>
      </c>
      <c r="AA280" t="s">
        <v>45</v>
      </c>
      <c r="AB280" s="28">
        <v>0.44</v>
      </c>
      <c r="AC280">
        <f t="shared" si="47"/>
        <v>0.56000000000000005</v>
      </c>
      <c r="AD280" s="28">
        <v>1</v>
      </c>
      <c r="AE280">
        <v>0</v>
      </c>
      <c r="AF280">
        <v>1</v>
      </c>
      <c r="AG280">
        <v>0</v>
      </c>
      <c r="AH280" s="28" t="s">
        <v>45</v>
      </c>
      <c r="AI280" s="12" t="s">
        <v>45</v>
      </c>
      <c r="AJ280">
        <v>1</v>
      </c>
      <c r="AK280">
        <v>0</v>
      </c>
      <c r="AL280">
        <v>0</v>
      </c>
      <c r="AM280" s="28" t="s">
        <v>321</v>
      </c>
      <c r="AN280">
        <v>1</v>
      </c>
      <c r="AO280">
        <v>0</v>
      </c>
      <c r="AP280">
        <v>16476</v>
      </c>
      <c r="AQ280">
        <v>1012</v>
      </c>
      <c r="AR280">
        <v>0.95099999999999996</v>
      </c>
      <c r="AS280" s="64">
        <v>44</v>
      </c>
      <c r="AT280">
        <v>1</v>
      </c>
      <c r="AU280">
        <v>0</v>
      </c>
      <c r="AV280">
        <v>0</v>
      </c>
      <c r="AW280">
        <v>0</v>
      </c>
      <c r="AX280">
        <v>0</v>
      </c>
      <c r="AY280">
        <v>0</v>
      </c>
      <c r="AZ280" s="28">
        <v>0</v>
      </c>
      <c r="BA280">
        <v>0</v>
      </c>
      <c r="BB280">
        <v>0</v>
      </c>
      <c r="BC280" s="28">
        <v>1</v>
      </c>
      <c r="BD280">
        <v>1</v>
      </c>
      <c r="BE280">
        <v>0</v>
      </c>
      <c r="BF280">
        <v>0</v>
      </c>
      <c r="BG280">
        <v>1</v>
      </c>
      <c r="BH280">
        <v>0</v>
      </c>
      <c r="BI280">
        <v>0</v>
      </c>
      <c r="BJ280">
        <v>0</v>
      </c>
      <c r="BK280" s="16">
        <v>0</v>
      </c>
      <c r="BL280">
        <v>0.96399999999999997</v>
      </c>
      <c r="BM280">
        <v>85</v>
      </c>
      <c r="BN280">
        <v>1</v>
      </c>
      <c r="BO280">
        <v>0</v>
      </c>
      <c r="BP280">
        <v>10</v>
      </c>
      <c r="BQ280" t="s">
        <v>34</v>
      </c>
    </row>
    <row r="281" spans="1:69" x14ac:dyDescent="0.25">
      <c r="A281">
        <v>280</v>
      </c>
      <c r="B281">
        <v>16</v>
      </c>
      <c r="C281" t="s">
        <v>333</v>
      </c>
      <c r="D281" s="79">
        <v>5.2</v>
      </c>
      <c r="E281" s="6">
        <v>0.3</v>
      </c>
      <c r="F281" s="6">
        <f t="shared" si="45"/>
        <v>17.333333333333336</v>
      </c>
      <c r="G281" s="78">
        <v>0</v>
      </c>
      <c r="H281" s="70">
        <v>0</v>
      </c>
      <c r="I281" s="70">
        <v>1</v>
      </c>
      <c r="J281" s="78">
        <v>5218</v>
      </c>
      <c r="K281" s="70">
        <v>4</v>
      </c>
      <c r="L281" s="70">
        <f t="shared" si="43"/>
        <v>5213</v>
      </c>
      <c r="M281" s="60">
        <f t="shared" si="44"/>
        <v>20</v>
      </c>
      <c r="N281" s="6">
        <v>11.3</v>
      </c>
      <c r="O281" s="6">
        <f t="shared" si="46"/>
        <v>26.700000000000003</v>
      </c>
      <c r="P281" s="78">
        <v>1</v>
      </c>
      <c r="Q281" s="70">
        <v>0</v>
      </c>
      <c r="R281" s="78">
        <v>0</v>
      </c>
      <c r="S281" s="70">
        <v>0</v>
      </c>
      <c r="T281" s="70">
        <v>1</v>
      </c>
      <c r="U281" s="70">
        <v>0</v>
      </c>
      <c r="V281" s="70">
        <v>1</v>
      </c>
      <c r="W281" s="78">
        <v>0</v>
      </c>
      <c r="X281" s="70">
        <v>1</v>
      </c>
      <c r="Y281" s="69">
        <v>1990</v>
      </c>
      <c r="Z281" s="28" t="s">
        <v>45</v>
      </c>
      <c r="AA281" t="s">
        <v>45</v>
      </c>
      <c r="AB281" s="28">
        <v>0.44</v>
      </c>
      <c r="AC281">
        <f t="shared" si="47"/>
        <v>0.56000000000000005</v>
      </c>
      <c r="AD281" s="28">
        <v>1</v>
      </c>
      <c r="AE281">
        <v>0</v>
      </c>
      <c r="AF281">
        <v>1</v>
      </c>
      <c r="AG281">
        <v>0</v>
      </c>
      <c r="AH281" s="28" t="s">
        <v>45</v>
      </c>
      <c r="AI281" s="12" t="s">
        <v>45</v>
      </c>
      <c r="AJ281">
        <v>1</v>
      </c>
      <c r="AK281">
        <v>0</v>
      </c>
      <c r="AL281">
        <v>0</v>
      </c>
      <c r="AM281" s="28" t="s">
        <v>321</v>
      </c>
      <c r="AN281">
        <v>1</v>
      </c>
      <c r="AO281">
        <v>0</v>
      </c>
      <c r="AP281">
        <v>16476</v>
      </c>
      <c r="AQ281">
        <v>1012</v>
      </c>
      <c r="AR281">
        <v>0.95099999999999996</v>
      </c>
      <c r="AS281" s="64">
        <v>44</v>
      </c>
      <c r="AT281">
        <v>1</v>
      </c>
      <c r="AU281">
        <v>0</v>
      </c>
      <c r="AV281">
        <v>0</v>
      </c>
      <c r="AW281">
        <v>0</v>
      </c>
      <c r="AX281">
        <v>0</v>
      </c>
      <c r="AY281">
        <v>0</v>
      </c>
      <c r="AZ281" s="28">
        <v>0</v>
      </c>
      <c r="BA281">
        <v>0</v>
      </c>
      <c r="BB281">
        <v>0</v>
      </c>
      <c r="BC281" s="28">
        <v>1</v>
      </c>
      <c r="BD281">
        <v>1</v>
      </c>
      <c r="BE281">
        <v>0</v>
      </c>
      <c r="BF281">
        <v>0</v>
      </c>
      <c r="BG281">
        <v>1</v>
      </c>
      <c r="BH281">
        <v>0</v>
      </c>
      <c r="BI281">
        <v>0</v>
      </c>
      <c r="BJ281">
        <v>0</v>
      </c>
      <c r="BK281" s="16">
        <v>0</v>
      </c>
      <c r="BL281">
        <v>0.96399999999999997</v>
      </c>
      <c r="BM281">
        <v>85</v>
      </c>
      <c r="BN281">
        <v>1</v>
      </c>
      <c r="BO281">
        <v>0</v>
      </c>
      <c r="BP281">
        <v>10</v>
      </c>
      <c r="BQ281" t="s">
        <v>34</v>
      </c>
    </row>
    <row r="282" spans="1:69" x14ac:dyDescent="0.25">
      <c r="A282">
        <v>281</v>
      </c>
      <c r="B282">
        <v>16</v>
      </c>
      <c r="C282" t="s">
        <v>333</v>
      </c>
      <c r="D282" s="79">
        <v>6</v>
      </c>
      <c r="E282" s="6">
        <v>0.1</v>
      </c>
      <c r="F282" s="6">
        <f t="shared" si="45"/>
        <v>60</v>
      </c>
      <c r="G282" s="78">
        <v>0</v>
      </c>
      <c r="H282" s="70">
        <v>0</v>
      </c>
      <c r="I282" s="70">
        <v>1</v>
      </c>
      <c r="J282" s="78">
        <v>5218</v>
      </c>
      <c r="K282" s="70">
        <v>4</v>
      </c>
      <c r="L282" s="70">
        <f t="shared" si="43"/>
        <v>5213</v>
      </c>
      <c r="M282" s="60">
        <f t="shared" si="44"/>
        <v>20</v>
      </c>
      <c r="N282" s="6">
        <v>11.3</v>
      </c>
      <c r="O282" s="6">
        <f t="shared" si="46"/>
        <v>26.700000000000003</v>
      </c>
      <c r="P282" s="78">
        <v>1</v>
      </c>
      <c r="Q282" s="70">
        <v>0</v>
      </c>
      <c r="R282" s="78">
        <v>0</v>
      </c>
      <c r="S282" s="70">
        <v>0</v>
      </c>
      <c r="T282" s="70">
        <v>1</v>
      </c>
      <c r="U282" s="70">
        <v>0</v>
      </c>
      <c r="V282" s="70">
        <v>1</v>
      </c>
      <c r="W282" s="78">
        <v>0</v>
      </c>
      <c r="X282" s="70">
        <v>1</v>
      </c>
      <c r="Y282" s="69">
        <v>1990</v>
      </c>
      <c r="Z282" s="28" t="s">
        <v>45</v>
      </c>
      <c r="AA282" t="s">
        <v>45</v>
      </c>
      <c r="AB282" s="28">
        <v>0.44</v>
      </c>
      <c r="AC282">
        <f t="shared" si="47"/>
        <v>0.56000000000000005</v>
      </c>
      <c r="AD282" s="28">
        <v>1</v>
      </c>
      <c r="AE282">
        <v>0</v>
      </c>
      <c r="AF282">
        <v>1</v>
      </c>
      <c r="AG282">
        <v>0</v>
      </c>
      <c r="AH282" s="28" t="s">
        <v>45</v>
      </c>
      <c r="AI282" s="12" t="s">
        <v>45</v>
      </c>
      <c r="AJ282">
        <v>1</v>
      </c>
      <c r="AK282">
        <v>0</v>
      </c>
      <c r="AL282">
        <v>0</v>
      </c>
      <c r="AM282" s="28" t="s">
        <v>321</v>
      </c>
      <c r="AN282">
        <v>1</v>
      </c>
      <c r="AO282">
        <v>0</v>
      </c>
      <c r="AP282">
        <v>16476</v>
      </c>
      <c r="AQ282">
        <v>1012</v>
      </c>
      <c r="AR282">
        <v>0.95099999999999996</v>
      </c>
      <c r="AS282" s="64">
        <v>44</v>
      </c>
      <c r="AT282">
        <v>1</v>
      </c>
      <c r="AU282">
        <v>0</v>
      </c>
      <c r="AV282">
        <v>0</v>
      </c>
      <c r="AW282">
        <v>0</v>
      </c>
      <c r="AX282">
        <v>0</v>
      </c>
      <c r="AY282">
        <v>0</v>
      </c>
      <c r="AZ282" s="28">
        <v>0</v>
      </c>
      <c r="BA282">
        <v>0</v>
      </c>
      <c r="BB282">
        <v>0</v>
      </c>
      <c r="BC282" s="28">
        <v>1</v>
      </c>
      <c r="BD282">
        <v>1</v>
      </c>
      <c r="BE282">
        <v>0</v>
      </c>
      <c r="BF282">
        <v>0</v>
      </c>
      <c r="BG282">
        <v>1</v>
      </c>
      <c r="BH282">
        <v>0</v>
      </c>
      <c r="BI282">
        <v>0</v>
      </c>
      <c r="BJ282">
        <v>0</v>
      </c>
      <c r="BK282" s="16">
        <v>0</v>
      </c>
      <c r="BL282">
        <v>0.96399999999999997</v>
      </c>
      <c r="BM282">
        <v>85</v>
      </c>
      <c r="BN282">
        <v>1</v>
      </c>
      <c r="BO282">
        <v>0</v>
      </c>
      <c r="BP282">
        <v>10</v>
      </c>
      <c r="BQ282" t="s">
        <v>34</v>
      </c>
    </row>
    <row r="283" spans="1:69" x14ac:dyDescent="0.25">
      <c r="A283">
        <v>282</v>
      </c>
      <c r="B283">
        <v>16</v>
      </c>
      <c r="C283" t="s">
        <v>333</v>
      </c>
      <c r="D283" s="79">
        <v>2</v>
      </c>
      <c r="E283" s="6">
        <v>0.3</v>
      </c>
      <c r="F283" s="6">
        <f t="shared" si="45"/>
        <v>6.666666666666667</v>
      </c>
      <c r="G283" s="78">
        <v>0</v>
      </c>
      <c r="H283" s="70">
        <v>0</v>
      </c>
      <c r="I283" s="70">
        <v>1</v>
      </c>
      <c r="J283" s="78">
        <v>2609</v>
      </c>
      <c r="K283" s="70">
        <v>4</v>
      </c>
      <c r="L283" s="70">
        <f t="shared" si="43"/>
        <v>2604</v>
      </c>
      <c r="M283" s="60">
        <f t="shared" si="44"/>
        <v>20</v>
      </c>
      <c r="N283" s="6">
        <v>11.3</v>
      </c>
      <c r="O283" s="6">
        <f t="shared" si="46"/>
        <v>26.700000000000003</v>
      </c>
      <c r="P283" s="78">
        <v>1</v>
      </c>
      <c r="Q283" s="70">
        <v>0</v>
      </c>
      <c r="R283" s="78">
        <v>0</v>
      </c>
      <c r="S283" s="70">
        <v>0</v>
      </c>
      <c r="T283" s="70">
        <v>1</v>
      </c>
      <c r="U283" s="70">
        <v>0</v>
      </c>
      <c r="V283" s="70">
        <v>1</v>
      </c>
      <c r="W283" s="78">
        <v>0</v>
      </c>
      <c r="X283" s="70">
        <v>1</v>
      </c>
      <c r="Y283" s="69">
        <v>1990</v>
      </c>
      <c r="Z283" s="28" t="s">
        <v>45</v>
      </c>
      <c r="AA283" t="s">
        <v>45</v>
      </c>
      <c r="AB283" s="28">
        <v>0.44</v>
      </c>
      <c r="AC283">
        <f t="shared" si="47"/>
        <v>0.56000000000000005</v>
      </c>
      <c r="AD283" s="28">
        <v>1</v>
      </c>
      <c r="AE283">
        <v>0</v>
      </c>
      <c r="AF283">
        <v>1</v>
      </c>
      <c r="AG283">
        <v>0</v>
      </c>
      <c r="AH283" s="28" t="s">
        <v>45</v>
      </c>
      <c r="AI283" s="12" t="s">
        <v>45</v>
      </c>
      <c r="AJ283">
        <v>1</v>
      </c>
      <c r="AK283">
        <v>0</v>
      </c>
      <c r="AL283">
        <v>0</v>
      </c>
      <c r="AM283" s="28" t="s">
        <v>321</v>
      </c>
      <c r="AN283">
        <v>1</v>
      </c>
      <c r="AO283">
        <v>0</v>
      </c>
      <c r="AP283">
        <v>16476</v>
      </c>
      <c r="AQ283">
        <v>1012</v>
      </c>
      <c r="AR283">
        <v>0.95099999999999996</v>
      </c>
      <c r="AS283" s="64">
        <v>44</v>
      </c>
      <c r="AT283">
        <v>0</v>
      </c>
      <c r="AU283">
        <v>0</v>
      </c>
      <c r="AV283">
        <v>1</v>
      </c>
      <c r="AW283">
        <v>0</v>
      </c>
      <c r="AX283">
        <v>0</v>
      </c>
      <c r="AY283">
        <v>0</v>
      </c>
      <c r="AZ283" s="28">
        <v>0</v>
      </c>
      <c r="BA283">
        <v>0</v>
      </c>
      <c r="BB283">
        <v>0</v>
      </c>
      <c r="BC283" s="28">
        <v>1</v>
      </c>
      <c r="BD283">
        <v>1</v>
      </c>
      <c r="BE283">
        <v>0</v>
      </c>
      <c r="BF283">
        <v>0</v>
      </c>
      <c r="BG283">
        <v>1</v>
      </c>
      <c r="BH283">
        <v>0</v>
      </c>
      <c r="BI283">
        <v>0</v>
      </c>
      <c r="BJ283">
        <v>0</v>
      </c>
      <c r="BK283" s="16">
        <v>0</v>
      </c>
      <c r="BL283">
        <v>0.96399999999999997</v>
      </c>
      <c r="BM283">
        <v>85</v>
      </c>
      <c r="BN283">
        <v>1</v>
      </c>
      <c r="BO283">
        <v>0</v>
      </c>
      <c r="BP283">
        <v>10</v>
      </c>
      <c r="BQ283" t="s">
        <v>34</v>
      </c>
    </row>
    <row r="284" spans="1:69" x14ac:dyDescent="0.25">
      <c r="A284">
        <v>283</v>
      </c>
      <c r="B284">
        <v>16</v>
      </c>
      <c r="C284" t="s">
        <v>333</v>
      </c>
      <c r="D284" s="79">
        <v>2</v>
      </c>
      <c r="E284" s="6">
        <v>0.3</v>
      </c>
      <c r="F284" s="6">
        <f t="shared" si="45"/>
        <v>6.666666666666667</v>
      </c>
      <c r="G284" s="78">
        <v>0</v>
      </c>
      <c r="H284" s="70">
        <v>0</v>
      </c>
      <c r="I284" s="70">
        <v>1</v>
      </c>
      <c r="J284" s="78">
        <v>2609</v>
      </c>
      <c r="K284" s="70">
        <v>4</v>
      </c>
      <c r="L284" s="70">
        <f t="shared" si="43"/>
        <v>2604</v>
      </c>
      <c r="M284" s="60">
        <f t="shared" si="44"/>
        <v>20</v>
      </c>
      <c r="N284" s="6">
        <v>11.3</v>
      </c>
      <c r="O284" s="6">
        <f t="shared" si="46"/>
        <v>26.700000000000003</v>
      </c>
      <c r="P284" s="78">
        <v>1</v>
      </c>
      <c r="Q284" s="70">
        <v>0</v>
      </c>
      <c r="R284" s="78">
        <v>0</v>
      </c>
      <c r="S284" s="70">
        <v>0</v>
      </c>
      <c r="T284" s="70">
        <v>1</v>
      </c>
      <c r="U284" s="70">
        <v>0</v>
      </c>
      <c r="V284" s="70">
        <v>1</v>
      </c>
      <c r="W284" s="78">
        <v>0</v>
      </c>
      <c r="X284" s="70">
        <v>1</v>
      </c>
      <c r="Y284" s="69">
        <v>1990</v>
      </c>
      <c r="Z284" s="28" t="s">
        <v>45</v>
      </c>
      <c r="AA284" t="s">
        <v>45</v>
      </c>
      <c r="AB284" s="28">
        <v>0.44</v>
      </c>
      <c r="AC284">
        <f t="shared" si="47"/>
        <v>0.56000000000000005</v>
      </c>
      <c r="AD284" s="28">
        <v>1</v>
      </c>
      <c r="AE284">
        <v>0</v>
      </c>
      <c r="AF284">
        <v>1</v>
      </c>
      <c r="AG284">
        <v>0</v>
      </c>
      <c r="AH284" s="28" t="s">
        <v>45</v>
      </c>
      <c r="AI284" s="12" t="s">
        <v>45</v>
      </c>
      <c r="AJ284">
        <v>1</v>
      </c>
      <c r="AK284">
        <v>0</v>
      </c>
      <c r="AL284">
        <v>0</v>
      </c>
      <c r="AM284" s="28" t="s">
        <v>321</v>
      </c>
      <c r="AN284">
        <v>1</v>
      </c>
      <c r="AO284">
        <v>0</v>
      </c>
      <c r="AP284">
        <v>16476</v>
      </c>
      <c r="AQ284">
        <v>1012</v>
      </c>
      <c r="AR284">
        <v>0.95099999999999996</v>
      </c>
      <c r="AS284" s="64">
        <v>44</v>
      </c>
      <c r="AT284">
        <v>0</v>
      </c>
      <c r="AU284">
        <v>0</v>
      </c>
      <c r="AV284">
        <v>1</v>
      </c>
      <c r="AW284">
        <v>0</v>
      </c>
      <c r="AX284">
        <v>0</v>
      </c>
      <c r="AY284">
        <v>0</v>
      </c>
      <c r="AZ284" s="28">
        <v>0</v>
      </c>
      <c r="BA284">
        <v>0</v>
      </c>
      <c r="BB284">
        <v>0</v>
      </c>
      <c r="BC284" s="28">
        <v>1</v>
      </c>
      <c r="BD284">
        <v>1</v>
      </c>
      <c r="BE284">
        <v>0</v>
      </c>
      <c r="BF284">
        <v>0</v>
      </c>
      <c r="BG284">
        <v>1</v>
      </c>
      <c r="BH284">
        <v>0</v>
      </c>
      <c r="BI284">
        <v>0</v>
      </c>
      <c r="BJ284">
        <v>0</v>
      </c>
      <c r="BK284" s="16">
        <v>0</v>
      </c>
      <c r="BL284">
        <v>0.96399999999999997</v>
      </c>
      <c r="BM284">
        <v>85</v>
      </c>
      <c r="BN284">
        <v>1</v>
      </c>
      <c r="BO284">
        <v>0</v>
      </c>
      <c r="BP284">
        <v>10</v>
      </c>
      <c r="BQ284" t="s">
        <v>34</v>
      </c>
    </row>
    <row r="285" spans="1:69" x14ac:dyDescent="0.25">
      <c r="A285">
        <v>284</v>
      </c>
      <c r="B285">
        <v>16</v>
      </c>
      <c r="C285" t="s">
        <v>333</v>
      </c>
      <c r="D285" s="79">
        <v>3.1</v>
      </c>
      <c r="E285" s="6">
        <v>0.5</v>
      </c>
      <c r="F285" s="6">
        <f t="shared" si="45"/>
        <v>6.2</v>
      </c>
      <c r="G285" s="78">
        <v>0</v>
      </c>
      <c r="H285" s="70">
        <v>0</v>
      </c>
      <c r="I285" s="70">
        <v>1</v>
      </c>
      <c r="J285" s="78">
        <v>2609</v>
      </c>
      <c r="K285" s="70">
        <v>4</v>
      </c>
      <c r="L285" s="70">
        <f t="shared" si="43"/>
        <v>2604</v>
      </c>
      <c r="M285" s="60">
        <f t="shared" si="44"/>
        <v>20</v>
      </c>
      <c r="N285" s="6">
        <v>11.3</v>
      </c>
      <c r="O285" s="6">
        <f t="shared" si="46"/>
        <v>26.700000000000003</v>
      </c>
      <c r="P285" s="78">
        <v>1</v>
      </c>
      <c r="Q285" s="70">
        <v>0</v>
      </c>
      <c r="R285" s="78">
        <v>0</v>
      </c>
      <c r="S285" s="70">
        <v>0</v>
      </c>
      <c r="T285" s="70">
        <v>1</v>
      </c>
      <c r="U285" s="70">
        <v>0</v>
      </c>
      <c r="V285" s="70">
        <v>1</v>
      </c>
      <c r="W285" s="78">
        <v>0</v>
      </c>
      <c r="X285" s="70">
        <v>1</v>
      </c>
      <c r="Y285" s="69">
        <v>1990</v>
      </c>
      <c r="Z285" s="28" t="s">
        <v>45</v>
      </c>
      <c r="AA285" t="s">
        <v>45</v>
      </c>
      <c r="AB285" s="28">
        <v>0.44</v>
      </c>
      <c r="AC285">
        <f t="shared" si="47"/>
        <v>0.56000000000000005</v>
      </c>
      <c r="AD285" s="28">
        <v>1</v>
      </c>
      <c r="AE285">
        <v>0</v>
      </c>
      <c r="AF285">
        <v>1</v>
      </c>
      <c r="AG285">
        <v>0</v>
      </c>
      <c r="AH285" s="28" t="s">
        <v>45</v>
      </c>
      <c r="AI285" s="12" t="s">
        <v>45</v>
      </c>
      <c r="AJ285">
        <v>1</v>
      </c>
      <c r="AK285">
        <v>0</v>
      </c>
      <c r="AL285">
        <v>0</v>
      </c>
      <c r="AM285" s="28" t="s">
        <v>321</v>
      </c>
      <c r="AN285">
        <v>1</v>
      </c>
      <c r="AO285">
        <v>0</v>
      </c>
      <c r="AP285">
        <v>16476</v>
      </c>
      <c r="AQ285">
        <v>1012</v>
      </c>
      <c r="AR285">
        <v>0.95099999999999996</v>
      </c>
      <c r="AS285" s="64">
        <v>44</v>
      </c>
      <c r="AT285">
        <v>0</v>
      </c>
      <c r="AU285">
        <v>0</v>
      </c>
      <c r="AV285">
        <v>1</v>
      </c>
      <c r="AW285">
        <v>0</v>
      </c>
      <c r="AX285">
        <v>0</v>
      </c>
      <c r="AY285">
        <v>0</v>
      </c>
      <c r="AZ285" s="28">
        <v>0</v>
      </c>
      <c r="BA285">
        <v>0</v>
      </c>
      <c r="BB285">
        <v>0</v>
      </c>
      <c r="BC285" s="28">
        <v>1</v>
      </c>
      <c r="BD285">
        <v>1</v>
      </c>
      <c r="BE285">
        <v>0</v>
      </c>
      <c r="BF285">
        <v>0</v>
      </c>
      <c r="BG285">
        <v>1</v>
      </c>
      <c r="BH285">
        <v>0</v>
      </c>
      <c r="BI285">
        <v>0</v>
      </c>
      <c r="BJ285">
        <v>0</v>
      </c>
      <c r="BK285" s="16">
        <v>0</v>
      </c>
      <c r="BL285">
        <v>0.96399999999999997</v>
      </c>
      <c r="BM285">
        <v>85</v>
      </c>
      <c r="BN285">
        <v>1</v>
      </c>
      <c r="BO285">
        <v>0</v>
      </c>
      <c r="BP285">
        <v>10</v>
      </c>
      <c r="BQ285" t="s">
        <v>34</v>
      </c>
    </row>
    <row r="286" spans="1:69" x14ac:dyDescent="0.25">
      <c r="A286">
        <v>285</v>
      </c>
      <c r="B286">
        <v>16</v>
      </c>
      <c r="C286" t="s">
        <v>333</v>
      </c>
      <c r="D286" s="79">
        <v>4</v>
      </c>
      <c r="E286" s="6">
        <v>0.5</v>
      </c>
      <c r="F286" s="6">
        <f t="shared" si="45"/>
        <v>8</v>
      </c>
      <c r="G286" s="78">
        <v>0</v>
      </c>
      <c r="H286" s="70">
        <v>0</v>
      </c>
      <c r="I286" s="70">
        <v>1</v>
      </c>
      <c r="J286" s="78">
        <v>2609</v>
      </c>
      <c r="K286" s="70">
        <v>4</v>
      </c>
      <c r="L286" s="70">
        <f t="shared" si="43"/>
        <v>2604</v>
      </c>
      <c r="M286" s="60">
        <f t="shared" si="44"/>
        <v>20</v>
      </c>
      <c r="N286" s="6">
        <v>11.3</v>
      </c>
      <c r="O286" s="6">
        <f t="shared" si="46"/>
        <v>26.700000000000003</v>
      </c>
      <c r="P286" s="78">
        <v>1</v>
      </c>
      <c r="Q286" s="70">
        <v>0</v>
      </c>
      <c r="R286" s="78">
        <v>0</v>
      </c>
      <c r="S286" s="70">
        <v>0</v>
      </c>
      <c r="T286" s="70">
        <v>1</v>
      </c>
      <c r="U286" s="70">
        <v>0</v>
      </c>
      <c r="V286" s="70">
        <v>1</v>
      </c>
      <c r="W286" s="78">
        <v>0</v>
      </c>
      <c r="X286" s="70">
        <v>1</v>
      </c>
      <c r="Y286" s="69">
        <v>1990</v>
      </c>
      <c r="Z286" s="28" t="s">
        <v>45</v>
      </c>
      <c r="AA286" t="s">
        <v>45</v>
      </c>
      <c r="AB286" s="28">
        <v>0.44</v>
      </c>
      <c r="AC286">
        <f t="shared" si="47"/>
        <v>0.56000000000000005</v>
      </c>
      <c r="AD286" s="28">
        <v>1</v>
      </c>
      <c r="AE286">
        <v>0</v>
      </c>
      <c r="AF286">
        <v>1</v>
      </c>
      <c r="AG286">
        <v>0</v>
      </c>
      <c r="AH286" s="28" t="s">
        <v>45</v>
      </c>
      <c r="AI286" s="12" t="s">
        <v>45</v>
      </c>
      <c r="AJ286">
        <v>1</v>
      </c>
      <c r="AK286">
        <v>0</v>
      </c>
      <c r="AL286">
        <v>0</v>
      </c>
      <c r="AM286" s="28" t="s">
        <v>321</v>
      </c>
      <c r="AN286">
        <v>1</v>
      </c>
      <c r="AO286">
        <v>0</v>
      </c>
      <c r="AP286">
        <v>16476</v>
      </c>
      <c r="AQ286">
        <v>1012</v>
      </c>
      <c r="AR286">
        <v>0.95099999999999996</v>
      </c>
      <c r="AS286" s="64">
        <v>44</v>
      </c>
      <c r="AT286">
        <v>0</v>
      </c>
      <c r="AU286">
        <v>0</v>
      </c>
      <c r="AV286">
        <v>1</v>
      </c>
      <c r="AW286">
        <v>0</v>
      </c>
      <c r="AX286">
        <v>0</v>
      </c>
      <c r="AY286">
        <v>0</v>
      </c>
      <c r="AZ286" s="28">
        <v>0</v>
      </c>
      <c r="BA286">
        <v>0</v>
      </c>
      <c r="BB286">
        <v>0</v>
      </c>
      <c r="BC286" s="28">
        <v>1</v>
      </c>
      <c r="BD286">
        <v>1</v>
      </c>
      <c r="BE286">
        <v>0</v>
      </c>
      <c r="BF286">
        <v>0</v>
      </c>
      <c r="BG286">
        <v>1</v>
      </c>
      <c r="BH286">
        <v>0</v>
      </c>
      <c r="BI286">
        <v>0</v>
      </c>
      <c r="BJ286">
        <v>0</v>
      </c>
      <c r="BK286" s="16">
        <v>0</v>
      </c>
      <c r="BL286">
        <v>0.96399999999999997</v>
      </c>
      <c r="BM286">
        <v>85</v>
      </c>
      <c r="BN286">
        <v>1</v>
      </c>
      <c r="BO286">
        <v>0</v>
      </c>
      <c r="BP286">
        <v>10</v>
      </c>
      <c r="BQ286" t="s">
        <v>34</v>
      </c>
    </row>
    <row r="287" spans="1:69" x14ac:dyDescent="0.25">
      <c r="A287">
        <v>286</v>
      </c>
      <c r="B287">
        <v>16</v>
      </c>
      <c r="C287" t="s">
        <v>333</v>
      </c>
      <c r="D287" s="79">
        <v>5.4</v>
      </c>
      <c r="E287" s="6">
        <v>0.2</v>
      </c>
      <c r="F287" s="6">
        <f t="shared" si="45"/>
        <v>27</v>
      </c>
      <c r="G287" s="78">
        <v>0</v>
      </c>
      <c r="H287" s="70">
        <v>0</v>
      </c>
      <c r="I287" s="70">
        <v>1</v>
      </c>
      <c r="J287" s="78">
        <v>7202</v>
      </c>
      <c r="K287" s="70">
        <v>4</v>
      </c>
      <c r="L287" s="70">
        <f t="shared" si="43"/>
        <v>7197</v>
      </c>
      <c r="M287" s="60">
        <f t="shared" si="44"/>
        <v>20</v>
      </c>
      <c r="N287" s="6">
        <v>11.3</v>
      </c>
      <c r="O287" s="6">
        <f t="shared" si="46"/>
        <v>26.400000000000006</v>
      </c>
      <c r="P287" s="78">
        <v>1</v>
      </c>
      <c r="Q287" s="70">
        <v>0</v>
      </c>
      <c r="R287" s="78">
        <v>0</v>
      </c>
      <c r="S287" s="70">
        <v>0</v>
      </c>
      <c r="T287" s="70">
        <v>1</v>
      </c>
      <c r="U287" s="70">
        <v>0</v>
      </c>
      <c r="V287" s="70">
        <v>1</v>
      </c>
      <c r="W287" s="78">
        <v>0</v>
      </c>
      <c r="X287" s="70">
        <v>1</v>
      </c>
      <c r="Y287" s="69">
        <v>1990</v>
      </c>
      <c r="Z287" s="28" t="s">
        <v>45</v>
      </c>
      <c r="AA287" t="s">
        <v>45</v>
      </c>
      <c r="AB287" s="28">
        <v>0.437</v>
      </c>
      <c r="AC287">
        <f t="shared" si="47"/>
        <v>0.56299999999999994</v>
      </c>
      <c r="AD287" s="28">
        <v>1</v>
      </c>
      <c r="AE287">
        <v>0</v>
      </c>
      <c r="AF287">
        <v>1</v>
      </c>
      <c r="AG287">
        <v>0</v>
      </c>
      <c r="AH287" s="28" t="s">
        <v>45</v>
      </c>
      <c r="AI287" s="12" t="s">
        <v>45</v>
      </c>
      <c r="AJ287">
        <v>0</v>
      </c>
      <c r="AK287">
        <v>1</v>
      </c>
      <c r="AL287">
        <v>0</v>
      </c>
      <c r="AM287" s="28" t="s">
        <v>321</v>
      </c>
      <c r="AN287">
        <v>1</v>
      </c>
      <c r="AO287">
        <v>0</v>
      </c>
      <c r="AP287">
        <v>16476</v>
      </c>
      <c r="AQ287">
        <v>1012</v>
      </c>
      <c r="AR287">
        <v>0.95099999999999996</v>
      </c>
      <c r="AS287" s="64">
        <v>43.7</v>
      </c>
      <c r="AT287">
        <v>1</v>
      </c>
      <c r="AU287">
        <v>0</v>
      </c>
      <c r="AV287">
        <v>0</v>
      </c>
      <c r="AW287">
        <v>0</v>
      </c>
      <c r="AX287">
        <v>0</v>
      </c>
      <c r="AY287">
        <v>0</v>
      </c>
      <c r="AZ287" s="28">
        <v>0</v>
      </c>
      <c r="BA287">
        <v>0</v>
      </c>
      <c r="BB287">
        <v>0</v>
      </c>
      <c r="BC287" s="28">
        <v>1</v>
      </c>
      <c r="BD287">
        <v>1</v>
      </c>
      <c r="BE287">
        <v>0</v>
      </c>
      <c r="BF287">
        <v>0</v>
      </c>
      <c r="BG287">
        <v>1</v>
      </c>
      <c r="BH287">
        <v>0</v>
      </c>
      <c r="BI287">
        <v>0</v>
      </c>
      <c r="BJ287">
        <v>0</v>
      </c>
      <c r="BK287" s="16">
        <v>0</v>
      </c>
      <c r="BL287">
        <v>0.96399999999999997</v>
      </c>
      <c r="BM287">
        <v>85</v>
      </c>
      <c r="BN287">
        <v>1</v>
      </c>
      <c r="BO287">
        <v>0</v>
      </c>
      <c r="BP287">
        <v>10</v>
      </c>
      <c r="BQ287" t="s">
        <v>34</v>
      </c>
    </row>
    <row r="288" spans="1:69" x14ac:dyDescent="0.25">
      <c r="A288">
        <v>287</v>
      </c>
      <c r="B288">
        <v>16</v>
      </c>
      <c r="C288" t="s">
        <v>333</v>
      </c>
      <c r="D288" s="79">
        <v>5.4</v>
      </c>
      <c r="E288" s="6">
        <v>0.1</v>
      </c>
      <c r="F288" s="6">
        <f t="shared" si="45"/>
        <v>54</v>
      </c>
      <c r="G288" s="78">
        <v>0</v>
      </c>
      <c r="H288" s="70">
        <v>0</v>
      </c>
      <c r="I288" s="70">
        <v>1</v>
      </c>
      <c r="J288" s="78">
        <v>7202</v>
      </c>
      <c r="K288" s="70">
        <v>4</v>
      </c>
      <c r="L288" s="70">
        <f t="shared" si="43"/>
        <v>7197</v>
      </c>
      <c r="M288" s="60">
        <f t="shared" si="44"/>
        <v>20</v>
      </c>
      <c r="N288" s="6">
        <v>11.3</v>
      </c>
      <c r="O288" s="6">
        <f t="shared" si="46"/>
        <v>26.400000000000006</v>
      </c>
      <c r="P288" s="78">
        <v>1</v>
      </c>
      <c r="Q288" s="70">
        <v>0</v>
      </c>
      <c r="R288" s="78">
        <v>0</v>
      </c>
      <c r="S288" s="70">
        <v>0</v>
      </c>
      <c r="T288" s="70">
        <v>1</v>
      </c>
      <c r="U288" s="70">
        <v>0</v>
      </c>
      <c r="V288" s="70">
        <v>1</v>
      </c>
      <c r="W288" s="78">
        <v>0</v>
      </c>
      <c r="X288" s="70">
        <v>1</v>
      </c>
      <c r="Y288" s="69">
        <v>1990</v>
      </c>
      <c r="Z288" s="28" t="s">
        <v>45</v>
      </c>
      <c r="AA288" t="s">
        <v>45</v>
      </c>
      <c r="AB288" s="28">
        <v>0.437</v>
      </c>
      <c r="AC288">
        <f t="shared" si="47"/>
        <v>0.56299999999999994</v>
      </c>
      <c r="AD288" s="28">
        <v>1</v>
      </c>
      <c r="AE288">
        <v>0</v>
      </c>
      <c r="AF288">
        <v>1</v>
      </c>
      <c r="AG288">
        <v>0</v>
      </c>
      <c r="AH288" s="28" t="s">
        <v>45</v>
      </c>
      <c r="AI288" s="12" t="s">
        <v>45</v>
      </c>
      <c r="AJ288">
        <v>0</v>
      </c>
      <c r="AK288">
        <v>1</v>
      </c>
      <c r="AL288">
        <v>0</v>
      </c>
      <c r="AM288" s="28" t="s">
        <v>321</v>
      </c>
      <c r="AN288">
        <v>1</v>
      </c>
      <c r="AO288">
        <v>0</v>
      </c>
      <c r="AP288">
        <v>16476</v>
      </c>
      <c r="AQ288">
        <v>1012</v>
      </c>
      <c r="AR288">
        <v>0.95099999999999996</v>
      </c>
      <c r="AS288" s="64">
        <v>43.7</v>
      </c>
      <c r="AT288">
        <v>1</v>
      </c>
      <c r="AU288">
        <v>0</v>
      </c>
      <c r="AV288">
        <v>0</v>
      </c>
      <c r="AW288">
        <v>0</v>
      </c>
      <c r="AX288">
        <v>0</v>
      </c>
      <c r="AY288">
        <v>0</v>
      </c>
      <c r="AZ288" s="28">
        <v>0</v>
      </c>
      <c r="BA288">
        <v>0</v>
      </c>
      <c r="BB288">
        <v>0</v>
      </c>
      <c r="BC288" s="28">
        <v>1</v>
      </c>
      <c r="BD288">
        <v>1</v>
      </c>
      <c r="BE288">
        <v>0</v>
      </c>
      <c r="BF288">
        <v>0</v>
      </c>
      <c r="BG288">
        <v>1</v>
      </c>
      <c r="BH288">
        <v>0</v>
      </c>
      <c r="BI288">
        <v>0</v>
      </c>
      <c r="BJ288">
        <v>0</v>
      </c>
      <c r="BK288" s="16">
        <v>0</v>
      </c>
      <c r="BL288">
        <v>0.96399999999999997</v>
      </c>
      <c r="BM288">
        <v>85</v>
      </c>
      <c r="BN288">
        <v>1</v>
      </c>
      <c r="BO288">
        <v>0</v>
      </c>
      <c r="BP288">
        <v>10</v>
      </c>
      <c r="BQ288" t="s">
        <v>34</v>
      </c>
    </row>
    <row r="289" spans="1:69" x14ac:dyDescent="0.25">
      <c r="A289">
        <v>288</v>
      </c>
      <c r="B289">
        <v>16</v>
      </c>
      <c r="C289" t="s">
        <v>333</v>
      </c>
      <c r="D289" s="79">
        <v>5.4</v>
      </c>
      <c r="E289" s="6">
        <v>0.3</v>
      </c>
      <c r="F289" s="6">
        <f t="shared" si="45"/>
        <v>18.000000000000004</v>
      </c>
      <c r="G289" s="78">
        <v>0</v>
      </c>
      <c r="H289" s="70">
        <v>0</v>
      </c>
      <c r="I289" s="70">
        <v>1</v>
      </c>
      <c r="J289" s="78">
        <v>7202</v>
      </c>
      <c r="K289" s="70">
        <v>4</v>
      </c>
      <c r="L289" s="70">
        <f t="shared" si="43"/>
        <v>7197</v>
      </c>
      <c r="M289" s="60">
        <f t="shared" si="44"/>
        <v>20</v>
      </c>
      <c r="N289" s="6">
        <v>11.3</v>
      </c>
      <c r="O289" s="6">
        <f t="shared" si="46"/>
        <v>26.400000000000006</v>
      </c>
      <c r="P289" s="78">
        <v>1</v>
      </c>
      <c r="Q289" s="70">
        <v>0</v>
      </c>
      <c r="R289" s="78">
        <v>0</v>
      </c>
      <c r="S289" s="70">
        <v>0</v>
      </c>
      <c r="T289" s="70">
        <v>1</v>
      </c>
      <c r="U289" s="70">
        <v>0</v>
      </c>
      <c r="V289" s="70">
        <v>1</v>
      </c>
      <c r="W289" s="78">
        <v>0</v>
      </c>
      <c r="X289" s="70">
        <v>1</v>
      </c>
      <c r="Y289" s="69">
        <v>1990</v>
      </c>
      <c r="Z289" s="28" t="s">
        <v>45</v>
      </c>
      <c r="AA289" t="s">
        <v>45</v>
      </c>
      <c r="AB289" s="28">
        <v>0.437</v>
      </c>
      <c r="AC289">
        <f t="shared" si="47"/>
        <v>0.56299999999999994</v>
      </c>
      <c r="AD289" s="28">
        <v>1</v>
      </c>
      <c r="AE289">
        <v>0</v>
      </c>
      <c r="AF289">
        <v>1</v>
      </c>
      <c r="AG289">
        <v>0</v>
      </c>
      <c r="AH289" s="28" t="s">
        <v>45</v>
      </c>
      <c r="AI289" s="12" t="s">
        <v>45</v>
      </c>
      <c r="AJ289">
        <v>0</v>
      </c>
      <c r="AK289">
        <v>1</v>
      </c>
      <c r="AL289">
        <v>0</v>
      </c>
      <c r="AM289" s="28" t="s">
        <v>321</v>
      </c>
      <c r="AN289">
        <v>1</v>
      </c>
      <c r="AO289">
        <v>0</v>
      </c>
      <c r="AP289">
        <v>16476</v>
      </c>
      <c r="AQ289">
        <v>1012</v>
      </c>
      <c r="AR289">
        <v>0.95099999999999996</v>
      </c>
      <c r="AS289" s="64">
        <v>43.7</v>
      </c>
      <c r="AT289">
        <v>1</v>
      </c>
      <c r="AU289">
        <v>0</v>
      </c>
      <c r="AV289">
        <v>0</v>
      </c>
      <c r="AW289">
        <v>0</v>
      </c>
      <c r="AX289">
        <v>0</v>
      </c>
      <c r="AY289">
        <v>0</v>
      </c>
      <c r="AZ289" s="28">
        <v>0</v>
      </c>
      <c r="BA289">
        <v>0</v>
      </c>
      <c r="BB289">
        <v>0</v>
      </c>
      <c r="BC289" s="28">
        <v>1</v>
      </c>
      <c r="BD289">
        <v>1</v>
      </c>
      <c r="BE289">
        <v>0</v>
      </c>
      <c r="BF289">
        <v>0</v>
      </c>
      <c r="BG289">
        <v>1</v>
      </c>
      <c r="BH289">
        <v>0</v>
      </c>
      <c r="BI289">
        <v>0</v>
      </c>
      <c r="BJ289">
        <v>0</v>
      </c>
      <c r="BK289" s="16">
        <v>0</v>
      </c>
      <c r="BL289">
        <v>0.96399999999999997</v>
      </c>
      <c r="BM289">
        <v>85</v>
      </c>
      <c r="BN289">
        <v>1</v>
      </c>
      <c r="BO289">
        <v>0</v>
      </c>
      <c r="BP289">
        <v>10</v>
      </c>
      <c r="BQ289" t="s">
        <v>34</v>
      </c>
    </row>
    <row r="290" spans="1:69" x14ac:dyDescent="0.25">
      <c r="A290">
        <v>289</v>
      </c>
      <c r="B290">
        <v>16</v>
      </c>
      <c r="C290" t="s">
        <v>333</v>
      </c>
      <c r="D290" s="79">
        <v>6.2</v>
      </c>
      <c r="E290" s="6">
        <v>0.1</v>
      </c>
      <c r="F290" s="6">
        <f t="shared" si="45"/>
        <v>62</v>
      </c>
      <c r="G290" s="78">
        <v>0</v>
      </c>
      <c r="H290" s="70">
        <v>0</v>
      </c>
      <c r="I290" s="70">
        <v>1</v>
      </c>
      <c r="J290" s="78">
        <v>7202</v>
      </c>
      <c r="K290" s="70">
        <v>4</v>
      </c>
      <c r="L290" s="70">
        <f t="shared" si="43"/>
        <v>7197</v>
      </c>
      <c r="M290" s="60">
        <f t="shared" si="44"/>
        <v>20</v>
      </c>
      <c r="N290" s="6">
        <v>11.3</v>
      </c>
      <c r="O290" s="6">
        <f t="shared" si="46"/>
        <v>26.400000000000006</v>
      </c>
      <c r="P290" s="78">
        <v>1</v>
      </c>
      <c r="Q290" s="70">
        <v>0</v>
      </c>
      <c r="R290" s="78">
        <v>0</v>
      </c>
      <c r="S290" s="70">
        <v>0</v>
      </c>
      <c r="T290" s="70">
        <v>1</v>
      </c>
      <c r="U290" s="70">
        <v>0</v>
      </c>
      <c r="V290" s="70">
        <v>1</v>
      </c>
      <c r="W290" s="78">
        <v>0</v>
      </c>
      <c r="X290" s="70">
        <v>1</v>
      </c>
      <c r="Y290" s="69">
        <v>1990</v>
      </c>
      <c r="Z290" s="28" t="s">
        <v>45</v>
      </c>
      <c r="AA290" t="s">
        <v>45</v>
      </c>
      <c r="AB290" s="28">
        <v>0.437</v>
      </c>
      <c r="AC290">
        <f t="shared" si="47"/>
        <v>0.56299999999999994</v>
      </c>
      <c r="AD290" s="28">
        <v>1</v>
      </c>
      <c r="AE290">
        <v>0</v>
      </c>
      <c r="AF290">
        <v>1</v>
      </c>
      <c r="AG290">
        <v>0</v>
      </c>
      <c r="AH290" s="28" t="s">
        <v>45</v>
      </c>
      <c r="AI290" s="12" t="s">
        <v>45</v>
      </c>
      <c r="AJ290">
        <v>0</v>
      </c>
      <c r="AK290">
        <v>1</v>
      </c>
      <c r="AL290">
        <v>0</v>
      </c>
      <c r="AM290" s="28" t="s">
        <v>321</v>
      </c>
      <c r="AN290">
        <v>1</v>
      </c>
      <c r="AO290">
        <v>0</v>
      </c>
      <c r="AP290">
        <v>16476</v>
      </c>
      <c r="AQ290">
        <v>1012</v>
      </c>
      <c r="AR290">
        <v>0.95099999999999996</v>
      </c>
      <c r="AS290" s="64">
        <v>43.7</v>
      </c>
      <c r="AT290">
        <v>1</v>
      </c>
      <c r="AU290">
        <v>0</v>
      </c>
      <c r="AV290">
        <v>0</v>
      </c>
      <c r="AW290">
        <v>0</v>
      </c>
      <c r="AX290">
        <v>0</v>
      </c>
      <c r="AY290">
        <v>0</v>
      </c>
      <c r="AZ290" s="28">
        <v>0</v>
      </c>
      <c r="BA290">
        <v>0</v>
      </c>
      <c r="BB290">
        <v>0</v>
      </c>
      <c r="BC290" s="28">
        <v>1</v>
      </c>
      <c r="BD290">
        <v>1</v>
      </c>
      <c r="BE290">
        <v>0</v>
      </c>
      <c r="BF290">
        <v>0</v>
      </c>
      <c r="BG290">
        <v>1</v>
      </c>
      <c r="BH290">
        <v>0</v>
      </c>
      <c r="BI290">
        <v>0</v>
      </c>
      <c r="BJ290">
        <v>0</v>
      </c>
      <c r="BK290" s="16">
        <v>0</v>
      </c>
      <c r="BL290">
        <v>0.96399999999999997</v>
      </c>
      <c r="BM290">
        <v>85</v>
      </c>
      <c r="BN290">
        <v>1</v>
      </c>
      <c r="BO290">
        <v>0</v>
      </c>
      <c r="BP290">
        <v>10</v>
      </c>
      <c r="BQ290" t="s">
        <v>34</v>
      </c>
    </row>
    <row r="291" spans="1:69" x14ac:dyDescent="0.25">
      <c r="A291">
        <v>290</v>
      </c>
      <c r="B291">
        <v>16</v>
      </c>
      <c r="C291" t="s">
        <v>333</v>
      </c>
      <c r="D291" s="79">
        <v>4.5</v>
      </c>
      <c r="E291" s="6">
        <v>0.3</v>
      </c>
      <c r="F291" s="6">
        <f t="shared" si="45"/>
        <v>15</v>
      </c>
      <c r="G291" s="78">
        <v>0</v>
      </c>
      <c r="H291" s="70">
        <v>0</v>
      </c>
      <c r="I291" s="70">
        <v>1</v>
      </c>
      <c r="J291" s="78">
        <v>3601</v>
      </c>
      <c r="K291" s="70">
        <v>4</v>
      </c>
      <c r="L291" s="70">
        <f t="shared" si="43"/>
        <v>3596</v>
      </c>
      <c r="M291" s="60">
        <f t="shared" si="44"/>
        <v>20</v>
      </c>
      <c r="N291" s="6">
        <v>11.3</v>
      </c>
      <c r="O291" s="6">
        <f t="shared" si="46"/>
        <v>26.400000000000006</v>
      </c>
      <c r="P291" s="78">
        <v>1</v>
      </c>
      <c r="Q291" s="70">
        <v>0</v>
      </c>
      <c r="R291" s="78">
        <v>0</v>
      </c>
      <c r="S291" s="70">
        <v>0</v>
      </c>
      <c r="T291" s="70">
        <v>1</v>
      </c>
      <c r="U291" s="70">
        <v>0</v>
      </c>
      <c r="V291" s="70">
        <v>1</v>
      </c>
      <c r="W291" s="78">
        <v>0</v>
      </c>
      <c r="X291" s="70">
        <v>1</v>
      </c>
      <c r="Y291" s="69">
        <v>1990</v>
      </c>
      <c r="Z291" s="28" t="s">
        <v>45</v>
      </c>
      <c r="AA291" t="s">
        <v>45</v>
      </c>
      <c r="AB291" s="28">
        <v>0.437</v>
      </c>
      <c r="AC291">
        <f t="shared" si="47"/>
        <v>0.56299999999999994</v>
      </c>
      <c r="AD291" s="28">
        <v>1</v>
      </c>
      <c r="AE291">
        <v>0</v>
      </c>
      <c r="AF291">
        <v>1</v>
      </c>
      <c r="AG291">
        <v>0</v>
      </c>
      <c r="AH291" s="28" t="s">
        <v>45</v>
      </c>
      <c r="AI291" s="12" t="s">
        <v>45</v>
      </c>
      <c r="AJ291">
        <v>0</v>
      </c>
      <c r="AK291">
        <v>1</v>
      </c>
      <c r="AL291">
        <v>0</v>
      </c>
      <c r="AM291" s="28" t="s">
        <v>321</v>
      </c>
      <c r="AN291">
        <v>1</v>
      </c>
      <c r="AO291">
        <v>0</v>
      </c>
      <c r="AP291">
        <v>16476</v>
      </c>
      <c r="AQ291">
        <v>1012</v>
      </c>
      <c r="AR291">
        <v>0.95099999999999996</v>
      </c>
      <c r="AS291" s="64">
        <v>43.7</v>
      </c>
      <c r="AT291">
        <v>0</v>
      </c>
      <c r="AU291">
        <v>0</v>
      </c>
      <c r="AV291">
        <v>1</v>
      </c>
      <c r="AW291">
        <v>0</v>
      </c>
      <c r="AX291">
        <v>0</v>
      </c>
      <c r="AY291">
        <v>0</v>
      </c>
      <c r="AZ291" s="28">
        <v>0</v>
      </c>
      <c r="BA291">
        <v>0</v>
      </c>
      <c r="BB291">
        <v>0</v>
      </c>
      <c r="BC291" s="28">
        <v>1</v>
      </c>
      <c r="BD291">
        <v>1</v>
      </c>
      <c r="BE291">
        <v>0</v>
      </c>
      <c r="BF291">
        <v>0</v>
      </c>
      <c r="BG291">
        <v>1</v>
      </c>
      <c r="BH291">
        <v>0</v>
      </c>
      <c r="BI291">
        <v>0</v>
      </c>
      <c r="BJ291">
        <v>0</v>
      </c>
      <c r="BK291" s="16">
        <v>0</v>
      </c>
      <c r="BL291">
        <v>0.96399999999999997</v>
      </c>
      <c r="BM291">
        <v>85</v>
      </c>
      <c r="BN291">
        <v>1</v>
      </c>
      <c r="BO291">
        <v>0</v>
      </c>
      <c r="BP291">
        <v>10</v>
      </c>
      <c r="BQ291" t="s">
        <v>34</v>
      </c>
    </row>
    <row r="292" spans="1:69" x14ac:dyDescent="0.25">
      <c r="A292">
        <v>291</v>
      </c>
      <c r="B292">
        <v>16</v>
      </c>
      <c r="C292" t="s">
        <v>333</v>
      </c>
      <c r="D292" s="79">
        <v>4.5</v>
      </c>
      <c r="E292" s="6">
        <v>0.2</v>
      </c>
      <c r="F292" s="6">
        <f t="shared" si="45"/>
        <v>22.5</v>
      </c>
      <c r="G292" s="78">
        <v>0</v>
      </c>
      <c r="H292" s="70">
        <v>0</v>
      </c>
      <c r="I292" s="70">
        <v>1</v>
      </c>
      <c r="J292" s="78">
        <v>3601</v>
      </c>
      <c r="K292" s="70">
        <v>4</v>
      </c>
      <c r="L292" s="70">
        <f t="shared" si="43"/>
        <v>3596</v>
      </c>
      <c r="M292" s="60">
        <f t="shared" si="44"/>
        <v>20</v>
      </c>
      <c r="N292" s="6">
        <v>11.3</v>
      </c>
      <c r="O292" s="6">
        <f t="shared" si="46"/>
        <v>26.400000000000006</v>
      </c>
      <c r="P292" s="78">
        <v>1</v>
      </c>
      <c r="Q292" s="70">
        <v>0</v>
      </c>
      <c r="R292" s="78">
        <v>0</v>
      </c>
      <c r="S292" s="70">
        <v>0</v>
      </c>
      <c r="T292" s="70">
        <v>1</v>
      </c>
      <c r="U292" s="70">
        <v>0</v>
      </c>
      <c r="V292" s="70">
        <v>1</v>
      </c>
      <c r="W292" s="78">
        <v>0</v>
      </c>
      <c r="X292" s="70">
        <v>1</v>
      </c>
      <c r="Y292" s="69">
        <v>1990</v>
      </c>
      <c r="Z292" s="28" t="s">
        <v>45</v>
      </c>
      <c r="AA292" t="s">
        <v>45</v>
      </c>
      <c r="AB292" s="28">
        <v>0.437</v>
      </c>
      <c r="AC292">
        <f t="shared" si="47"/>
        <v>0.56299999999999994</v>
      </c>
      <c r="AD292" s="28">
        <v>1</v>
      </c>
      <c r="AE292">
        <v>0</v>
      </c>
      <c r="AF292">
        <v>1</v>
      </c>
      <c r="AG292">
        <v>0</v>
      </c>
      <c r="AH292" s="28" t="s">
        <v>45</v>
      </c>
      <c r="AI292" s="12" t="s">
        <v>45</v>
      </c>
      <c r="AJ292">
        <v>0</v>
      </c>
      <c r="AK292">
        <v>1</v>
      </c>
      <c r="AL292">
        <v>0</v>
      </c>
      <c r="AM292" s="28" t="s">
        <v>321</v>
      </c>
      <c r="AN292">
        <v>1</v>
      </c>
      <c r="AO292">
        <v>0</v>
      </c>
      <c r="AP292">
        <v>16476</v>
      </c>
      <c r="AQ292">
        <v>1012</v>
      </c>
      <c r="AR292">
        <v>0.95099999999999996</v>
      </c>
      <c r="AS292" s="64">
        <v>43.7</v>
      </c>
      <c r="AT292">
        <v>0</v>
      </c>
      <c r="AU292">
        <v>0</v>
      </c>
      <c r="AV292">
        <v>1</v>
      </c>
      <c r="AW292">
        <v>0</v>
      </c>
      <c r="AX292">
        <v>0</v>
      </c>
      <c r="AY292">
        <v>0</v>
      </c>
      <c r="AZ292" s="28">
        <v>0</v>
      </c>
      <c r="BA292">
        <v>0</v>
      </c>
      <c r="BB292">
        <v>0</v>
      </c>
      <c r="BC292" s="28">
        <v>1</v>
      </c>
      <c r="BD292">
        <v>1</v>
      </c>
      <c r="BE292">
        <v>0</v>
      </c>
      <c r="BF292">
        <v>0</v>
      </c>
      <c r="BG292">
        <v>1</v>
      </c>
      <c r="BH292">
        <v>0</v>
      </c>
      <c r="BI292">
        <v>0</v>
      </c>
      <c r="BJ292">
        <v>0</v>
      </c>
      <c r="BK292" s="16">
        <v>0</v>
      </c>
      <c r="BL292">
        <v>0.96399999999999997</v>
      </c>
      <c r="BM292">
        <v>85</v>
      </c>
      <c r="BN292">
        <v>1</v>
      </c>
      <c r="BO292">
        <v>0</v>
      </c>
      <c r="BP292">
        <v>10</v>
      </c>
      <c r="BQ292" t="s">
        <v>34</v>
      </c>
    </row>
    <row r="293" spans="1:69" x14ac:dyDescent="0.25">
      <c r="A293">
        <v>292</v>
      </c>
      <c r="B293">
        <v>16</v>
      </c>
      <c r="C293" t="s">
        <v>333</v>
      </c>
      <c r="D293" s="79">
        <v>5.2</v>
      </c>
      <c r="E293" s="6">
        <v>0.4</v>
      </c>
      <c r="F293" s="6">
        <f t="shared" si="45"/>
        <v>13</v>
      </c>
      <c r="G293" s="78">
        <v>0</v>
      </c>
      <c r="H293" s="70">
        <v>0</v>
      </c>
      <c r="I293" s="70">
        <v>1</v>
      </c>
      <c r="J293" s="78">
        <v>3601</v>
      </c>
      <c r="K293" s="70">
        <v>4</v>
      </c>
      <c r="L293" s="70">
        <f t="shared" si="43"/>
        <v>3596</v>
      </c>
      <c r="M293" s="60">
        <f t="shared" si="44"/>
        <v>20</v>
      </c>
      <c r="N293" s="6">
        <v>11.3</v>
      </c>
      <c r="O293" s="6">
        <f t="shared" si="46"/>
        <v>26.400000000000006</v>
      </c>
      <c r="P293" s="78">
        <v>1</v>
      </c>
      <c r="Q293" s="70">
        <v>0</v>
      </c>
      <c r="R293" s="78">
        <v>0</v>
      </c>
      <c r="S293" s="70">
        <v>0</v>
      </c>
      <c r="T293" s="70">
        <v>1</v>
      </c>
      <c r="U293" s="70">
        <v>0</v>
      </c>
      <c r="V293" s="70">
        <v>1</v>
      </c>
      <c r="W293" s="78">
        <v>0</v>
      </c>
      <c r="X293" s="70">
        <v>1</v>
      </c>
      <c r="Y293" s="69">
        <v>1990</v>
      </c>
      <c r="Z293" s="28" t="s">
        <v>45</v>
      </c>
      <c r="AA293" t="s">
        <v>45</v>
      </c>
      <c r="AB293" s="28">
        <v>0.437</v>
      </c>
      <c r="AC293">
        <f t="shared" si="47"/>
        <v>0.56299999999999994</v>
      </c>
      <c r="AD293" s="28">
        <v>1</v>
      </c>
      <c r="AE293">
        <v>0</v>
      </c>
      <c r="AF293">
        <v>1</v>
      </c>
      <c r="AG293">
        <v>0</v>
      </c>
      <c r="AH293" s="28" t="s">
        <v>45</v>
      </c>
      <c r="AI293" s="12" t="s">
        <v>45</v>
      </c>
      <c r="AJ293">
        <v>0</v>
      </c>
      <c r="AK293">
        <v>1</v>
      </c>
      <c r="AL293">
        <v>0</v>
      </c>
      <c r="AM293" s="28" t="s">
        <v>321</v>
      </c>
      <c r="AN293">
        <v>1</v>
      </c>
      <c r="AO293">
        <v>0</v>
      </c>
      <c r="AP293">
        <v>16476</v>
      </c>
      <c r="AQ293">
        <v>1012</v>
      </c>
      <c r="AR293">
        <v>0.95099999999999996</v>
      </c>
      <c r="AS293" s="64">
        <v>43.7</v>
      </c>
      <c r="AT293">
        <v>0</v>
      </c>
      <c r="AU293">
        <v>0</v>
      </c>
      <c r="AV293">
        <v>1</v>
      </c>
      <c r="AW293">
        <v>0</v>
      </c>
      <c r="AX293">
        <v>0</v>
      </c>
      <c r="AY293">
        <v>0</v>
      </c>
      <c r="AZ293" s="28">
        <v>0</v>
      </c>
      <c r="BA293">
        <v>0</v>
      </c>
      <c r="BB293">
        <v>0</v>
      </c>
      <c r="BC293" s="28">
        <v>1</v>
      </c>
      <c r="BD293">
        <v>1</v>
      </c>
      <c r="BE293">
        <v>0</v>
      </c>
      <c r="BF293">
        <v>0</v>
      </c>
      <c r="BG293">
        <v>1</v>
      </c>
      <c r="BH293">
        <v>0</v>
      </c>
      <c r="BI293">
        <v>0</v>
      </c>
      <c r="BJ293">
        <v>0</v>
      </c>
      <c r="BK293" s="16">
        <v>0</v>
      </c>
      <c r="BL293">
        <v>0.96399999999999997</v>
      </c>
      <c r="BM293">
        <v>85</v>
      </c>
      <c r="BN293">
        <v>1</v>
      </c>
      <c r="BO293">
        <v>0</v>
      </c>
      <c r="BP293">
        <v>10</v>
      </c>
      <c r="BQ293" t="s">
        <v>34</v>
      </c>
    </row>
    <row r="294" spans="1:69" ht="15.75" customHeight="1" thickBot="1" x14ac:dyDescent="0.3">
      <c r="A294" s="86">
        <v>293</v>
      </c>
      <c r="B294" s="86">
        <v>16</v>
      </c>
      <c r="C294" s="86" t="s">
        <v>333</v>
      </c>
      <c r="D294" s="87">
        <v>6.2</v>
      </c>
      <c r="E294" s="88">
        <v>0.3</v>
      </c>
      <c r="F294" s="88">
        <f t="shared" si="45"/>
        <v>20.666666666666668</v>
      </c>
      <c r="G294" s="90">
        <v>0</v>
      </c>
      <c r="H294" s="91">
        <v>0</v>
      </c>
      <c r="I294" s="91">
        <v>1</v>
      </c>
      <c r="J294" s="90">
        <v>3601</v>
      </c>
      <c r="K294" s="91">
        <v>4</v>
      </c>
      <c r="L294" s="91">
        <f t="shared" si="43"/>
        <v>3596</v>
      </c>
      <c r="M294" s="60">
        <f t="shared" si="44"/>
        <v>20</v>
      </c>
      <c r="N294" s="88">
        <v>11.3</v>
      </c>
      <c r="O294" s="88">
        <f t="shared" si="46"/>
        <v>26.400000000000006</v>
      </c>
      <c r="P294" s="90">
        <v>1</v>
      </c>
      <c r="Q294" s="91">
        <v>0</v>
      </c>
      <c r="R294" s="90">
        <v>0</v>
      </c>
      <c r="S294" s="91">
        <v>0</v>
      </c>
      <c r="T294" s="91">
        <v>1</v>
      </c>
      <c r="U294" s="91">
        <v>0</v>
      </c>
      <c r="V294" s="91">
        <v>1</v>
      </c>
      <c r="W294" s="90">
        <v>0</v>
      </c>
      <c r="X294" s="91">
        <v>1</v>
      </c>
      <c r="Y294" s="92">
        <v>1990</v>
      </c>
      <c r="Z294" s="89" t="s">
        <v>45</v>
      </c>
      <c r="AA294" s="86" t="s">
        <v>45</v>
      </c>
      <c r="AB294" s="89">
        <v>0.437</v>
      </c>
      <c r="AC294" s="86">
        <f t="shared" si="47"/>
        <v>0.56299999999999994</v>
      </c>
      <c r="AD294" s="89">
        <v>1</v>
      </c>
      <c r="AE294" s="86">
        <v>0</v>
      </c>
      <c r="AF294" s="89">
        <v>1</v>
      </c>
      <c r="AG294" s="86">
        <v>0</v>
      </c>
      <c r="AH294" s="89" t="s">
        <v>45</v>
      </c>
      <c r="AI294" s="93" t="s">
        <v>45</v>
      </c>
      <c r="AJ294" s="86">
        <v>0</v>
      </c>
      <c r="AK294" s="86">
        <v>1</v>
      </c>
      <c r="AL294" s="86">
        <v>0</v>
      </c>
      <c r="AM294" s="89" t="s">
        <v>321</v>
      </c>
      <c r="AN294" s="89">
        <v>1</v>
      </c>
      <c r="AO294" s="86">
        <v>0</v>
      </c>
      <c r="AP294" s="89">
        <v>16476</v>
      </c>
      <c r="AQ294" s="86">
        <v>1012</v>
      </c>
      <c r="AR294" s="86">
        <v>0.95099999999999996</v>
      </c>
      <c r="AS294" s="94">
        <v>43.7</v>
      </c>
      <c r="AT294" s="86">
        <v>0</v>
      </c>
      <c r="AU294" s="86">
        <v>0</v>
      </c>
      <c r="AV294" s="86">
        <v>1</v>
      </c>
      <c r="AW294" s="86">
        <v>0</v>
      </c>
      <c r="AX294" s="86">
        <v>0</v>
      </c>
      <c r="AY294" s="86">
        <v>0</v>
      </c>
      <c r="AZ294" s="89">
        <v>0</v>
      </c>
      <c r="BA294" s="86">
        <v>0</v>
      </c>
      <c r="BB294" s="86">
        <v>0</v>
      </c>
      <c r="BC294" s="89">
        <v>1</v>
      </c>
      <c r="BD294" s="86">
        <v>1</v>
      </c>
      <c r="BE294" s="86">
        <v>0</v>
      </c>
      <c r="BF294" s="86">
        <v>0</v>
      </c>
      <c r="BG294" s="86">
        <v>1</v>
      </c>
      <c r="BH294" s="86">
        <v>0</v>
      </c>
      <c r="BI294" s="86">
        <v>0</v>
      </c>
      <c r="BJ294" s="86">
        <v>0</v>
      </c>
      <c r="BK294" s="95">
        <v>0</v>
      </c>
      <c r="BL294" s="86">
        <v>0.96399999999999997</v>
      </c>
      <c r="BM294" s="89">
        <v>85</v>
      </c>
      <c r="BN294" s="89">
        <v>1</v>
      </c>
      <c r="BO294" s="86">
        <v>0</v>
      </c>
      <c r="BP294" s="94">
        <v>10</v>
      </c>
      <c r="BQ294" s="86" t="s">
        <v>34</v>
      </c>
    </row>
    <row r="295" spans="1:69" x14ac:dyDescent="0.25">
      <c r="N295" s="6"/>
      <c r="O295" s="6"/>
    </row>
    <row r="296" spans="1:69" x14ac:dyDescent="0.25">
      <c r="N296" s="6"/>
      <c r="O296" s="6"/>
    </row>
    <row r="297" spans="1:69" x14ac:dyDescent="0.25">
      <c r="N297" s="6"/>
      <c r="O297" s="6"/>
    </row>
    <row r="298" spans="1:69" x14ac:dyDescent="0.25">
      <c r="N298" s="6"/>
      <c r="O298" s="6"/>
    </row>
    <row r="299" spans="1:69" x14ac:dyDescent="0.25">
      <c r="N299" s="6"/>
      <c r="O299" s="6"/>
    </row>
    <row r="300" spans="1:69" x14ac:dyDescent="0.25">
      <c r="N300" s="6"/>
      <c r="O300" s="6"/>
    </row>
    <row r="301" spans="1:69" x14ac:dyDescent="0.25">
      <c r="N301" s="6"/>
      <c r="O301" s="6"/>
    </row>
  </sheetData>
  <conditionalFormatting sqref="A1:XFD20000">
    <cfRule type="containsBlanks" dxfId="85" priority="1">
      <formula>LEN(TRIM(A1))=0</formula>
    </cfRule>
    <cfRule type="expression" dxfId="84" priority="2">
      <formula>AND(NOT(ISBLANK($C1)),ISBLANK($C2))</formula>
    </cfRule>
    <cfRule type="expression" dxfId="8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69"/>
  <sheetViews>
    <sheetView tabSelected="1" workbookViewId="0">
      <pane xSplit="1" ySplit="1" topLeftCell="B17" activePane="bottomRight" state="frozen"/>
      <selection pane="topRight" activeCell="B1" sqref="B1"/>
      <selection pane="bottomLeft" activeCell="A2" sqref="A2"/>
      <selection pane="bottomRight" activeCell="N27" sqref="N27"/>
    </sheetView>
  </sheetViews>
  <sheetFormatPr defaultRowHeight="15" x14ac:dyDescent="0.25"/>
  <cols>
    <col min="1" max="1" width="19.7109375" customWidth="1"/>
    <col min="2" max="2" width="27.28515625" customWidth="1"/>
    <col min="3" max="3" width="22.140625" style="38"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6" t="s">
        <v>70</v>
      </c>
      <c r="B1" s="36" t="s">
        <v>85</v>
      </c>
      <c r="C1" s="37" t="s">
        <v>186</v>
      </c>
      <c r="D1" s="36" t="s">
        <v>74</v>
      </c>
      <c r="E1" s="36" t="s">
        <v>78</v>
      </c>
      <c r="F1" s="36" t="s">
        <v>120</v>
      </c>
      <c r="G1" s="44" t="s">
        <v>81</v>
      </c>
      <c r="H1" s="54" t="s">
        <v>119</v>
      </c>
      <c r="I1" s="55" t="s">
        <v>82</v>
      </c>
      <c r="J1" s="56" t="s">
        <v>83</v>
      </c>
      <c r="K1" s="35" t="s">
        <v>71</v>
      </c>
      <c r="L1" s="35" t="s">
        <v>189</v>
      </c>
      <c r="M1" s="35" t="s">
        <v>113</v>
      </c>
      <c r="N1" s="57" t="s">
        <v>72</v>
      </c>
    </row>
    <row r="2" spans="1:14" x14ac:dyDescent="0.25">
      <c r="A2" s="19" t="s">
        <v>0</v>
      </c>
      <c r="B2" s="20" t="s">
        <v>88</v>
      </c>
      <c r="C2" s="46" t="s">
        <v>164</v>
      </c>
      <c r="D2" t="s">
        <v>76</v>
      </c>
      <c r="E2">
        <v>1</v>
      </c>
      <c r="F2" t="s">
        <v>121</v>
      </c>
      <c r="G2" s="28" t="b">
        <v>0</v>
      </c>
      <c r="H2" s="28" t="b">
        <v>0</v>
      </c>
      <c r="K2" t="b">
        <v>0</v>
      </c>
      <c r="L2" t="b">
        <v>0</v>
      </c>
      <c r="M2" t="b">
        <v>0</v>
      </c>
      <c r="N2" s="28" t="s">
        <v>121</v>
      </c>
    </row>
    <row r="3" spans="1:14" x14ac:dyDescent="0.25">
      <c r="A3" s="19" t="s">
        <v>1</v>
      </c>
      <c r="B3" s="20" t="s">
        <v>86</v>
      </c>
      <c r="C3" s="46" t="s">
        <v>163</v>
      </c>
      <c r="D3" t="s">
        <v>76</v>
      </c>
      <c r="E3">
        <v>2</v>
      </c>
      <c r="F3" t="s">
        <v>121</v>
      </c>
      <c r="G3" s="28" t="b">
        <v>0</v>
      </c>
      <c r="H3" s="28" t="b">
        <v>0</v>
      </c>
      <c r="K3" t="b">
        <v>0</v>
      </c>
      <c r="L3" t="b">
        <v>0</v>
      </c>
      <c r="M3" t="b">
        <v>0</v>
      </c>
      <c r="N3" s="28" t="s">
        <v>121</v>
      </c>
    </row>
    <row r="4" spans="1:14" x14ac:dyDescent="0.25">
      <c r="A4" s="19" t="s">
        <v>73</v>
      </c>
      <c r="B4" s="20" t="s">
        <v>87</v>
      </c>
      <c r="C4" s="46" t="s">
        <v>162</v>
      </c>
      <c r="D4" t="s">
        <v>84</v>
      </c>
      <c r="E4">
        <v>3</v>
      </c>
      <c r="F4" t="s">
        <v>121</v>
      </c>
      <c r="G4" s="28" t="b">
        <v>0</v>
      </c>
      <c r="H4" s="28" t="b">
        <v>0</v>
      </c>
      <c r="K4" t="b">
        <v>0</v>
      </c>
      <c r="L4" t="b">
        <v>0</v>
      </c>
      <c r="M4" t="b">
        <v>0</v>
      </c>
      <c r="N4" s="28" t="s">
        <v>121</v>
      </c>
    </row>
    <row r="5" spans="1:14" x14ac:dyDescent="0.25">
      <c r="A5" s="45" t="s">
        <v>118</v>
      </c>
      <c r="B5" s="45" t="s">
        <v>124</v>
      </c>
      <c r="C5" s="39" t="s">
        <v>165</v>
      </c>
      <c r="D5" t="s">
        <v>77</v>
      </c>
      <c r="E5">
        <v>4</v>
      </c>
      <c r="F5" t="s">
        <v>121</v>
      </c>
      <c r="G5" s="28" t="b">
        <v>1</v>
      </c>
      <c r="H5" s="28" t="b">
        <v>0</v>
      </c>
      <c r="K5" t="b">
        <v>1</v>
      </c>
      <c r="L5" t="b">
        <v>0</v>
      </c>
      <c r="M5" t="b">
        <v>0</v>
      </c>
      <c r="N5" s="28" t="s">
        <v>121</v>
      </c>
    </row>
    <row r="6" spans="1:14" x14ac:dyDescent="0.25">
      <c r="A6" s="19" t="s">
        <v>63</v>
      </c>
      <c r="B6" s="20" t="s">
        <v>194</v>
      </c>
      <c r="C6" s="46" t="s">
        <v>184</v>
      </c>
      <c r="D6" t="s">
        <v>77</v>
      </c>
      <c r="E6">
        <v>5</v>
      </c>
      <c r="F6" t="s">
        <v>121</v>
      </c>
      <c r="G6" s="28" t="b">
        <v>1</v>
      </c>
      <c r="H6" s="28" t="b">
        <v>0</v>
      </c>
      <c r="K6" t="b">
        <v>1</v>
      </c>
      <c r="L6" t="b">
        <v>0</v>
      </c>
      <c r="M6" t="b">
        <v>0</v>
      </c>
      <c r="N6" s="28">
        <v>0</v>
      </c>
    </row>
    <row r="7" spans="1:14" x14ac:dyDescent="0.25">
      <c r="A7" s="19" t="s">
        <v>35</v>
      </c>
      <c r="B7" s="20" t="s">
        <v>97</v>
      </c>
      <c r="C7" s="46" t="s">
        <v>185</v>
      </c>
      <c r="D7" t="s">
        <v>77</v>
      </c>
      <c r="E7">
        <v>6</v>
      </c>
      <c r="F7" t="s">
        <v>121</v>
      </c>
      <c r="G7" s="28" t="b">
        <v>1</v>
      </c>
      <c r="H7" s="28" t="b">
        <v>1</v>
      </c>
      <c r="J7" s="12" t="s">
        <v>123</v>
      </c>
      <c r="K7" t="b">
        <v>0</v>
      </c>
      <c r="L7" t="b">
        <v>0</v>
      </c>
      <c r="M7" t="b">
        <v>0</v>
      </c>
      <c r="N7" s="28" t="s">
        <v>121</v>
      </c>
    </row>
    <row r="8" spans="1:14" x14ac:dyDescent="0.25">
      <c r="A8" s="5" t="s">
        <v>7</v>
      </c>
      <c r="B8" s="5" t="s">
        <v>138</v>
      </c>
      <c r="C8" s="40" t="str">
        <f>"=1 if the estimates within the study can be aggregated on a city level."</f>
        <v>=1 if the estimates within the study can be aggregated on a city level.</v>
      </c>
      <c r="D8" t="s">
        <v>75</v>
      </c>
      <c r="E8">
        <v>7</v>
      </c>
      <c r="F8" t="s">
        <v>121</v>
      </c>
      <c r="G8" s="28" t="b">
        <v>1</v>
      </c>
      <c r="H8" s="28" t="b">
        <v>1</v>
      </c>
      <c r="I8">
        <v>1</v>
      </c>
      <c r="K8" t="b">
        <v>1</v>
      </c>
      <c r="L8" t="b">
        <v>0</v>
      </c>
      <c r="M8" t="b">
        <v>0</v>
      </c>
      <c r="N8" s="28" t="s">
        <v>122</v>
      </c>
    </row>
    <row r="9" spans="1:14" x14ac:dyDescent="0.25">
      <c r="A9" s="5" t="s">
        <v>6</v>
      </c>
      <c r="B9" s="5" t="s">
        <v>139</v>
      </c>
      <c r="C9" s="40" t="str">
        <f>"=1 if the estimates within the study can be aggregated on a regional level."</f>
        <v>=1 if the estimates within the study can be aggregated on a regional level.</v>
      </c>
      <c r="D9" t="s">
        <v>75</v>
      </c>
      <c r="E9">
        <v>7</v>
      </c>
      <c r="F9" t="s">
        <v>121</v>
      </c>
      <c r="G9" s="28" t="b">
        <v>1</v>
      </c>
      <c r="H9" s="28" t="b">
        <v>1</v>
      </c>
      <c r="I9">
        <v>1</v>
      </c>
      <c r="K9" t="b">
        <v>1</v>
      </c>
      <c r="L9" t="b">
        <v>0</v>
      </c>
      <c r="M9" t="b">
        <v>0</v>
      </c>
      <c r="N9" s="28" t="s">
        <v>122</v>
      </c>
    </row>
    <row r="10" spans="1:14" x14ac:dyDescent="0.25">
      <c r="A10" s="5" t="s">
        <v>8</v>
      </c>
      <c r="B10" s="5" t="s">
        <v>140</v>
      </c>
      <c r="C10" s="40" t="str">
        <f>"=1 if the estimates within the study can be aggregated on a country level."</f>
        <v>=1 if the estimates within the study can be aggregated on a country level.</v>
      </c>
      <c r="D10" t="s">
        <v>75</v>
      </c>
      <c r="E10">
        <v>7</v>
      </c>
      <c r="F10" t="s">
        <v>121</v>
      </c>
      <c r="G10" s="28" t="b">
        <v>1</v>
      </c>
      <c r="H10" s="28" t="b">
        <v>1</v>
      </c>
      <c r="I10">
        <v>1</v>
      </c>
      <c r="K10" t="b">
        <v>0</v>
      </c>
      <c r="L10" t="b">
        <v>1</v>
      </c>
      <c r="M10" t="b">
        <v>0</v>
      </c>
      <c r="N10" s="28" t="s">
        <v>121</v>
      </c>
    </row>
    <row r="11" spans="1:14" x14ac:dyDescent="0.25">
      <c r="A11" s="5" t="s">
        <v>37</v>
      </c>
      <c r="B11" s="5" t="s">
        <v>133</v>
      </c>
      <c r="C11" s="40" t="s">
        <v>166</v>
      </c>
      <c r="D11" t="s">
        <v>76</v>
      </c>
      <c r="E11">
        <v>8</v>
      </c>
      <c r="F11" t="s">
        <v>121</v>
      </c>
      <c r="G11" s="28" t="b">
        <v>1</v>
      </c>
      <c r="H11" s="28" t="b">
        <v>1</v>
      </c>
      <c r="J11" s="12" t="s">
        <v>123</v>
      </c>
      <c r="K11" t="b">
        <v>0</v>
      </c>
      <c r="L11" t="b">
        <v>0</v>
      </c>
      <c r="M11" t="b">
        <v>0</v>
      </c>
      <c r="N11" s="28" t="s">
        <v>121</v>
      </c>
    </row>
    <row r="12" spans="1:14" x14ac:dyDescent="0.25">
      <c r="A12" s="5" t="s">
        <v>38</v>
      </c>
      <c r="B12" s="5" t="s">
        <v>89</v>
      </c>
      <c r="C12" s="40" t="s">
        <v>167</v>
      </c>
      <c r="D12" t="s">
        <v>76</v>
      </c>
      <c r="E12">
        <v>8</v>
      </c>
      <c r="F12" t="s">
        <v>121</v>
      </c>
      <c r="G12" s="28" t="b">
        <v>0</v>
      </c>
      <c r="H12" s="28" t="b">
        <v>0</v>
      </c>
      <c r="K12" t="b">
        <v>0</v>
      </c>
      <c r="L12" t="b">
        <v>0</v>
      </c>
      <c r="M12" t="b">
        <v>0</v>
      </c>
      <c r="N12" s="28" t="s">
        <v>121</v>
      </c>
    </row>
    <row r="13" spans="1:14" x14ac:dyDescent="0.25">
      <c r="A13" s="5" t="s">
        <v>36</v>
      </c>
      <c r="B13" s="5" t="s">
        <v>90</v>
      </c>
      <c r="C13" s="40" t="s">
        <v>168</v>
      </c>
      <c r="D13" t="s">
        <v>76</v>
      </c>
      <c r="E13">
        <v>8</v>
      </c>
      <c r="F13" t="s">
        <v>121</v>
      </c>
      <c r="G13" s="28" t="b">
        <v>0</v>
      </c>
      <c r="H13" s="28" t="b">
        <v>0</v>
      </c>
      <c r="K13" t="b">
        <v>0</v>
      </c>
      <c r="L13" t="b">
        <v>0</v>
      </c>
      <c r="M13" t="b">
        <v>0</v>
      </c>
      <c r="N13" s="28" t="s">
        <v>121</v>
      </c>
    </row>
    <row r="14" spans="1:14" x14ac:dyDescent="0.25">
      <c r="A14" s="2" t="s">
        <v>62</v>
      </c>
      <c r="B14" s="2" t="s">
        <v>91</v>
      </c>
      <c r="C14" s="41" t="s">
        <v>170</v>
      </c>
      <c r="D14" t="s">
        <v>76</v>
      </c>
      <c r="E14">
        <v>9</v>
      </c>
      <c r="F14" t="s">
        <v>121</v>
      </c>
      <c r="G14" s="28" t="b">
        <v>1</v>
      </c>
      <c r="H14" s="28" t="b">
        <v>1</v>
      </c>
      <c r="J14" s="12" t="s">
        <v>123</v>
      </c>
      <c r="K14" t="b">
        <v>1</v>
      </c>
      <c r="L14" t="b">
        <v>0</v>
      </c>
      <c r="M14" t="b">
        <v>1</v>
      </c>
      <c r="N14" s="28" t="s">
        <v>122</v>
      </c>
    </row>
    <row r="15" spans="1:14" x14ac:dyDescent="0.25">
      <c r="A15" s="2" t="s">
        <v>2</v>
      </c>
      <c r="B15" s="2" t="s">
        <v>134</v>
      </c>
      <c r="C15" s="41" t="s">
        <v>282</v>
      </c>
      <c r="D15" t="s">
        <v>77</v>
      </c>
      <c r="E15">
        <v>10</v>
      </c>
      <c r="F15" t="s">
        <v>123</v>
      </c>
      <c r="G15" s="28" t="b">
        <v>1</v>
      </c>
      <c r="H15" s="28" t="b">
        <v>1</v>
      </c>
      <c r="J15" s="12" t="s">
        <v>123</v>
      </c>
      <c r="K15" t="b">
        <v>1</v>
      </c>
      <c r="L15" t="b">
        <v>0</v>
      </c>
      <c r="M15" t="b">
        <v>0</v>
      </c>
      <c r="N15" s="28" t="s">
        <v>122</v>
      </c>
    </row>
    <row r="16" spans="1:14" x14ac:dyDescent="0.25">
      <c r="A16" s="2" t="s">
        <v>9</v>
      </c>
      <c r="B16" s="2" t="s">
        <v>135</v>
      </c>
      <c r="C16" s="41" t="s">
        <v>283</v>
      </c>
      <c r="D16" t="s">
        <v>77</v>
      </c>
      <c r="E16">
        <v>11</v>
      </c>
      <c r="F16" t="s">
        <v>123</v>
      </c>
      <c r="G16" s="28" t="b">
        <v>1</v>
      </c>
      <c r="H16" s="28" t="b">
        <v>1</v>
      </c>
      <c r="J16" s="12" t="s">
        <v>123</v>
      </c>
      <c r="K16" t="b">
        <v>1</v>
      </c>
      <c r="L16" t="b">
        <v>0</v>
      </c>
      <c r="M16" t="b">
        <v>0</v>
      </c>
      <c r="N16" s="28" t="s">
        <v>122</v>
      </c>
    </row>
    <row r="17" spans="1:14" x14ac:dyDescent="0.25">
      <c r="A17" s="2" t="s">
        <v>65</v>
      </c>
      <c r="B17" s="2" t="s">
        <v>187</v>
      </c>
      <c r="C17" s="41" t="str">
        <f>"=1 if authors report schooling in years."</f>
        <v>=1 if authors report schooling in years.</v>
      </c>
      <c r="D17" t="s">
        <v>75</v>
      </c>
      <c r="E17">
        <v>12</v>
      </c>
      <c r="F17" t="s">
        <v>121</v>
      </c>
      <c r="G17" s="28" t="b">
        <v>1</v>
      </c>
      <c r="H17" s="28" t="b">
        <v>1</v>
      </c>
      <c r="I17">
        <v>1</v>
      </c>
      <c r="K17" t="b">
        <v>0</v>
      </c>
      <c r="L17" t="b">
        <v>0</v>
      </c>
      <c r="M17" t="b">
        <v>0</v>
      </c>
      <c r="N17" s="28" t="s">
        <v>121</v>
      </c>
    </row>
    <row r="18" spans="1:14" x14ac:dyDescent="0.25">
      <c r="A18" s="2" t="s">
        <v>66</v>
      </c>
      <c r="B18" s="2" t="s">
        <v>188</v>
      </c>
      <c r="C18" s="41" t="str">
        <f>"=1 if the authors report schooling in levels (e.g., attained college degree) (reference category)."</f>
        <v>=1 if the authors report schooling in levels (e.g., attained college degree) (reference category).</v>
      </c>
      <c r="D18" t="s">
        <v>75</v>
      </c>
      <c r="E18">
        <v>12</v>
      </c>
      <c r="F18" t="s">
        <v>121</v>
      </c>
      <c r="G18" s="28" t="b">
        <v>1</v>
      </c>
      <c r="H18" s="28" t="b">
        <v>1</v>
      </c>
      <c r="I18">
        <v>1</v>
      </c>
      <c r="K18" t="b">
        <v>0</v>
      </c>
      <c r="L18" t="b">
        <v>1</v>
      </c>
      <c r="M18" t="b">
        <v>0</v>
      </c>
      <c r="N18" s="28" t="s">
        <v>121</v>
      </c>
    </row>
    <row r="19" spans="1:14" x14ac:dyDescent="0.25">
      <c r="A19" s="2" t="s">
        <v>59</v>
      </c>
      <c r="B19" s="2" t="s">
        <v>141</v>
      </c>
      <c r="C19" s="41" t="str">
        <f>"=1 if the dependent variable in the regression is log hourly wage."</f>
        <v>=1 if the dependent variable in the regression is log hourly wage.</v>
      </c>
      <c r="D19" t="s">
        <v>75</v>
      </c>
      <c r="E19">
        <v>13</v>
      </c>
      <c r="F19" t="s">
        <v>121</v>
      </c>
      <c r="G19" s="28" t="b">
        <v>1</v>
      </c>
      <c r="H19" s="28" t="b">
        <v>1</v>
      </c>
      <c r="I19">
        <v>1</v>
      </c>
      <c r="K19" t="b">
        <v>0</v>
      </c>
      <c r="L19" t="b">
        <v>0</v>
      </c>
      <c r="M19" t="b">
        <v>0</v>
      </c>
      <c r="N19" s="28" t="s">
        <v>121</v>
      </c>
    </row>
    <row r="20" spans="1:14" x14ac:dyDescent="0.25">
      <c r="A20" s="2" t="s">
        <v>61</v>
      </c>
      <c r="B20" s="2" t="s">
        <v>142</v>
      </c>
      <c r="C20" s="41" t="str">
        <f>"=1 if the dependent variable in the regression is log daily or weekly wage (reference category)."</f>
        <v>=1 if the dependent variable in the regression is log daily or weekly wage (reference category).</v>
      </c>
      <c r="D20" t="s">
        <v>75</v>
      </c>
      <c r="E20">
        <v>13</v>
      </c>
      <c r="F20" t="s">
        <v>121</v>
      </c>
      <c r="G20" s="28" t="b">
        <v>1</v>
      </c>
      <c r="H20" s="28" t="b">
        <v>1</v>
      </c>
      <c r="I20">
        <v>1</v>
      </c>
      <c r="K20" t="b">
        <v>0</v>
      </c>
      <c r="L20" t="b">
        <v>1</v>
      </c>
      <c r="M20" t="b">
        <v>0</v>
      </c>
      <c r="N20" s="28" t="s">
        <v>121</v>
      </c>
    </row>
    <row r="21" spans="1:14" x14ac:dyDescent="0.25">
      <c r="A21" s="2" t="s">
        <v>343</v>
      </c>
      <c r="B21" s="2" t="s">
        <v>344</v>
      </c>
      <c r="C21" s="41" t="str">
        <f>"=1 if the dependent variable in the regression is log monthly or annual wage."</f>
        <v>=1 if the dependent variable in the regression is log monthly or annual wage.</v>
      </c>
      <c r="D21" t="s">
        <v>75</v>
      </c>
      <c r="E21">
        <v>13</v>
      </c>
      <c r="F21" t="s">
        <v>121</v>
      </c>
      <c r="G21" s="28" t="b">
        <v>1</v>
      </c>
      <c r="H21" s="28" t="b">
        <v>1</v>
      </c>
      <c r="I21">
        <v>1</v>
      </c>
      <c r="K21" t="b">
        <v>0</v>
      </c>
      <c r="L21" t="b">
        <v>0</v>
      </c>
      <c r="M21" t="b">
        <v>0</v>
      </c>
      <c r="N21" s="28" t="s">
        <v>121</v>
      </c>
    </row>
    <row r="22" spans="1:14" x14ac:dyDescent="0.25">
      <c r="A22" s="2" t="s">
        <v>10</v>
      </c>
      <c r="B22" s="2" t="s">
        <v>160</v>
      </c>
      <c r="C22" s="41" t="str">
        <f>"=1 if the study uses data from a survey."</f>
        <v>=1 if the study uses data from a survey.</v>
      </c>
      <c r="D22" t="s">
        <v>75</v>
      </c>
      <c r="E22">
        <v>14</v>
      </c>
      <c r="F22" t="s">
        <v>121</v>
      </c>
      <c r="G22" s="28" t="b">
        <v>1</v>
      </c>
      <c r="H22" s="28" t="b">
        <v>1</v>
      </c>
      <c r="I22">
        <v>1</v>
      </c>
      <c r="K22" t="b">
        <v>1</v>
      </c>
      <c r="L22" t="b">
        <v>0</v>
      </c>
      <c r="M22" t="b">
        <v>0</v>
      </c>
      <c r="N22" s="28" t="s">
        <v>122</v>
      </c>
    </row>
    <row r="23" spans="1:14" x14ac:dyDescent="0.25">
      <c r="A23" s="2" t="s">
        <v>11</v>
      </c>
      <c r="B23" s="2" t="s">
        <v>159</v>
      </c>
      <c r="C23" s="41" t="str">
        <f>"=1 if the study uses data from a national register (reference category)."</f>
        <v>=1 if the study uses data from a national register (reference category).</v>
      </c>
      <c r="D23" t="s">
        <v>75</v>
      </c>
      <c r="E23">
        <v>14</v>
      </c>
      <c r="F23" t="s">
        <v>121</v>
      </c>
      <c r="G23" s="28" t="b">
        <v>1</v>
      </c>
      <c r="H23" s="28" t="b">
        <v>1</v>
      </c>
      <c r="I23">
        <v>1</v>
      </c>
      <c r="K23" t="b">
        <v>0</v>
      </c>
      <c r="L23" t="b">
        <v>1</v>
      </c>
      <c r="M23" t="b">
        <v>0</v>
      </c>
      <c r="N23" s="28" t="s">
        <v>121</v>
      </c>
    </row>
    <row r="24" spans="1:14" x14ac:dyDescent="0.25">
      <c r="A24" s="2" t="s">
        <v>12</v>
      </c>
      <c r="B24" s="2" t="s">
        <v>136</v>
      </c>
      <c r="C24" s="41" t="str">
        <f>"=1 if the study uses cross-sectional data."</f>
        <v>=1 if the study uses cross-sectional data.</v>
      </c>
      <c r="D24" t="s">
        <v>75</v>
      </c>
      <c r="E24">
        <v>15</v>
      </c>
      <c r="F24" t="s">
        <v>121</v>
      </c>
      <c r="G24" s="28" t="b">
        <v>1</v>
      </c>
      <c r="H24" s="28" t="b">
        <v>1</v>
      </c>
      <c r="I24">
        <v>1</v>
      </c>
      <c r="K24" t="b">
        <v>1</v>
      </c>
      <c r="L24" t="b">
        <v>0</v>
      </c>
      <c r="M24" t="b">
        <v>0</v>
      </c>
      <c r="N24" s="28" t="s">
        <v>122</v>
      </c>
    </row>
    <row r="25" spans="1:14" x14ac:dyDescent="0.25">
      <c r="A25" s="2" t="s">
        <v>13</v>
      </c>
      <c r="B25" s="2" t="s">
        <v>137</v>
      </c>
      <c r="C25" s="41" t="str">
        <f>"=1 if the study uses panel data (reference category)."</f>
        <v>=1 if the study uses panel data (reference category).</v>
      </c>
      <c r="D25" t="s">
        <v>75</v>
      </c>
      <c r="E25">
        <v>15</v>
      </c>
      <c r="F25" t="s">
        <v>121</v>
      </c>
      <c r="G25" s="28" t="b">
        <v>1</v>
      </c>
      <c r="H25" s="28" t="b">
        <v>1</v>
      </c>
      <c r="I25">
        <v>1</v>
      </c>
      <c r="K25" t="b">
        <v>0</v>
      </c>
      <c r="L25" t="b">
        <v>1</v>
      </c>
      <c r="M25" t="b">
        <v>0</v>
      </c>
      <c r="N25" s="28" t="s">
        <v>121</v>
      </c>
    </row>
    <row r="26" spans="1:14" x14ac:dyDescent="0.25">
      <c r="A26" s="2" t="s">
        <v>18</v>
      </c>
      <c r="B26" s="2" t="s">
        <v>161</v>
      </c>
      <c r="C26" s="41" t="s">
        <v>169</v>
      </c>
      <c r="D26" t="s">
        <v>77</v>
      </c>
      <c r="E26">
        <v>16</v>
      </c>
      <c r="F26" t="s">
        <v>123</v>
      </c>
      <c r="G26" s="28" t="b">
        <v>1</v>
      </c>
      <c r="H26" s="28" t="b">
        <v>1</v>
      </c>
      <c r="J26" s="12" t="s">
        <v>123</v>
      </c>
      <c r="K26" t="b">
        <v>0</v>
      </c>
      <c r="L26" t="b">
        <v>0</v>
      </c>
      <c r="M26" t="b">
        <v>0</v>
      </c>
      <c r="N26" s="28" t="s">
        <v>121</v>
      </c>
    </row>
    <row r="27" spans="1:14" x14ac:dyDescent="0.25">
      <c r="A27" s="26" t="s">
        <v>40</v>
      </c>
      <c r="B27" s="3" t="s">
        <v>192</v>
      </c>
      <c r="C27" s="47" t="s">
        <v>174</v>
      </c>
      <c r="D27" t="s">
        <v>79</v>
      </c>
      <c r="E27">
        <v>17</v>
      </c>
      <c r="F27" t="s">
        <v>122</v>
      </c>
      <c r="G27" s="28" t="b">
        <v>1</v>
      </c>
      <c r="H27" s="28" t="b">
        <v>1</v>
      </c>
      <c r="J27" s="12">
        <v>0.5</v>
      </c>
      <c r="K27" t="b">
        <v>0</v>
      </c>
      <c r="L27" t="b">
        <v>0</v>
      </c>
      <c r="M27" t="b">
        <v>0</v>
      </c>
      <c r="N27" s="28" t="s">
        <v>121</v>
      </c>
    </row>
    <row r="28" spans="1:14" x14ac:dyDescent="0.25">
      <c r="A28" s="26" t="s">
        <v>39</v>
      </c>
      <c r="B28" s="3" t="s">
        <v>193</v>
      </c>
      <c r="C28" s="47" t="s">
        <v>173</v>
      </c>
      <c r="D28" t="s">
        <v>79</v>
      </c>
      <c r="E28">
        <v>17</v>
      </c>
      <c r="F28" t="s">
        <v>122</v>
      </c>
      <c r="G28" s="28" t="b">
        <v>0</v>
      </c>
      <c r="H28" s="28" t="b">
        <v>0</v>
      </c>
      <c r="K28" t="b">
        <v>0</v>
      </c>
      <c r="L28" t="b">
        <v>1</v>
      </c>
      <c r="M28" t="b">
        <v>0</v>
      </c>
      <c r="N28" s="28" t="s">
        <v>121</v>
      </c>
    </row>
    <row r="29" spans="1:14" x14ac:dyDescent="0.25">
      <c r="A29" s="26" t="s">
        <v>3</v>
      </c>
      <c r="B29" s="3" t="s">
        <v>143</v>
      </c>
      <c r="C29" s="47" t="s">
        <v>172</v>
      </c>
      <c r="D29" t="s">
        <v>79</v>
      </c>
      <c r="E29">
        <v>18</v>
      </c>
      <c r="F29" t="s">
        <v>122</v>
      </c>
      <c r="G29" s="28" t="b">
        <v>1</v>
      </c>
      <c r="H29" s="28" t="b">
        <v>1</v>
      </c>
      <c r="J29" s="12">
        <v>0.5</v>
      </c>
      <c r="K29" t="b">
        <v>1</v>
      </c>
      <c r="L29" t="b">
        <v>0</v>
      </c>
      <c r="M29" t="b">
        <v>0</v>
      </c>
      <c r="N29" s="28" t="s">
        <v>122</v>
      </c>
    </row>
    <row r="30" spans="1:14" x14ac:dyDescent="0.25">
      <c r="A30" s="26" t="s">
        <v>4</v>
      </c>
      <c r="B30" s="3" t="s">
        <v>144</v>
      </c>
      <c r="C30" s="47" t="s">
        <v>171</v>
      </c>
      <c r="D30" t="s">
        <v>79</v>
      </c>
      <c r="E30">
        <v>18</v>
      </c>
      <c r="F30" t="s">
        <v>122</v>
      </c>
      <c r="G30" s="28" t="b">
        <v>0</v>
      </c>
      <c r="H30" s="28" t="b">
        <v>0</v>
      </c>
      <c r="K30" t="b">
        <v>0</v>
      </c>
      <c r="L30" t="b">
        <v>1</v>
      </c>
      <c r="M30" t="b">
        <v>0</v>
      </c>
      <c r="N30" s="28" t="s">
        <v>121</v>
      </c>
    </row>
    <row r="31" spans="1:14" x14ac:dyDescent="0.25">
      <c r="A31" s="26" t="s">
        <v>293</v>
      </c>
      <c r="B31" s="3" t="s">
        <v>295</v>
      </c>
      <c r="C31" s="47" t="s">
        <v>300</v>
      </c>
      <c r="D31" t="s">
        <v>79</v>
      </c>
      <c r="E31">
        <v>19</v>
      </c>
      <c r="F31" t="s">
        <v>122</v>
      </c>
      <c r="G31" s="28" t="b">
        <v>1</v>
      </c>
      <c r="H31" s="28" t="b">
        <v>1</v>
      </c>
      <c r="J31" s="12">
        <v>0.5</v>
      </c>
      <c r="K31" t="b">
        <v>0</v>
      </c>
      <c r="L31" t="b">
        <v>0</v>
      </c>
      <c r="M31" t="b">
        <v>0</v>
      </c>
      <c r="N31" s="28" t="s">
        <v>121</v>
      </c>
    </row>
    <row r="32" spans="1:14" x14ac:dyDescent="0.25">
      <c r="A32" s="26" t="s">
        <v>294</v>
      </c>
      <c r="B32" s="3" t="s">
        <v>296</v>
      </c>
      <c r="C32" s="47" t="s">
        <v>301</v>
      </c>
      <c r="D32" t="s">
        <v>79</v>
      </c>
      <c r="E32">
        <v>19</v>
      </c>
      <c r="F32" t="s">
        <v>122</v>
      </c>
      <c r="G32" s="28" t="b">
        <v>0</v>
      </c>
      <c r="H32" s="28" t="b">
        <v>0</v>
      </c>
      <c r="K32" t="b">
        <v>0</v>
      </c>
      <c r="L32" t="b">
        <v>1</v>
      </c>
      <c r="M32" t="b">
        <v>0</v>
      </c>
      <c r="N32" s="28" t="s">
        <v>121</v>
      </c>
    </row>
    <row r="33" spans="1:14" x14ac:dyDescent="0.25">
      <c r="A33" s="26" t="s">
        <v>14</v>
      </c>
      <c r="B33" s="3" t="s">
        <v>145</v>
      </c>
      <c r="C33" s="47" t="s">
        <v>175</v>
      </c>
      <c r="D33" t="s">
        <v>79</v>
      </c>
      <c r="E33">
        <v>20</v>
      </c>
      <c r="F33" t="s">
        <v>122</v>
      </c>
      <c r="G33" s="28" t="b">
        <v>1</v>
      </c>
      <c r="H33" s="28" t="b">
        <v>1</v>
      </c>
      <c r="J33" s="12">
        <v>0.5</v>
      </c>
      <c r="K33" t="b">
        <v>1</v>
      </c>
      <c r="L33" t="b">
        <v>0</v>
      </c>
      <c r="M33" t="b">
        <v>0</v>
      </c>
      <c r="N33" s="28" t="s">
        <v>122</v>
      </c>
    </row>
    <row r="34" spans="1:14" x14ac:dyDescent="0.25">
      <c r="A34" s="26" t="s">
        <v>15</v>
      </c>
      <c r="B34" s="3" t="s">
        <v>146</v>
      </c>
      <c r="C34" s="47" t="s">
        <v>176</v>
      </c>
      <c r="D34" t="s">
        <v>79</v>
      </c>
      <c r="E34">
        <v>20</v>
      </c>
      <c r="F34" t="s">
        <v>122</v>
      </c>
      <c r="G34" s="28" t="b">
        <v>0</v>
      </c>
      <c r="H34" s="28" t="b">
        <v>0</v>
      </c>
      <c r="K34" t="b">
        <v>0</v>
      </c>
      <c r="L34" t="b">
        <v>1</v>
      </c>
      <c r="M34" t="b">
        <v>0</v>
      </c>
      <c r="N34" s="28" t="s">
        <v>121</v>
      </c>
    </row>
    <row r="35" spans="1:14" x14ac:dyDescent="0.25">
      <c r="A35" s="26" t="s">
        <v>289</v>
      </c>
      <c r="B35" s="3" t="s">
        <v>291</v>
      </c>
      <c r="C35" s="47" t="s">
        <v>302</v>
      </c>
      <c r="D35" t="s">
        <v>79</v>
      </c>
      <c r="E35">
        <v>21</v>
      </c>
      <c r="F35" t="s">
        <v>122</v>
      </c>
      <c r="G35" s="28" t="b">
        <v>1</v>
      </c>
      <c r="H35" s="28" t="b">
        <v>1</v>
      </c>
      <c r="J35" s="12">
        <v>0.5</v>
      </c>
      <c r="K35" t="b">
        <v>1</v>
      </c>
      <c r="L35" t="b">
        <v>0</v>
      </c>
      <c r="M35" t="b">
        <v>0</v>
      </c>
      <c r="N35" s="28" t="s">
        <v>122</v>
      </c>
    </row>
    <row r="36" spans="1:14" x14ac:dyDescent="0.25">
      <c r="A36" s="26" t="s">
        <v>290</v>
      </c>
      <c r="B36" s="3" t="s">
        <v>292</v>
      </c>
      <c r="C36" s="47" t="s">
        <v>303</v>
      </c>
      <c r="D36" t="s">
        <v>79</v>
      </c>
      <c r="E36">
        <v>21</v>
      </c>
      <c r="F36" t="s">
        <v>122</v>
      </c>
      <c r="G36" s="28" t="b">
        <v>1</v>
      </c>
      <c r="H36" s="28" t="b">
        <v>0</v>
      </c>
      <c r="K36" t="b">
        <v>0</v>
      </c>
      <c r="L36" t="b">
        <v>1</v>
      </c>
      <c r="M36" t="b">
        <v>0</v>
      </c>
      <c r="N36" s="28" t="s">
        <v>121</v>
      </c>
    </row>
    <row r="37" spans="1:14" x14ac:dyDescent="0.25">
      <c r="A37" s="26" t="s">
        <v>305</v>
      </c>
      <c r="B37" s="3" t="s">
        <v>298</v>
      </c>
      <c r="C37" s="47" t="s">
        <v>309</v>
      </c>
      <c r="D37" t="s">
        <v>79</v>
      </c>
      <c r="E37">
        <v>22</v>
      </c>
      <c r="F37" t="s">
        <v>122</v>
      </c>
      <c r="G37" s="28" t="b">
        <v>1</v>
      </c>
      <c r="H37" s="28" t="b">
        <v>1</v>
      </c>
      <c r="J37" s="12">
        <v>0.5</v>
      </c>
      <c r="K37" t="b">
        <v>1</v>
      </c>
      <c r="L37" t="b">
        <v>0</v>
      </c>
      <c r="M37" t="b">
        <v>0</v>
      </c>
      <c r="N37" s="28" t="s">
        <v>122</v>
      </c>
    </row>
    <row r="38" spans="1:14" x14ac:dyDescent="0.25">
      <c r="A38" s="26" t="s">
        <v>306</v>
      </c>
      <c r="B38" s="3" t="s">
        <v>299</v>
      </c>
      <c r="C38" s="47" t="s">
        <v>310</v>
      </c>
      <c r="D38" t="s">
        <v>79</v>
      </c>
      <c r="E38">
        <v>22</v>
      </c>
      <c r="F38" t="s">
        <v>122</v>
      </c>
      <c r="G38" s="28" t="b">
        <v>1</v>
      </c>
      <c r="H38" s="28" t="b">
        <v>1</v>
      </c>
      <c r="J38" s="12">
        <v>0.5</v>
      </c>
      <c r="K38" t="b">
        <v>1</v>
      </c>
      <c r="L38" t="b">
        <v>0</v>
      </c>
      <c r="M38" t="b">
        <v>0</v>
      </c>
      <c r="N38" s="28" t="s">
        <v>122</v>
      </c>
    </row>
    <row r="39" spans="1:14" x14ac:dyDescent="0.25">
      <c r="A39" s="26" t="s">
        <v>307</v>
      </c>
      <c r="B39" s="3" t="s">
        <v>308</v>
      </c>
      <c r="C39" s="47" t="s">
        <v>311</v>
      </c>
      <c r="D39" t="s">
        <v>79</v>
      </c>
      <c r="E39">
        <v>22</v>
      </c>
      <c r="F39" t="s">
        <v>122</v>
      </c>
      <c r="G39" s="28" t="b">
        <v>1</v>
      </c>
      <c r="H39" s="28" t="b">
        <v>1</v>
      </c>
      <c r="J39" s="12">
        <v>0.5</v>
      </c>
      <c r="K39" t="b">
        <v>0</v>
      </c>
      <c r="L39" t="b">
        <v>1</v>
      </c>
      <c r="M39" t="b">
        <v>0</v>
      </c>
      <c r="N39" s="28" t="s">
        <v>121</v>
      </c>
    </row>
    <row r="40" spans="1:14" x14ac:dyDescent="0.25">
      <c r="A40" s="26" t="s">
        <v>5</v>
      </c>
      <c r="B40" s="3" t="s">
        <v>68</v>
      </c>
      <c r="C40" s="47" t="s">
        <v>177</v>
      </c>
      <c r="D40" t="s">
        <v>84</v>
      </c>
      <c r="E40">
        <v>23</v>
      </c>
      <c r="F40" t="s">
        <v>121</v>
      </c>
      <c r="G40" s="28" t="b">
        <v>0</v>
      </c>
      <c r="H40" s="28" t="b">
        <v>0</v>
      </c>
      <c r="K40" t="b">
        <v>0</v>
      </c>
      <c r="L40" t="b">
        <v>0</v>
      </c>
      <c r="M40" t="b">
        <v>0</v>
      </c>
      <c r="N40" s="28" t="s">
        <v>121</v>
      </c>
    </row>
    <row r="41" spans="1:14" x14ac:dyDescent="0.25">
      <c r="A41" s="26" t="s">
        <v>17</v>
      </c>
      <c r="B41" s="3" t="s">
        <v>147</v>
      </c>
      <c r="C41" s="47" t="str">
        <f>"=1 if the study was conducted in a high income country (reference category)"</f>
        <v>=1 if the study was conducted in a high income country (reference category)</v>
      </c>
      <c r="D41" t="s">
        <v>75</v>
      </c>
      <c r="E41">
        <v>24</v>
      </c>
      <c r="F41" t="s">
        <v>121</v>
      </c>
      <c r="G41" s="28" t="b">
        <v>1</v>
      </c>
      <c r="H41" s="28" t="b">
        <v>1</v>
      </c>
      <c r="I41">
        <v>1</v>
      </c>
      <c r="K41" t="b">
        <v>0</v>
      </c>
      <c r="L41" t="b">
        <v>1</v>
      </c>
      <c r="M41" t="b">
        <v>0</v>
      </c>
      <c r="N41" s="28" t="s">
        <v>121</v>
      </c>
    </row>
    <row r="42" spans="1:14" x14ac:dyDescent="0.25">
      <c r="A42" s="26" t="s">
        <v>16</v>
      </c>
      <c r="B42" s="3" t="s">
        <v>148</v>
      </c>
      <c r="C42" s="47" t="str">
        <f>"=1 if the study was conducted in a middle income country"</f>
        <v>=1 if the study was conducted in a middle income country</v>
      </c>
      <c r="D42" t="s">
        <v>75</v>
      </c>
      <c r="E42">
        <v>24</v>
      </c>
      <c r="F42" t="s">
        <v>121</v>
      </c>
      <c r="G42" s="28" t="b">
        <v>1</v>
      </c>
      <c r="H42" s="28" t="b">
        <v>1</v>
      </c>
      <c r="I42">
        <v>1</v>
      </c>
      <c r="K42" t="b">
        <v>0</v>
      </c>
      <c r="L42" t="b">
        <v>0</v>
      </c>
      <c r="M42" t="b">
        <v>0</v>
      </c>
      <c r="N42" s="28" t="s">
        <v>121</v>
      </c>
    </row>
    <row r="43" spans="1:14" x14ac:dyDescent="0.25">
      <c r="A43" s="26" t="s">
        <v>19</v>
      </c>
      <c r="B43" s="3" t="s">
        <v>92</v>
      </c>
      <c r="C43" s="47" t="s">
        <v>178</v>
      </c>
      <c r="D43" t="s">
        <v>77</v>
      </c>
      <c r="E43">
        <v>25</v>
      </c>
      <c r="F43" t="s">
        <v>123</v>
      </c>
      <c r="G43" s="28" t="b">
        <v>1</v>
      </c>
      <c r="H43" s="28" t="b">
        <v>1</v>
      </c>
      <c r="J43" s="12" t="s">
        <v>123</v>
      </c>
      <c r="K43" t="b">
        <v>0</v>
      </c>
      <c r="L43" t="b">
        <v>0</v>
      </c>
      <c r="M43" t="b">
        <v>0</v>
      </c>
      <c r="N43" s="28" t="s">
        <v>121</v>
      </c>
    </row>
    <row r="44" spans="1:14" x14ac:dyDescent="0.25">
      <c r="A44" s="26" t="s">
        <v>20</v>
      </c>
      <c r="B44" s="3" t="s">
        <v>93</v>
      </c>
      <c r="C44" s="47" t="s">
        <v>179</v>
      </c>
      <c r="D44" t="s">
        <v>77</v>
      </c>
      <c r="E44">
        <v>26</v>
      </c>
      <c r="F44" t="s">
        <v>123</v>
      </c>
      <c r="G44" s="28" t="b">
        <v>1</v>
      </c>
      <c r="H44" s="28" t="b">
        <v>1</v>
      </c>
      <c r="J44" s="12" t="s">
        <v>123</v>
      </c>
      <c r="K44" t="b">
        <v>0</v>
      </c>
      <c r="L44" t="b">
        <v>0</v>
      </c>
      <c r="M44" t="b">
        <v>0</v>
      </c>
      <c r="N44" s="28" t="s">
        <v>121</v>
      </c>
    </row>
    <row r="45" spans="1:14" x14ac:dyDescent="0.25">
      <c r="A45" s="26" t="s">
        <v>129</v>
      </c>
      <c r="B45" s="3" t="s">
        <v>130</v>
      </c>
      <c r="C45" s="47" t="s">
        <v>180</v>
      </c>
      <c r="D45" t="s">
        <v>77</v>
      </c>
      <c r="E45">
        <v>27</v>
      </c>
      <c r="F45" t="s">
        <v>123</v>
      </c>
      <c r="G45" s="28" t="b">
        <v>1</v>
      </c>
      <c r="H45" s="28" t="b">
        <v>1</v>
      </c>
      <c r="J45" s="12" t="s">
        <v>123</v>
      </c>
      <c r="K45" t="b">
        <v>0</v>
      </c>
      <c r="L45" t="b">
        <v>0</v>
      </c>
      <c r="M45" t="b">
        <v>0</v>
      </c>
      <c r="N45" s="28" t="s">
        <v>121</v>
      </c>
    </row>
    <row r="46" spans="1:14" x14ac:dyDescent="0.25">
      <c r="A46" s="26" t="s">
        <v>21</v>
      </c>
      <c r="B46" s="3" t="s">
        <v>132</v>
      </c>
      <c r="C46" s="47" t="s">
        <v>181</v>
      </c>
      <c r="D46" t="s">
        <v>77</v>
      </c>
      <c r="E46">
        <v>28</v>
      </c>
      <c r="F46" t="s">
        <v>123</v>
      </c>
      <c r="G46" s="28" t="b">
        <v>1</v>
      </c>
      <c r="H46" s="28" t="b">
        <v>1</v>
      </c>
      <c r="J46" s="12" t="s">
        <v>123</v>
      </c>
      <c r="K46" t="b">
        <v>1</v>
      </c>
      <c r="L46" t="b">
        <v>0</v>
      </c>
      <c r="M46" t="b">
        <v>1</v>
      </c>
      <c r="N46" s="28" t="s">
        <v>122</v>
      </c>
    </row>
    <row r="47" spans="1:14" x14ac:dyDescent="0.25">
      <c r="A47" s="4" t="s">
        <v>22</v>
      </c>
      <c r="B47" s="4" t="s">
        <v>149</v>
      </c>
      <c r="C47" s="42" t="str">
        <f>"=1 if the authors use Ordinary least squares  (reference category)."</f>
        <v>=1 if the authors use Ordinary least squares  (reference category).</v>
      </c>
      <c r="D47" t="s">
        <v>75</v>
      </c>
      <c r="E47">
        <v>29</v>
      </c>
      <c r="F47" t="s">
        <v>121</v>
      </c>
      <c r="G47" s="28" t="b">
        <v>1</v>
      </c>
      <c r="H47" s="28" t="b">
        <v>1</v>
      </c>
      <c r="I47">
        <v>1</v>
      </c>
      <c r="K47" t="b">
        <v>0</v>
      </c>
      <c r="L47" t="b">
        <v>1</v>
      </c>
      <c r="M47" t="b">
        <v>0</v>
      </c>
      <c r="N47" s="28" t="s">
        <v>121</v>
      </c>
    </row>
    <row r="48" spans="1:14" x14ac:dyDescent="0.25">
      <c r="A48" s="4" t="s">
        <v>314</v>
      </c>
      <c r="B48" s="4" t="s">
        <v>316</v>
      </c>
      <c r="C48" s="42" t="str">
        <f>"=1 if the authors use Generalized Least Squares."</f>
        <v>=1 if the authors use Generalized Least Squares.</v>
      </c>
      <c r="D48" t="s">
        <v>75</v>
      </c>
      <c r="E48">
        <v>29</v>
      </c>
      <c r="F48" t="s">
        <v>121</v>
      </c>
      <c r="G48" s="28" t="b">
        <v>1</v>
      </c>
      <c r="H48" s="28" t="b">
        <v>1</v>
      </c>
      <c r="I48">
        <v>1</v>
      </c>
      <c r="K48" t="b">
        <v>1</v>
      </c>
      <c r="L48" t="b">
        <v>0</v>
      </c>
      <c r="M48" t="b">
        <v>0</v>
      </c>
      <c r="N48" s="28" t="s">
        <v>122</v>
      </c>
    </row>
    <row r="49" spans="1:14" x14ac:dyDescent="0.25">
      <c r="A49" s="4" t="s">
        <v>312</v>
      </c>
      <c r="B49" s="4" t="s">
        <v>313</v>
      </c>
      <c r="C49" s="42" t="str">
        <f>"=1 if the authors use  Selection-effects or Fixed-effects estimation."</f>
        <v>=1 if the authors use  Selection-effects or Fixed-effects estimation.</v>
      </c>
      <c r="D49" t="s">
        <v>75</v>
      </c>
      <c r="E49">
        <v>29</v>
      </c>
      <c r="F49" t="s">
        <v>121</v>
      </c>
      <c r="G49" s="28" t="b">
        <v>1</v>
      </c>
      <c r="H49" s="28" t="b">
        <v>1</v>
      </c>
      <c r="I49">
        <v>1</v>
      </c>
      <c r="K49" t="b">
        <v>1</v>
      </c>
      <c r="L49" t="b">
        <v>0</v>
      </c>
      <c r="M49" t="b">
        <v>0</v>
      </c>
      <c r="N49" s="28" t="s">
        <v>122</v>
      </c>
    </row>
    <row r="50" spans="1:14" x14ac:dyDescent="0.25">
      <c r="A50" s="4" t="s">
        <v>286</v>
      </c>
      <c r="B50" s="4" t="s">
        <v>287</v>
      </c>
      <c r="C50" s="42" t="str">
        <f>"=1 if the authors use First Differences."</f>
        <v>=1 if the authors use First Differences.</v>
      </c>
      <c r="D50" t="s">
        <v>75</v>
      </c>
      <c r="E50">
        <v>29</v>
      </c>
      <c r="F50" t="s">
        <v>121</v>
      </c>
      <c r="G50" s="28" t="b">
        <v>1</v>
      </c>
      <c r="H50" s="28" t="b">
        <v>1</v>
      </c>
      <c r="I50">
        <v>1</v>
      </c>
      <c r="K50" t="b">
        <v>1</v>
      </c>
      <c r="L50" t="b">
        <v>0</v>
      </c>
      <c r="M50" t="b">
        <v>0</v>
      </c>
      <c r="N50" s="28" t="s">
        <v>122</v>
      </c>
    </row>
    <row r="51" spans="1:14" x14ac:dyDescent="0.25">
      <c r="A51" s="4" t="s">
        <v>315</v>
      </c>
      <c r="B51" s="4" t="s">
        <v>317</v>
      </c>
      <c r="C51" s="42" t="str">
        <f>"=1 if the authors use First-Differenced IV estimation."</f>
        <v>=1 if the authors use First-Differenced IV estimation.</v>
      </c>
      <c r="D51" t="s">
        <v>75</v>
      </c>
      <c r="E51">
        <v>29</v>
      </c>
      <c r="F51" t="s">
        <v>121</v>
      </c>
      <c r="G51" s="28" t="b">
        <v>1</v>
      </c>
      <c r="H51" s="28" t="b">
        <v>1</v>
      </c>
      <c r="I51">
        <v>1</v>
      </c>
      <c r="K51" t="b">
        <v>1</v>
      </c>
      <c r="L51" t="b">
        <v>0</v>
      </c>
      <c r="M51" t="b">
        <v>0</v>
      </c>
      <c r="N51" s="28" t="s">
        <v>122</v>
      </c>
    </row>
    <row r="52" spans="1:14" x14ac:dyDescent="0.25">
      <c r="A52" s="4" t="s">
        <v>341</v>
      </c>
      <c r="B52" s="4" t="s">
        <v>342</v>
      </c>
      <c r="C52" s="42" t="str">
        <f>"=1 if the authors use Instrumental variables estimation."</f>
        <v>=1 if the authors use Instrumental variables estimation.</v>
      </c>
      <c r="D52" t="s">
        <v>75</v>
      </c>
      <c r="E52">
        <v>29</v>
      </c>
      <c r="F52" t="s">
        <v>121</v>
      </c>
      <c r="G52" s="28" t="b">
        <v>1</v>
      </c>
      <c r="H52" s="28" t="b">
        <v>1</v>
      </c>
      <c r="I52">
        <v>1</v>
      </c>
      <c r="K52" t="b">
        <v>1</v>
      </c>
      <c r="L52" t="b">
        <v>0</v>
      </c>
      <c r="M52" t="b">
        <v>0</v>
      </c>
      <c r="N52" s="28" t="s">
        <v>122</v>
      </c>
    </row>
    <row r="53" spans="1:14" x14ac:dyDescent="0.25">
      <c r="A53" s="4" t="s">
        <v>284</v>
      </c>
      <c r="B53" s="4" t="s">
        <v>285</v>
      </c>
      <c r="C53" s="42" t="str">
        <f>"=1 if the authors use sibling's education as an instrument in the regression."</f>
        <v>=1 if the authors use sibling's education as an instrument in the regression.</v>
      </c>
      <c r="D53" t="s">
        <v>76</v>
      </c>
      <c r="E53">
        <v>30</v>
      </c>
      <c r="F53" t="s">
        <v>121</v>
      </c>
      <c r="G53" s="28" t="b">
        <v>1</v>
      </c>
      <c r="H53" s="28" t="b">
        <v>1</v>
      </c>
      <c r="I53">
        <v>1</v>
      </c>
      <c r="K53" t="b">
        <v>0</v>
      </c>
      <c r="L53" t="b">
        <v>0</v>
      </c>
      <c r="M53" t="b">
        <v>0</v>
      </c>
      <c r="N53" s="28" t="s">
        <v>121</v>
      </c>
    </row>
    <row r="54" spans="1:14" x14ac:dyDescent="0.25">
      <c r="A54" s="4" t="s">
        <v>319</v>
      </c>
      <c r="B54" s="4" t="s">
        <v>320</v>
      </c>
      <c r="C54" s="42" t="str">
        <f>"=1 if the authors smoking as an instrument in the regression."</f>
        <v>=1 if the authors smoking as an instrument in the regression.</v>
      </c>
      <c r="D54" t="s">
        <v>76</v>
      </c>
      <c r="E54">
        <v>30</v>
      </c>
      <c r="F54" t="s">
        <v>121</v>
      </c>
      <c r="G54" s="28" t="b">
        <v>1</v>
      </c>
      <c r="H54" s="28" t="b">
        <v>1</v>
      </c>
      <c r="I54">
        <v>1</v>
      </c>
      <c r="K54" t="b">
        <v>0</v>
      </c>
      <c r="L54" t="b">
        <v>0</v>
      </c>
      <c r="M54" t="b">
        <v>0</v>
      </c>
      <c r="N54" s="28" t="s">
        <v>121</v>
      </c>
    </row>
    <row r="55" spans="1:14" x14ac:dyDescent="0.25">
      <c r="A55" s="4" t="s">
        <v>338</v>
      </c>
      <c r="B55" s="4" t="s">
        <v>339</v>
      </c>
      <c r="C55" s="42" t="str">
        <f>"=1 if the authors use another instrument in the regression."</f>
        <v>=1 if the authors use another instrument in the regression.</v>
      </c>
      <c r="D55" t="s">
        <v>76</v>
      </c>
      <c r="E55">
        <v>30</v>
      </c>
      <c r="F55" t="s">
        <v>121</v>
      </c>
      <c r="G55" s="28" t="b">
        <v>1</v>
      </c>
      <c r="H55" s="28" t="b">
        <v>1</v>
      </c>
      <c r="I55">
        <v>1</v>
      </c>
      <c r="K55" t="b">
        <v>0</v>
      </c>
      <c r="L55" t="b">
        <v>0</v>
      </c>
      <c r="M55" t="b">
        <v>0</v>
      </c>
      <c r="N55" s="28" t="s">
        <v>121</v>
      </c>
    </row>
    <row r="56" spans="1:14" x14ac:dyDescent="0.25">
      <c r="A56" s="4" t="s">
        <v>23</v>
      </c>
      <c r="B56" s="4" t="s">
        <v>150</v>
      </c>
      <c r="C56" s="42" t="str">
        <f>"=1 if the authors control for age in the regression."</f>
        <v>=1 if the authors control for age in the regression.</v>
      </c>
      <c r="D56" t="s">
        <v>76</v>
      </c>
      <c r="E56">
        <v>31</v>
      </c>
      <c r="F56" t="s">
        <v>121</v>
      </c>
      <c r="G56" s="28" t="b">
        <v>1</v>
      </c>
      <c r="H56" s="28" t="b">
        <v>1</v>
      </c>
      <c r="I56">
        <v>1</v>
      </c>
      <c r="K56" t="b">
        <v>1</v>
      </c>
      <c r="L56" t="b">
        <v>0</v>
      </c>
      <c r="M56" t="b">
        <v>0</v>
      </c>
      <c r="N56" s="28" t="s">
        <v>122</v>
      </c>
    </row>
    <row r="57" spans="1:14" x14ac:dyDescent="0.25">
      <c r="A57" s="4" t="s">
        <v>24</v>
      </c>
      <c r="B57" s="4" t="s">
        <v>158</v>
      </c>
      <c r="C57" s="42" t="str">
        <f>"=1 if the authors control for age in quadratic form in the regression."</f>
        <v>=1 if the authors control for age in quadratic form in the regression.</v>
      </c>
      <c r="D57" t="s">
        <v>76</v>
      </c>
      <c r="E57">
        <v>31</v>
      </c>
      <c r="F57" t="s">
        <v>121</v>
      </c>
      <c r="G57" s="28" t="b">
        <v>1</v>
      </c>
      <c r="H57" s="28" t="b">
        <v>1</v>
      </c>
      <c r="I57">
        <v>1</v>
      </c>
      <c r="K57" t="b">
        <v>1</v>
      </c>
      <c r="L57" t="b">
        <v>0</v>
      </c>
      <c r="M57" t="b">
        <v>0</v>
      </c>
      <c r="N57" s="28" t="s">
        <v>122</v>
      </c>
    </row>
    <row r="58" spans="1:14" x14ac:dyDescent="0.25">
      <c r="A58" s="4" t="s">
        <v>25</v>
      </c>
      <c r="B58" s="4" t="s">
        <v>151</v>
      </c>
      <c r="C58" s="42" t="str">
        <f>"=1 if the authors control for experience in the regression."</f>
        <v>=1 if the authors control for experience in the regression.</v>
      </c>
      <c r="D58" t="s">
        <v>76</v>
      </c>
      <c r="E58">
        <v>31</v>
      </c>
      <c r="F58" t="s">
        <v>121</v>
      </c>
      <c r="G58" s="28" t="b">
        <v>1</v>
      </c>
      <c r="H58" s="28" t="b">
        <v>1</v>
      </c>
      <c r="I58">
        <v>1</v>
      </c>
      <c r="K58" t="b">
        <v>1</v>
      </c>
      <c r="L58" t="b">
        <v>0</v>
      </c>
      <c r="M58" t="b">
        <v>0</v>
      </c>
      <c r="N58" s="28" t="s">
        <v>122</v>
      </c>
    </row>
    <row r="59" spans="1:14" x14ac:dyDescent="0.25">
      <c r="A59" s="4" t="s">
        <v>26</v>
      </c>
      <c r="B59" s="4" t="s">
        <v>152</v>
      </c>
      <c r="C59" s="42" t="str">
        <f>"=1 if the authors control for ethnicity in the regression."</f>
        <v>=1 if the authors control for ethnicity in the regression.</v>
      </c>
      <c r="D59" t="s">
        <v>76</v>
      </c>
      <c r="E59">
        <v>31</v>
      </c>
      <c r="F59" t="s">
        <v>121</v>
      </c>
      <c r="G59" s="28" t="b">
        <v>1</v>
      </c>
      <c r="H59" s="28" t="b">
        <v>1</v>
      </c>
      <c r="I59">
        <v>1</v>
      </c>
      <c r="K59" t="b">
        <v>1</v>
      </c>
      <c r="L59" t="b">
        <v>0</v>
      </c>
      <c r="M59" t="b">
        <v>0</v>
      </c>
      <c r="N59" s="28" t="s">
        <v>122</v>
      </c>
    </row>
    <row r="60" spans="1:14" x14ac:dyDescent="0.25">
      <c r="A60" s="4" t="s">
        <v>27</v>
      </c>
      <c r="B60" s="4" t="s">
        <v>153</v>
      </c>
      <c r="C60" s="42" t="str">
        <f>"=1 if the authors control for gender in the regression."</f>
        <v>=1 if the authors control for gender in the regression.</v>
      </c>
      <c r="D60" t="s">
        <v>76</v>
      </c>
      <c r="E60">
        <v>31</v>
      </c>
      <c r="F60" t="s">
        <v>121</v>
      </c>
      <c r="G60" s="28" t="b">
        <v>1</v>
      </c>
      <c r="H60" s="28" t="b">
        <v>1</v>
      </c>
      <c r="I60">
        <v>1</v>
      </c>
      <c r="K60" t="b">
        <v>1</v>
      </c>
      <c r="L60" t="b">
        <v>0</v>
      </c>
      <c r="M60" t="b">
        <v>0</v>
      </c>
      <c r="N60" s="28" t="s">
        <v>122</v>
      </c>
    </row>
    <row r="61" spans="1:14" x14ac:dyDescent="0.25">
      <c r="A61" s="4" t="s">
        <v>128</v>
      </c>
      <c r="B61" s="4" t="s">
        <v>154</v>
      </c>
      <c r="C61" s="42" t="str">
        <f>"=1 if the authors control for marriage in the regression."</f>
        <v>=1 if the authors control for marriage in the regression.</v>
      </c>
      <c r="D61" t="s">
        <v>76</v>
      </c>
      <c r="E61">
        <v>31</v>
      </c>
      <c r="F61" t="s">
        <v>121</v>
      </c>
      <c r="G61" s="28" t="b">
        <v>1</v>
      </c>
      <c r="H61" s="28" t="b">
        <v>1</v>
      </c>
      <c r="I61">
        <v>1</v>
      </c>
      <c r="K61" t="b">
        <v>1</v>
      </c>
      <c r="L61" t="b">
        <v>0</v>
      </c>
      <c r="M61" t="b">
        <v>0</v>
      </c>
      <c r="N61" s="28" t="s">
        <v>122</v>
      </c>
    </row>
    <row r="62" spans="1:14" x14ac:dyDescent="0.25">
      <c r="A62" s="4" t="s">
        <v>29</v>
      </c>
      <c r="B62" s="4" t="s">
        <v>190</v>
      </c>
      <c r="C62" s="42" t="str">
        <f>"=1 if the authors control for firm characteristics in the regression."</f>
        <v>=1 if the authors control for firm characteristics in the regression.</v>
      </c>
      <c r="D62" t="s">
        <v>76</v>
      </c>
      <c r="E62">
        <v>31</v>
      </c>
      <c r="F62" t="s">
        <v>121</v>
      </c>
      <c r="G62" s="28" t="b">
        <v>1</v>
      </c>
      <c r="H62" s="28" t="b">
        <v>1</v>
      </c>
      <c r="I62">
        <v>1</v>
      </c>
      <c r="K62" t="b">
        <v>1</v>
      </c>
      <c r="L62" t="b">
        <v>0</v>
      </c>
      <c r="M62" t="b">
        <v>0</v>
      </c>
      <c r="N62" s="28" t="s">
        <v>122</v>
      </c>
    </row>
    <row r="63" spans="1:14" x14ac:dyDescent="0.25">
      <c r="A63" s="4" t="s">
        <v>60</v>
      </c>
      <c r="B63" s="4" t="s">
        <v>155</v>
      </c>
      <c r="C63" s="42" t="str">
        <f>"=1 if the authors control for area type in the regression (e.g., urban, rural)."</f>
        <v>=1 if the authors control for area type in the regression (e.g., urban, rural).</v>
      </c>
      <c r="D63" t="s">
        <v>76</v>
      </c>
      <c r="E63">
        <v>31</v>
      </c>
      <c r="F63" t="s">
        <v>121</v>
      </c>
      <c r="G63" s="28" t="b">
        <v>1</v>
      </c>
      <c r="H63" s="28" t="b">
        <v>1</v>
      </c>
      <c r="I63">
        <v>1</v>
      </c>
      <c r="K63" t="b">
        <v>0</v>
      </c>
      <c r="L63" t="b">
        <v>0</v>
      </c>
      <c r="M63" t="b">
        <v>0</v>
      </c>
      <c r="N63" s="28" t="s">
        <v>121</v>
      </c>
    </row>
    <row r="64" spans="1:14" x14ac:dyDescent="0.25">
      <c r="A64" s="4" t="s">
        <v>28</v>
      </c>
      <c r="B64" s="4" t="s">
        <v>191</v>
      </c>
      <c r="C64" s="42" t="str">
        <f>"=1 if the authors control for macroeconomic variables in the regression."</f>
        <v>=1 if the authors control for macroeconomic variables in the regression.</v>
      </c>
      <c r="D64" t="s">
        <v>76</v>
      </c>
      <c r="E64">
        <v>31</v>
      </c>
      <c r="F64" t="s">
        <v>121</v>
      </c>
      <c r="G64" s="28" t="b">
        <v>1</v>
      </c>
      <c r="H64" s="28" t="b">
        <v>1</v>
      </c>
      <c r="I64">
        <v>1</v>
      </c>
      <c r="K64" t="b">
        <v>1</v>
      </c>
      <c r="L64" t="b">
        <v>0</v>
      </c>
      <c r="M64" t="b">
        <v>0</v>
      </c>
      <c r="N64" s="28" t="s">
        <v>122</v>
      </c>
    </row>
    <row r="65" spans="1:14" x14ac:dyDescent="0.25">
      <c r="A65" s="29" t="s">
        <v>30</v>
      </c>
      <c r="B65" s="29" t="s">
        <v>94</v>
      </c>
      <c r="C65" s="43" t="s">
        <v>182</v>
      </c>
      <c r="D65" t="s">
        <v>77</v>
      </c>
      <c r="E65">
        <v>32</v>
      </c>
      <c r="F65" t="s">
        <v>121</v>
      </c>
      <c r="G65" s="28" t="b">
        <v>1</v>
      </c>
      <c r="H65" s="28" t="b">
        <v>1</v>
      </c>
      <c r="J65" s="12" t="s">
        <v>123</v>
      </c>
      <c r="K65" t="b">
        <v>1</v>
      </c>
      <c r="L65" t="b">
        <v>0</v>
      </c>
      <c r="M65" t="b">
        <v>1</v>
      </c>
      <c r="N65" s="28" t="s">
        <v>131</v>
      </c>
    </row>
    <row r="66" spans="1:14" x14ac:dyDescent="0.25">
      <c r="A66" s="29" t="s">
        <v>31</v>
      </c>
      <c r="B66" s="29" t="s">
        <v>95</v>
      </c>
      <c r="C66" s="43" t="s">
        <v>183</v>
      </c>
      <c r="D66" t="s">
        <v>76</v>
      </c>
      <c r="E66">
        <v>33</v>
      </c>
      <c r="F66" t="s">
        <v>121</v>
      </c>
      <c r="G66" s="28" t="b">
        <v>1</v>
      </c>
      <c r="H66" s="28" t="b">
        <v>1</v>
      </c>
      <c r="J66" s="12" t="s">
        <v>123</v>
      </c>
      <c r="K66" t="b">
        <v>1</v>
      </c>
      <c r="L66" t="b">
        <v>0</v>
      </c>
      <c r="M66" t="b">
        <v>1</v>
      </c>
      <c r="N66" s="28" t="s">
        <v>131</v>
      </c>
    </row>
    <row r="67" spans="1:14" x14ac:dyDescent="0.25">
      <c r="A67" s="29" t="s">
        <v>32</v>
      </c>
      <c r="B67" s="29" t="s">
        <v>156</v>
      </c>
      <c r="C67" s="43" t="str">
        <f>"=1 if the study was published in a journal."</f>
        <v>=1 if the study was published in a journal.</v>
      </c>
      <c r="D67" t="s">
        <v>75</v>
      </c>
      <c r="E67">
        <v>34</v>
      </c>
      <c r="F67" t="s">
        <v>121</v>
      </c>
      <c r="G67" s="28" t="b">
        <v>1</v>
      </c>
      <c r="H67" s="28" t="b">
        <v>1</v>
      </c>
      <c r="I67">
        <v>1</v>
      </c>
      <c r="K67" t="b">
        <v>0</v>
      </c>
      <c r="L67" t="b">
        <v>0</v>
      </c>
      <c r="M67" t="b">
        <v>0</v>
      </c>
      <c r="N67" s="28" t="s">
        <v>121</v>
      </c>
    </row>
    <row r="68" spans="1:14" x14ac:dyDescent="0.25">
      <c r="A68" s="29" t="s">
        <v>80</v>
      </c>
      <c r="B68" s="29" t="s">
        <v>157</v>
      </c>
      <c r="C68" s="43" t="str">
        <f>"=1 if the study was not published in a journal (reference category)."</f>
        <v>=1 if the study was not published in a journal (reference category).</v>
      </c>
      <c r="D68" t="s">
        <v>75</v>
      </c>
      <c r="E68">
        <v>34</v>
      </c>
      <c r="F68" t="s">
        <v>121</v>
      </c>
      <c r="G68" s="28" t="b">
        <v>1</v>
      </c>
      <c r="H68" s="28" t="b">
        <v>1</v>
      </c>
      <c r="I68">
        <v>1</v>
      </c>
      <c r="K68" t="b">
        <v>0</v>
      </c>
      <c r="L68" t="b">
        <v>1</v>
      </c>
      <c r="M68" t="b">
        <v>0</v>
      </c>
      <c r="N68" s="28" t="s">
        <v>121</v>
      </c>
    </row>
    <row r="69" spans="1:14" x14ac:dyDescent="0.25">
      <c r="A69" s="29" t="s">
        <v>33</v>
      </c>
      <c r="B69" s="29" t="s">
        <v>96</v>
      </c>
      <c r="C69" s="43" t="s">
        <v>281</v>
      </c>
      <c r="D69" t="s">
        <v>76</v>
      </c>
      <c r="E69">
        <v>35</v>
      </c>
      <c r="F69" t="s">
        <v>121</v>
      </c>
      <c r="G69" s="28" t="b">
        <v>1</v>
      </c>
      <c r="H69" s="28" t="b">
        <v>1</v>
      </c>
      <c r="J69" s="12" t="s">
        <v>123</v>
      </c>
      <c r="K69" t="b">
        <v>0</v>
      </c>
      <c r="L69" t="b">
        <v>0</v>
      </c>
      <c r="M69" t="b">
        <v>0</v>
      </c>
      <c r="N69" s="28" t="s">
        <v>121</v>
      </c>
    </row>
  </sheetData>
  <conditionalFormatting sqref="A53:C69 A2:C51">
    <cfRule type="containsBlanks" dxfId="82" priority="12">
      <formula>LEN(TRIM(A2))=0</formula>
    </cfRule>
  </conditionalFormatting>
  <conditionalFormatting sqref="N53:N1964 N2:N51">
    <cfRule type="notContainsText" dxfId="1" priority="7" operator="notContains" text="stop">
      <formula>ISERROR(SEARCH("stop",N2))</formula>
    </cfRule>
    <cfRule type="containsText" dxfId="0" priority="8" operator="containsText" text="stop">
      <formula>NOT(ISERROR(SEARCH("stop",N2)))</formula>
    </cfRule>
  </conditionalFormatting>
  <conditionalFormatting sqref="G53:H1964 G2:H51 K53:M1964 K2:M51">
    <cfRule type="containsText" dxfId="3" priority="9" operator="containsText" text="FALSE">
      <formula>NOT(ISERROR(SEARCH("FALSE",G2)))</formula>
    </cfRule>
    <cfRule type="containsText" dxfId="2" priority="10" operator="containsText" text="TRUE">
      <formula>NOT(ISERROR(SEARCH("TRUE",G2)))</formula>
    </cfRule>
  </conditionalFormatting>
  <conditionalFormatting sqref="A52:C52">
    <cfRule type="containsBlanks" dxfId="81" priority="5">
      <formula>LEN(TRIM(A52))=0</formula>
    </cfRule>
  </conditionalFormatting>
  <conditionalFormatting sqref="N52">
    <cfRule type="notContainsText" dxfId="80" priority="1" operator="notContains" text="stop">
      <formula>ISERROR(SEARCH("stop",N52))</formula>
    </cfRule>
    <cfRule type="containsText" dxfId="79" priority="2" operator="containsText" text="stop">
      <formula>NOT(ISERROR(SEARCH("stop",N52)))</formula>
    </cfRule>
  </conditionalFormatting>
  <conditionalFormatting sqref="G52:H52 K52:M52">
    <cfRule type="containsText" dxfId="78" priority="3" operator="containsText" text="FALSE">
      <formula>NOT(ISERROR(SEARCH("FALSE",G52)))</formula>
    </cfRule>
    <cfRule type="containsText" dxfId="77" priority="4" operator="containsText" text="TRUE">
      <formula>NOT(ISERROR(SEARCH("TRUE",G52)))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K5" sqref="K5"/>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49" t="s">
        <v>98</v>
      </c>
      <c r="B1" s="50" t="s">
        <v>99</v>
      </c>
      <c r="C1" s="51" t="s">
        <v>100</v>
      </c>
      <c r="D1" s="50" t="s">
        <v>69</v>
      </c>
      <c r="E1" s="50" t="s">
        <v>101</v>
      </c>
      <c r="F1" s="50" t="s">
        <v>102</v>
      </c>
      <c r="G1" s="50" t="s">
        <v>114</v>
      </c>
      <c r="H1" s="50" t="s">
        <v>111</v>
      </c>
      <c r="I1" s="50" t="s">
        <v>112</v>
      </c>
      <c r="J1" s="50" t="s">
        <v>110</v>
      </c>
      <c r="K1" s="50" t="s">
        <v>103</v>
      </c>
      <c r="L1" s="50" t="s">
        <v>104</v>
      </c>
      <c r="M1" s="50" t="s">
        <v>105</v>
      </c>
      <c r="N1" s="50" t="s">
        <v>106</v>
      </c>
      <c r="O1" s="52"/>
      <c r="P1" s="52" t="s">
        <v>107</v>
      </c>
      <c r="Q1" s="52" t="s">
        <v>108</v>
      </c>
      <c r="R1" s="50" t="s">
        <v>109</v>
      </c>
      <c r="S1" s="85" t="s">
        <v>274</v>
      </c>
    </row>
    <row r="2" spans="1:19" x14ac:dyDescent="0.25">
      <c r="A2">
        <v>1</v>
      </c>
      <c r="B2" t="s">
        <v>195</v>
      </c>
      <c r="C2" t="s">
        <v>196</v>
      </c>
      <c r="D2">
        <v>1998</v>
      </c>
      <c r="E2" t="s">
        <v>197</v>
      </c>
      <c r="F2" t="s">
        <v>198</v>
      </c>
      <c r="G2" t="s">
        <v>125</v>
      </c>
      <c r="H2" t="b">
        <v>1</v>
      </c>
      <c r="I2">
        <f t="shared" ref="I2:I17" si="0">D2-MIN($D$2:$D$139)</f>
        <v>4</v>
      </c>
      <c r="J2">
        <v>3.0920000000000001</v>
      </c>
      <c r="K2">
        <v>908</v>
      </c>
      <c r="L2" t="s">
        <v>199</v>
      </c>
      <c r="M2" t="s">
        <v>200</v>
      </c>
      <c r="N2" s="53" t="s">
        <v>200</v>
      </c>
      <c r="O2" s="53" t="s">
        <v>195</v>
      </c>
      <c r="P2" t="s">
        <v>64</v>
      </c>
      <c r="Q2" t="s">
        <v>64</v>
      </c>
      <c r="R2" s="16" t="s">
        <v>64</v>
      </c>
    </row>
    <row r="3" spans="1:19" x14ac:dyDescent="0.25">
      <c r="A3">
        <v>2</v>
      </c>
      <c r="B3" t="s">
        <v>201</v>
      </c>
      <c r="C3" t="s">
        <v>202</v>
      </c>
      <c r="D3">
        <v>1994</v>
      </c>
      <c r="E3" t="s">
        <v>203</v>
      </c>
      <c r="F3" t="s">
        <v>204</v>
      </c>
      <c r="G3" t="s">
        <v>278</v>
      </c>
      <c r="H3" t="b">
        <v>1</v>
      </c>
      <c r="I3">
        <f t="shared" si="0"/>
        <v>0</v>
      </c>
      <c r="J3">
        <v>3.0070000000000001</v>
      </c>
      <c r="K3">
        <v>1812</v>
      </c>
      <c r="L3" t="s">
        <v>205</v>
      </c>
      <c r="M3" t="s">
        <v>206</v>
      </c>
      <c r="N3" t="s">
        <v>206</v>
      </c>
      <c r="O3" t="s">
        <v>201</v>
      </c>
      <c r="P3" t="s">
        <v>64</v>
      </c>
      <c r="Q3" t="s">
        <v>64</v>
      </c>
      <c r="R3" s="16" t="s">
        <v>64</v>
      </c>
    </row>
    <row r="4" spans="1:19" x14ac:dyDescent="0.25">
      <c r="A4">
        <v>3</v>
      </c>
      <c r="B4" t="s">
        <v>207</v>
      </c>
      <c r="C4" t="s">
        <v>208</v>
      </c>
      <c r="D4">
        <v>1999</v>
      </c>
      <c r="E4" t="s">
        <v>209</v>
      </c>
      <c r="F4" t="s">
        <v>210</v>
      </c>
      <c r="G4" t="s">
        <v>115</v>
      </c>
      <c r="H4" t="b">
        <v>1</v>
      </c>
      <c r="I4">
        <f t="shared" si="0"/>
        <v>5</v>
      </c>
      <c r="J4">
        <v>0.29799999999999999</v>
      </c>
      <c r="K4">
        <v>188</v>
      </c>
      <c r="L4" t="s">
        <v>211</v>
      </c>
      <c r="M4" t="s">
        <v>212</v>
      </c>
      <c r="N4" t="s">
        <v>213</v>
      </c>
      <c r="O4" t="s">
        <v>207</v>
      </c>
      <c r="P4" t="s">
        <v>64</v>
      </c>
      <c r="Q4" t="s">
        <v>64</v>
      </c>
      <c r="R4" s="16" t="s">
        <v>64</v>
      </c>
    </row>
    <row r="5" spans="1:19" x14ac:dyDescent="0.25">
      <c r="A5">
        <v>4</v>
      </c>
      <c r="B5" t="s">
        <v>214</v>
      </c>
      <c r="C5" t="s">
        <v>215</v>
      </c>
      <c r="D5">
        <v>2003</v>
      </c>
      <c r="E5" t="s">
        <v>216</v>
      </c>
      <c r="F5" t="s">
        <v>217</v>
      </c>
      <c r="G5" t="s">
        <v>116</v>
      </c>
      <c r="H5" t="b">
        <v>1</v>
      </c>
      <c r="I5">
        <f t="shared" si="0"/>
        <v>9</v>
      </c>
      <c r="J5">
        <v>3.0070000000000001</v>
      </c>
      <c r="K5">
        <v>158</v>
      </c>
      <c r="L5" t="s">
        <v>218</v>
      </c>
      <c r="M5" t="s">
        <v>219</v>
      </c>
      <c r="N5" t="s">
        <v>219</v>
      </c>
      <c r="O5" t="s">
        <v>214</v>
      </c>
      <c r="P5" t="s">
        <v>64</v>
      </c>
      <c r="Q5" t="s">
        <v>64</v>
      </c>
      <c r="R5" s="16" t="s">
        <v>64</v>
      </c>
    </row>
    <row r="6" spans="1:19" x14ac:dyDescent="0.25">
      <c r="A6">
        <v>5</v>
      </c>
      <c r="B6" t="s">
        <v>220</v>
      </c>
      <c r="C6" t="s">
        <v>221</v>
      </c>
      <c r="D6">
        <v>2012</v>
      </c>
      <c r="E6" t="s">
        <v>222</v>
      </c>
      <c r="F6" t="s">
        <v>223</v>
      </c>
      <c r="G6" t="s">
        <v>127</v>
      </c>
      <c r="H6" t="b">
        <v>1</v>
      </c>
      <c r="I6">
        <f t="shared" si="0"/>
        <v>18</v>
      </c>
      <c r="J6">
        <v>0.76700000000000002</v>
      </c>
      <c r="K6">
        <v>176</v>
      </c>
      <c r="L6" t="s">
        <v>224</v>
      </c>
      <c r="M6" t="s">
        <v>225</v>
      </c>
      <c r="N6" t="s">
        <v>225</v>
      </c>
      <c r="O6" t="s">
        <v>220</v>
      </c>
      <c r="P6" t="s">
        <v>64</v>
      </c>
      <c r="Q6" t="s">
        <v>64</v>
      </c>
      <c r="R6" s="16" t="s">
        <v>64</v>
      </c>
    </row>
    <row r="7" spans="1:19" x14ac:dyDescent="0.25">
      <c r="A7">
        <v>6</v>
      </c>
      <c r="B7" t="s">
        <v>226</v>
      </c>
      <c r="C7" t="s">
        <v>227</v>
      </c>
      <c r="D7">
        <v>1995</v>
      </c>
      <c r="E7" t="s">
        <v>228</v>
      </c>
      <c r="F7" t="s">
        <v>229</v>
      </c>
      <c r="G7" t="s">
        <v>116</v>
      </c>
      <c r="H7" t="b">
        <v>1</v>
      </c>
      <c r="I7">
        <f t="shared" si="0"/>
        <v>1</v>
      </c>
      <c r="J7">
        <v>3.0070000000000001</v>
      </c>
      <c r="K7">
        <v>372</v>
      </c>
      <c r="L7" t="s">
        <v>230</v>
      </c>
      <c r="M7" t="s">
        <v>231</v>
      </c>
      <c r="N7" t="s">
        <v>231</v>
      </c>
      <c r="O7" t="s">
        <v>226</v>
      </c>
      <c r="P7" t="s">
        <v>64</v>
      </c>
      <c r="Q7" t="s">
        <v>64</v>
      </c>
      <c r="R7" s="16" t="s">
        <v>64</v>
      </c>
    </row>
    <row r="8" spans="1:19" x14ac:dyDescent="0.25">
      <c r="A8">
        <v>7</v>
      </c>
      <c r="B8" t="s">
        <v>232</v>
      </c>
      <c r="C8" t="s">
        <v>233</v>
      </c>
      <c r="D8">
        <v>1994</v>
      </c>
      <c r="E8" t="s">
        <v>234</v>
      </c>
      <c r="F8" t="s">
        <v>235</v>
      </c>
      <c r="G8" t="s">
        <v>275</v>
      </c>
      <c r="H8" t="b">
        <v>1</v>
      </c>
      <c r="I8">
        <f t="shared" si="0"/>
        <v>0</v>
      </c>
      <c r="J8">
        <v>1.8520000000000001</v>
      </c>
      <c r="K8">
        <v>616</v>
      </c>
      <c r="L8" t="s">
        <v>236</v>
      </c>
      <c r="M8" t="s">
        <v>237</v>
      </c>
      <c r="O8" t="s">
        <v>232</v>
      </c>
      <c r="P8" t="s">
        <v>64</v>
      </c>
      <c r="Q8" t="s">
        <v>64</v>
      </c>
      <c r="R8" s="16" t="s">
        <v>64</v>
      </c>
    </row>
    <row r="9" spans="1:19" x14ac:dyDescent="0.25">
      <c r="A9">
        <v>8</v>
      </c>
      <c r="B9" t="s">
        <v>238</v>
      </c>
      <c r="C9" t="s">
        <v>239</v>
      </c>
      <c r="D9">
        <v>1999</v>
      </c>
      <c r="E9" t="s">
        <v>240</v>
      </c>
      <c r="F9" t="s">
        <v>241</v>
      </c>
      <c r="G9" t="s">
        <v>276</v>
      </c>
      <c r="H9" t="b">
        <v>1</v>
      </c>
      <c r="I9">
        <f t="shared" si="0"/>
        <v>5</v>
      </c>
      <c r="J9">
        <v>0.29799999999999999</v>
      </c>
      <c r="K9">
        <v>196</v>
      </c>
      <c r="L9" t="s">
        <v>242</v>
      </c>
      <c r="M9" t="s">
        <v>243</v>
      </c>
      <c r="N9" t="s">
        <v>243</v>
      </c>
      <c r="O9" t="s">
        <v>238</v>
      </c>
      <c r="P9" t="s">
        <v>64</v>
      </c>
      <c r="Q9" t="s">
        <v>64</v>
      </c>
      <c r="R9" s="16" t="s">
        <v>64</v>
      </c>
    </row>
    <row r="10" spans="1:19" x14ac:dyDescent="0.25">
      <c r="A10">
        <v>9</v>
      </c>
      <c r="B10" t="s">
        <v>244</v>
      </c>
      <c r="C10" t="s">
        <v>245</v>
      </c>
      <c r="D10">
        <v>2012</v>
      </c>
      <c r="E10" t="s">
        <v>246</v>
      </c>
      <c r="F10" t="s">
        <v>247</v>
      </c>
      <c r="G10" t="s">
        <v>117</v>
      </c>
      <c r="H10" t="b">
        <v>0</v>
      </c>
      <c r="I10">
        <f t="shared" si="0"/>
        <v>18</v>
      </c>
      <c r="J10">
        <v>0</v>
      </c>
      <c r="K10">
        <v>18</v>
      </c>
      <c r="L10" t="s">
        <v>248</v>
      </c>
      <c r="M10" t="s">
        <v>249</v>
      </c>
      <c r="N10" t="s">
        <v>249</v>
      </c>
      <c r="O10" t="s">
        <v>244</v>
      </c>
      <c r="P10" t="s">
        <v>64</v>
      </c>
      <c r="Q10" t="s">
        <v>64</v>
      </c>
      <c r="R10" s="16" t="s">
        <v>64</v>
      </c>
    </row>
    <row r="11" spans="1:19" x14ac:dyDescent="0.25">
      <c r="A11">
        <v>10</v>
      </c>
      <c r="B11" t="s">
        <v>250</v>
      </c>
      <c r="C11" t="s">
        <v>251</v>
      </c>
      <c r="D11">
        <v>2020</v>
      </c>
      <c r="E11" t="s">
        <v>252</v>
      </c>
      <c r="F11" t="s">
        <v>253</v>
      </c>
      <c r="G11" t="s">
        <v>277</v>
      </c>
      <c r="H11" t="b">
        <v>1</v>
      </c>
      <c r="I11">
        <f t="shared" si="0"/>
        <v>26</v>
      </c>
      <c r="J11">
        <v>8.1000000000000003E-2</v>
      </c>
      <c r="K11">
        <v>11</v>
      </c>
      <c r="L11" t="s">
        <v>254</v>
      </c>
      <c r="M11" t="s">
        <v>255</v>
      </c>
      <c r="N11" t="s">
        <v>255</v>
      </c>
      <c r="O11" t="s">
        <v>250</v>
      </c>
      <c r="P11" t="s">
        <v>64</v>
      </c>
      <c r="Q11" t="s">
        <v>64</v>
      </c>
      <c r="R11" s="16" t="s">
        <v>64</v>
      </c>
    </row>
    <row r="12" spans="1:19" x14ac:dyDescent="0.25">
      <c r="A12">
        <v>11</v>
      </c>
      <c r="B12" t="s">
        <v>256</v>
      </c>
      <c r="C12" t="s">
        <v>257</v>
      </c>
      <c r="D12">
        <v>2005</v>
      </c>
      <c r="E12" t="s">
        <v>258</v>
      </c>
      <c r="F12" t="s">
        <v>259</v>
      </c>
      <c r="G12" t="s">
        <v>117</v>
      </c>
      <c r="H12" t="b">
        <v>0</v>
      </c>
      <c r="I12">
        <f t="shared" si="0"/>
        <v>11</v>
      </c>
      <c r="J12">
        <v>0</v>
      </c>
      <c r="K12">
        <v>1</v>
      </c>
      <c r="L12" t="s">
        <v>260</v>
      </c>
      <c r="M12" t="s">
        <v>261</v>
      </c>
      <c r="N12" t="s">
        <v>261</v>
      </c>
      <c r="O12" t="s">
        <v>256</v>
      </c>
      <c r="P12" t="s">
        <v>64</v>
      </c>
      <c r="Q12" t="s">
        <v>64</v>
      </c>
      <c r="R12" s="16" t="s">
        <v>64</v>
      </c>
      <c r="S12" t="s">
        <v>262</v>
      </c>
    </row>
    <row r="13" spans="1:19" x14ac:dyDescent="0.25">
      <c r="A13">
        <v>12</v>
      </c>
      <c r="B13" t="s">
        <v>263</v>
      </c>
      <c r="C13" t="s">
        <v>227</v>
      </c>
      <c r="D13">
        <v>2004</v>
      </c>
      <c r="E13" t="s">
        <v>264</v>
      </c>
      <c r="F13" t="s">
        <v>265</v>
      </c>
      <c r="G13" t="s">
        <v>115</v>
      </c>
      <c r="H13" t="b">
        <v>1</v>
      </c>
      <c r="I13">
        <f t="shared" si="0"/>
        <v>10</v>
      </c>
      <c r="J13">
        <v>0.29799999999999999</v>
      </c>
      <c r="K13">
        <v>19</v>
      </c>
      <c r="L13" t="s">
        <v>266</v>
      </c>
      <c r="M13" t="s">
        <v>267</v>
      </c>
      <c r="N13" t="s">
        <v>268</v>
      </c>
      <c r="O13" t="s">
        <v>263</v>
      </c>
      <c r="P13" t="s">
        <v>64</v>
      </c>
      <c r="Q13" t="s">
        <v>64</v>
      </c>
      <c r="R13" s="16" t="s">
        <v>64</v>
      </c>
      <c r="S13" t="s">
        <v>262</v>
      </c>
    </row>
    <row r="14" spans="1:19" x14ac:dyDescent="0.25">
      <c r="A14">
        <v>13</v>
      </c>
      <c r="B14" t="s">
        <v>269</v>
      </c>
      <c r="C14" t="s">
        <v>270</v>
      </c>
      <c r="D14">
        <v>1999</v>
      </c>
      <c r="E14" t="s">
        <v>271</v>
      </c>
      <c r="F14" t="s">
        <v>272</v>
      </c>
      <c r="G14" t="s">
        <v>126</v>
      </c>
      <c r="H14" t="b">
        <v>1</v>
      </c>
      <c r="I14">
        <f t="shared" si="0"/>
        <v>5</v>
      </c>
      <c r="J14">
        <v>0.52800000000000002</v>
      </c>
      <c r="K14">
        <v>177</v>
      </c>
      <c r="L14" t="s">
        <v>34</v>
      </c>
      <c r="M14" t="s">
        <v>279</v>
      </c>
      <c r="N14" t="s">
        <v>280</v>
      </c>
      <c r="O14" t="s">
        <v>269</v>
      </c>
      <c r="P14" t="s">
        <v>64</v>
      </c>
      <c r="Q14" t="s">
        <v>64</v>
      </c>
      <c r="R14" s="16" t="s">
        <v>64</v>
      </c>
      <c r="S14" t="s">
        <v>273</v>
      </c>
    </row>
    <row r="15" spans="1:19" x14ac:dyDescent="0.25">
      <c r="A15">
        <v>14</v>
      </c>
      <c r="B15" t="s">
        <v>322</v>
      </c>
      <c r="C15" t="s">
        <v>323</v>
      </c>
      <c r="D15">
        <v>1999</v>
      </c>
      <c r="E15" t="s">
        <v>324</v>
      </c>
      <c r="F15" t="s">
        <v>325</v>
      </c>
      <c r="G15" t="s">
        <v>117</v>
      </c>
      <c r="H15" t="b">
        <v>0</v>
      </c>
      <c r="I15">
        <f t="shared" si="0"/>
        <v>5</v>
      </c>
      <c r="J15">
        <v>0</v>
      </c>
      <c r="K15">
        <v>17</v>
      </c>
      <c r="L15" t="s">
        <v>34</v>
      </c>
      <c r="M15" t="s">
        <v>326</v>
      </c>
      <c r="N15" t="s">
        <v>326</v>
      </c>
      <c r="O15" t="s">
        <v>322</v>
      </c>
      <c r="P15" t="s">
        <v>64</v>
      </c>
      <c r="Q15" t="s">
        <v>64</v>
      </c>
      <c r="R15" s="16" t="s">
        <v>64</v>
      </c>
    </row>
    <row r="16" spans="1:19" x14ac:dyDescent="0.25">
      <c r="A16">
        <v>15</v>
      </c>
      <c r="B16" t="s">
        <v>328</v>
      </c>
      <c r="C16" t="s">
        <v>329</v>
      </c>
      <c r="D16">
        <v>2009</v>
      </c>
      <c r="E16" t="s">
        <v>330</v>
      </c>
      <c r="F16" t="s">
        <v>331</v>
      </c>
      <c r="G16" t="s">
        <v>117</v>
      </c>
      <c r="H16" t="b">
        <v>0</v>
      </c>
      <c r="I16">
        <f t="shared" si="0"/>
        <v>15</v>
      </c>
      <c r="J16">
        <v>0</v>
      </c>
      <c r="K16">
        <v>8</v>
      </c>
      <c r="L16" t="s">
        <v>34</v>
      </c>
      <c r="M16" t="s">
        <v>332</v>
      </c>
      <c r="N16" t="s">
        <v>327</v>
      </c>
      <c r="O16" t="s">
        <v>328</v>
      </c>
      <c r="P16" t="s">
        <v>64</v>
      </c>
      <c r="Q16" t="s">
        <v>64</v>
      </c>
      <c r="R16" s="16" t="s">
        <v>64</v>
      </c>
    </row>
    <row r="17" spans="1:18" ht="15.75" thickBot="1" x14ac:dyDescent="0.3">
      <c r="A17" s="86">
        <v>16</v>
      </c>
      <c r="B17" s="86" t="s">
        <v>333</v>
      </c>
      <c r="C17" s="86" t="s">
        <v>270</v>
      </c>
      <c r="D17" s="86">
        <v>2004</v>
      </c>
      <c r="E17" s="86" t="s">
        <v>334</v>
      </c>
      <c r="F17" s="86" t="s">
        <v>335</v>
      </c>
      <c r="G17" s="86" t="s">
        <v>337</v>
      </c>
      <c r="H17" s="86" t="b">
        <v>1</v>
      </c>
      <c r="I17" s="86">
        <f t="shared" si="0"/>
        <v>10</v>
      </c>
      <c r="J17" s="86">
        <v>0.96399999999999997</v>
      </c>
      <c r="K17" s="86">
        <v>85</v>
      </c>
      <c r="L17" s="86" t="s">
        <v>34</v>
      </c>
      <c r="M17" s="86" t="s">
        <v>336</v>
      </c>
      <c r="N17" s="86" t="s">
        <v>336</v>
      </c>
      <c r="O17" s="86" t="s">
        <v>333</v>
      </c>
      <c r="P17" s="86" t="s">
        <v>64</v>
      </c>
      <c r="Q17" s="86" t="s">
        <v>64</v>
      </c>
      <c r="R17" s="95" t="s">
        <v>64</v>
      </c>
    </row>
  </sheetData>
  <conditionalFormatting sqref="F1">
    <cfRule type="containsBlanks" dxfId="76" priority="814">
      <formula>LEN(TRIM(F1))=0</formula>
    </cfRule>
  </conditionalFormatting>
  <conditionalFormatting sqref="P2:R2 R3:R17">
    <cfRule type="containsText" dxfId="75" priority="201" operator="containsText" text="PRIMARY STUDY">
      <formula>NOT(ISERROR(SEARCH("PRIMARY STUDY",P2)))</formula>
    </cfRule>
    <cfRule type="notContainsText" dxfId="74" priority="202" operator="notContains" text="YES">
      <formula>ISERROR(SEARCH("YES",P2))</formula>
    </cfRule>
    <cfRule type="containsText" dxfId="73" priority="203" operator="containsText" text="YES">
      <formula>NOT(ISERROR(SEARCH("YES",P2)))</formula>
    </cfRule>
  </conditionalFormatting>
  <conditionalFormatting sqref="P3:Q3">
    <cfRule type="containsText" dxfId="72" priority="195" operator="containsText" text="PRIMARY STUDY">
      <formula>NOT(ISERROR(SEARCH("PRIMARY STUDY",P3)))</formula>
    </cfRule>
    <cfRule type="notContainsText" dxfId="71" priority="196" operator="notContains" text="YES">
      <formula>ISERROR(SEARCH("YES",P3))</formula>
    </cfRule>
    <cfRule type="containsText" dxfId="70" priority="197" operator="containsText" text="YES">
      <formula>NOT(ISERROR(SEARCH("YES",P3)))</formula>
    </cfRule>
  </conditionalFormatting>
  <conditionalFormatting sqref="P4:Q4">
    <cfRule type="containsText" dxfId="69" priority="189" operator="containsText" text="PRIMARY STUDY">
      <formula>NOT(ISERROR(SEARCH("PRIMARY STUDY",P4)))</formula>
    </cfRule>
    <cfRule type="notContainsText" dxfId="68" priority="190" operator="notContains" text="YES">
      <formula>ISERROR(SEARCH("YES",P4))</formula>
    </cfRule>
    <cfRule type="containsText" dxfId="67" priority="191" operator="containsText" text="YES">
      <formula>NOT(ISERROR(SEARCH("YES",P4)))</formula>
    </cfRule>
  </conditionalFormatting>
  <conditionalFormatting sqref="P6:Q6">
    <cfRule type="containsText" dxfId="66" priority="183" operator="containsText" text="PRIMARY STUDY">
      <formula>NOT(ISERROR(SEARCH("PRIMARY STUDY",P6)))</formula>
    </cfRule>
    <cfRule type="notContainsText" dxfId="65" priority="184" operator="notContains" text="YES">
      <formula>ISERROR(SEARCH("YES",P6))</formula>
    </cfRule>
    <cfRule type="containsText" dxfId="64" priority="185" operator="containsText" text="YES">
      <formula>NOT(ISERROR(SEARCH("YES",P6)))</formula>
    </cfRule>
  </conditionalFormatting>
  <conditionalFormatting sqref="P7:Q7">
    <cfRule type="containsText" dxfId="63" priority="177" operator="containsText" text="PRIMARY STUDY">
      <formula>NOT(ISERROR(SEARCH("PRIMARY STUDY",P7)))</formula>
    </cfRule>
    <cfRule type="notContainsText" dxfId="62" priority="178" operator="notContains" text="YES">
      <formula>ISERROR(SEARCH("YES",P7))</formula>
    </cfRule>
    <cfRule type="containsText" dxfId="61" priority="179" operator="containsText" text="YES">
      <formula>NOT(ISERROR(SEARCH("YES",P7)))</formula>
    </cfRule>
  </conditionalFormatting>
  <conditionalFormatting sqref="P8:Q8">
    <cfRule type="containsText" dxfId="60" priority="165" operator="containsText" text="PRIMARY STUDY">
      <formula>NOT(ISERROR(SEARCH("PRIMARY STUDY",P8)))</formula>
    </cfRule>
    <cfRule type="notContainsText" dxfId="59" priority="166" operator="notContains" text="YES">
      <formula>ISERROR(SEARCH("YES",P8))</formula>
    </cfRule>
    <cfRule type="containsText" dxfId="58" priority="167" operator="containsText" text="YES">
      <formula>NOT(ISERROR(SEARCH("YES",P8)))</formula>
    </cfRule>
  </conditionalFormatting>
  <conditionalFormatting sqref="P9:Q9">
    <cfRule type="containsText" dxfId="57" priority="159" operator="containsText" text="PRIMARY STUDY">
      <formula>NOT(ISERROR(SEARCH("PRIMARY STUDY",P9)))</formula>
    </cfRule>
    <cfRule type="notContainsText" dxfId="56" priority="160" operator="notContains" text="YES">
      <formula>ISERROR(SEARCH("YES",P9))</formula>
    </cfRule>
    <cfRule type="containsText" dxfId="55" priority="161" operator="containsText" text="YES">
      <formula>NOT(ISERROR(SEARCH("YES",P9)))</formula>
    </cfRule>
  </conditionalFormatting>
  <conditionalFormatting sqref="P10:Q10">
    <cfRule type="containsText" dxfId="54" priority="135" operator="containsText" text="PRIMARY STUDY">
      <formula>NOT(ISERROR(SEARCH("PRIMARY STUDY",P10)))</formula>
    </cfRule>
    <cfRule type="notContainsText" dxfId="53" priority="136" operator="notContains" text="YES">
      <formula>ISERROR(SEARCH("YES",P10))</formula>
    </cfRule>
    <cfRule type="containsText" dxfId="52" priority="137" operator="containsText" text="YES">
      <formula>NOT(ISERROR(SEARCH("YES",P10)))</formula>
    </cfRule>
  </conditionalFormatting>
  <conditionalFormatting sqref="P6:Q6">
    <cfRule type="containsText" dxfId="51" priority="129" operator="containsText" text="PRIMARY STUDY">
      <formula>NOT(ISERROR(SEARCH("PRIMARY STUDY",P6)))</formula>
    </cfRule>
    <cfRule type="notContainsText" dxfId="50" priority="130" operator="notContains" text="YES">
      <formula>ISERROR(SEARCH("YES",P6))</formula>
    </cfRule>
    <cfRule type="containsText" dxfId="49" priority="131" operator="containsText" text="YES">
      <formula>NOT(ISERROR(SEARCH("YES",P6)))</formula>
    </cfRule>
  </conditionalFormatting>
  <conditionalFormatting sqref="P7:Q7">
    <cfRule type="containsText" dxfId="48" priority="123" operator="containsText" text="PRIMARY STUDY">
      <formula>NOT(ISERROR(SEARCH("PRIMARY STUDY",P7)))</formula>
    </cfRule>
    <cfRule type="notContainsText" dxfId="47" priority="124" operator="notContains" text="YES">
      <formula>ISERROR(SEARCH("YES",P7))</formula>
    </cfRule>
    <cfRule type="containsText" dxfId="46" priority="125" operator="containsText" text="YES">
      <formula>NOT(ISERROR(SEARCH("YES",P7)))</formula>
    </cfRule>
  </conditionalFormatting>
  <conditionalFormatting sqref="P8:Q8">
    <cfRule type="containsText" dxfId="45" priority="111" operator="containsText" text="PRIMARY STUDY">
      <formula>NOT(ISERROR(SEARCH("PRIMARY STUDY",P8)))</formula>
    </cfRule>
    <cfRule type="notContainsText" dxfId="44" priority="112" operator="notContains" text="YES">
      <formula>ISERROR(SEARCH("YES",P8))</formula>
    </cfRule>
    <cfRule type="containsText" dxfId="43" priority="113" operator="containsText" text="YES">
      <formula>NOT(ISERROR(SEARCH("YES",P8)))</formula>
    </cfRule>
  </conditionalFormatting>
  <conditionalFormatting sqref="P9:Q9">
    <cfRule type="containsText" dxfId="42" priority="105" operator="containsText" text="PRIMARY STUDY">
      <formula>NOT(ISERROR(SEARCH("PRIMARY STUDY",P9)))</formula>
    </cfRule>
    <cfRule type="notContainsText" dxfId="41" priority="106" operator="notContains" text="YES">
      <formula>ISERROR(SEARCH("YES",P9))</formula>
    </cfRule>
    <cfRule type="containsText" dxfId="40" priority="107" operator="containsText" text="YES">
      <formula>NOT(ISERROR(SEARCH("YES",P9)))</formula>
    </cfRule>
  </conditionalFormatting>
  <conditionalFormatting sqref="P10:Q10">
    <cfRule type="containsText" dxfId="39" priority="81" operator="containsText" text="PRIMARY STUDY">
      <formula>NOT(ISERROR(SEARCH("PRIMARY STUDY",P10)))</formula>
    </cfRule>
    <cfRule type="notContainsText" dxfId="38" priority="82" operator="notContains" text="YES">
      <formula>ISERROR(SEARCH("YES",P10))</formula>
    </cfRule>
    <cfRule type="containsText" dxfId="37" priority="83" operator="containsText" text="YES">
      <formula>NOT(ISERROR(SEARCH("YES",P10)))</formula>
    </cfRule>
  </conditionalFormatting>
  <conditionalFormatting sqref="P11:Q11">
    <cfRule type="containsText" dxfId="36" priority="75" operator="containsText" text="PRIMARY STUDY">
      <formula>NOT(ISERROR(SEARCH("PRIMARY STUDY",P11)))</formula>
    </cfRule>
    <cfRule type="notContainsText" dxfId="35" priority="76" operator="notContains" text="YES">
      <formula>ISERROR(SEARCH("YES",P11))</formula>
    </cfRule>
    <cfRule type="containsText" dxfId="34" priority="77" operator="containsText" text="YES">
      <formula>NOT(ISERROR(SEARCH("YES",P11)))</formula>
    </cfRule>
  </conditionalFormatting>
  <conditionalFormatting sqref="P5:Q5">
    <cfRule type="containsText" dxfId="33" priority="69" operator="containsText" text="PRIMARY STUDY">
      <formula>NOT(ISERROR(SEARCH("PRIMARY STUDY",P5)))</formula>
    </cfRule>
    <cfRule type="notContainsText" dxfId="32" priority="70" operator="notContains" text="YES">
      <formula>ISERROR(SEARCH("YES",P5))</formula>
    </cfRule>
    <cfRule type="containsText" dxfId="31" priority="71" operator="containsText" text="YES">
      <formula>NOT(ISERROR(SEARCH("YES",P5)))</formula>
    </cfRule>
  </conditionalFormatting>
  <conditionalFormatting sqref="P12:Q12">
    <cfRule type="containsText" dxfId="30" priority="63" operator="containsText" text="PRIMARY STUDY">
      <formula>NOT(ISERROR(SEARCH("PRIMARY STUDY",P12)))</formula>
    </cfRule>
    <cfRule type="notContainsText" dxfId="29" priority="64" operator="notContains" text="YES">
      <formula>ISERROR(SEARCH("YES",P12))</formula>
    </cfRule>
    <cfRule type="containsText" dxfId="28" priority="65" operator="containsText" text="YES">
      <formula>NOT(ISERROR(SEARCH("YES",P12)))</formula>
    </cfRule>
  </conditionalFormatting>
  <conditionalFormatting sqref="P12:Q12">
    <cfRule type="containsText" dxfId="27" priority="57" operator="containsText" text="PRIMARY STUDY">
      <formula>NOT(ISERROR(SEARCH("PRIMARY STUDY",P12)))</formula>
    </cfRule>
    <cfRule type="notContainsText" dxfId="26" priority="58" operator="notContains" text="YES">
      <formula>ISERROR(SEARCH("YES",P12))</formula>
    </cfRule>
    <cfRule type="containsText" dxfId="25" priority="59" operator="containsText" text="YES">
      <formula>NOT(ISERROR(SEARCH("YES",P12)))</formula>
    </cfRule>
  </conditionalFormatting>
  <conditionalFormatting sqref="P13:Q13">
    <cfRule type="containsText" dxfId="24" priority="45" operator="containsText" text="PRIMARY STUDY">
      <formula>NOT(ISERROR(SEARCH("PRIMARY STUDY",P13)))</formula>
    </cfRule>
    <cfRule type="notContainsText" dxfId="23" priority="46" operator="notContains" text="YES">
      <formula>ISERROR(SEARCH("YES",P13))</formula>
    </cfRule>
    <cfRule type="containsText" dxfId="22" priority="47" operator="containsText" text="YES">
      <formula>NOT(ISERROR(SEARCH("YES",P13)))</formula>
    </cfRule>
  </conditionalFormatting>
  <conditionalFormatting sqref="P12:Q12">
    <cfRule type="containsText" dxfId="21" priority="39" operator="containsText" text="PRIMARY STUDY">
      <formula>NOT(ISERROR(SEARCH("PRIMARY STUDY",P12)))</formula>
    </cfRule>
    <cfRule type="notContainsText" dxfId="20" priority="40" operator="notContains" text="YES">
      <formula>ISERROR(SEARCH("YES",P12))</formula>
    </cfRule>
    <cfRule type="containsText" dxfId="19" priority="41" operator="containsText" text="YES">
      <formula>NOT(ISERROR(SEARCH("YES",P12)))</formula>
    </cfRule>
  </conditionalFormatting>
  <conditionalFormatting sqref="P13:Q13">
    <cfRule type="containsText" dxfId="18" priority="27" operator="containsText" text="PRIMARY STUDY">
      <formula>NOT(ISERROR(SEARCH("PRIMARY STUDY",P13)))</formula>
    </cfRule>
    <cfRule type="notContainsText" dxfId="17" priority="28" operator="notContains" text="YES">
      <formula>ISERROR(SEARCH("YES",P13))</formula>
    </cfRule>
    <cfRule type="containsText" dxfId="16" priority="29" operator="containsText" text="YES">
      <formula>NOT(ISERROR(SEARCH("YES",P13)))</formula>
    </cfRule>
  </conditionalFormatting>
  <conditionalFormatting sqref="P14:Q14">
    <cfRule type="containsText" dxfId="15" priority="21" operator="containsText" text="PRIMARY STUDY">
      <formula>NOT(ISERROR(SEARCH("PRIMARY STUDY",P14)))</formula>
    </cfRule>
    <cfRule type="notContainsText" dxfId="14" priority="22" operator="notContains" text="YES">
      <formula>ISERROR(SEARCH("YES",P14))</formula>
    </cfRule>
    <cfRule type="containsText" dxfId="13" priority="23" operator="containsText" text="YES">
      <formula>NOT(ISERROR(SEARCH("YES",P14)))</formula>
    </cfRule>
  </conditionalFormatting>
  <conditionalFormatting sqref="B1">
    <cfRule type="duplicateValues" dxfId="12" priority="858"/>
  </conditionalFormatting>
  <conditionalFormatting sqref="K15">
    <cfRule type="containsBlanks" dxfId="11" priority="12">
      <formula>LEN(TRIM(K15))=0</formula>
    </cfRule>
  </conditionalFormatting>
  <conditionalFormatting sqref="P15:Q15">
    <cfRule type="containsText" dxfId="10" priority="9" operator="containsText" text="PRIMARY STUDY">
      <formula>NOT(ISERROR(SEARCH("PRIMARY STUDY",P15)))</formula>
    </cfRule>
    <cfRule type="notContainsText" dxfId="9" priority="10" operator="notContains" text="YES">
      <formula>ISERROR(SEARCH("YES",P15))</formula>
    </cfRule>
    <cfRule type="containsText" dxfId="8" priority="11" operator="containsText" text="YES">
      <formula>NOT(ISERROR(SEARCH("YES",P15)))</formula>
    </cfRule>
  </conditionalFormatting>
  <conditionalFormatting sqref="K16:L17">
    <cfRule type="containsBlanks" dxfId="7" priority="4">
      <formula>LEN(TRIM(K16))=0</formula>
    </cfRule>
  </conditionalFormatting>
  <conditionalFormatting sqref="P16:Q17">
    <cfRule type="containsText" dxfId="6" priority="1" operator="containsText" text="PRIMARY STUDY">
      <formula>NOT(ISERROR(SEARCH("PRIMARY STUDY",P16)))</formula>
    </cfRule>
    <cfRule type="notContainsText" dxfId="5" priority="2" operator="notContains" text="YES">
      <formula>ISERROR(SEARCH("YES",P16))</formula>
    </cfRule>
    <cfRule type="containsText" dxfId="4"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41</v>
      </c>
      <c r="B1" s="33" t="s">
        <v>43</v>
      </c>
      <c r="C1" s="24" t="s">
        <v>42</v>
      </c>
    </row>
    <row r="2" spans="1:8" x14ac:dyDescent="0.25">
      <c r="A2" s="18"/>
      <c r="B2" t="s">
        <v>53</v>
      </c>
      <c r="C2" s="22" t="s">
        <v>46</v>
      </c>
    </row>
    <row r="3" spans="1:8" x14ac:dyDescent="0.25">
      <c r="A3" s="31"/>
      <c r="B3" t="s">
        <v>54</v>
      </c>
      <c r="C3" s="22" t="s">
        <v>47</v>
      </c>
    </row>
    <row r="4" spans="1:8" x14ac:dyDescent="0.25">
      <c r="A4" s="13"/>
      <c r="B4" t="s">
        <v>44</v>
      </c>
      <c r="C4" s="22" t="s">
        <v>48</v>
      </c>
    </row>
    <row r="5" spans="1:8" x14ac:dyDescent="0.25">
      <c r="A5" s="14"/>
      <c r="B5" t="s">
        <v>58</v>
      </c>
      <c r="C5" s="22" t="s">
        <v>49</v>
      </c>
      <c r="H5" s="34"/>
    </row>
    <row r="6" spans="1:8" x14ac:dyDescent="0.25">
      <c r="A6" s="15"/>
      <c r="B6" t="s">
        <v>55</v>
      </c>
      <c r="C6" s="22" t="s">
        <v>50</v>
      </c>
    </row>
    <row r="7" spans="1:8" x14ac:dyDescent="0.25">
      <c r="A7" s="17"/>
      <c r="B7" t="s">
        <v>57</v>
      </c>
      <c r="C7" s="22" t="s">
        <v>51</v>
      </c>
      <c r="H7" s="34"/>
    </row>
    <row r="8" spans="1:8" x14ac:dyDescent="0.25">
      <c r="A8" s="30"/>
      <c r="B8" t="s">
        <v>56</v>
      </c>
      <c r="C8" s="22" t="s">
        <v>52</v>
      </c>
    </row>
    <row r="21" spans="8:8" x14ac:dyDescent="0.2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data_set</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2023-07-20T07:25:59Z</dcterms:modified>
</cp:coreProperties>
</file>