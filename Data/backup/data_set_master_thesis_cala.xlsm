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backup\"/>
    </mc:Choice>
  </mc:AlternateContent>
  <xr:revisionPtr revIDLastSave="0" documentId="13_ncr:1_{26494556-72A2-40D0-A99D-A0FA283DE485}" xr6:coauthVersionLast="47" xr6:coauthVersionMax="47" xr10:uidLastSave="{00000000-0000-0000-0000-000000000000}"/>
  <bookViews>
    <workbookView xWindow="28690" yWindow="-110" windowWidth="29020" windowHeight="15820" activeTab="1"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<sst xmlns="http://schemas.openxmlformats.org/spreadsheetml/2006/main" count="16416" uniqueCount="1483">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</sst>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0.000"/>
    <numFmt numFmtId="166" formatCode="0.0000"/>
    <numFmt numFmtId="167"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16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5"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5" fontId="0" fillId="0" borderId="20" xfId="0" applyNumberFormat="1" applyBorder="1" applyAlignment="1">
      <alignment horizontal="center"/>
    </xf>
    <xf numFmtId="0" fontId="0" fillId="0" borderId="19" xfId="0" applyBorder="1"/>
    <xf numFmtId="0" fontId="0" fillId="0" borderId="20" xfId="0" applyBorder="1"/>
    <xf numFmtId="165" fontId="0" fillId="0" borderId="20" xfId="0" applyNumberFormat="1" applyBorder="1"/>
    <xf numFmtId="165"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5"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5" fontId="0" fillId="0" borderId="25" xfId="0" applyNumberFormat="1" applyBorder="1" applyAlignment="1">
      <alignment horizontal="center"/>
    </xf>
    <xf numFmtId="0" fontId="0" fillId="0" borderId="24" xfId="0" applyBorder="1"/>
    <xf numFmtId="0" fontId="0" fillId="0" borderId="25" xfId="0" applyBorder="1"/>
    <xf numFmtId="165"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5"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5" fontId="0" fillId="0" borderId="29" xfId="0" applyNumberFormat="1" applyBorder="1" applyAlignment="1">
      <alignment horizontal="center"/>
    </xf>
    <xf numFmtId="0" fontId="0" fillId="0" borderId="28" xfId="0" applyBorder="1"/>
    <xf numFmtId="0" fontId="0" fillId="0" borderId="29" xfId="0" applyBorder="1"/>
    <xf numFmtId="165" fontId="0" fillId="0" borderId="29" xfId="0" applyNumberFormat="1" applyBorder="1"/>
    <xf numFmtId="0" fontId="9" fillId="0" borderId="30" xfId="0" applyFont="1" applyBorder="1" applyAlignment="1">
      <alignment horizontal="center" vertical="top"/>
    </xf>
    <xf numFmtId="167"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5"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5" fontId="0" fillId="0" borderId="2" xfId="0" applyNumberFormat="1" applyBorder="1"/>
    <xf numFmtId="4" fontId="0" fillId="0" borderId="0" xfId="0" applyNumberFormat="1"/>
    <xf numFmtId="166"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5"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5" fontId="0" fillId="0" borderId="41" xfId="0" applyNumberFormat="1" applyBorder="1" applyAlignment="1">
      <alignment horizontal="center"/>
    </xf>
    <xf numFmtId="0" fontId="0" fillId="0" borderId="40" xfId="0" applyBorder="1"/>
    <xf numFmtId="0" fontId="0" fillId="0" borderId="41" xfId="0" applyBorder="1"/>
    <xf numFmtId="165"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1732" activePane="bottomRight" state="frozen"/>
      <selection activeCell="D526" sqref="D526"/>
      <selection pane="topRight" activeCell="D526" sqref="D526"/>
      <selection pane="bottomLeft" activeCell="D526" sqref="D526"/>
      <selection pane="bottomRight" activeCell="E1754" sqref="E1754"/>
    </sheetView>
  </sheetViews>
  <sheetFormatPr defaultRowHeight="14.5" x14ac:dyDescent="0.35"/>
  <cols>
    <col min="1" max="1" width="5.26953125" customWidth="1"/>
    <col min="2" max="2" width="4" customWidth="1"/>
    <col min="3" max="3" width="15" style="22" customWidth="1"/>
    <col min="4" max="4" width="8.7265625" style="28" customWidth="1"/>
    <col min="5" max="6" width="8.7265625" style="7" customWidth="1"/>
    <col min="7" max="7" width="8.7265625" style="8" customWidth="1"/>
    <col min="8" max="11" width="8.7265625" style="9" customWidth="1"/>
    <col min="12" max="12" width="9.26953125" style="8" bestFit="1" customWidth="1"/>
    <col min="13" max="13" width="8.7265625" style="9" customWidth="1"/>
    <col min="14" max="14" width="9.26953125" style="9" bestFit="1" customWidth="1"/>
    <col min="15" max="15" width="8.7265625" style="9" customWidth="1"/>
    <col min="16" max="17" width="8.7265625" style="7" customWidth="1"/>
    <col min="18" max="22" width="8.7265625" style="9" customWidth="1"/>
    <col min="23" max="23" width="8.7265625" style="27" customWidth="1"/>
    <col min="24" max="25" width="8.7265625" style="9" customWidth="1"/>
    <col min="26" max="26" width="8.7265625" style="27" customWidth="1"/>
    <col min="27" max="27" width="8.7265625" style="9" customWidth="1"/>
    <col min="28" max="28" width="8.7265625" style="27" customWidth="1"/>
    <col min="29" max="29" width="8.7265625" style="20" customWidth="1"/>
    <col min="30" max="32" width="8.7265625" style="29" customWidth="1"/>
    <col min="33" max="33" width="8.7265625" style="39" customWidth="1"/>
    <col min="34" max="34" width="8.7265625" style="38" customWidth="1"/>
    <col min="35" max="35" width="8.7265625" style="15" customWidth="1"/>
    <col min="36" max="36" width="8.7265625" customWidth="1"/>
    <col min="37" max="37" width="8.7265625" style="36" customWidth="1"/>
    <col min="38" max="38" width="8.7265625" customWidth="1"/>
    <col min="39" max="39" width="8.7265625" style="36" customWidth="1"/>
    <col min="40" max="42" width="8.7265625" customWidth="1"/>
    <col min="43" max="44" width="8.7265625" style="15" customWidth="1"/>
    <col min="45" max="56" width="8.7265625" customWidth="1"/>
    <col min="57" max="58" width="8.7265625" style="22" customWidth="1"/>
    <col min="59" max="63" width="8.7265625" customWidth="1"/>
    <col min="64" max="64" width="8.7265625" style="15" customWidth="1"/>
    <col min="65" max="65" width="8.54296875" customWidth="1"/>
    <col min="66" max="67" width="8.7265625" customWidth="1"/>
    <col min="68" max="68" width="8.7265625" style="15" customWidth="1"/>
    <col min="69" max="70" width="8.7265625" customWidth="1"/>
    <col min="71" max="71" width="8.7265625" style="15" customWidth="1"/>
    <col min="72" max="88" width="8.7265625" customWidth="1"/>
  </cols>
  <sheetData>
    <row r="1" spans="1:89" x14ac:dyDescent="0.3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1475</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5" customHeight="1" x14ac:dyDescent="0.3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5" customHeight="1" x14ac:dyDescent="0.3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5" customHeight="1" x14ac:dyDescent="0.3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5" customHeight="1" x14ac:dyDescent="0.3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5" customHeight="1" x14ac:dyDescent="0.3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5" customHeight="1" x14ac:dyDescent="0.3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5" customHeight="1" x14ac:dyDescent="0.3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5" customHeight="1" x14ac:dyDescent="0.3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3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3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3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3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3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3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3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3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3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3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3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3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3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3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3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3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3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3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3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3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3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3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3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3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3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3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3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3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3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3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3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3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3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3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3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3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3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3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3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3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3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3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3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3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3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3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3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3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3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3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3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3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3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3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3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3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3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3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3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3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3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3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3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3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3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3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3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3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3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3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3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3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3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3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3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3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3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3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3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3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3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3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3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3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3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3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3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3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3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3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3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3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3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3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3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3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3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3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3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3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3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3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3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3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3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3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3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3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3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3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3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3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3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3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3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3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3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3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3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3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3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3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3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3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3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3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3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3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3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3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3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3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3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3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3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3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3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3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3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3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3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3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3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3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3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3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3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3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3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3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3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3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3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3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3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3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3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3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3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3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3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3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3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3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3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3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3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3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3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3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3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3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3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3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3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3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3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3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3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3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3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3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3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3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3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3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3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3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3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3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3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3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3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3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3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3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3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3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3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3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3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3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3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3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3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3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3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3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3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3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3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3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3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3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3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3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3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3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3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3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3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3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3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3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3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3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3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3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3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3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3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3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3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3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3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3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3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3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3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3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3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3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3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3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3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3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3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3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3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3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3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3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3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3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3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3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3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3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3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3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3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3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3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3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3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3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3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3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3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3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3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3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3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3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3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3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3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3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3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3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3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3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3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3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3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3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3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3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3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3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3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3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3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3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3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3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3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3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3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3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3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3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3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3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3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3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3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3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3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3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3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3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3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3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3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3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3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3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3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3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3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3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3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3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3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3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3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3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3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3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3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3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3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3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3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3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3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3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3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3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3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3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3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3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3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3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3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3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3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3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3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3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3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3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3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3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3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3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3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3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3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3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3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3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3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3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3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3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3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3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3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3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3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3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3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3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3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3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3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3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3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3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3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3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3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3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3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3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3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3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3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3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3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3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3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3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3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3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3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3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3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3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3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3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3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3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3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3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3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3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3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3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3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3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3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3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3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3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3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3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3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3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3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3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3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3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3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3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3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3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3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3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3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3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3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3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3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3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3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3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3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3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3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3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3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3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3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3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3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3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3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3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3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3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3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3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3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3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3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3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3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3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3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3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3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3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3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3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3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3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3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3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3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3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3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3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3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3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3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3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3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3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3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3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3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3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3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3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3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3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3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3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3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3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3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3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3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3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3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3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3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3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3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3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3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3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3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3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3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3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3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3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3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3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3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3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3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3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3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3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3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3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3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3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3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3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3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3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3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3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3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3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3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3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3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3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3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3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3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3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3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3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3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3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3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3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3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3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3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3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3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3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3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3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3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3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3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3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3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3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3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3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3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3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3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3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3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3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3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3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3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3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3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3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3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3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3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3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3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3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3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3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3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3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3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3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3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3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3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3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3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3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3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3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3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3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3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3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3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3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3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3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3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3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3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3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3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3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3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3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3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3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3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3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3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3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3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3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3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3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3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3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3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3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3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3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3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3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3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3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3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3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3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3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3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3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3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3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3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3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3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3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3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3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3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3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3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3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3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3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3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3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3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3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3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3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3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3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3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3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3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3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3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3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3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3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3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3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3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3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3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3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3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3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3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3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3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3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3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3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3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3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3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3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3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3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3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3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3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3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3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3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3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3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3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3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3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3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3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3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3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3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3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3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3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3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3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3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3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3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3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3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3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3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3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3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3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3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3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3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3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3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3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3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3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3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3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3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3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3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3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3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3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3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3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3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3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3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3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3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3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3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3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3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3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3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3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3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3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3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3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3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3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3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3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3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3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3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3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3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3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3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3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3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3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3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3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3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3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3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3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3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3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3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3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3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3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3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3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3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3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3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3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3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3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3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3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3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3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3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3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3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3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3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3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3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3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3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3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3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3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3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3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3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3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3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3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3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3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3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3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3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3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3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3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3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3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3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3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3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3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3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3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3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3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3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3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3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3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3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3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3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3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3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3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3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3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3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3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3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3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3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3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3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3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3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3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3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3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3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3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3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3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3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3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3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3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3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3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3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3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3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3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3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3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3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3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3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3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3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3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3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3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3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3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3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3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3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3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3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3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3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3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3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3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3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3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3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3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3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3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3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3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3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3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3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3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3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3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3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3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3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3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3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3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3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3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3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3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3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3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3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3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3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3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3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3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3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3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3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3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3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3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3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3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3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3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3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3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3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3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3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3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3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3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3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3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3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3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3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3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3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3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3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3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3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3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3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3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3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3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3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3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3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3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3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3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3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3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3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3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3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3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3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3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3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3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3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3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3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3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3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3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3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3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3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3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3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3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3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3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3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3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3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3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3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3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3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3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3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3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3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3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3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3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3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3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3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3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3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3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3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3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3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3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3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3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3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3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3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3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3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3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3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3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3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3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3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3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3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3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3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3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3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3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3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3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3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3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3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3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3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3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3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3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3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3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3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3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3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3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3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3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3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3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3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3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3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3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3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3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3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3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3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3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3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3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3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3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3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3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3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3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3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3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3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3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3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3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3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3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3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3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3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3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3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3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3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3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3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3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3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3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3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3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3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3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3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3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3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3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3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3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3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3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3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3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3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3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3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3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3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3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3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3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3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3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3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3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3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3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3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3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3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3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3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3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3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3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3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3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3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3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3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3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3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3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3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3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3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3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3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3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3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3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3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3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3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3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3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3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3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3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3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3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3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3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3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3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3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3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3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3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3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3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3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3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3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3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3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3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3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3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3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3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3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3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3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3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3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3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3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3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3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3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3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3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3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3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3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3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3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3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3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3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3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3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3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3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3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3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3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3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3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3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3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3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3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3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3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3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3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3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3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3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3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3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3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3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3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3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3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3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3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3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3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3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3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3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3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3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3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3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3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3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3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3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3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3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3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3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3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3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3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3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3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3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3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3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3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3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3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3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3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3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3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3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3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3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3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3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3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3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3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3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3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3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3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3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3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3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3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3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3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3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3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3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3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3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3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3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3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3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3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3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3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3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3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3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3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3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3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3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3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3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3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3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3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3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3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3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3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3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3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3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3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3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3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3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3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3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3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3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3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3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3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3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3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3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3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3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3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3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3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3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3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3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3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3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3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3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3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3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3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3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3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3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3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3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3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3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3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3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3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3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3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3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3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3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3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3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3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3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3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3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3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3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3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3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3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3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3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3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3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3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3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3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3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3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3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3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3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3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3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3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3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3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3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3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3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3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3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3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3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3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3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3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3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3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3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3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3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3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3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3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3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3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3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3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3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3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3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3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3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3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3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3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3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3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3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3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3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3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3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3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3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3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3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3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3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3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3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3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3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3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3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3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3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3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3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3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3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3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3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3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3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3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3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3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3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3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3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3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3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3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3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3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3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3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3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3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3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3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3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3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3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3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3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3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3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3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3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3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3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3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3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3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3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3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3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3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3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3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3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3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3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3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3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3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3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3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3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3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3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3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3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3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3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3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3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3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3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3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3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3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3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3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3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3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3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3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3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3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3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3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3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3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3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3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3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3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3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3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3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3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3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3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3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3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3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3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3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3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3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3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3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3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3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3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3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3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3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3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3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3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3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3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3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3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3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3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3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3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3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3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3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3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3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3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3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3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3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3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3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3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3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3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3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3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3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3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3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3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3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3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3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3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3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3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3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3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3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3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3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3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3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3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3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3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3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3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3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3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3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3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3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3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3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3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3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3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3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3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3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3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3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3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3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3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3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3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3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3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3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3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3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3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3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3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3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3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3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3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3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3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3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3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3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3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3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3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3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3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3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3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3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3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3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3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35">
      <c r="A1629">
        <v>1628</v>
      </c>
      <c r="B1629">
        <v>104</v>
      </c>
      <c r="C1629" s="22" t="s">
        <v>1473</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35">
      <c r="A1630">
        <v>1629</v>
      </c>
      <c r="B1630">
        <v>104</v>
      </c>
      <c r="C1630" s="22" t="s">
        <v>1473</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35">
      <c r="A1631">
        <v>1630</v>
      </c>
      <c r="B1631">
        <v>104</v>
      </c>
      <c r="C1631" s="22" t="s">
        <v>1473</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35">
      <c r="A1632">
        <v>1631</v>
      </c>
      <c r="B1632">
        <v>104</v>
      </c>
      <c r="C1632" s="22" t="s">
        <v>1473</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35">
      <c r="A1633">
        <v>1632</v>
      </c>
      <c r="B1633">
        <v>104</v>
      </c>
      <c r="C1633" s="22" t="s">
        <v>1473</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35">
      <c r="A1634">
        <v>1633</v>
      </c>
      <c r="B1634">
        <v>104</v>
      </c>
      <c r="C1634" s="22" t="s">
        <v>1473</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35">
      <c r="A1635">
        <v>1634</v>
      </c>
      <c r="B1635">
        <v>104</v>
      </c>
      <c r="C1635" s="22" t="s">
        <v>1473</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35">
      <c r="A1636">
        <v>1635</v>
      </c>
      <c r="B1636">
        <v>104</v>
      </c>
      <c r="C1636" s="22" t="s">
        <v>1473</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35">
      <c r="A1637">
        <v>1636</v>
      </c>
      <c r="B1637">
        <v>104</v>
      </c>
      <c r="C1637" s="22" t="s">
        <v>1473</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35">
      <c r="A1638">
        <v>1637</v>
      </c>
      <c r="B1638">
        <v>104</v>
      </c>
      <c r="C1638" s="22" t="s">
        <v>1473</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35">
      <c r="A1639">
        <v>1638</v>
      </c>
      <c r="B1639">
        <v>104</v>
      </c>
      <c r="C1639" s="22" t="s">
        <v>1473</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35">
      <c r="A1640">
        <v>1639</v>
      </c>
      <c r="B1640">
        <v>104</v>
      </c>
      <c r="C1640" s="22" t="s">
        <v>1473</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35">
      <c r="A1641">
        <v>1640</v>
      </c>
      <c r="B1641">
        <v>104</v>
      </c>
      <c r="C1641" s="22" t="s">
        <v>1473</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35">
      <c r="A1642">
        <v>1641</v>
      </c>
      <c r="B1642">
        <v>104</v>
      </c>
      <c r="C1642" s="22" t="s">
        <v>1473</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35">
      <c r="A1643">
        <v>1642</v>
      </c>
      <c r="B1643">
        <v>104</v>
      </c>
      <c r="C1643" s="22" t="s">
        <v>1473</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35">
      <c r="A1644">
        <v>1643</v>
      </c>
      <c r="B1644">
        <v>104</v>
      </c>
      <c r="C1644" s="22" t="s">
        <v>1473</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35">
      <c r="A1645">
        <v>1644</v>
      </c>
      <c r="B1645">
        <v>104</v>
      </c>
      <c r="C1645" s="22" t="s">
        <v>1473</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3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3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3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3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3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3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3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3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3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3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3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3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3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3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3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3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3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3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3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3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3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3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3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3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3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3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3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3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3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3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3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3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3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3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3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3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3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3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3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3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3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3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3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3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3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3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3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3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3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3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3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3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3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3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3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3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3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3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3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3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3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3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3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3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3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3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3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3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3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3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3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3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3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3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3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3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3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3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3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3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3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3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3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3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3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3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3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3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3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3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3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3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3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3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3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3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3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3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3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3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3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3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3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3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3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3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3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3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3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3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tabSelected="1" workbookViewId="0">
      <pane xSplit="1" ySplit="1" topLeftCell="B44" activePane="bottomRight" state="frozen"/>
      <selection pane="topRight" activeCell="B1" sqref="B1"/>
      <selection pane="bottomLeft" activeCell="A2" sqref="A2"/>
      <selection pane="bottomRight" activeCell="N60" sqref="N60"/>
    </sheetView>
  </sheetViews>
  <sheetFormatPr defaultRowHeight="14.5" x14ac:dyDescent="0.35"/>
  <cols>
    <col min="1" max="1" width="19.7265625" customWidth="1"/>
    <col min="2" max="2" width="27.26953125" customWidth="1"/>
    <col min="3" max="3" width="22.1796875" style="102" customWidth="1"/>
    <col min="5" max="5" width="14.81640625" bestFit="1" customWidth="1"/>
    <col min="6" max="6" width="14.81640625" customWidth="1"/>
    <col min="7" max="7" width="17.54296875" style="38" bestFit="1" customWidth="1"/>
    <col min="8" max="8" width="13.81640625" style="38" bestFit="1" customWidth="1"/>
    <col min="10" max="10" width="9.1796875" style="15"/>
    <col min="11" max="12" width="10.7265625" customWidth="1"/>
    <col min="13" max="13" width="15.1796875" bestFit="1" customWidth="1"/>
    <col min="14" max="14" width="9.1796875" style="38"/>
  </cols>
  <sheetData>
    <row r="1" spans="1:14" x14ac:dyDescent="0.35">
      <c r="A1" s="83" t="s">
        <v>308</v>
      </c>
      <c r="B1" s="83" t="s">
        <v>344</v>
      </c>
      <c r="C1" s="101" t="s">
        <v>1450</v>
      </c>
      <c r="D1" s="83" t="s">
        <v>317</v>
      </c>
      <c r="E1" s="83" t="s">
        <v>337</v>
      </c>
      <c r="F1" s="83" t="s">
        <v>921</v>
      </c>
      <c r="G1" s="108" t="s">
        <v>340</v>
      </c>
      <c r="H1" s="153" t="s">
        <v>914</v>
      </c>
      <c r="I1" s="154" t="s">
        <v>341</v>
      </c>
      <c r="J1" s="155" t="s">
        <v>342</v>
      </c>
      <c r="K1" s="82" t="s">
        <v>309</v>
      </c>
      <c r="L1" s="82" t="s">
        <v>1453</v>
      </c>
      <c r="M1" s="82" t="s">
        <v>878</v>
      </c>
      <c r="N1" s="156" t="s">
        <v>310</v>
      </c>
    </row>
    <row r="2" spans="1:14" x14ac:dyDescent="0.35">
      <c r="A2" s="25" t="s">
        <v>0</v>
      </c>
      <c r="B2" s="26" t="s">
        <v>347</v>
      </c>
      <c r="C2" s="110" t="s">
        <v>1420</v>
      </c>
      <c r="D2" t="s">
        <v>335</v>
      </c>
      <c r="E2">
        <v>1</v>
      </c>
      <c r="F2" t="s">
        <v>922</v>
      </c>
      <c r="G2" s="38" t="b">
        <v>0</v>
      </c>
      <c r="H2" s="38" t="b">
        <v>0</v>
      </c>
      <c r="K2" t="b">
        <v>0</v>
      </c>
      <c r="L2" t="b">
        <v>0</v>
      </c>
      <c r="M2" t="b">
        <v>0</v>
      </c>
      <c r="N2" s="38" t="s">
        <v>922</v>
      </c>
    </row>
    <row r="3" spans="1:14" x14ac:dyDescent="0.35">
      <c r="A3" s="25" t="s">
        <v>1</v>
      </c>
      <c r="B3" s="26" t="s">
        <v>345</v>
      </c>
      <c r="C3" s="110" t="s">
        <v>1419</v>
      </c>
      <c r="D3" t="s">
        <v>335</v>
      </c>
      <c r="E3">
        <v>2</v>
      </c>
      <c r="F3" t="s">
        <v>922</v>
      </c>
      <c r="G3" s="38" t="b">
        <v>0</v>
      </c>
      <c r="H3" s="38" t="b">
        <v>0</v>
      </c>
      <c r="K3" t="b">
        <v>0</v>
      </c>
      <c r="L3" t="b">
        <v>0</v>
      </c>
      <c r="M3" t="b">
        <v>0</v>
      </c>
      <c r="N3" s="38" t="s">
        <v>922</v>
      </c>
    </row>
    <row r="4" spans="1:14" x14ac:dyDescent="0.35">
      <c r="A4" s="25" t="s">
        <v>313</v>
      </c>
      <c r="B4" s="26" t="s">
        <v>346</v>
      </c>
      <c r="C4" s="110" t="s">
        <v>1418</v>
      </c>
      <c r="D4" t="s">
        <v>343</v>
      </c>
      <c r="E4">
        <v>3</v>
      </c>
      <c r="F4" t="s">
        <v>922</v>
      </c>
      <c r="G4" s="38" t="b">
        <v>0</v>
      </c>
      <c r="H4" s="38" t="b">
        <v>0</v>
      </c>
      <c r="K4" t="b">
        <v>0</v>
      </c>
      <c r="L4" t="b">
        <v>0</v>
      </c>
      <c r="M4" t="b">
        <v>0</v>
      </c>
      <c r="N4" s="38" t="s">
        <v>922</v>
      </c>
    </row>
    <row r="5" spans="1:14" x14ac:dyDescent="0.35">
      <c r="A5" s="109" t="s">
        <v>913</v>
      </c>
      <c r="B5" s="109" t="s">
        <v>1086</v>
      </c>
      <c r="C5" s="103" t="s">
        <v>1421</v>
      </c>
      <c r="D5" t="s">
        <v>336</v>
      </c>
      <c r="E5">
        <v>4</v>
      </c>
      <c r="F5" t="s">
        <v>922</v>
      </c>
      <c r="G5" s="38" t="b">
        <v>1</v>
      </c>
      <c r="H5" s="38" t="b">
        <v>0</v>
      </c>
      <c r="K5" t="b">
        <v>1</v>
      </c>
      <c r="L5" t="b">
        <v>0</v>
      </c>
      <c r="M5" t="b">
        <v>0</v>
      </c>
      <c r="N5" s="38" t="s">
        <v>922</v>
      </c>
    </row>
    <row r="6" spans="1:14" x14ac:dyDescent="0.35">
      <c r="A6" s="25" t="s">
        <v>143</v>
      </c>
      <c r="B6" s="26" t="s">
        <v>1466</v>
      </c>
      <c r="C6" s="110" t="s">
        <v>1448</v>
      </c>
      <c r="D6" t="s">
        <v>336</v>
      </c>
      <c r="E6">
        <v>5</v>
      </c>
      <c r="F6" t="s">
        <v>922</v>
      </c>
      <c r="G6" s="38" t="b">
        <v>1</v>
      </c>
      <c r="H6" s="38" t="b">
        <v>0</v>
      </c>
      <c r="K6" t="b">
        <v>1</v>
      </c>
      <c r="L6" t="b">
        <v>0</v>
      </c>
      <c r="M6" t="b">
        <v>0</v>
      </c>
      <c r="N6" s="38">
        <v>0</v>
      </c>
    </row>
    <row r="7" spans="1:14" x14ac:dyDescent="0.35">
      <c r="A7" s="25" t="s">
        <v>84</v>
      </c>
      <c r="B7" s="26" t="s">
        <v>356</v>
      </c>
      <c r="C7" s="110" t="s">
        <v>1449</v>
      </c>
      <c r="D7" t="s">
        <v>336</v>
      </c>
      <c r="E7">
        <v>6</v>
      </c>
      <c r="F7" t="s">
        <v>922</v>
      </c>
      <c r="G7" s="38" t="b">
        <v>1</v>
      </c>
      <c r="H7" s="38" t="b">
        <v>1</v>
      </c>
      <c r="J7" s="15" t="s">
        <v>924</v>
      </c>
      <c r="K7" t="b">
        <v>0</v>
      </c>
      <c r="L7" t="b">
        <v>0</v>
      </c>
      <c r="M7" t="b">
        <v>0</v>
      </c>
      <c r="N7" s="38" t="s">
        <v>922</v>
      </c>
    </row>
    <row r="8" spans="1:14" x14ac:dyDescent="0.3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3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3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3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3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35">
      <c r="A13" s="6" t="s">
        <v>86</v>
      </c>
      <c r="B13" s="6" t="s">
        <v>1363</v>
      </c>
      <c r="C13" s="104" t="s">
        <v>1422</v>
      </c>
      <c r="D13" t="s">
        <v>335</v>
      </c>
      <c r="E13">
        <v>8</v>
      </c>
      <c r="F13" t="s">
        <v>922</v>
      </c>
      <c r="G13" s="38" t="b">
        <v>1</v>
      </c>
      <c r="H13" s="38" t="b">
        <v>1</v>
      </c>
      <c r="J13" s="15" t="s">
        <v>924</v>
      </c>
      <c r="K13" t="b">
        <v>0</v>
      </c>
      <c r="L13" t="b">
        <v>0</v>
      </c>
      <c r="M13" t="b">
        <v>0</v>
      </c>
      <c r="N13" s="38" t="s">
        <v>922</v>
      </c>
    </row>
    <row r="14" spans="1:14" x14ac:dyDescent="0.35">
      <c r="A14" s="6" t="s">
        <v>87</v>
      </c>
      <c r="B14" s="6" t="s">
        <v>348</v>
      </c>
      <c r="C14" s="104" t="s">
        <v>1423</v>
      </c>
      <c r="D14" t="s">
        <v>335</v>
      </c>
      <c r="E14">
        <v>8</v>
      </c>
      <c r="F14" t="s">
        <v>922</v>
      </c>
      <c r="G14" s="38" t="b">
        <v>0</v>
      </c>
      <c r="H14" s="38" t="b">
        <v>0</v>
      </c>
      <c r="K14" t="b">
        <v>0</v>
      </c>
      <c r="L14" t="b">
        <v>0</v>
      </c>
      <c r="M14" t="b">
        <v>0</v>
      </c>
      <c r="N14" s="38" t="s">
        <v>922</v>
      </c>
    </row>
    <row r="15" spans="1:14" x14ac:dyDescent="0.35">
      <c r="A15" s="6" t="s">
        <v>85</v>
      </c>
      <c r="B15" s="6" t="s">
        <v>349</v>
      </c>
      <c r="C15" s="104" t="s">
        <v>1424</v>
      </c>
      <c r="D15" t="s">
        <v>335</v>
      </c>
      <c r="E15">
        <v>8</v>
      </c>
      <c r="F15" t="s">
        <v>922</v>
      </c>
      <c r="G15" s="38" t="b">
        <v>0</v>
      </c>
      <c r="H15" s="38" t="b">
        <v>0</v>
      </c>
      <c r="K15" t="b">
        <v>0</v>
      </c>
      <c r="L15" t="b">
        <v>0</v>
      </c>
      <c r="M15" t="b">
        <v>0</v>
      </c>
      <c r="N15" s="38" t="s">
        <v>922</v>
      </c>
    </row>
    <row r="16" spans="1:14" x14ac:dyDescent="0.35">
      <c r="A16" s="2" t="s">
        <v>133</v>
      </c>
      <c r="B16" s="2" t="s">
        <v>350</v>
      </c>
      <c r="C16" s="105" t="s">
        <v>1426</v>
      </c>
      <c r="D16" t="s">
        <v>335</v>
      </c>
      <c r="E16">
        <v>9</v>
      </c>
      <c r="F16" t="s">
        <v>922</v>
      </c>
      <c r="G16" s="38" t="b">
        <v>1</v>
      </c>
      <c r="H16" s="38" t="b">
        <v>1</v>
      </c>
      <c r="J16" s="15" t="s">
        <v>924</v>
      </c>
      <c r="K16" t="b">
        <v>1</v>
      </c>
      <c r="L16" t="b">
        <v>0</v>
      </c>
      <c r="M16" t="b">
        <v>1</v>
      </c>
      <c r="N16" s="38" t="s">
        <v>923</v>
      </c>
    </row>
    <row r="17" spans="1:14" x14ac:dyDescent="0.35">
      <c r="A17" s="2" t="s">
        <v>31</v>
      </c>
      <c r="B17" s="2" t="s">
        <v>1364</v>
      </c>
      <c r="C17" s="105" t="s">
        <v>1481</v>
      </c>
      <c r="D17" t="s">
        <v>336</v>
      </c>
      <c r="E17">
        <v>10</v>
      </c>
      <c r="F17" t="s">
        <v>924</v>
      </c>
      <c r="G17" s="38" t="b">
        <v>1</v>
      </c>
      <c r="H17" s="38" t="b">
        <v>1</v>
      </c>
      <c r="J17" s="15" t="s">
        <v>924</v>
      </c>
      <c r="K17" t="b">
        <v>1</v>
      </c>
      <c r="L17" t="b">
        <v>0</v>
      </c>
      <c r="M17" t="b">
        <v>0</v>
      </c>
      <c r="N17" s="38" t="s">
        <v>923</v>
      </c>
    </row>
    <row r="18" spans="1:14" x14ac:dyDescent="0.35">
      <c r="A18" s="2" t="s">
        <v>44</v>
      </c>
      <c r="B18" s="2" t="s">
        <v>1365</v>
      </c>
      <c r="C18" s="105" t="s">
        <v>1482</v>
      </c>
      <c r="D18" t="s">
        <v>336</v>
      </c>
      <c r="E18">
        <v>11</v>
      </c>
      <c r="F18" t="s">
        <v>924</v>
      </c>
      <c r="G18" s="38" t="b">
        <v>1</v>
      </c>
      <c r="H18" s="38" t="b">
        <v>1</v>
      </c>
      <c r="J18" s="15" t="s">
        <v>924</v>
      </c>
      <c r="K18" t="b">
        <v>1</v>
      </c>
      <c r="L18" t="b">
        <v>0</v>
      </c>
      <c r="M18" t="b">
        <v>0</v>
      </c>
      <c r="N18" s="38" t="s">
        <v>923</v>
      </c>
    </row>
    <row r="19" spans="1:14" x14ac:dyDescent="0.35">
      <c r="A19" s="2" t="s">
        <v>183</v>
      </c>
      <c r="B19" s="2" t="s">
        <v>1451</v>
      </c>
      <c r="C19" s="105" t="str">
        <f>"=1 if authors report schooling in years."</f>
        <v>=1 if authors report schooling in years.</v>
      </c>
      <c r="D19" t="s">
        <v>318</v>
      </c>
      <c r="E19">
        <v>12</v>
      </c>
      <c r="F19" t="s">
        <v>922</v>
      </c>
      <c r="G19" s="38" t="b">
        <v>1</v>
      </c>
      <c r="H19" s="38" t="b">
        <v>1</v>
      </c>
      <c r="I19">
        <v>1</v>
      </c>
      <c r="K19" t="b">
        <v>1</v>
      </c>
      <c r="L19" t="b">
        <v>0</v>
      </c>
      <c r="M19" t="b">
        <v>0</v>
      </c>
      <c r="N19" s="38" t="s">
        <v>923</v>
      </c>
    </row>
    <row r="20" spans="1:14" x14ac:dyDescent="0.35">
      <c r="A20" s="2" t="s">
        <v>184</v>
      </c>
      <c r="B20" s="2" t="s">
        <v>1452</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1</v>
      </c>
      <c r="I20">
        <v>1</v>
      </c>
      <c r="K20" t="b">
        <v>0</v>
      </c>
      <c r="L20" t="b">
        <v>1</v>
      </c>
      <c r="M20" t="b">
        <v>0</v>
      </c>
      <c r="N20" s="38" t="s">
        <v>922</v>
      </c>
    </row>
    <row r="21" spans="1:14" x14ac:dyDescent="0.3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1</v>
      </c>
      <c r="I21">
        <v>1</v>
      </c>
      <c r="K21" t="b">
        <v>1</v>
      </c>
      <c r="L21" t="b">
        <v>0</v>
      </c>
      <c r="M21" t="b">
        <v>0</v>
      </c>
      <c r="N21" s="38" t="s">
        <v>923</v>
      </c>
    </row>
    <row r="22" spans="1:14" x14ac:dyDescent="0.3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1</v>
      </c>
      <c r="I22">
        <v>1</v>
      </c>
      <c r="K22" t="b">
        <v>1</v>
      </c>
      <c r="L22" t="b">
        <v>0</v>
      </c>
      <c r="M22" t="b">
        <v>0</v>
      </c>
      <c r="N22" s="38" t="s">
        <v>923</v>
      </c>
    </row>
    <row r="23" spans="1:14" x14ac:dyDescent="0.3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1</v>
      </c>
      <c r="I23">
        <v>1</v>
      </c>
      <c r="K23" t="b">
        <v>1</v>
      </c>
      <c r="L23" t="b">
        <v>0</v>
      </c>
      <c r="M23" t="b">
        <v>0</v>
      </c>
      <c r="N23" s="38" t="s">
        <v>923</v>
      </c>
    </row>
    <row r="24" spans="1:14" x14ac:dyDescent="0.35">
      <c r="A24" s="2" t="s">
        <v>117</v>
      </c>
      <c r="B24" s="2" t="s">
        <v>1462</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1</v>
      </c>
      <c r="I24">
        <v>1</v>
      </c>
      <c r="K24" t="b">
        <v>0</v>
      </c>
      <c r="L24" t="b">
        <v>1</v>
      </c>
      <c r="M24" t="b">
        <v>0</v>
      </c>
      <c r="N24" s="38" t="s">
        <v>922</v>
      </c>
    </row>
    <row r="25" spans="1:14" x14ac:dyDescent="0.35">
      <c r="A25" s="2" t="s">
        <v>45</v>
      </c>
      <c r="B25" s="2" t="s">
        <v>1416</v>
      </c>
      <c r="C25" s="105" t="str">
        <f>"=1 if the study uses micro data."</f>
        <v>=1 if the study uses micro data.</v>
      </c>
      <c r="D25" t="s">
        <v>318</v>
      </c>
      <c r="E25">
        <v>14</v>
      </c>
      <c r="F25" t="s">
        <v>922</v>
      </c>
      <c r="G25" s="38" t="b">
        <v>1</v>
      </c>
      <c r="H25" s="38" t="b">
        <v>1</v>
      </c>
      <c r="I25">
        <v>1</v>
      </c>
      <c r="K25" t="b">
        <v>1</v>
      </c>
      <c r="L25" t="b">
        <v>0</v>
      </c>
      <c r="M25" t="b">
        <v>0</v>
      </c>
      <c r="N25" s="38" t="s">
        <v>923</v>
      </c>
    </row>
    <row r="26" spans="1:14" x14ac:dyDescent="0.35">
      <c r="A26" s="2" t="s">
        <v>46</v>
      </c>
      <c r="B26" s="2" t="s">
        <v>1415</v>
      </c>
      <c r="C26" s="105" t="str">
        <f>"=1 if the study uses data from a survey."</f>
        <v>=1 if the study uses data from a survey.</v>
      </c>
      <c r="D26" t="s">
        <v>318</v>
      </c>
      <c r="E26">
        <v>14</v>
      </c>
      <c r="F26" t="s">
        <v>922</v>
      </c>
      <c r="G26" s="38" t="b">
        <v>1</v>
      </c>
      <c r="H26" s="38" t="b">
        <v>1</v>
      </c>
      <c r="I26">
        <v>1</v>
      </c>
      <c r="K26" t="b">
        <v>1</v>
      </c>
      <c r="L26" t="b">
        <v>0</v>
      </c>
      <c r="M26" t="b">
        <v>0</v>
      </c>
      <c r="N26" s="38" t="s">
        <v>923</v>
      </c>
    </row>
    <row r="27" spans="1:14" x14ac:dyDescent="0.35">
      <c r="A27" s="2" t="s">
        <v>47</v>
      </c>
      <c r="B27" s="2" t="s">
        <v>1414</v>
      </c>
      <c r="C27" s="105" t="str">
        <f>"=1 if the study uses data from a national register (reference category)."</f>
        <v>=1 if the study uses data from a national register (reference category).</v>
      </c>
      <c r="D27" t="s">
        <v>318</v>
      </c>
      <c r="E27">
        <v>14</v>
      </c>
      <c r="F27" t="s">
        <v>922</v>
      </c>
      <c r="G27" s="38" t="b">
        <v>1</v>
      </c>
      <c r="H27" s="38" t="b">
        <v>1</v>
      </c>
      <c r="I27">
        <v>1</v>
      </c>
      <c r="K27" t="b">
        <v>0</v>
      </c>
      <c r="L27" t="b">
        <v>1</v>
      </c>
      <c r="M27" t="b">
        <v>0</v>
      </c>
      <c r="N27" s="38" t="s">
        <v>922</v>
      </c>
    </row>
    <row r="28" spans="1:14" x14ac:dyDescent="0.3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3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35">
      <c r="A30" s="2" t="s">
        <v>62</v>
      </c>
      <c r="B30" s="2" t="s">
        <v>1417</v>
      </c>
      <c r="C30" s="105" t="s">
        <v>1425</v>
      </c>
      <c r="D30" t="s">
        <v>336</v>
      </c>
      <c r="E30">
        <v>16</v>
      </c>
      <c r="F30" t="s">
        <v>924</v>
      </c>
      <c r="G30" s="38" t="b">
        <v>1</v>
      </c>
      <c r="H30" s="38" t="b">
        <v>1</v>
      </c>
      <c r="J30" s="15" t="s">
        <v>924</v>
      </c>
      <c r="K30" t="b">
        <v>1</v>
      </c>
      <c r="L30" t="b">
        <v>0</v>
      </c>
      <c r="M30" t="b">
        <v>1</v>
      </c>
      <c r="N30" s="38" t="s">
        <v>923</v>
      </c>
    </row>
    <row r="31" spans="1:14" x14ac:dyDescent="0.35">
      <c r="A31" s="34" t="s">
        <v>99</v>
      </c>
      <c r="B31" s="3" t="s">
        <v>1411</v>
      </c>
      <c r="C31" s="111" t="s">
        <v>1429</v>
      </c>
      <c r="D31" t="s">
        <v>338</v>
      </c>
      <c r="E31">
        <v>17</v>
      </c>
      <c r="F31" t="s">
        <v>923</v>
      </c>
      <c r="G31" s="38" t="b">
        <v>1</v>
      </c>
      <c r="H31" s="38" t="b">
        <v>0</v>
      </c>
      <c r="K31" t="b">
        <v>0</v>
      </c>
      <c r="L31" t="b">
        <v>1</v>
      </c>
      <c r="M31" t="b">
        <v>0</v>
      </c>
      <c r="N31" s="38" t="s">
        <v>922</v>
      </c>
    </row>
    <row r="32" spans="1:14" x14ac:dyDescent="0.35">
      <c r="A32" s="34" t="s">
        <v>95</v>
      </c>
      <c r="B32" s="3" t="s">
        <v>1410</v>
      </c>
      <c r="C32" s="111" t="s">
        <v>1427</v>
      </c>
      <c r="D32" t="s">
        <v>338</v>
      </c>
      <c r="E32">
        <v>17</v>
      </c>
      <c r="F32" t="s">
        <v>923</v>
      </c>
      <c r="G32" s="38" t="b">
        <v>1</v>
      </c>
      <c r="H32" s="38" t="b">
        <v>0</v>
      </c>
      <c r="K32" t="b">
        <v>1</v>
      </c>
      <c r="L32" t="b">
        <v>0</v>
      </c>
      <c r="M32" t="b">
        <v>0</v>
      </c>
      <c r="N32" s="38" t="s">
        <v>923</v>
      </c>
    </row>
    <row r="33" spans="1:14" x14ac:dyDescent="0.35">
      <c r="A33" s="34" t="s">
        <v>96</v>
      </c>
      <c r="B33" s="3" t="s">
        <v>1368</v>
      </c>
      <c r="C33" s="111" t="s">
        <v>1428</v>
      </c>
      <c r="D33" t="s">
        <v>338</v>
      </c>
      <c r="E33">
        <v>17</v>
      </c>
      <c r="F33" t="s">
        <v>923</v>
      </c>
      <c r="G33" s="38" t="b">
        <v>1</v>
      </c>
      <c r="H33" s="38" t="b">
        <v>0</v>
      </c>
      <c r="K33" t="b">
        <v>1</v>
      </c>
      <c r="L33" t="b">
        <v>0</v>
      </c>
      <c r="M33" t="b">
        <v>0</v>
      </c>
      <c r="N33" s="38" t="s">
        <v>923</v>
      </c>
    </row>
    <row r="34" spans="1:14" x14ac:dyDescent="0.35">
      <c r="A34" s="34" t="s">
        <v>97</v>
      </c>
      <c r="B34" s="3" t="s">
        <v>882</v>
      </c>
      <c r="C34" s="111" t="s">
        <v>1430</v>
      </c>
      <c r="D34" t="s">
        <v>338</v>
      </c>
      <c r="E34">
        <v>17</v>
      </c>
      <c r="F34" t="s">
        <v>923</v>
      </c>
      <c r="G34" s="38" t="b">
        <v>1</v>
      </c>
      <c r="H34" s="38" t="b">
        <v>1</v>
      </c>
      <c r="J34" s="15">
        <v>0.5</v>
      </c>
      <c r="K34" t="b">
        <v>1</v>
      </c>
      <c r="L34" t="b">
        <v>0</v>
      </c>
      <c r="M34" t="b">
        <v>0</v>
      </c>
      <c r="N34" s="38" t="s">
        <v>923</v>
      </c>
    </row>
    <row r="35" spans="1:14" x14ac:dyDescent="0.35">
      <c r="A35" s="34" t="s">
        <v>89</v>
      </c>
      <c r="B35" s="3" t="s">
        <v>1464</v>
      </c>
      <c r="C35" s="111" t="s">
        <v>1435</v>
      </c>
      <c r="D35" t="s">
        <v>338</v>
      </c>
      <c r="E35">
        <v>19</v>
      </c>
      <c r="F35" t="s">
        <v>923</v>
      </c>
      <c r="G35" s="38" t="b">
        <v>1</v>
      </c>
      <c r="H35" s="38" t="b">
        <v>1</v>
      </c>
      <c r="J35" s="15">
        <v>0.5</v>
      </c>
      <c r="K35" t="b">
        <v>1</v>
      </c>
      <c r="L35" t="b">
        <v>0</v>
      </c>
      <c r="M35" t="b">
        <v>0</v>
      </c>
      <c r="N35" s="38" t="s">
        <v>923</v>
      </c>
    </row>
    <row r="36" spans="1:14" x14ac:dyDescent="0.35">
      <c r="A36" s="34" t="s">
        <v>88</v>
      </c>
      <c r="B36" s="3" t="s">
        <v>1465</v>
      </c>
      <c r="C36" s="111" t="s">
        <v>1434</v>
      </c>
      <c r="D36" t="s">
        <v>338</v>
      </c>
      <c r="E36">
        <v>19</v>
      </c>
      <c r="F36" t="s">
        <v>923</v>
      </c>
      <c r="G36" s="38" t="b">
        <v>0</v>
      </c>
      <c r="H36" s="38" t="b">
        <v>0</v>
      </c>
      <c r="K36" t="b">
        <v>0</v>
      </c>
      <c r="L36" t="b">
        <v>1</v>
      </c>
      <c r="M36" t="b">
        <v>0</v>
      </c>
      <c r="N36" s="38" t="s">
        <v>922</v>
      </c>
    </row>
    <row r="37" spans="1:14" x14ac:dyDescent="0.35">
      <c r="A37" s="34" t="s">
        <v>32</v>
      </c>
      <c r="B37" s="3" t="s">
        <v>1377</v>
      </c>
      <c r="C37" s="111" t="s">
        <v>1433</v>
      </c>
      <c r="D37" t="s">
        <v>338</v>
      </c>
      <c r="E37">
        <v>20</v>
      </c>
      <c r="F37" t="s">
        <v>923</v>
      </c>
      <c r="G37" s="38" t="b">
        <v>1</v>
      </c>
      <c r="H37" s="38" t="b">
        <v>1</v>
      </c>
      <c r="J37" s="15">
        <v>0.5</v>
      </c>
      <c r="K37" t="b">
        <v>1</v>
      </c>
      <c r="L37" t="b">
        <v>0</v>
      </c>
      <c r="M37" t="b">
        <v>0</v>
      </c>
      <c r="N37" s="38" t="s">
        <v>923</v>
      </c>
    </row>
    <row r="38" spans="1:14" x14ac:dyDescent="0.35">
      <c r="A38" s="34" t="s">
        <v>33</v>
      </c>
      <c r="B38" s="3" t="s">
        <v>1378</v>
      </c>
      <c r="C38" s="111" t="s">
        <v>1432</v>
      </c>
      <c r="D38" t="s">
        <v>338</v>
      </c>
      <c r="E38">
        <v>20</v>
      </c>
      <c r="F38" t="s">
        <v>923</v>
      </c>
      <c r="G38" s="38" t="b">
        <v>0</v>
      </c>
      <c r="H38" s="38" t="b">
        <v>0</v>
      </c>
      <c r="K38" t="b">
        <v>0</v>
      </c>
      <c r="L38" t="b">
        <v>1</v>
      </c>
      <c r="M38" t="b">
        <v>0</v>
      </c>
      <c r="N38" s="38" t="s">
        <v>922</v>
      </c>
    </row>
    <row r="39" spans="1:14" x14ac:dyDescent="0.35">
      <c r="A39" s="34" t="s">
        <v>34</v>
      </c>
      <c r="B39" s="3" t="s">
        <v>1379</v>
      </c>
      <c r="C39" s="111" t="s">
        <v>1431</v>
      </c>
      <c r="D39" t="s">
        <v>338</v>
      </c>
      <c r="E39">
        <v>21</v>
      </c>
      <c r="F39" t="s">
        <v>923</v>
      </c>
      <c r="G39" s="38" t="b">
        <v>1</v>
      </c>
      <c r="H39" s="38" t="b">
        <v>1</v>
      </c>
      <c r="J39" s="15">
        <v>0.5</v>
      </c>
      <c r="K39" t="b">
        <v>1</v>
      </c>
      <c r="L39" t="b">
        <v>0</v>
      </c>
      <c r="M39" t="b">
        <v>0</v>
      </c>
      <c r="N39" s="38" t="s">
        <v>923</v>
      </c>
    </row>
    <row r="40" spans="1:14" x14ac:dyDescent="0.35">
      <c r="A40" s="34" t="s">
        <v>35</v>
      </c>
      <c r="B40" s="3" t="s">
        <v>1380</v>
      </c>
      <c r="C40" s="111" t="s">
        <v>1436</v>
      </c>
      <c r="D40" t="s">
        <v>338</v>
      </c>
      <c r="E40">
        <v>21</v>
      </c>
      <c r="F40" t="s">
        <v>923</v>
      </c>
      <c r="G40" s="38" t="b">
        <v>0</v>
      </c>
      <c r="H40" s="38" t="b">
        <v>0</v>
      </c>
      <c r="K40" t="b">
        <v>0</v>
      </c>
      <c r="L40" t="b">
        <v>1</v>
      </c>
      <c r="M40" t="b">
        <v>0</v>
      </c>
      <c r="N40" s="38" t="s">
        <v>922</v>
      </c>
    </row>
    <row r="41" spans="1:14" x14ac:dyDescent="0.35">
      <c r="A41" s="34" t="s">
        <v>50</v>
      </c>
      <c r="B41" s="3" t="s">
        <v>1381</v>
      </c>
      <c r="C41" s="111" t="s">
        <v>1437</v>
      </c>
      <c r="D41" t="s">
        <v>338</v>
      </c>
      <c r="E41">
        <v>22</v>
      </c>
      <c r="F41" t="s">
        <v>923</v>
      </c>
      <c r="G41" s="38" t="b">
        <v>1</v>
      </c>
      <c r="H41" s="38" t="b">
        <v>1</v>
      </c>
      <c r="J41" s="15">
        <v>0.5</v>
      </c>
      <c r="K41" t="b">
        <v>1</v>
      </c>
      <c r="L41" t="b">
        <v>0</v>
      </c>
      <c r="M41" t="b">
        <v>0</v>
      </c>
      <c r="N41" s="38" t="s">
        <v>923</v>
      </c>
    </row>
    <row r="42" spans="1:14" x14ac:dyDescent="0.35">
      <c r="A42" s="34" t="s">
        <v>51</v>
      </c>
      <c r="B42" s="3" t="s">
        <v>1382</v>
      </c>
      <c r="C42" s="111" t="s">
        <v>1438</v>
      </c>
      <c r="D42" t="s">
        <v>338</v>
      </c>
      <c r="E42">
        <v>22</v>
      </c>
      <c r="F42" t="s">
        <v>923</v>
      </c>
      <c r="G42" s="38" t="b">
        <v>0</v>
      </c>
      <c r="H42" s="38" t="b">
        <v>0</v>
      </c>
      <c r="K42" t="b">
        <v>0</v>
      </c>
      <c r="L42" t="b">
        <v>1</v>
      </c>
      <c r="M42" t="b">
        <v>0</v>
      </c>
      <c r="N42" s="38" t="s">
        <v>922</v>
      </c>
    </row>
    <row r="43" spans="1:14" x14ac:dyDescent="0.35">
      <c r="A43" s="34" t="s">
        <v>214</v>
      </c>
      <c r="B43" s="3" t="s">
        <v>1383</v>
      </c>
      <c r="C43" s="111" t="s">
        <v>1439</v>
      </c>
      <c r="D43" t="s">
        <v>338</v>
      </c>
      <c r="E43">
        <v>23</v>
      </c>
      <c r="F43" t="s">
        <v>923</v>
      </c>
      <c r="G43" s="38" t="b">
        <v>1</v>
      </c>
      <c r="H43" s="38" t="b">
        <v>1</v>
      </c>
      <c r="J43" s="15">
        <v>0.5</v>
      </c>
      <c r="K43" t="b">
        <v>1</v>
      </c>
      <c r="L43" t="b">
        <v>0</v>
      </c>
      <c r="M43" t="b">
        <v>0</v>
      </c>
      <c r="N43" s="38" t="s">
        <v>923</v>
      </c>
    </row>
    <row r="44" spans="1:14" x14ac:dyDescent="0.35">
      <c r="A44" s="34" t="s">
        <v>213</v>
      </c>
      <c r="B44" s="3" t="s">
        <v>1384</v>
      </c>
      <c r="C44" s="111" t="s">
        <v>1440</v>
      </c>
      <c r="D44" t="s">
        <v>338</v>
      </c>
      <c r="E44">
        <v>23</v>
      </c>
      <c r="F44" t="s">
        <v>923</v>
      </c>
      <c r="G44" s="38" t="b">
        <v>1</v>
      </c>
      <c r="H44" s="38" t="b">
        <v>0</v>
      </c>
      <c r="K44" t="b">
        <v>0</v>
      </c>
      <c r="L44" t="b">
        <v>1</v>
      </c>
      <c r="M44" t="b">
        <v>0</v>
      </c>
      <c r="N44" s="38" t="s">
        <v>922</v>
      </c>
    </row>
    <row r="45" spans="1:14" x14ac:dyDescent="0.35">
      <c r="A45" s="34" t="s">
        <v>36</v>
      </c>
      <c r="B45" s="3" t="s">
        <v>277</v>
      </c>
      <c r="C45" s="111" t="s">
        <v>1441</v>
      </c>
      <c r="D45" t="s">
        <v>343</v>
      </c>
      <c r="E45">
        <v>24</v>
      </c>
      <c r="F45" t="s">
        <v>922</v>
      </c>
      <c r="G45" s="38" t="b">
        <v>0</v>
      </c>
      <c r="H45" s="38" t="b">
        <v>0</v>
      </c>
      <c r="K45" t="b">
        <v>0</v>
      </c>
      <c r="L45" t="b">
        <v>0</v>
      </c>
      <c r="M45" t="b">
        <v>0</v>
      </c>
      <c r="N45" s="38" t="s">
        <v>922</v>
      </c>
    </row>
    <row r="46" spans="1:14" x14ac:dyDescent="0.35">
      <c r="A46" s="34" t="s">
        <v>55</v>
      </c>
      <c r="B46" s="3" t="s">
        <v>1454</v>
      </c>
      <c r="C46" s="111" t="str">
        <f>"=1 if the study was conducted in a country with advanced economy. (reference group)"</f>
        <v>=1 if the study was conducted in a country with advanced economy. (reference group)</v>
      </c>
      <c r="D46" t="s">
        <v>318</v>
      </c>
      <c r="E46">
        <v>25</v>
      </c>
      <c r="F46" t="s">
        <v>922</v>
      </c>
      <c r="G46" s="38" t="b">
        <v>1</v>
      </c>
      <c r="H46" s="38" t="b">
        <v>1</v>
      </c>
      <c r="I46">
        <v>1</v>
      </c>
      <c r="K46" t="b">
        <v>0</v>
      </c>
      <c r="L46" t="b">
        <v>1</v>
      </c>
      <c r="M46" t="b">
        <v>0</v>
      </c>
      <c r="N46" s="38" t="s">
        <v>922</v>
      </c>
    </row>
    <row r="47" spans="1:14" x14ac:dyDescent="0.35">
      <c r="A47" s="34" t="s">
        <v>56</v>
      </c>
      <c r="B47" s="3" t="s">
        <v>1455</v>
      </c>
      <c r="C47" s="111" t="str">
        <f>"=1 if the study was conducted in the East Asia and Pacific region."</f>
        <v>=1 if the study was conducted in the East Asia and Pacific region.</v>
      </c>
      <c r="D47" t="s">
        <v>318</v>
      </c>
      <c r="E47">
        <v>25</v>
      </c>
      <c r="F47" t="s">
        <v>922</v>
      </c>
      <c r="G47" s="38" t="b">
        <v>1</v>
      </c>
      <c r="H47" s="38" t="b">
        <v>1</v>
      </c>
      <c r="I47">
        <v>1</v>
      </c>
      <c r="K47" t="b">
        <v>0</v>
      </c>
      <c r="L47" t="b">
        <v>0</v>
      </c>
      <c r="M47" t="b">
        <v>0</v>
      </c>
      <c r="N47" s="38" t="s">
        <v>922</v>
      </c>
    </row>
    <row r="48" spans="1:14" x14ac:dyDescent="0.35">
      <c r="A48" s="34" t="s">
        <v>57</v>
      </c>
      <c r="B48" s="3" t="s">
        <v>1456</v>
      </c>
      <c r="C48" s="111" t="str">
        <f>"=1 if the study was conducted in the Europe and Central Asia region."</f>
        <v>=1 if the study was conducted in the Europe and Central Asia region.</v>
      </c>
      <c r="D48" t="s">
        <v>318</v>
      </c>
      <c r="E48">
        <v>25</v>
      </c>
      <c r="F48" t="s">
        <v>922</v>
      </c>
      <c r="G48" s="38" t="b">
        <v>1</v>
      </c>
      <c r="H48" s="38" t="b">
        <v>1</v>
      </c>
      <c r="I48">
        <v>1</v>
      </c>
      <c r="K48" t="b">
        <v>0</v>
      </c>
      <c r="L48" t="b">
        <v>0</v>
      </c>
      <c r="M48" t="b">
        <v>0</v>
      </c>
      <c r="N48" s="38" t="s">
        <v>922</v>
      </c>
    </row>
    <row r="49" spans="1:14" x14ac:dyDescent="0.35">
      <c r="A49" s="34" t="s">
        <v>58</v>
      </c>
      <c r="B49" s="3" t="s">
        <v>1457</v>
      </c>
      <c r="C49" s="111" t="str">
        <f>"=1 if the study was conducted in the Latin America and Caribbean region."</f>
        <v>=1 if the study was conducted in the Latin America and Caribbean region.</v>
      </c>
      <c r="D49" t="s">
        <v>318</v>
      </c>
      <c r="E49">
        <v>25</v>
      </c>
      <c r="F49" t="s">
        <v>922</v>
      </c>
      <c r="G49" s="38" t="b">
        <v>1</v>
      </c>
      <c r="H49" s="38" t="b">
        <v>1</v>
      </c>
      <c r="I49">
        <v>1</v>
      </c>
      <c r="K49" t="b">
        <v>0</v>
      </c>
      <c r="L49" t="b">
        <v>0</v>
      </c>
      <c r="M49" t="b">
        <v>0</v>
      </c>
      <c r="N49" s="38" t="s">
        <v>922</v>
      </c>
    </row>
    <row r="50" spans="1:14" x14ac:dyDescent="0.35">
      <c r="A50" s="34" t="s">
        <v>59</v>
      </c>
      <c r="B50" s="3" t="s">
        <v>1458</v>
      </c>
      <c r="C50" s="111" t="str">
        <f>"=1 if the study was conducted in the Middle East and North Africa region."</f>
        <v>=1 if the study was conducted in the Middle East and North Africa region.</v>
      </c>
      <c r="D50" t="s">
        <v>318</v>
      </c>
      <c r="E50">
        <v>25</v>
      </c>
      <c r="F50" t="s">
        <v>922</v>
      </c>
      <c r="G50" s="38" t="b">
        <v>1</v>
      </c>
      <c r="H50" s="38" t="b">
        <v>1</v>
      </c>
      <c r="I50">
        <v>1</v>
      </c>
      <c r="K50" t="b">
        <v>0</v>
      </c>
      <c r="L50" t="b">
        <v>0</v>
      </c>
      <c r="M50" t="b">
        <v>0</v>
      </c>
      <c r="N50" s="38" t="s">
        <v>922</v>
      </c>
    </row>
    <row r="51" spans="1:14" x14ac:dyDescent="0.35">
      <c r="A51" s="34" t="s">
        <v>60</v>
      </c>
      <c r="B51" s="3" t="s">
        <v>1459</v>
      </c>
      <c r="C51" s="111" t="str">
        <f>"=1 if the study was conducted in the South African region."</f>
        <v>=1 if the study was conducted in the South African region.</v>
      </c>
      <c r="D51" t="s">
        <v>318</v>
      </c>
      <c r="E51">
        <v>25</v>
      </c>
      <c r="F51" t="s">
        <v>922</v>
      </c>
      <c r="G51" s="38" t="b">
        <v>1</v>
      </c>
      <c r="H51" s="38" t="b">
        <v>1</v>
      </c>
      <c r="I51">
        <v>1</v>
      </c>
      <c r="K51" t="b">
        <v>0</v>
      </c>
      <c r="L51" t="b">
        <v>0</v>
      </c>
      <c r="M51" t="b">
        <v>0</v>
      </c>
      <c r="N51" s="38" t="s">
        <v>922</v>
      </c>
    </row>
    <row r="52" spans="1:14" x14ac:dyDescent="0.35">
      <c r="A52" s="34" t="s">
        <v>61</v>
      </c>
      <c r="B52" s="3" t="s">
        <v>1460</v>
      </c>
      <c r="C52" s="111" t="str">
        <f>"=1 if the study was conducted in the region of Sub Saharan Africa."</f>
        <v>=1 if the study was conducted in the region of Sub Saharan Africa.</v>
      </c>
      <c r="D52" t="s">
        <v>318</v>
      </c>
      <c r="E52">
        <v>25</v>
      </c>
      <c r="F52" t="s">
        <v>922</v>
      </c>
      <c r="G52" s="38" t="b">
        <v>1</v>
      </c>
      <c r="H52" s="38" t="b">
        <v>1</v>
      </c>
      <c r="I52">
        <v>1</v>
      </c>
      <c r="K52" t="b">
        <v>0</v>
      </c>
      <c r="L52" t="b">
        <v>0</v>
      </c>
      <c r="M52" t="b">
        <v>0</v>
      </c>
      <c r="N52" s="38" t="s">
        <v>922</v>
      </c>
    </row>
    <row r="53" spans="1:14" x14ac:dyDescent="0.35">
      <c r="A53" s="34" t="s">
        <v>54</v>
      </c>
      <c r="B53" s="3" t="s">
        <v>1385</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35">
      <c r="A54" s="34" t="s">
        <v>53</v>
      </c>
      <c r="B54" s="3" t="s">
        <v>1386</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35">
      <c r="A55" s="34" t="s">
        <v>52</v>
      </c>
      <c r="B55" s="3" t="s">
        <v>1387</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35">
      <c r="A56" s="34" t="s">
        <v>63</v>
      </c>
      <c r="B56" s="3" t="s">
        <v>351</v>
      </c>
      <c r="C56" s="111" t="s">
        <v>1442</v>
      </c>
      <c r="D56" t="s">
        <v>336</v>
      </c>
      <c r="E56">
        <v>27</v>
      </c>
      <c r="F56" t="s">
        <v>924</v>
      </c>
      <c r="G56" s="38" t="b">
        <v>1</v>
      </c>
      <c r="H56" s="38" t="b">
        <v>1</v>
      </c>
      <c r="J56" s="15" t="s">
        <v>924</v>
      </c>
      <c r="K56" t="b">
        <v>1</v>
      </c>
      <c r="L56" t="b">
        <v>0</v>
      </c>
      <c r="M56" t="b">
        <v>1</v>
      </c>
      <c r="N56" s="38" t="s">
        <v>923</v>
      </c>
    </row>
    <row r="57" spans="1:14" x14ac:dyDescent="0.35">
      <c r="A57" s="34" t="s">
        <v>64</v>
      </c>
      <c r="B57" s="3" t="s">
        <v>352</v>
      </c>
      <c r="C57" s="111" t="s">
        <v>1443</v>
      </c>
      <c r="D57" t="s">
        <v>336</v>
      </c>
      <c r="E57">
        <v>28</v>
      </c>
      <c r="F57" t="s">
        <v>924</v>
      </c>
      <c r="G57" s="38" t="b">
        <v>1</v>
      </c>
      <c r="H57" s="38" t="b">
        <v>1</v>
      </c>
      <c r="J57" s="15" t="s">
        <v>924</v>
      </c>
      <c r="K57" t="b">
        <v>1</v>
      </c>
      <c r="L57" t="b">
        <v>0</v>
      </c>
      <c r="M57" t="b">
        <v>1</v>
      </c>
      <c r="N57" s="38" t="s">
        <v>923</v>
      </c>
    </row>
    <row r="58" spans="1:14" x14ac:dyDescent="0.35">
      <c r="A58" s="34" t="s">
        <v>1359</v>
      </c>
      <c r="B58" s="3" t="s">
        <v>1360</v>
      </c>
      <c r="C58" s="111" t="s">
        <v>1444</v>
      </c>
      <c r="D58" t="s">
        <v>336</v>
      </c>
      <c r="E58">
        <v>29</v>
      </c>
      <c r="F58" t="s">
        <v>924</v>
      </c>
      <c r="G58" s="38" t="b">
        <v>1</v>
      </c>
      <c r="H58" s="38" t="b">
        <v>1</v>
      </c>
      <c r="J58" s="15" t="s">
        <v>924</v>
      </c>
      <c r="K58" t="b">
        <v>1</v>
      </c>
      <c r="L58" t="b">
        <v>0</v>
      </c>
      <c r="M58" t="b">
        <v>0</v>
      </c>
      <c r="N58" s="38" t="s">
        <v>923</v>
      </c>
    </row>
    <row r="59" spans="1:14" x14ac:dyDescent="0.35">
      <c r="A59" s="34" t="s">
        <v>65</v>
      </c>
      <c r="B59" s="3" t="s">
        <v>1362</v>
      </c>
      <c r="C59" s="111" t="s">
        <v>1445</v>
      </c>
      <c r="D59" t="s">
        <v>336</v>
      </c>
      <c r="E59">
        <v>30</v>
      </c>
      <c r="F59" t="s">
        <v>924</v>
      </c>
      <c r="G59" s="38" t="b">
        <v>1</v>
      </c>
      <c r="H59" s="38" t="b">
        <v>1</v>
      </c>
      <c r="J59" s="15" t="s">
        <v>924</v>
      </c>
      <c r="K59" t="b">
        <v>0</v>
      </c>
      <c r="L59" t="b">
        <v>0</v>
      </c>
      <c r="M59" t="b">
        <v>0</v>
      </c>
      <c r="N59" s="38" t="s">
        <v>922</v>
      </c>
    </row>
    <row r="60" spans="1:14" x14ac:dyDescent="0.35">
      <c r="A60" s="4" t="s">
        <v>66</v>
      </c>
      <c r="B60" s="4" t="s">
        <v>1388</v>
      </c>
      <c r="C60" s="106" t="str">
        <f>"=1 if the authors use Ordinary least squares (reference category)."</f>
        <v>=1 if the authors use Ordinary least squares (reference category).</v>
      </c>
      <c r="D60" t="s">
        <v>318</v>
      </c>
      <c r="E60">
        <v>31</v>
      </c>
      <c r="F60" t="s">
        <v>922</v>
      </c>
      <c r="G60" s="38" t="b">
        <v>1</v>
      </c>
      <c r="H60" s="38" t="b">
        <v>1</v>
      </c>
      <c r="I60">
        <v>1</v>
      </c>
      <c r="K60" t="b">
        <v>0</v>
      </c>
      <c r="L60" t="b">
        <v>1</v>
      </c>
      <c r="M60" t="b">
        <v>0</v>
      </c>
      <c r="N60" s="38" t="s">
        <v>922</v>
      </c>
    </row>
    <row r="61" spans="1:14" x14ac:dyDescent="0.35">
      <c r="A61" s="4" t="s">
        <v>1475</v>
      </c>
      <c r="B61" s="4" t="s">
        <v>1476</v>
      </c>
      <c r="C61" s="106" t="str">
        <f>"=1 if the authors use Cohort-type or Fixed-effects estimation."</f>
        <v>=1 if the authors use Cohort-type or Fixed-effects estimation.</v>
      </c>
      <c r="D61" t="s">
        <v>318</v>
      </c>
      <c r="E61">
        <v>31</v>
      </c>
      <c r="F61" t="s">
        <v>922</v>
      </c>
      <c r="G61" s="38" t="b">
        <v>1</v>
      </c>
      <c r="H61" s="38" t="b">
        <v>1</v>
      </c>
      <c r="I61">
        <v>1</v>
      </c>
      <c r="K61" t="b">
        <v>1</v>
      </c>
      <c r="L61" t="b">
        <v>0</v>
      </c>
      <c r="M61" t="b">
        <v>0</v>
      </c>
      <c r="N61" s="38" t="s">
        <v>923</v>
      </c>
    </row>
    <row r="62" spans="1:14" x14ac:dyDescent="0.35">
      <c r="A62" s="4" t="s">
        <v>119</v>
      </c>
      <c r="B62" s="4" t="s">
        <v>1389</v>
      </c>
      <c r="C62" s="106" t="str">
        <f>"=1 if the authors use Two-Stage least squares estimation."</f>
        <v>=1 if the authors use Two-Stage least squares estimation.</v>
      </c>
      <c r="D62" t="s">
        <v>318</v>
      </c>
      <c r="E62">
        <v>31</v>
      </c>
      <c r="F62" t="s">
        <v>922</v>
      </c>
      <c r="G62" s="38" t="b">
        <v>1</v>
      </c>
      <c r="H62" s="38" t="b">
        <v>1</v>
      </c>
      <c r="I62">
        <v>1</v>
      </c>
      <c r="K62" t="b">
        <v>1</v>
      </c>
      <c r="L62" t="b">
        <v>0</v>
      </c>
      <c r="M62" t="b">
        <v>0</v>
      </c>
      <c r="N62" s="38" t="s">
        <v>923</v>
      </c>
    </row>
    <row r="63" spans="1:14" x14ac:dyDescent="0.35">
      <c r="A63" s="4" t="s">
        <v>129</v>
      </c>
      <c r="B63" s="4" t="s">
        <v>1390</v>
      </c>
      <c r="C63" s="106" t="str">
        <f>"=1 if the authors use Two-step estimation (Heckman and Polachek, 1974)."</f>
        <v>=1 if the authors use Two-step estimation (Heckman and Polachek, 1974).</v>
      </c>
      <c r="D63" t="s">
        <v>318</v>
      </c>
      <c r="E63">
        <v>31</v>
      </c>
      <c r="F63" t="s">
        <v>922</v>
      </c>
      <c r="G63" s="38" t="b">
        <v>1</v>
      </c>
      <c r="H63" s="38" t="b">
        <v>1</v>
      </c>
      <c r="I63">
        <v>1</v>
      </c>
      <c r="K63" t="b">
        <v>1</v>
      </c>
      <c r="L63" t="b">
        <v>0</v>
      </c>
      <c r="M63" t="b">
        <v>0</v>
      </c>
      <c r="N63" s="38" t="s">
        <v>923</v>
      </c>
    </row>
    <row r="64" spans="1:14" x14ac:dyDescent="0.35">
      <c r="A64" s="4" t="s">
        <v>128</v>
      </c>
      <c r="B64" s="4" t="s">
        <v>1391</v>
      </c>
      <c r="C64" s="106" t="str">
        <f>"=1 if the authors use Probit estimation."</f>
        <v>=1 if the authors use Probit estimation.</v>
      </c>
      <c r="D64" t="s">
        <v>318</v>
      </c>
      <c r="E64">
        <v>31</v>
      </c>
      <c r="F64" t="s">
        <v>922</v>
      </c>
      <c r="G64" s="38" t="b">
        <v>1</v>
      </c>
      <c r="H64" s="38" t="b">
        <v>1</v>
      </c>
      <c r="I64">
        <v>1</v>
      </c>
      <c r="K64" t="b">
        <v>1</v>
      </c>
      <c r="L64" t="b">
        <v>0</v>
      </c>
      <c r="M64" t="b">
        <v>0</v>
      </c>
      <c r="N64" s="38" t="s">
        <v>923</v>
      </c>
    </row>
    <row r="65" spans="1:14" x14ac:dyDescent="0.35">
      <c r="A65" s="4" t="s">
        <v>67</v>
      </c>
      <c r="B65" s="4" t="s">
        <v>1392</v>
      </c>
      <c r="C65" s="106" t="str">
        <f>"=1 if the authors use Instrumental variables estimation."</f>
        <v>=1 if the authors use Instrumental variables estimation.</v>
      </c>
      <c r="D65" t="s">
        <v>318</v>
      </c>
      <c r="E65">
        <v>31</v>
      </c>
      <c r="F65" t="s">
        <v>922</v>
      </c>
      <c r="G65" s="38" t="b">
        <v>1</v>
      </c>
      <c r="H65" s="38" t="b">
        <v>1</v>
      </c>
      <c r="I65">
        <v>1</v>
      </c>
      <c r="K65" t="b">
        <v>1</v>
      </c>
      <c r="L65" t="b">
        <v>0</v>
      </c>
      <c r="M65" t="b">
        <v>0</v>
      </c>
      <c r="N65" s="38" t="s">
        <v>923</v>
      </c>
    </row>
    <row r="66" spans="1:14" x14ac:dyDescent="0.35">
      <c r="A66" s="4" t="s">
        <v>68</v>
      </c>
      <c r="B66" s="4" t="s">
        <v>1393</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35">
      <c r="A67" s="4" t="s">
        <v>69</v>
      </c>
      <c r="B67" s="4" t="s">
        <v>1394</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35">
      <c r="A68" s="4" t="s">
        <v>113</v>
      </c>
      <c r="B68" s="4" t="s">
        <v>1395</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35">
      <c r="A69" s="4" t="s">
        <v>114</v>
      </c>
      <c r="B69" s="4" t="s">
        <v>1396</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35">
      <c r="A70" s="4" t="s">
        <v>122</v>
      </c>
      <c r="B70" s="4" t="s">
        <v>1397</v>
      </c>
      <c r="C70" s="106" t="str">
        <f>"=1 if the authors use parents education as an instrument in the regression."</f>
        <v>=1 if the authors use parents education as an instrument in the regression.</v>
      </c>
      <c r="D70" t="s">
        <v>335</v>
      </c>
      <c r="E70">
        <v>33</v>
      </c>
      <c r="F70" t="s">
        <v>922</v>
      </c>
      <c r="G70" s="38" t="b">
        <v>1</v>
      </c>
      <c r="H70" s="38" t="b">
        <v>1</v>
      </c>
      <c r="I70">
        <v>1</v>
      </c>
      <c r="K70" t="b">
        <v>0</v>
      </c>
      <c r="L70" t="b">
        <v>0</v>
      </c>
      <c r="M70" t="b">
        <v>0</v>
      </c>
      <c r="N70" s="38" t="s">
        <v>922</v>
      </c>
    </row>
    <row r="71" spans="1:14" x14ac:dyDescent="0.35">
      <c r="A71" s="4" t="s">
        <v>132</v>
      </c>
      <c r="B71" s="4" t="s">
        <v>1398</v>
      </c>
      <c r="C71" s="106" t="str">
        <f>"=1 if the authors use distance to school as an instrument in the regression."</f>
        <v>=1 if the authors use distance to school as an instrument in the regression.</v>
      </c>
      <c r="D71" t="s">
        <v>335</v>
      </c>
      <c r="E71">
        <v>33</v>
      </c>
      <c r="F71" t="s">
        <v>922</v>
      </c>
      <c r="G71" s="38" t="b">
        <v>1</v>
      </c>
      <c r="H71" s="38" t="b">
        <v>1</v>
      </c>
      <c r="I71">
        <v>1</v>
      </c>
      <c r="K71" t="b">
        <v>0</v>
      </c>
      <c r="L71" t="b">
        <v>0</v>
      </c>
      <c r="M71" t="b">
        <v>0</v>
      </c>
      <c r="N71" s="38" t="s">
        <v>922</v>
      </c>
    </row>
    <row r="72" spans="1:14" x14ac:dyDescent="0.35">
      <c r="A72" s="4" t="s">
        <v>123</v>
      </c>
      <c r="B72" s="4" t="s">
        <v>1399</v>
      </c>
      <c r="C72" s="106" t="str">
        <f>"=1 if the authors use another instrument in the regression."</f>
        <v>=1 if the authors use another instrument in the regression.</v>
      </c>
      <c r="D72" t="s">
        <v>335</v>
      </c>
      <c r="E72">
        <v>33</v>
      </c>
      <c r="F72" t="s">
        <v>922</v>
      </c>
      <c r="G72" s="38" t="b">
        <v>1</v>
      </c>
      <c r="H72" s="38" t="b">
        <v>1</v>
      </c>
      <c r="I72">
        <v>1</v>
      </c>
      <c r="K72" t="b">
        <v>0</v>
      </c>
      <c r="L72" t="b">
        <v>0</v>
      </c>
      <c r="M72" t="b">
        <v>0</v>
      </c>
      <c r="N72" s="38" t="s">
        <v>922</v>
      </c>
    </row>
    <row r="73" spans="1:14" x14ac:dyDescent="0.35">
      <c r="A73" s="4" t="s">
        <v>70</v>
      </c>
      <c r="B73" s="4" t="s">
        <v>1400</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35">
      <c r="A74" s="4" t="s">
        <v>71</v>
      </c>
      <c r="B74" s="4" t="s">
        <v>1413</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35">
      <c r="A75" s="4" t="s">
        <v>72</v>
      </c>
      <c r="B75" s="4" t="s">
        <v>1401</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35">
      <c r="A76" s="4" t="s">
        <v>98</v>
      </c>
      <c r="B76" s="4" t="s">
        <v>1412</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35">
      <c r="A77" s="4" t="s">
        <v>73</v>
      </c>
      <c r="B77" s="4" t="s">
        <v>1402</v>
      </c>
      <c r="C77" s="106" t="str">
        <f>"=1 if the authors control for ethnicity in the regression."</f>
        <v>=1 if the authors control for ethnicity in the regression.</v>
      </c>
      <c r="D77" t="s">
        <v>335</v>
      </c>
      <c r="E77">
        <v>34</v>
      </c>
      <c r="F77" t="s">
        <v>922</v>
      </c>
      <c r="G77" s="38" t="b">
        <v>1</v>
      </c>
      <c r="H77" s="38" t="b">
        <v>1</v>
      </c>
      <c r="I77">
        <v>1</v>
      </c>
      <c r="K77" t="b">
        <v>1</v>
      </c>
      <c r="L77" t="b">
        <v>0</v>
      </c>
      <c r="M77" t="b">
        <v>0</v>
      </c>
      <c r="N77" s="38" t="s">
        <v>923</v>
      </c>
    </row>
    <row r="78" spans="1:14" x14ac:dyDescent="0.35">
      <c r="A78" s="4" t="s">
        <v>74</v>
      </c>
      <c r="B78" s="4" t="s">
        <v>1403</v>
      </c>
      <c r="C78" s="106" t="str">
        <f>"=1 if the authors control for health in the regression."</f>
        <v>=1 if the authors control for health in the regression.</v>
      </c>
      <c r="D78" t="s">
        <v>335</v>
      </c>
      <c r="E78">
        <v>34</v>
      </c>
      <c r="F78" t="s">
        <v>922</v>
      </c>
      <c r="G78" s="38" t="b">
        <v>1</v>
      </c>
      <c r="H78" s="38" t="b">
        <v>1</v>
      </c>
      <c r="I78">
        <v>1</v>
      </c>
      <c r="K78" t="b">
        <v>1</v>
      </c>
      <c r="L78" t="b">
        <v>0</v>
      </c>
      <c r="M78" t="b">
        <v>0</v>
      </c>
      <c r="N78" s="38" t="s">
        <v>923</v>
      </c>
    </row>
    <row r="79" spans="1:14" x14ac:dyDescent="0.35">
      <c r="A79" s="4" t="s">
        <v>75</v>
      </c>
      <c r="B79" s="4" t="s">
        <v>1404</v>
      </c>
      <c r="C79" s="106" t="str">
        <f>"=1 if the authors control for gender in the regression."</f>
        <v>=1 if the authors control for gender in the regression.</v>
      </c>
      <c r="D79" t="s">
        <v>335</v>
      </c>
      <c r="E79">
        <v>34</v>
      </c>
      <c r="F79" t="s">
        <v>922</v>
      </c>
      <c r="G79" s="38" t="b">
        <v>1</v>
      </c>
      <c r="H79" s="38" t="b">
        <v>1</v>
      </c>
      <c r="I79">
        <v>1</v>
      </c>
      <c r="K79" t="b">
        <v>1</v>
      </c>
      <c r="L79" t="b">
        <v>0</v>
      </c>
      <c r="M79" t="b">
        <v>0</v>
      </c>
      <c r="N79" s="38" t="s">
        <v>923</v>
      </c>
    </row>
    <row r="80" spans="1:14" x14ac:dyDescent="0.35">
      <c r="A80" s="4" t="s">
        <v>1305</v>
      </c>
      <c r="B80" s="4" t="s">
        <v>1405</v>
      </c>
      <c r="C80" s="106" t="str">
        <f>"=1 if the authors control for marriage in the regression."</f>
        <v>=1 if the authors control for marriage in the regression.</v>
      </c>
      <c r="D80" t="s">
        <v>335</v>
      </c>
      <c r="E80">
        <v>34</v>
      </c>
      <c r="F80" t="s">
        <v>922</v>
      </c>
      <c r="G80" s="38" t="b">
        <v>1</v>
      </c>
      <c r="H80" s="38" t="b">
        <v>1</v>
      </c>
      <c r="I80">
        <v>1</v>
      </c>
      <c r="K80" t="b">
        <v>1</v>
      </c>
      <c r="L80" t="b">
        <v>0</v>
      </c>
      <c r="M80" t="b">
        <v>0</v>
      </c>
      <c r="N80" s="38" t="s">
        <v>923</v>
      </c>
    </row>
    <row r="81" spans="1:14" x14ac:dyDescent="0.35">
      <c r="A81" s="4" t="s">
        <v>76</v>
      </c>
      <c r="B81" s="4" t="s">
        <v>1406</v>
      </c>
      <c r="C81" s="106" t="str">
        <f>"=1 if the authors control for occupation of the subjects in the regression."</f>
        <v>=1 if the authors control for occupation of the subjects in the regression.</v>
      </c>
      <c r="D81" t="s">
        <v>335</v>
      </c>
      <c r="E81">
        <v>34</v>
      </c>
      <c r="F81" t="s">
        <v>922</v>
      </c>
      <c r="G81" s="38" t="b">
        <v>1</v>
      </c>
      <c r="H81" s="38" t="b">
        <v>1</v>
      </c>
      <c r="I81">
        <v>1</v>
      </c>
      <c r="K81" t="b">
        <v>1</v>
      </c>
      <c r="L81" t="b">
        <v>0</v>
      </c>
      <c r="M81" t="b">
        <v>0</v>
      </c>
      <c r="N81" s="38" t="s">
        <v>923</v>
      </c>
    </row>
    <row r="82" spans="1:14" x14ac:dyDescent="0.35">
      <c r="A82" s="4" t="s">
        <v>78</v>
      </c>
      <c r="B82" s="4" t="s">
        <v>1461</v>
      </c>
      <c r="C82" s="106" t="str">
        <f>"=1 if the authors control for firm characteristics in the regression."</f>
        <v>=1 if the authors control for firm characteristics in the regression.</v>
      </c>
      <c r="D82" t="s">
        <v>335</v>
      </c>
      <c r="E82">
        <v>34</v>
      </c>
      <c r="F82" t="s">
        <v>922</v>
      </c>
      <c r="G82" s="38" t="b">
        <v>1</v>
      </c>
      <c r="H82" s="38" t="b">
        <v>1</v>
      </c>
      <c r="I82">
        <v>1</v>
      </c>
      <c r="K82" t="b">
        <v>1</v>
      </c>
      <c r="L82" t="b">
        <v>0</v>
      </c>
      <c r="M82" t="b">
        <v>0</v>
      </c>
      <c r="N82" s="38" t="s">
        <v>923</v>
      </c>
    </row>
    <row r="83" spans="1:14" x14ac:dyDescent="0.35">
      <c r="A83" s="4" t="s">
        <v>130</v>
      </c>
      <c r="B83" s="4" t="s">
        <v>1407</v>
      </c>
      <c r="C83" s="106" t="str">
        <f>"=1 if the authors control for area type in the regression (e.g., urban, rural)."</f>
        <v>=1 if the authors control for area type in the regression (e.g., urban, rural).</v>
      </c>
      <c r="D83" t="s">
        <v>335</v>
      </c>
      <c r="E83">
        <v>34</v>
      </c>
      <c r="F83" t="s">
        <v>922</v>
      </c>
      <c r="G83" s="38" t="b">
        <v>1</v>
      </c>
      <c r="H83" s="38" t="b">
        <v>1</v>
      </c>
      <c r="I83">
        <v>1</v>
      </c>
      <c r="K83" t="b">
        <v>1</v>
      </c>
      <c r="L83" t="b">
        <v>0</v>
      </c>
      <c r="M83" t="b">
        <v>0</v>
      </c>
      <c r="N83" s="38" t="s">
        <v>923</v>
      </c>
    </row>
    <row r="84" spans="1:14" x14ac:dyDescent="0.35">
      <c r="A84" s="4" t="s">
        <v>77</v>
      </c>
      <c r="B84" s="4" t="s">
        <v>1463</v>
      </c>
      <c r="C84" s="106" t="str">
        <f>"=1 if the authors control for macroeconomic variables in the regression."</f>
        <v>=1 if the authors control for macroeconomic variables in the regression.</v>
      </c>
      <c r="D84" t="s">
        <v>335</v>
      </c>
      <c r="E84">
        <v>34</v>
      </c>
      <c r="F84" t="s">
        <v>922</v>
      </c>
      <c r="G84" s="38" t="b">
        <v>1</v>
      </c>
      <c r="H84" s="38" t="b">
        <v>1</v>
      </c>
      <c r="I84">
        <v>1</v>
      </c>
      <c r="K84" t="b">
        <v>1</v>
      </c>
      <c r="L84" t="b">
        <v>0</v>
      </c>
      <c r="M84" t="b">
        <v>0</v>
      </c>
      <c r="N84" s="38" t="s">
        <v>923</v>
      </c>
    </row>
    <row r="85" spans="1:14" x14ac:dyDescent="0.35">
      <c r="A85" s="40" t="s">
        <v>79</v>
      </c>
      <c r="B85" s="40" t="s">
        <v>353</v>
      </c>
      <c r="C85" s="107" t="s">
        <v>1446</v>
      </c>
      <c r="D85" t="s">
        <v>336</v>
      </c>
      <c r="E85">
        <v>35</v>
      </c>
      <c r="F85" t="s">
        <v>922</v>
      </c>
      <c r="G85" s="38" t="b">
        <v>1</v>
      </c>
      <c r="H85" s="38" t="b">
        <v>1</v>
      </c>
      <c r="J85" s="15" t="s">
        <v>924</v>
      </c>
      <c r="K85" t="b">
        <v>1</v>
      </c>
      <c r="L85" t="b">
        <v>0</v>
      </c>
      <c r="M85" t="b">
        <v>1</v>
      </c>
      <c r="N85" s="38" t="s">
        <v>1361</v>
      </c>
    </row>
    <row r="86" spans="1:14" x14ac:dyDescent="0.35">
      <c r="A86" s="40" t="s">
        <v>80</v>
      </c>
      <c r="B86" s="40" t="s">
        <v>354</v>
      </c>
      <c r="C86" s="107" t="s">
        <v>1447</v>
      </c>
      <c r="D86" t="s">
        <v>335</v>
      </c>
      <c r="E86">
        <v>36</v>
      </c>
      <c r="F86" t="s">
        <v>922</v>
      </c>
      <c r="G86" s="38" t="b">
        <v>1</v>
      </c>
      <c r="H86" s="38" t="b">
        <v>1</v>
      </c>
      <c r="J86" s="15" t="s">
        <v>924</v>
      </c>
      <c r="K86" t="b">
        <v>1</v>
      </c>
      <c r="L86" t="b">
        <v>0</v>
      </c>
      <c r="M86" t="b">
        <v>1</v>
      </c>
      <c r="N86" s="38" t="s">
        <v>1361</v>
      </c>
    </row>
    <row r="87" spans="1:14" x14ac:dyDescent="0.35">
      <c r="A87" s="40" t="s">
        <v>81</v>
      </c>
      <c r="B87" s="40" t="s">
        <v>1408</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35">
      <c r="A88" s="40" t="s">
        <v>339</v>
      </c>
      <c r="B88" s="40" t="s">
        <v>1409</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35">
      <c r="A89" s="40" t="s">
        <v>82</v>
      </c>
      <c r="B89" s="40" t="s">
        <v>355</v>
      </c>
      <c r="C89" s="107" t="s">
        <v>1480</v>
      </c>
      <c r="D89" t="s">
        <v>335</v>
      </c>
      <c r="E89">
        <v>38</v>
      </c>
      <c r="F89" t="s">
        <v>922</v>
      </c>
      <c r="G89" s="38" t="b">
        <v>1</v>
      </c>
      <c r="H89" s="38" t="b">
        <v>1</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4 K2:M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1640625" defaultRowHeight="14.5" x14ac:dyDescent="0.35"/>
  <sheetData>
    <row r="1" spans="1:12" x14ac:dyDescent="0.35">
      <c r="A1" s="141" t="s">
        <v>36</v>
      </c>
      <c r="B1" s="141" t="s">
        <v>55</v>
      </c>
      <c r="C1" s="141" t="s">
        <v>56</v>
      </c>
      <c r="D1" s="141" t="s">
        <v>57</v>
      </c>
      <c r="E1" s="141" t="s">
        <v>58</v>
      </c>
      <c r="F1" s="141" t="s">
        <v>59</v>
      </c>
      <c r="G1" s="141" t="s">
        <v>60</v>
      </c>
      <c r="H1" s="141" t="s">
        <v>61</v>
      </c>
      <c r="I1" s="141" t="s">
        <v>54</v>
      </c>
      <c r="J1" s="141" t="s">
        <v>52</v>
      </c>
      <c r="K1" s="141" t="s">
        <v>53</v>
      </c>
    </row>
    <row r="2" spans="1:12" x14ac:dyDescent="0.35">
      <c r="A2" t="s">
        <v>483</v>
      </c>
      <c r="B2">
        <v>0</v>
      </c>
      <c r="C2">
        <v>0</v>
      </c>
      <c r="D2">
        <v>1</v>
      </c>
      <c r="E2">
        <v>0</v>
      </c>
      <c r="F2">
        <v>0</v>
      </c>
      <c r="G2">
        <v>0</v>
      </c>
      <c r="H2">
        <v>0</v>
      </c>
      <c r="I2">
        <v>0</v>
      </c>
      <c r="J2">
        <v>0</v>
      </c>
      <c r="K2">
        <v>1</v>
      </c>
      <c r="L2" s="142"/>
    </row>
    <row r="3" spans="1:12" x14ac:dyDescent="0.35">
      <c r="A3" t="s">
        <v>419</v>
      </c>
      <c r="B3">
        <v>0</v>
      </c>
      <c r="C3">
        <v>0</v>
      </c>
      <c r="D3">
        <v>0</v>
      </c>
      <c r="E3">
        <v>0</v>
      </c>
      <c r="F3">
        <v>1</v>
      </c>
      <c r="G3">
        <v>0</v>
      </c>
      <c r="H3">
        <v>0</v>
      </c>
      <c r="I3">
        <v>0</v>
      </c>
      <c r="J3">
        <v>0</v>
      </c>
      <c r="K3">
        <v>1</v>
      </c>
      <c r="L3" s="142"/>
    </row>
    <row r="4" spans="1:12" x14ac:dyDescent="0.35">
      <c r="A4" t="s">
        <v>456</v>
      </c>
      <c r="B4">
        <v>0</v>
      </c>
      <c r="C4">
        <v>0</v>
      </c>
      <c r="D4">
        <v>0</v>
      </c>
      <c r="E4">
        <v>1</v>
      </c>
      <c r="F4">
        <v>0</v>
      </c>
      <c r="G4">
        <v>0</v>
      </c>
      <c r="H4">
        <v>0</v>
      </c>
      <c r="I4">
        <v>1</v>
      </c>
      <c r="J4">
        <v>0</v>
      </c>
      <c r="K4">
        <v>0</v>
      </c>
    </row>
    <row r="5" spans="1:12" x14ac:dyDescent="0.35">
      <c r="A5" t="s">
        <v>2</v>
      </c>
      <c r="B5">
        <v>1</v>
      </c>
      <c r="C5">
        <v>0</v>
      </c>
      <c r="D5">
        <v>0</v>
      </c>
      <c r="E5">
        <v>0</v>
      </c>
      <c r="F5">
        <v>0</v>
      </c>
      <c r="G5">
        <v>0</v>
      </c>
      <c r="H5">
        <v>0</v>
      </c>
      <c r="I5">
        <v>1</v>
      </c>
      <c r="J5">
        <v>0</v>
      </c>
      <c r="K5">
        <v>0</v>
      </c>
    </row>
    <row r="6" spans="1:12" x14ac:dyDescent="0.35">
      <c r="A6" t="s">
        <v>382</v>
      </c>
      <c r="B6">
        <v>1</v>
      </c>
      <c r="C6">
        <v>0</v>
      </c>
      <c r="D6">
        <v>0</v>
      </c>
      <c r="E6">
        <v>0</v>
      </c>
      <c r="F6">
        <v>0</v>
      </c>
      <c r="G6">
        <v>0</v>
      </c>
      <c r="H6">
        <v>0</v>
      </c>
      <c r="I6">
        <v>1</v>
      </c>
      <c r="J6">
        <v>0</v>
      </c>
      <c r="K6">
        <v>0</v>
      </c>
    </row>
    <row r="7" spans="1:12" x14ac:dyDescent="0.35">
      <c r="A7" t="s">
        <v>484</v>
      </c>
      <c r="B7">
        <v>0</v>
      </c>
      <c r="C7">
        <v>0</v>
      </c>
      <c r="D7">
        <v>1</v>
      </c>
      <c r="E7">
        <v>0</v>
      </c>
      <c r="F7">
        <v>0</v>
      </c>
      <c r="G7">
        <v>0</v>
      </c>
      <c r="H7">
        <v>0</v>
      </c>
      <c r="I7">
        <v>0</v>
      </c>
      <c r="J7">
        <v>0</v>
      </c>
      <c r="K7">
        <v>1</v>
      </c>
      <c r="L7" s="142"/>
    </row>
    <row r="8" spans="1:12" x14ac:dyDescent="0.35">
      <c r="A8" t="s">
        <v>3</v>
      </c>
      <c r="B8">
        <v>0</v>
      </c>
      <c r="C8">
        <v>0</v>
      </c>
      <c r="D8">
        <v>0</v>
      </c>
      <c r="E8">
        <v>0</v>
      </c>
      <c r="F8">
        <v>0</v>
      </c>
      <c r="G8">
        <v>1</v>
      </c>
      <c r="H8">
        <v>0</v>
      </c>
      <c r="I8">
        <v>0</v>
      </c>
      <c r="J8">
        <v>0</v>
      </c>
      <c r="K8">
        <v>1</v>
      </c>
    </row>
    <row r="9" spans="1:12" x14ac:dyDescent="0.35">
      <c r="A9" t="s">
        <v>502</v>
      </c>
      <c r="B9">
        <v>0</v>
      </c>
      <c r="C9">
        <v>0</v>
      </c>
      <c r="D9">
        <v>1</v>
      </c>
      <c r="E9">
        <v>0</v>
      </c>
      <c r="F9">
        <v>0</v>
      </c>
      <c r="G9">
        <v>0</v>
      </c>
      <c r="H9">
        <v>0</v>
      </c>
      <c r="I9">
        <v>0</v>
      </c>
      <c r="J9">
        <v>0</v>
      </c>
      <c r="K9">
        <v>1</v>
      </c>
      <c r="L9" s="142"/>
    </row>
    <row r="10" spans="1:12" x14ac:dyDescent="0.35">
      <c r="A10" t="s">
        <v>491</v>
      </c>
      <c r="B10">
        <v>1</v>
      </c>
      <c r="C10">
        <v>0</v>
      </c>
      <c r="D10">
        <v>0</v>
      </c>
      <c r="E10">
        <v>0</v>
      </c>
      <c r="F10">
        <v>0</v>
      </c>
      <c r="G10">
        <v>0</v>
      </c>
      <c r="H10">
        <v>0</v>
      </c>
      <c r="I10">
        <v>1</v>
      </c>
      <c r="J10">
        <v>0</v>
      </c>
      <c r="K10">
        <v>0</v>
      </c>
    </row>
    <row r="11" spans="1:12" x14ac:dyDescent="0.35">
      <c r="A11" t="s">
        <v>463</v>
      </c>
      <c r="B11">
        <v>0</v>
      </c>
      <c r="C11">
        <v>0</v>
      </c>
      <c r="D11">
        <v>0</v>
      </c>
      <c r="E11">
        <v>1</v>
      </c>
      <c r="F11">
        <v>0</v>
      </c>
      <c r="G11">
        <v>0</v>
      </c>
      <c r="H11">
        <v>0</v>
      </c>
      <c r="I11">
        <v>0</v>
      </c>
      <c r="J11">
        <v>0</v>
      </c>
      <c r="K11">
        <v>1</v>
      </c>
      <c r="L11" s="142"/>
    </row>
    <row r="12" spans="1:12" x14ac:dyDescent="0.35">
      <c r="A12" t="s">
        <v>464</v>
      </c>
      <c r="B12">
        <v>0</v>
      </c>
      <c r="C12">
        <v>0</v>
      </c>
      <c r="D12">
        <v>0</v>
      </c>
      <c r="E12">
        <v>1</v>
      </c>
      <c r="F12">
        <v>0</v>
      </c>
      <c r="G12">
        <v>0</v>
      </c>
      <c r="H12">
        <v>0</v>
      </c>
      <c r="I12">
        <v>0</v>
      </c>
      <c r="J12">
        <v>0</v>
      </c>
      <c r="K12">
        <v>1</v>
      </c>
    </row>
    <row r="13" spans="1:12" x14ac:dyDescent="0.35">
      <c r="A13" t="s">
        <v>485</v>
      </c>
      <c r="B13">
        <v>0</v>
      </c>
      <c r="C13">
        <v>0</v>
      </c>
      <c r="D13">
        <v>1</v>
      </c>
      <c r="E13">
        <v>0</v>
      </c>
      <c r="F13">
        <v>0</v>
      </c>
      <c r="G13">
        <v>0</v>
      </c>
      <c r="H13">
        <v>0</v>
      </c>
      <c r="I13">
        <v>0</v>
      </c>
      <c r="J13">
        <v>0</v>
      </c>
      <c r="K13">
        <v>1</v>
      </c>
      <c r="L13" s="142"/>
    </row>
    <row r="14" spans="1:12" x14ac:dyDescent="0.35">
      <c r="A14" t="s">
        <v>465</v>
      </c>
      <c r="B14">
        <v>0</v>
      </c>
      <c r="C14">
        <v>0</v>
      </c>
      <c r="D14">
        <v>0</v>
      </c>
      <c r="E14">
        <v>0</v>
      </c>
      <c r="F14">
        <v>0</v>
      </c>
      <c r="G14">
        <v>0</v>
      </c>
      <c r="H14">
        <v>1</v>
      </c>
      <c r="I14">
        <v>0</v>
      </c>
      <c r="J14">
        <v>0</v>
      </c>
      <c r="K14">
        <v>1</v>
      </c>
      <c r="L14" s="142"/>
    </row>
    <row r="15" spans="1:12" x14ac:dyDescent="0.35">
      <c r="A15" t="s">
        <v>427</v>
      </c>
      <c r="B15">
        <v>0</v>
      </c>
      <c r="C15">
        <v>0</v>
      </c>
      <c r="D15">
        <v>0</v>
      </c>
      <c r="E15">
        <v>1</v>
      </c>
      <c r="F15">
        <v>0</v>
      </c>
      <c r="G15">
        <v>0</v>
      </c>
      <c r="H15">
        <v>0</v>
      </c>
      <c r="I15">
        <v>0</v>
      </c>
      <c r="J15">
        <v>0</v>
      </c>
      <c r="K15">
        <v>1</v>
      </c>
    </row>
    <row r="16" spans="1:12" x14ac:dyDescent="0.35">
      <c r="A16" t="s">
        <v>448</v>
      </c>
      <c r="B16">
        <v>0</v>
      </c>
      <c r="C16">
        <v>0</v>
      </c>
      <c r="D16">
        <v>1</v>
      </c>
      <c r="E16">
        <v>0</v>
      </c>
      <c r="F16">
        <v>0</v>
      </c>
      <c r="G16">
        <v>0</v>
      </c>
      <c r="H16">
        <v>0</v>
      </c>
      <c r="I16">
        <v>0</v>
      </c>
      <c r="J16">
        <v>0</v>
      </c>
      <c r="K16">
        <v>1</v>
      </c>
      <c r="L16" s="142"/>
    </row>
    <row r="17" spans="1:12" x14ac:dyDescent="0.35">
      <c r="A17" t="s">
        <v>492</v>
      </c>
      <c r="B17">
        <v>0</v>
      </c>
      <c r="C17">
        <v>0</v>
      </c>
      <c r="D17">
        <v>0</v>
      </c>
      <c r="E17">
        <v>0</v>
      </c>
      <c r="F17">
        <v>0</v>
      </c>
      <c r="G17">
        <v>0</v>
      </c>
      <c r="H17">
        <v>1</v>
      </c>
      <c r="I17">
        <v>0</v>
      </c>
      <c r="J17">
        <v>1</v>
      </c>
      <c r="K17">
        <v>0</v>
      </c>
      <c r="L17" s="142"/>
    </row>
    <row r="18" spans="1:12" x14ac:dyDescent="0.35">
      <c r="A18" t="s">
        <v>476</v>
      </c>
      <c r="B18">
        <v>0</v>
      </c>
      <c r="C18">
        <v>1</v>
      </c>
      <c r="D18">
        <v>0</v>
      </c>
      <c r="E18">
        <v>0</v>
      </c>
      <c r="F18">
        <v>0</v>
      </c>
      <c r="G18">
        <v>0</v>
      </c>
      <c r="H18">
        <v>0</v>
      </c>
      <c r="I18">
        <v>0</v>
      </c>
      <c r="J18">
        <v>1</v>
      </c>
      <c r="K18">
        <v>0</v>
      </c>
      <c r="L18" s="142"/>
    </row>
    <row r="19" spans="1:12" x14ac:dyDescent="0.35">
      <c r="A19" t="s">
        <v>428</v>
      </c>
      <c r="B19">
        <v>0</v>
      </c>
      <c r="C19">
        <v>0</v>
      </c>
      <c r="D19">
        <v>0</v>
      </c>
      <c r="E19">
        <v>0</v>
      </c>
      <c r="F19">
        <v>0</v>
      </c>
      <c r="G19">
        <v>0</v>
      </c>
      <c r="H19">
        <v>1</v>
      </c>
      <c r="I19">
        <v>0</v>
      </c>
      <c r="J19">
        <v>0</v>
      </c>
      <c r="K19">
        <v>1</v>
      </c>
      <c r="L19" s="142"/>
    </row>
    <row r="20" spans="1:12" x14ac:dyDescent="0.35">
      <c r="A20" t="s">
        <v>466</v>
      </c>
      <c r="B20">
        <v>1</v>
      </c>
      <c r="C20">
        <v>0</v>
      </c>
      <c r="D20">
        <v>0</v>
      </c>
      <c r="E20">
        <v>0</v>
      </c>
      <c r="F20">
        <v>0</v>
      </c>
      <c r="G20">
        <v>0</v>
      </c>
      <c r="H20">
        <v>0</v>
      </c>
      <c r="I20">
        <v>1</v>
      </c>
      <c r="J20">
        <v>0</v>
      </c>
      <c r="K20">
        <v>0</v>
      </c>
    </row>
    <row r="21" spans="1:12" x14ac:dyDescent="0.35">
      <c r="A21" t="s">
        <v>467</v>
      </c>
      <c r="B21">
        <v>1</v>
      </c>
      <c r="C21">
        <v>0</v>
      </c>
      <c r="D21">
        <v>0</v>
      </c>
      <c r="E21">
        <v>0</v>
      </c>
      <c r="F21">
        <v>0</v>
      </c>
      <c r="G21">
        <v>0</v>
      </c>
      <c r="H21">
        <v>0</v>
      </c>
      <c r="I21">
        <v>1</v>
      </c>
      <c r="J21">
        <v>0</v>
      </c>
      <c r="K21">
        <v>0</v>
      </c>
    </row>
    <row r="22" spans="1:12" x14ac:dyDescent="0.35">
      <c r="A22" t="s">
        <v>5</v>
      </c>
      <c r="B22">
        <v>0</v>
      </c>
      <c r="C22">
        <v>1</v>
      </c>
      <c r="D22">
        <v>0</v>
      </c>
      <c r="E22">
        <v>0</v>
      </c>
      <c r="F22">
        <v>0</v>
      </c>
      <c r="G22">
        <v>0</v>
      </c>
      <c r="H22">
        <v>0</v>
      </c>
      <c r="I22">
        <v>0</v>
      </c>
      <c r="J22">
        <v>0</v>
      </c>
      <c r="K22">
        <v>1</v>
      </c>
    </row>
    <row r="23" spans="1:12" x14ac:dyDescent="0.35">
      <c r="A23" t="s">
        <v>468</v>
      </c>
      <c r="B23">
        <v>0</v>
      </c>
      <c r="C23">
        <v>0</v>
      </c>
      <c r="D23">
        <v>0</v>
      </c>
      <c r="E23">
        <v>1</v>
      </c>
      <c r="F23">
        <v>0</v>
      </c>
      <c r="G23">
        <v>0</v>
      </c>
      <c r="H23">
        <v>0</v>
      </c>
      <c r="I23">
        <v>0</v>
      </c>
      <c r="J23">
        <v>0</v>
      </c>
      <c r="K23">
        <v>1</v>
      </c>
    </row>
    <row r="24" spans="1:12" x14ac:dyDescent="0.35">
      <c r="A24" t="s">
        <v>429</v>
      </c>
      <c r="B24">
        <v>0</v>
      </c>
      <c r="C24">
        <v>0</v>
      </c>
      <c r="D24">
        <v>0</v>
      </c>
      <c r="E24">
        <v>1</v>
      </c>
      <c r="F24">
        <v>0</v>
      </c>
      <c r="G24">
        <v>0</v>
      </c>
      <c r="H24">
        <v>0</v>
      </c>
      <c r="I24">
        <v>0</v>
      </c>
      <c r="J24">
        <v>0</v>
      </c>
      <c r="K24">
        <v>1</v>
      </c>
    </row>
    <row r="25" spans="1:12" x14ac:dyDescent="0.35">
      <c r="A25" t="s">
        <v>469</v>
      </c>
      <c r="B25">
        <v>0</v>
      </c>
      <c r="C25">
        <v>0</v>
      </c>
      <c r="D25">
        <v>0</v>
      </c>
      <c r="E25">
        <v>0</v>
      </c>
      <c r="F25">
        <v>0</v>
      </c>
      <c r="G25">
        <v>0</v>
      </c>
      <c r="H25">
        <v>1</v>
      </c>
      <c r="I25">
        <v>0</v>
      </c>
      <c r="J25">
        <v>0</v>
      </c>
      <c r="K25">
        <v>1</v>
      </c>
      <c r="L25" s="142"/>
    </row>
    <row r="26" spans="1:12" x14ac:dyDescent="0.35">
      <c r="A26" t="s">
        <v>497</v>
      </c>
      <c r="B26">
        <v>0</v>
      </c>
      <c r="C26">
        <v>1</v>
      </c>
      <c r="D26">
        <v>0</v>
      </c>
      <c r="E26">
        <v>0</v>
      </c>
      <c r="F26">
        <v>0</v>
      </c>
      <c r="G26">
        <v>0</v>
      </c>
      <c r="H26">
        <v>0</v>
      </c>
      <c r="I26">
        <v>1</v>
      </c>
      <c r="J26">
        <v>0</v>
      </c>
      <c r="K26">
        <v>0</v>
      </c>
    </row>
    <row r="27" spans="1:12" x14ac:dyDescent="0.35">
      <c r="A27" t="s">
        <v>430</v>
      </c>
      <c r="B27">
        <v>0</v>
      </c>
      <c r="C27">
        <v>0</v>
      </c>
      <c r="D27">
        <v>1</v>
      </c>
      <c r="E27">
        <v>0</v>
      </c>
      <c r="F27">
        <v>0</v>
      </c>
      <c r="G27">
        <v>0</v>
      </c>
      <c r="H27">
        <v>0</v>
      </c>
      <c r="I27">
        <v>1</v>
      </c>
      <c r="J27">
        <v>0</v>
      </c>
      <c r="K27">
        <v>0</v>
      </c>
    </row>
    <row r="28" spans="1:12" x14ac:dyDescent="0.35">
      <c r="A28" t="s">
        <v>446</v>
      </c>
      <c r="B28">
        <v>1</v>
      </c>
      <c r="C28">
        <v>0</v>
      </c>
      <c r="D28">
        <v>0</v>
      </c>
      <c r="E28">
        <v>0</v>
      </c>
      <c r="F28">
        <v>0</v>
      </c>
      <c r="G28">
        <v>0</v>
      </c>
      <c r="H28">
        <v>0</v>
      </c>
      <c r="I28">
        <v>1</v>
      </c>
      <c r="J28">
        <v>0</v>
      </c>
      <c r="K28">
        <v>0</v>
      </c>
    </row>
    <row r="29" spans="1:12" x14ac:dyDescent="0.35">
      <c r="A29" t="s">
        <v>440</v>
      </c>
      <c r="B29">
        <v>1</v>
      </c>
      <c r="C29">
        <v>0</v>
      </c>
      <c r="D29">
        <v>0</v>
      </c>
      <c r="E29">
        <v>0</v>
      </c>
      <c r="F29">
        <v>0</v>
      </c>
      <c r="G29">
        <v>0</v>
      </c>
      <c r="H29">
        <v>0</v>
      </c>
      <c r="I29">
        <v>1</v>
      </c>
      <c r="J29">
        <v>0</v>
      </c>
      <c r="K29">
        <v>0</v>
      </c>
    </row>
    <row r="30" spans="1:12" x14ac:dyDescent="0.35">
      <c r="A30" t="s">
        <v>415</v>
      </c>
      <c r="B30">
        <v>0</v>
      </c>
      <c r="C30">
        <v>0</v>
      </c>
      <c r="D30">
        <v>0</v>
      </c>
      <c r="E30">
        <v>0</v>
      </c>
      <c r="F30">
        <v>1</v>
      </c>
      <c r="G30">
        <v>0</v>
      </c>
      <c r="H30">
        <v>0</v>
      </c>
      <c r="I30">
        <v>0</v>
      </c>
      <c r="J30">
        <v>0</v>
      </c>
      <c r="K30">
        <v>1</v>
      </c>
      <c r="L30" s="142"/>
    </row>
    <row r="31" spans="1:12" x14ac:dyDescent="0.35">
      <c r="A31" t="s">
        <v>470</v>
      </c>
      <c r="B31">
        <v>0</v>
      </c>
      <c r="C31">
        <v>0</v>
      </c>
      <c r="D31">
        <v>0</v>
      </c>
      <c r="E31">
        <v>1</v>
      </c>
      <c r="F31">
        <v>0</v>
      </c>
      <c r="G31">
        <v>0</v>
      </c>
      <c r="H31">
        <v>0</v>
      </c>
      <c r="I31">
        <v>0</v>
      </c>
      <c r="J31">
        <v>0</v>
      </c>
      <c r="K31">
        <v>1</v>
      </c>
    </row>
    <row r="32" spans="1:12" x14ac:dyDescent="0.35">
      <c r="A32" t="s">
        <v>471</v>
      </c>
      <c r="B32">
        <v>0</v>
      </c>
      <c r="C32">
        <v>0</v>
      </c>
      <c r="D32">
        <v>0</v>
      </c>
      <c r="E32">
        <v>1</v>
      </c>
      <c r="F32">
        <v>0</v>
      </c>
      <c r="G32">
        <v>0</v>
      </c>
      <c r="H32">
        <v>0</v>
      </c>
      <c r="I32">
        <v>0</v>
      </c>
      <c r="J32">
        <v>0</v>
      </c>
      <c r="K32">
        <v>1</v>
      </c>
    </row>
    <row r="33" spans="1:12" x14ac:dyDescent="0.35">
      <c r="A33" t="s">
        <v>6</v>
      </c>
      <c r="B33">
        <v>0</v>
      </c>
      <c r="C33">
        <v>0</v>
      </c>
      <c r="D33">
        <v>0</v>
      </c>
      <c r="E33">
        <v>0</v>
      </c>
      <c r="F33">
        <v>1</v>
      </c>
      <c r="G33">
        <v>0</v>
      </c>
      <c r="H33">
        <v>0</v>
      </c>
      <c r="I33">
        <v>0</v>
      </c>
      <c r="J33">
        <v>0</v>
      </c>
      <c r="K33">
        <v>1</v>
      </c>
    </row>
    <row r="34" spans="1:12" x14ac:dyDescent="0.35">
      <c r="A34" t="s">
        <v>454</v>
      </c>
      <c r="B34">
        <v>0</v>
      </c>
      <c r="C34">
        <v>0</v>
      </c>
      <c r="D34">
        <v>0</v>
      </c>
      <c r="E34">
        <v>1</v>
      </c>
      <c r="F34">
        <v>0</v>
      </c>
      <c r="G34">
        <v>0</v>
      </c>
      <c r="H34">
        <v>0</v>
      </c>
      <c r="I34">
        <v>0</v>
      </c>
      <c r="J34">
        <v>0</v>
      </c>
      <c r="K34">
        <v>1</v>
      </c>
    </row>
    <row r="35" spans="1:12" x14ac:dyDescent="0.35">
      <c r="A35" t="s">
        <v>474</v>
      </c>
      <c r="B35">
        <v>0</v>
      </c>
      <c r="C35">
        <v>0</v>
      </c>
      <c r="D35">
        <v>0</v>
      </c>
      <c r="E35">
        <v>0</v>
      </c>
      <c r="F35">
        <v>0</v>
      </c>
      <c r="G35">
        <v>0</v>
      </c>
      <c r="H35">
        <v>1</v>
      </c>
      <c r="I35">
        <v>0</v>
      </c>
      <c r="J35">
        <v>1</v>
      </c>
      <c r="K35">
        <v>0</v>
      </c>
      <c r="L35" s="142"/>
    </row>
    <row r="36" spans="1:12" x14ac:dyDescent="0.35">
      <c r="A36" t="s">
        <v>475</v>
      </c>
      <c r="B36">
        <v>1</v>
      </c>
      <c r="C36">
        <v>0</v>
      </c>
      <c r="D36">
        <v>0</v>
      </c>
      <c r="E36">
        <v>0</v>
      </c>
      <c r="F36">
        <v>0</v>
      </c>
      <c r="G36">
        <v>0</v>
      </c>
      <c r="H36">
        <v>0</v>
      </c>
      <c r="I36">
        <v>1</v>
      </c>
      <c r="J36">
        <v>0</v>
      </c>
      <c r="K36">
        <v>0</v>
      </c>
    </row>
    <row r="37" spans="1:12" x14ac:dyDescent="0.35">
      <c r="A37" t="s">
        <v>7</v>
      </c>
      <c r="B37">
        <v>0</v>
      </c>
      <c r="C37">
        <v>0</v>
      </c>
      <c r="D37">
        <v>0</v>
      </c>
      <c r="E37">
        <v>0</v>
      </c>
      <c r="F37">
        <v>0</v>
      </c>
      <c r="G37">
        <v>0</v>
      </c>
      <c r="H37">
        <v>1</v>
      </c>
      <c r="I37">
        <v>0</v>
      </c>
      <c r="J37">
        <v>1</v>
      </c>
      <c r="K37">
        <v>0</v>
      </c>
      <c r="L37" s="142"/>
    </row>
    <row r="38" spans="1:12" x14ac:dyDescent="0.35">
      <c r="A38" t="s">
        <v>426</v>
      </c>
      <c r="B38">
        <v>1</v>
      </c>
      <c r="C38">
        <v>0</v>
      </c>
      <c r="D38">
        <v>0</v>
      </c>
      <c r="E38">
        <v>0</v>
      </c>
      <c r="F38">
        <v>0</v>
      </c>
      <c r="G38">
        <v>0</v>
      </c>
      <c r="H38">
        <v>0</v>
      </c>
      <c r="I38">
        <v>1</v>
      </c>
      <c r="J38">
        <v>0</v>
      </c>
      <c r="K38">
        <v>0</v>
      </c>
    </row>
    <row r="39" spans="1:12" x14ac:dyDescent="0.35">
      <c r="A39" t="s">
        <v>420</v>
      </c>
      <c r="B39">
        <v>1</v>
      </c>
      <c r="C39">
        <v>0</v>
      </c>
      <c r="D39">
        <v>0</v>
      </c>
      <c r="E39">
        <v>0</v>
      </c>
      <c r="F39">
        <v>0</v>
      </c>
      <c r="G39">
        <v>0</v>
      </c>
      <c r="H39">
        <v>0</v>
      </c>
      <c r="I39">
        <v>1</v>
      </c>
      <c r="J39">
        <v>0</v>
      </c>
      <c r="K39">
        <v>0</v>
      </c>
    </row>
    <row r="40" spans="1:12" x14ac:dyDescent="0.35">
      <c r="A40" t="s">
        <v>452</v>
      </c>
      <c r="B40">
        <v>0</v>
      </c>
      <c r="C40">
        <v>0</v>
      </c>
      <c r="D40">
        <v>0</v>
      </c>
      <c r="E40">
        <v>0</v>
      </c>
      <c r="F40">
        <v>0</v>
      </c>
      <c r="G40">
        <v>0</v>
      </c>
      <c r="H40">
        <v>1</v>
      </c>
      <c r="I40">
        <v>0</v>
      </c>
      <c r="J40">
        <v>1</v>
      </c>
      <c r="K40">
        <v>0</v>
      </c>
      <c r="L40" s="142"/>
    </row>
    <row r="41" spans="1:12" x14ac:dyDescent="0.35">
      <c r="A41" t="s">
        <v>8</v>
      </c>
      <c r="B41">
        <v>0</v>
      </c>
      <c r="C41">
        <v>0</v>
      </c>
      <c r="D41">
        <v>1</v>
      </c>
      <c r="E41">
        <v>0</v>
      </c>
      <c r="F41">
        <v>0</v>
      </c>
      <c r="G41">
        <v>0</v>
      </c>
      <c r="H41">
        <v>0</v>
      </c>
      <c r="I41">
        <v>0</v>
      </c>
      <c r="J41">
        <v>0</v>
      </c>
      <c r="K41">
        <v>1</v>
      </c>
      <c r="L41" s="142"/>
    </row>
    <row r="42" spans="1:12" x14ac:dyDescent="0.35">
      <c r="A42" t="s">
        <v>443</v>
      </c>
      <c r="B42">
        <v>1</v>
      </c>
      <c r="C42">
        <v>0</v>
      </c>
      <c r="D42">
        <v>0</v>
      </c>
      <c r="E42">
        <v>0</v>
      </c>
      <c r="F42">
        <v>0</v>
      </c>
      <c r="G42">
        <v>0</v>
      </c>
      <c r="H42">
        <v>0</v>
      </c>
      <c r="I42">
        <v>1</v>
      </c>
      <c r="J42">
        <v>0</v>
      </c>
      <c r="K42">
        <v>0</v>
      </c>
    </row>
    <row r="43" spans="1:12" x14ac:dyDescent="0.35">
      <c r="A43" t="s">
        <v>10</v>
      </c>
      <c r="B43">
        <v>0</v>
      </c>
      <c r="C43">
        <v>0</v>
      </c>
      <c r="D43">
        <v>0</v>
      </c>
      <c r="E43">
        <v>0</v>
      </c>
      <c r="F43">
        <v>0</v>
      </c>
      <c r="G43">
        <v>0</v>
      </c>
      <c r="H43">
        <v>1</v>
      </c>
      <c r="I43">
        <v>0</v>
      </c>
      <c r="J43">
        <v>1</v>
      </c>
      <c r="K43">
        <v>0</v>
      </c>
    </row>
    <row r="44" spans="1:12" x14ac:dyDescent="0.35">
      <c r="A44" t="s">
        <v>461</v>
      </c>
      <c r="B44">
        <v>1</v>
      </c>
      <c r="C44">
        <v>0</v>
      </c>
      <c r="D44">
        <v>0</v>
      </c>
      <c r="E44">
        <v>0</v>
      </c>
      <c r="F44">
        <v>0</v>
      </c>
      <c r="G44">
        <v>0</v>
      </c>
      <c r="H44">
        <v>0</v>
      </c>
      <c r="I44">
        <v>1</v>
      </c>
      <c r="J44">
        <v>0</v>
      </c>
      <c r="K44">
        <v>0</v>
      </c>
    </row>
    <row r="45" spans="1:12" x14ac:dyDescent="0.35">
      <c r="A45" t="s">
        <v>11</v>
      </c>
      <c r="B45">
        <v>1</v>
      </c>
      <c r="C45">
        <v>0</v>
      </c>
      <c r="D45">
        <v>0</v>
      </c>
      <c r="E45">
        <v>0</v>
      </c>
      <c r="F45">
        <v>0</v>
      </c>
      <c r="G45">
        <v>0</v>
      </c>
      <c r="H45">
        <v>0</v>
      </c>
      <c r="I45">
        <v>1</v>
      </c>
      <c r="J45">
        <v>0</v>
      </c>
      <c r="K45">
        <v>0</v>
      </c>
    </row>
    <row r="46" spans="1:12" x14ac:dyDescent="0.35">
      <c r="A46" t="s">
        <v>455</v>
      </c>
      <c r="B46">
        <v>0</v>
      </c>
      <c r="C46">
        <v>0</v>
      </c>
      <c r="D46">
        <v>0</v>
      </c>
      <c r="E46">
        <v>1</v>
      </c>
      <c r="F46">
        <v>0</v>
      </c>
      <c r="G46">
        <v>0</v>
      </c>
      <c r="H46">
        <v>0</v>
      </c>
      <c r="I46">
        <v>0</v>
      </c>
      <c r="J46">
        <v>0</v>
      </c>
      <c r="K46">
        <v>1</v>
      </c>
    </row>
    <row r="47" spans="1:12" x14ac:dyDescent="0.35">
      <c r="A47" t="s">
        <v>434</v>
      </c>
      <c r="B47">
        <v>0</v>
      </c>
      <c r="C47">
        <v>0</v>
      </c>
      <c r="D47">
        <v>0</v>
      </c>
      <c r="E47">
        <v>1</v>
      </c>
      <c r="F47">
        <v>0</v>
      </c>
      <c r="G47">
        <v>0</v>
      </c>
      <c r="H47">
        <v>0</v>
      </c>
      <c r="I47">
        <v>0</v>
      </c>
      <c r="J47">
        <v>0</v>
      </c>
      <c r="K47">
        <v>1</v>
      </c>
    </row>
    <row r="48" spans="1:12" x14ac:dyDescent="0.35">
      <c r="A48" t="s">
        <v>490</v>
      </c>
      <c r="B48">
        <v>0</v>
      </c>
      <c r="C48">
        <v>1</v>
      </c>
      <c r="D48">
        <v>0</v>
      </c>
      <c r="E48">
        <v>0</v>
      </c>
      <c r="F48">
        <v>0</v>
      </c>
      <c r="G48">
        <v>0</v>
      </c>
      <c r="H48">
        <v>0</v>
      </c>
      <c r="I48">
        <v>1</v>
      </c>
      <c r="J48">
        <v>0</v>
      </c>
      <c r="K48">
        <v>0</v>
      </c>
    </row>
    <row r="49" spans="1:12" x14ac:dyDescent="0.35">
      <c r="A49" t="s">
        <v>437</v>
      </c>
      <c r="B49">
        <v>1</v>
      </c>
      <c r="C49">
        <v>0</v>
      </c>
      <c r="D49">
        <v>0</v>
      </c>
      <c r="E49">
        <v>0</v>
      </c>
      <c r="F49">
        <v>0</v>
      </c>
      <c r="G49">
        <v>0</v>
      </c>
      <c r="H49">
        <v>0</v>
      </c>
      <c r="I49">
        <v>1</v>
      </c>
      <c r="J49">
        <v>0</v>
      </c>
      <c r="K49">
        <v>0</v>
      </c>
      <c r="L49" s="142"/>
    </row>
    <row r="50" spans="1:12" x14ac:dyDescent="0.35">
      <c r="A50" t="s">
        <v>12</v>
      </c>
      <c r="B50">
        <v>0</v>
      </c>
      <c r="C50">
        <v>0</v>
      </c>
      <c r="D50">
        <v>0</v>
      </c>
      <c r="E50">
        <v>0</v>
      </c>
      <c r="F50">
        <v>0</v>
      </c>
      <c r="G50">
        <v>1</v>
      </c>
      <c r="H50">
        <v>0</v>
      </c>
      <c r="I50">
        <v>0</v>
      </c>
      <c r="J50">
        <v>0</v>
      </c>
      <c r="K50">
        <v>1</v>
      </c>
    </row>
    <row r="51" spans="1:12" x14ac:dyDescent="0.35">
      <c r="A51" t="s">
        <v>13</v>
      </c>
      <c r="B51">
        <v>0</v>
      </c>
      <c r="C51">
        <v>1</v>
      </c>
      <c r="D51">
        <v>0</v>
      </c>
      <c r="E51">
        <v>0</v>
      </c>
      <c r="F51">
        <v>0</v>
      </c>
      <c r="G51">
        <v>0</v>
      </c>
      <c r="H51">
        <v>0</v>
      </c>
      <c r="I51">
        <v>0</v>
      </c>
      <c r="J51">
        <v>0</v>
      </c>
      <c r="K51">
        <v>1</v>
      </c>
    </row>
    <row r="52" spans="1:12" x14ac:dyDescent="0.35">
      <c r="A52" t="s">
        <v>15</v>
      </c>
      <c r="B52">
        <v>0</v>
      </c>
      <c r="C52">
        <v>0</v>
      </c>
      <c r="D52">
        <v>0</v>
      </c>
      <c r="E52">
        <v>0</v>
      </c>
      <c r="F52">
        <v>1</v>
      </c>
      <c r="G52">
        <v>0</v>
      </c>
      <c r="H52">
        <v>0</v>
      </c>
      <c r="I52">
        <v>0</v>
      </c>
      <c r="J52">
        <v>0</v>
      </c>
      <c r="K52">
        <v>1</v>
      </c>
      <c r="L52" s="142"/>
    </row>
    <row r="53" spans="1:12" x14ac:dyDescent="0.35">
      <c r="A53" t="s">
        <v>486</v>
      </c>
      <c r="B53">
        <v>0</v>
      </c>
      <c r="C53">
        <v>0</v>
      </c>
      <c r="D53">
        <v>0</v>
      </c>
      <c r="E53">
        <v>0</v>
      </c>
      <c r="F53">
        <v>1</v>
      </c>
      <c r="G53">
        <v>0</v>
      </c>
      <c r="H53">
        <v>0</v>
      </c>
      <c r="I53">
        <v>0</v>
      </c>
      <c r="J53">
        <v>0</v>
      </c>
      <c r="K53">
        <v>1</v>
      </c>
      <c r="L53" s="142"/>
    </row>
    <row r="54" spans="1:12" x14ac:dyDescent="0.35">
      <c r="A54" t="s">
        <v>462</v>
      </c>
      <c r="B54">
        <v>1</v>
      </c>
      <c r="C54">
        <v>0</v>
      </c>
      <c r="D54">
        <v>0</v>
      </c>
      <c r="E54">
        <v>0</v>
      </c>
      <c r="F54">
        <v>0</v>
      </c>
      <c r="G54">
        <v>0</v>
      </c>
      <c r="H54">
        <v>0</v>
      </c>
      <c r="I54">
        <v>1</v>
      </c>
      <c r="J54">
        <v>0</v>
      </c>
      <c r="K54">
        <v>0</v>
      </c>
    </row>
    <row r="55" spans="1:12" x14ac:dyDescent="0.35">
      <c r="A55" t="s">
        <v>421</v>
      </c>
      <c r="B55">
        <v>1</v>
      </c>
      <c r="C55">
        <v>0</v>
      </c>
      <c r="D55">
        <v>0</v>
      </c>
      <c r="E55">
        <v>0</v>
      </c>
      <c r="F55">
        <v>0</v>
      </c>
      <c r="G55">
        <v>0</v>
      </c>
      <c r="H55">
        <v>0</v>
      </c>
      <c r="I55">
        <v>1</v>
      </c>
      <c r="J55">
        <v>0</v>
      </c>
      <c r="K55">
        <v>0</v>
      </c>
    </row>
    <row r="56" spans="1:12" x14ac:dyDescent="0.35">
      <c r="A56" t="s">
        <v>377</v>
      </c>
      <c r="B56">
        <v>1</v>
      </c>
      <c r="C56">
        <v>0</v>
      </c>
      <c r="D56">
        <v>0</v>
      </c>
      <c r="E56">
        <v>0</v>
      </c>
      <c r="F56">
        <v>0</v>
      </c>
      <c r="G56">
        <v>0</v>
      </c>
      <c r="H56">
        <v>0</v>
      </c>
      <c r="I56">
        <v>1</v>
      </c>
      <c r="J56">
        <v>0</v>
      </c>
      <c r="K56">
        <v>0</v>
      </c>
    </row>
    <row r="57" spans="1:12" x14ac:dyDescent="0.35">
      <c r="A57" t="s">
        <v>493</v>
      </c>
      <c r="B57">
        <v>0</v>
      </c>
      <c r="C57">
        <v>0</v>
      </c>
      <c r="D57">
        <v>0</v>
      </c>
      <c r="E57">
        <v>1</v>
      </c>
      <c r="F57">
        <v>0</v>
      </c>
      <c r="G57">
        <v>0</v>
      </c>
      <c r="H57">
        <v>0</v>
      </c>
      <c r="I57">
        <v>0</v>
      </c>
      <c r="J57">
        <v>0</v>
      </c>
      <c r="K57">
        <v>1</v>
      </c>
    </row>
    <row r="58" spans="1:12" x14ac:dyDescent="0.35">
      <c r="A58" t="s">
        <v>444</v>
      </c>
      <c r="B58">
        <v>1</v>
      </c>
      <c r="C58">
        <v>0</v>
      </c>
      <c r="D58">
        <v>0</v>
      </c>
      <c r="E58">
        <v>0</v>
      </c>
      <c r="F58">
        <v>0</v>
      </c>
      <c r="G58">
        <v>0</v>
      </c>
      <c r="H58">
        <v>0</v>
      </c>
      <c r="I58">
        <v>1</v>
      </c>
      <c r="J58">
        <v>0</v>
      </c>
      <c r="K58">
        <v>0</v>
      </c>
    </row>
    <row r="59" spans="1:12" x14ac:dyDescent="0.35">
      <c r="A59" t="s">
        <v>422</v>
      </c>
      <c r="B59">
        <v>0</v>
      </c>
      <c r="C59">
        <v>0</v>
      </c>
      <c r="D59">
        <v>0</v>
      </c>
      <c r="E59">
        <v>0</v>
      </c>
      <c r="F59">
        <v>1</v>
      </c>
      <c r="G59">
        <v>0</v>
      </c>
      <c r="H59">
        <v>0</v>
      </c>
      <c r="I59">
        <v>0</v>
      </c>
      <c r="J59">
        <v>0</v>
      </c>
      <c r="K59">
        <v>1</v>
      </c>
      <c r="L59" s="142"/>
    </row>
    <row r="60" spans="1:12" x14ac:dyDescent="0.35">
      <c r="A60" t="s">
        <v>417</v>
      </c>
      <c r="B60">
        <v>0</v>
      </c>
      <c r="C60">
        <v>0</v>
      </c>
      <c r="D60">
        <v>1</v>
      </c>
      <c r="E60">
        <v>0</v>
      </c>
      <c r="F60">
        <v>0</v>
      </c>
      <c r="G60">
        <v>0</v>
      </c>
      <c r="H60">
        <v>0</v>
      </c>
      <c r="I60">
        <v>0</v>
      </c>
      <c r="J60">
        <v>0</v>
      </c>
      <c r="K60">
        <v>1</v>
      </c>
      <c r="L60" s="142"/>
    </row>
    <row r="61" spans="1:12" x14ac:dyDescent="0.35">
      <c r="A61" t="s">
        <v>360</v>
      </c>
      <c r="B61">
        <v>0</v>
      </c>
      <c r="C61">
        <v>0</v>
      </c>
      <c r="D61">
        <v>0</v>
      </c>
      <c r="E61">
        <v>0</v>
      </c>
      <c r="F61">
        <v>0</v>
      </c>
      <c r="G61">
        <v>0</v>
      </c>
      <c r="H61">
        <v>1</v>
      </c>
      <c r="I61">
        <v>0</v>
      </c>
      <c r="J61">
        <v>0</v>
      </c>
      <c r="K61">
        <v>1</v>
      </c>
      <c r="L61" s="142"/>
    </row>
    <row r="62" spans="1:12" x14ac:dyDescent="0.35">
      <c r="A62" t="s">
        <v>439</v>
      </c>
      <c r="B62">
        <v>1</v>
      </c>
      <c r="C62">
        <v>0</v>
      </c>
      <c r="D62">
        <v>0</v>
      </c>
      <c r="E62">
        <v>0</v>
      </c>
      <c r="F62">
        <v>0</v>
      </c>
      <c r="G62">
        <v>0</v>
      </c>
      <c r="H62">
        <v>0</v>
      </c>
      <c r="I62">
        <v>1</v>
      </c>
      <c r="J62">
        <v>0</v>
      </c>
      <c r="K62">
        <v>0</v>
      </c>
    </row>
    <row r="63" spans="1:12" x14ac:dyDescent="0.35">
      <c r="A63" t="s">
        <v>413</v>
      </c>
      <c r="B63">
        <v>0</v>
      </c>
      <c r="C63">
        <v>0</v>
      </c>
      <c r="D63">
        <v>0</v>
      </c>
      <c r="E63">
        <v>0</v>
      </c>
      <c r="F63">
        <v>1</v>
      </c>
      <c r="G63">
        <v>0</v>
      </c>
      <c r="H63">
        <v>0</v>
      </c>
      <c r="I63">
        <v>1</v>
      </c>
      <c r="J63">
        <v>0</v>
      </c>
      <c r="K63">
        <v>0</v>
      </c>
      <c r="L63" s="142"/>
    </row>
    <row r="64" spans="1:12" x14ac:dyDescent="0.35">
      <c r="A64" t="s">
        <v>487</v>
      </c>
      <c r="B64">
        <v>0</v>
      </c>
      <c r="C64">
        <v>0</v>
      </c>
      <c r="D64">
        <v>1</v>
      </c>
      <c r="E64">
        <v>0</v>
      </c>
      <c r="F64">
        <v>0</v>
      </c>
      <c r="G64">
        <v>0</v>
      </c>
      <c r="H64">
        <v>0</v>
      </c>
      <c r="I64">
        <v>0</v>
      </c>
      <c r="J64">
        <v>0</v>
      </c>
      <c r="K64">
        <v>1</v>
      </c>
      <c r="L64" s="142"/>
    </row>
    <row r="65" spans="1:12" x14ac:dyDescent="0.35">
      <c r="A65" t="s">
        <v>449</v>
      </c>
      <c r="B65">
        <v>0</v>
      </c>
      <c r="C65">
        <v>0</v>
      </c>
      <c r="D65">
        <v>1</v>
      </c>
      <c r="E65">
        <v>0</v>
      </c>
      <c r="F65">
        <v>0</v>
      </c>
      <c r="G65">
        <v>0</v>
      </c>
      <c r="H65">
        <v>0</v>
      </c>
      <c r="I65">
        <v>1</v>
      </c>
      <c r="J65">
        <v>0</v>
      </c>
      <c r="K65">
        <v>0</v>
      </c>
    </row>
    <row r="66" spans="1:12" x14ac:dyDescent="0.35">
      <c r="A66" t="s">
        <v>495</v>
      </c>
      <c r="B66">
        <v>0</v>
      </c>
      <c r="C66">
        <v>0</v>
      </c>
      <c r="D66">
        <v>0</v>
      </c>
      <c r="E66">
        <v>0</v>
      </c>
      <c r="F66">
        <v>0</v>
      </c>
      <c r="G66">
        <v>0</v>
      </c>
      <c r="H66">
        <v>1</v>
      </c>
      <c r="I66">
        <v>0</v>
      </c>
      <c r="J66">
        <v>0</v>
      </c>
      <c r="K66">
        <v>1</v>
      </c>
      <c r="L66" s="142"/>
    </row>
    <row r="67" spans="1:12" x14ac:dyDescent="0.35">
      <c r="A67" t="s">
        <v>441</v>
      </c>
      <c r="B67">
        <v>0</v>
      </c>
      <c r="C67">
        <v>0</v>
      </c>
      <c r="D67">
        <v>0</v>
      </c>
      <c r="E67">
        <v>0</v>
      </c>
      <c r="F67">
        <v>0</v>
      </c>
      <c r="G67">
        <v>0</v>
      </c>
      <c r="H67">
        <v>1</v>
      </c>
      <c r="I67">
        <v>0</v>
      </c>
      <c r="J67">
        <v>1</v>
      </c>
      <c r="K67">
        <v>0</v>
      </c>
      <c r="L67" s="142"/>
    </row>
    <row r="68" spans="1:12" x14ac:dyDescent="0.35">
      <c r="A68" t="s">
        <v>438</v>
      </c>
      <c r="B68">
        <v>0</v>
      </c>
      <c r="C68">
        <v>0</v>
      </c>
      <c r="D68">
        <v>0</v>
      </c>
      <c r="E68">
        <v>0</v>
      </c>
      <c r="F68">
        <v>0</v>
      </c>
      <c r="G68">
        <v>0</v>
      </c>
      <c r="H68">
        <v>1</v>
      </c>
      <c r="I68">
        <v>0</v>
      </c>
      <c r="J68">
        <v>1</v>
      </c>
      <c r="K68">
        <v>0</v>
      </c>
      <c r="L68" s="142"/>
    </row>
    <row r="69" spans="1:12" x14ac:dyDescent="0.35">
      <c r="A69" t="s">
        <v>16</v>
      </c>
      <c r="B69">
        <v>0</v>
      </c>
      <c r="C69">
        <v>1</v>
      </c>
      <c r="D69">
        <v>0</v>
      </c>
      <c r="E69">
        <v>0</v>
      </c>
      <c r="F69">
        <v>0</v>
      </c>
      <c r="G69">
        <v>0</v>
      </c>
      <c r="H69">
        <v>0</v>
      </c>
      <c r="I69">
        <v>0</v>
      </c>
      <c r="J69">
        <v>0</v>
      </c>
      <c r="K69">
        <v>1</v>
      </c>
    </row>
    <row r="70" spans="1:12" x14ac:dyDescent="0.35">
      <c r="A70" t="s">
        <v>501</v>
      </c>
      <c r="B70">
        <v>0</v>
      </c>
      <c r="C70">
        <v>0</v>
      </c>
      <c r="D70">
        <v>0</v>
      </c>
      <c r="E70">
        <v>0</v>
      </c>
      <c r="F70">
        <v>0</v>
      </c>
      <c r="G70">
        <v>1</v>
      </c>
      <c r="H70">
        <v>0</v>
      </c>
      <c r="I70">
        <v>0</v>
      </c>
      <c r="J70">
        <v>0</v>
      </c>
      <c r="K70">
        <v>1</v>
      </c>
      <c r="L70" s="142"/>
    </row>
    <row r="71" spans="1:12" x14ac:dyDescent="0.35">
      <c r="A71" t="s">
        <v>423</v>
      </c>
      <c r="B71">
        <v>0</v>
      </c>
      <c r="C71">
        <v>0</v>
      </c>
      <c r="D71">
        <v>0</v>
      </c>
      <c r="E71">
        <v>0</v>
      </c>
      <c r="F71">
        <v>1</v>
      </c>
      <c r="G71">
        <v>0</v>
      </c>
      <c r="H71">
        <v>0</v>
      </c>
      <c r="I71">
        <v>1</v>
      </c>
      <c r="J71">
        <v>0</v>
      </c>
      <c r="K71">
        <v>0</v>
      </c>
    </row>
    <row r="72" spans="1:12" x14ac:dyDescent="0.35">
      <c r="A72" t="s">
        <v>431</v>
      </c>
      <c r="B72">
        <v>0</v>
      </c>
      <c r="C72">
        <v>0</v>
      </c>
      <c r="D72">
        <v>0</v>
      </c>
      <c r="E72">
        <v>1</v>
      </c>
      <c r="F72">
        <v>0</v>
      </c>
      <c r="G72">
        <v>0</v>
      </c>
      <c r="H72">
        <v>0</v>
      </c>
      <c r="I72">
        <v>0</v>
      </c>
      <c r="J72">
        <v>0</v>
      </c>
      <c r="K72">
        <v>1</v>
      </c>
    </row>
    <row r="73" spans="1:12" x14ac:dyDescent="0.35">
      <c r="A73" t="s">
        <v>451</v>
      </c>
      <c r="B73">
        <v>0</v>
      </c>
      <c r="C73">
        <v>0</v>
      </c>
      <c r="D73">
        <v>1</v>
      </c>
      <c r="E73">
        <v>0</v>
      </c>
      <c r="F73">
        <v>0</v>
      </c>
      <c r="G73">
        <v>0</v>
      </c>
      <c r="H73">
        <v>0</v>
      </c>
      <c r="I73">
        <v>0</v>
      </c>
      <c r="J73">
        <v>0</v>
      </c>
      <c r="K73">
        <v>1</v>
      </c>
      <c r="L73" s="142"/>
    </row>
    <row r="74" spans="1:12" x14ac:dyDescent="0.35">
      <c r="A74" t="s">
        <v>482</v>
      </c>
      <c r="B74">
        <v>0</v>
      </c>
      <c r="C74">
        <v>1</v>
      </c>
      <c r="D74">
        <v>0</v>
      </c>
      <c r="E74">
        <v>0</v>
      </c>
      <c r="F74">
        <v>0</v>
      </c>
      <c r="G74">
        <v>0</v>
      </c>
      <c r="H74">
        <v>0</v>
      </c>
      <c r="I74">
        <v>0</v>
      </c>
      <c r="J74">
        <v>0</v>
      </c>
      <c r="K74">
        <v>1</v>
      </c>
      <c r="L74" s="142"/>
    </row>
    <row r="75" spans="1:12" x14ac:dyDescent="0.35">
      <c r="A75" t="s">
        <v>424</v>
      </c>
      <c r="B75">
        <v>0</v>
      </c>
      <c r="C75">
        <v>0</v>
      </c>
      <c r="D75">
        <v>0</v>
      </c>
      <c r="E75">
        <v>0</v>
      </c>
      <c r="F75">
        <v>1</v>
      </c>
      <c r="G75">
        <v>0</v>
      </c>
      <c r="H75">
        <v>0</v>
      </c>
      <c r="I75">
        <v>0</v>
      </c>
      <c r="J75">
        <v>0</v>
      </c>
      <c r="K75">
        <v>1</v>
      </c>
    </row>
    <row r="76" spans="1:12" x14ac:dyDescent="0.35">
      <c r="A76" t="s">
        <v>457</v>
      </c>
      <c r="B76">
        <v>0</v>
      </c>
      <c r="C76">
        <v>0</v>
      </c>
      <c r="D76">
        <v>0</v>
      </c>
      <c r="E76">
        <v>0</v>
      </c>
      <c r="F76">
        <v>0</v>
      </c>
      <c r="G76">
        <v>0</v>
      </c>
      <c r="H76">
        <v>1</v>
      </c>
      <c r="I76">
        <v>0</v>
      </c>
      <c r="J76">
        <v>0</v>
      </c>
      <c r="K76">
        <v>1</v>
      </c>
      <c r="L76" s="142"/>
    </row>
    <row r="77" spans="1:12" x14ac:dyDescent="0.35">
      <c r="A77" t="s">
        <v>496</v>
      </c>
      <c r="B77">
        <v>0</v>
      </c>
      <c r="C77">
        <v>0</v>
      </c>
      <c r="D77">
        <v>0</v>
      </c>
      <c r="E77">
        <v>0</v>
      </c>
      <c r="F77">
        <v>0</v>
      </c>
      <c r="G77">
        <v>1</v>
      </c>
      <c r="H77">
        <v>0</v>
      </c>
      <c r="I77">
        <v>0</v>
      </c>
      <c r="J77">
        <v>1</v>
      </c>
      <c r="K77">
        <v>0</v>
      </c>
      <c r="L77" s="142"/>
    </row>
    <row r="78" spans="1:12" x14ac:dyDescent="0.35">
      <c r="A78" t="s">
        <v>18</v>
      </c>
      <c r="B78">
        <v>1</v>
      </c>
      <c r="C78">
        <v>0</v>
      </c>
      <c r="D78">
        <v>0</v>
      </c>
      <c r="E78">
        <v>0</v>
      </c>
      <c r="F78">
        <v>0</v>
      </c>
      <c r="G78">
        <v>0</v>
      </c>
      <c r="H78">
        <v>0</v>
      </c>
      <c r="I78">
        <v>1</v>
      </c>
      <c r="J78">
        <v>0</v>
      </c>
      <c r="K78">
        <v>0</v>
      </c>
    </row>
    <row r="79" spans="1:12" x14ac:dyDescent="0.35">
      <c r="A79" t="s">
        <v>499</v>
      </c>
      <c r="B79">
        <v>1</v>
      </c>
      <c r="C79">
        <v>0</v>
      </c>
      <c r="D79">
        <v>0</v>
      </c>
      <c r="E79">
        <v>0</v>
      </c>
      <c r="F79">
        <v>0</v>
      </c>
      <c r="G79">
        <v>0</v>
      </c>
      <c r="H79">
        <v>0</v>
      </c>
      <c r="I79">
        <v>1</v>
      </c>
      <c r="J79">
        <v>0</v>
      </c>
      <c r="K79">
        <v>0</v>
      </c>
    </row>
    <row r="80" spans="1:12" x14ac:dyDescent="0.35">
      <c r="A80" t="s">
        <v>435</v>
      </c>
      <c r="B80">
        <v>0</v>
      </c>
      <c r="C80">
        <v>0</v>
      </c>
      <c r="D80">
        <v>0</v>
      </c>
      <c r="E80">
        <v>1</v>
      </c>
      <c r="F80">
        <v>0</v>
      </c>
      <c r="G80">
        <v>0</v>
      </c>
      <c r="H80">
        <v>0</v>
      </c>
      <c r="I80">
        <v>0</v>
      </c>
      <c r="J80">
        <v>0</v>
      </c>
      <c r="K80">
        <v>1</v>
      </c>
    </row>
    <row r="81" spans="1:12" x14ac:dyDescent="0.35">
      <c r="A81" t="s">
        <v>488</v>
      </c>
      <c r="B81">
        <v>0</v>
      </c>
      <c r="C81">
        <v>0</v>
      </c>
      <c r="D81">
        <v>0</v>
      </c>
      <c r="E81">
        <v>0</v>
      </c>
      <c r="F81">
        <v>0</v>
      </c>
      <c r="G81">
        <v>0</v>
      </c>
      <c r="H81">
        <v>1</v>
      </c>
      <c r="I81">
        <v>0</v>
      </c>
      <c r="J81">
        <v>1</v>
      </c>
      <c r="K81">
        <v>0</v>
      </c>
      <c r="L81" s="142"/>
    </row>
    <row r="82" spans="1:12" x14ac:dyDescent="0.35">
      <c r="A82" t="s">
        <v>19</v>
      </c>
      <c r="B82">
        <v>0</v>
      </c>
      <c r="C82">
        <v>0</v>
      </c>
      <c r="D82">
        <v>0</v>
      </c>
      <c r="E82">
        <v>0</v>
      </c>
      <c r="F82">
        <v>0</v>
      </c>
      <c r="G82">
        <v>0</v>
      </c>
      <c r="H82">
        <v>1</v>
      </c>
      <c r="I82">
        <v>0</v>
      </c>
      <c r="J82">
        <v>0</v>
      </c>
      <c r="K82">
        <v>1</v>
      </c>
    </row>
    <row r="83" spans="1:12" x14ac:dyDescent="0.35">
      <c r="A83" t="s">
        <v>500</v>
      </c>
      <c r="B83">
        <v>1</v>
      </c>
      <c r="C83">
        <v>0</v>
      </c>
      <c r="D83">
        <v>0</v>
      </c>
      <c r="E83">
        <v>0</v>
      </c>
      <c r="F83">
        <v>0</v>
      </c>
      <c r="G83">
        <v>0</v>
      </c>
      <c r="H83">
        <v>0</v>
      </c>
      <c r="I83">
        <v>1</v>
      </c>
      <c r="J83">
        <v>0</v>
      </c>
      <c r="K83">
        <v>0</v>
      </c>
    </row>
    <row r="84" spans="1:12" x14ac:dyDescent="0.35">
      <c r="A84" t="s">
        <v>370</v>
      </c>
      <c r="B84">
        <v>1</v>
      </c>
      <c r="C84">
        <v>0</v>
      </c>
      <c r="D84">
        <v>0</v>
      </c>
      <c r="E84">
        <v>0</v>
      </c>
      <c r="F84">
        <v>0</v>
      </c>
      <c r="G84">
        <v>0</v>
      </c>
      <c r="H84">
        <v>0</v>
      </c>
      <c r="I84">
        <v>1</v>
      </c>
      <c r="J84">
        <v>0</v>
      </c>
      <c r="K84">
        <v>0</v>
      </c>
    </row>
    <row r="85" spans="1:12" x14ac:dyDescent="0.35">
      <c r="A85" t="s">
        <v>20</v>
      </c>
      <c r="B85">
        <v>0</v>
      </c>
      <c r="C85">
        <v>0</v>
      </c>
      <c r="D85">
        <v>0</v>
      </c>
      <c r="E85">
        <v>0</v>
      </c>
      <c r="F85">
        <v>0</v>
      </c>
      <c r="G85">
        <v>1</v>
      </c>
      <c r="H85">
        <v>0</v>
      </c>
      <c r="I85">
        <v>0</v>
      </c>
      <c r="J85">
        <v>0</v>
      </c>
      <c r="K85">
        <v>1</v>
      </c>
    </row>
    <row r="86" spans="1:12" x14ac:dyDescent="0.35">
      <c r="A86" t="s">
        <v>411</v>
      </c>
      <c r="B86">
        <v>0</v>
      </c>
      <c r="C86">
        <v>0</v>
      </c>
      <c r="D86">
        <v>0</v>
      </c>
      <c r="E86">
        <v>0</v>
      </c>
      <c r="F86">
        <v>1</v>
      </c>
      <c r="G86">
        <v>0</v>
      </c>
      <c r="H86">
        <v>0</v>
      </c>
      <c r="I86">
        <v>0</v>
      </c>
      <c r="J86">
        <v>0</v>
      </c>
      <c r="K86">
        <v>1</v>
      </c>
      <c r="L86" s="142"/>
    </row>
    <row r="87" spans="1:12" x14ac:dyDescent="0.35">
      <c r="A87" t="s">
        <v>453</v>
      </c>
      <c r="B87">
        <v>0</v>
      </c>
      <c r="C87">
        <v>0</v>
      </c>
      <c r="D87">
        <v>0</v>
      </c>
      <c r="E87">
        <v>1</v>
      </c>
      <c r="F87">
        <v>0</v>
      </c>
      <c r="G87">
        <v>0</v>
      </c>
      <c r="H87">
        <v>0</v>
      </c>
      <c r="I87">
        <v>0</v>
      </c>
      <c r="J87">
        <v>0</v>
      </c>
      <c r="K87">
        <v>1</v>
      </c>
    </row>
    <row r="88" spans="1:12" x14ac:dyDescent="0.35">
      <c r="A88" t="s">
        <v>21</v>
      </c>
      <c r="B88">
        <v>0</v>
      </c>
      <c r="C88">
        <v>1</v>
      </c>
      <c r="D88">
        <v>0</v>
      </c>
      <c r="E88">
        <v>0</v>
      </c>
      <c r="F88">
        <v>0</v>
      </c>
      <c r="G88">
        <v>0</v>
      </c>
      <c r="H88">
        <v>0</v>
      </c>
      <c r="I88">
        <v>0</v>
      </c>
      <c r="J88">
        <v>0</v>
      </c>
      <c r="K88">
        <v>1</v>
      </c>
      <c r="L88" s="142"/>
    </row>
    <row r="89" spans="1:12" x14ac:dyDescent="0.35">
      <c r="A89" t="s">
        <v>494</v>
      </c>
      <c r="B89">
        <v>0</v>
      </c>
      <c r="C89">
        <v>0</v>
      </c>
      <c r="D89">
        <v>0</v>
      </c>
      <c r="E89">
        <v>1</v>
      </c>
      <c r="F89">
        <v>0</v>
      </c>
      <c r="G89">
        <v>0</v>
      </c>
      <c r="H89">
        <v>0</v>
      </c>
      <c r="I89">
        <v>0</v>
      </c>
      <c r="J89">
        <v>0</v>
      </c>
      <c r="K89">
        <v>1</v>
      </c>
    </row>
    <row r="90" spans="1:12" x14ac:dyDescent="0.35">
      <c r="A90" t="s">
        <v>481</v>
      </c>
      <c r="B90">
        <v>0</v>
      </c>
      <c r="C90">
        <v>0</v>
      </c>
      <c r="D90">
        <v>0</v>
      </c>
      <c r="E90">
        <v>1</v>
      </c>
      <c r="F90">
        <v>0</v>
      </c>
      <c r="G90">
        <v>0</v>
      </c>
      <c r="H90">
        <v>0</v>
      </c>
      <c r="I90">
        <v>0</v>
      </c>
      <c r="J90">
        <v>0</v>
      </c>
      <c r="K90">
        <v>1</v>
      </c>
    </row>
    <row r="91" spans="1:12" x14ac:dyDescent="0.35">
      <c r="A91" t="s">
        <v>472</v>
      </c>
      <c r="B91">
        <v>0</v>
      </c>
      <c r="C91">
        <v>1</v>
      </c>
      <c r="D91">
        <v>0</v>
      </c>
      <c r="E91">
        <v>0</v>
      </c>
      <c r="F91">
        <v>0</v>
      </c>
      <c r="G91">
        <v>0</v>
      </c>
      <c r="H91">
        <v>0</v>
      </c>
      <c r="I91">
        <v>0</v>
      </c>
      <c r="J91">
        <v>0</v>
      </c>
      <c r="K91">
        <v>1</v>
      </c>
    </row>
    <row r="92" spans="1:12" x14ac:dyDescent="0.35">
      <c r="A92" t="s">
        <v>23</v>
      </c>
      <c r="B92">
        <v>1</v>
      </c>
      <c r="C92">
        <v>0</v>
      </c>
      <c r="D92">
        <v>0</v>
      </c>
      <c r="E92">
        <v>0</v>
      </c>
      <c r="F92">
        <v>0</v>
      </c>
      <c r="G92">
        <v>0</v>
      </c>
      <c r="H92">
        <v>0</v>
      </c>
      <c r="I92">
        <v>1</v>
      </c>
      <c r="J92">
        <v>0</v>
      </c>
      <c r="K92">
        <v>0</v>
      </c>
    </row>
    <row r="93" spans="1:12" x14ac:dyDescent="0.35">
      <c r="A93" t="s">
        <v>425</v>
      </c>
      <c r="B93">
        <v>1</v>
      </c>
      <c r="C93">
        <v>0</v>
      </c>
      <c r="D93">
        <v>0</v>
      </c>
      <c r="E93">
        <v>0</v>
      </c>
      <c r="F93">
        <v>0</v>
      </c>
      <c r="G93">
        <v>0</v>
      </c>
      <c r="H93">
        <v>0</v>
      </c>
      <c r="I93">
        <v>1</v>
      </c>
      <c r="J93">
        <v>0</v>
      </c>
      <c r="K93">
        <v>0</v>
      </c>
    </row>
    <row r="94" spans="1:12" x14ac:dyDescent="0.35">
      <c r="A94" t="s">
        <v>460</v>
      </c>
      <c r="B94">
        <v>1</v>
      </c>
      <c r="C94">
        <v>0</v>
      </c>
      <c r="D94">
        <v>0</v>
      </c>
      <c r="E94">
        <v>0</v>
      </c>
      <c r="F94">
        <v>0</v>
      </c>
      <c r="G94">
        <v>0</v>
      </c>
      <c r="H94">
        <v>0</v>
      </c>
      <c r="I94">
        <v>1</v>
      </c>
      <c r="J94">
        <v>0</v>
      </c>
      <c r="K94">
        <v>0</v>
      </c>
    </row>
    <row r="95" spans="1:12" x14ac:dyDescent="0.35">
      <c r="A95" t="s">
        <v>414</v>
      </c>
      <c r="B95">
        <v>0</v>
      </c>
      <c r="C95">
        <v>0</v>
      </c>
      <c r="D95">
        <v>1</v>
      </c>
      <c r="E95">
        <v>0</v>
      </c>
      <c r="F95">
        <v>0</v>
      </c>
      <c r="G95">
        <v>0</v>
      </c>
      <c r="H95">
        <v>0</v>
      </c>
      <c r="I95">
        <v>0</v>
      </c>
      <c r="J95">
        <v>0</v>
      </c>
      <c r="K95">
        <v>1</v>
      </c>
    </row>
    <row r="96" spans="1:12" x14ac:dyDescent="0.35">
      <c r="A96" t="s">
        <v>450</v>
      </c>
      <c r="B96">
        <v>0</v>
      </c>
      <c r="C96">
        <v>0</v>
      </c>
      <c r="D96">
        <v>1</v>
      </c>
      <c r="E96">
        <v>0</v>
      </c>
      <c r="F96">
        <v>0</v>
      </c>
      <c r="G96">
        <v>0</v>
      </c>
      <c r="H96">
        <v>0</v>
      </c>
      <c r="I96">
        <v>1</v>
      </c>
      <c r="J96">
        <v>0</v>
      </c>
      <c r="K96">
        <v>0</v>
      </c>
      <c r="L96" s="142"/>
    </row>
    <row r="97" spans="1:12" x14ac:dyDescent="0.35">
      <c r="A97" t="s">
        <v>477</v>
      </c>
      <c r="B97">
        <v>0</v>
      </c>
      <c r="C97">
        <v>0</v>
      </c>
      <c r="D97">
        <v>0</v>
      </c>
      <c r="E97">
        <v>0</v>
      </c>
      <c r="F97">
        <v>0</v>
      </c>
      <c r="G97">
        <v>0</v>
      </c>
      <c r="H97">
        <v>1</v>
      </c>
      <c r="I97">
        <v>0</v>
      </c>
      <c r="J97">
        <v>1</v>
      </c>
      <c r="K97">
        <v>0</v>
      </c>
      <c r="L97" s="142"/>
    </row>
    <row r="98" spans="1:12" x14ac:dyDescent="0.35">
      <c r="A98" t="s">
        <v>436</v>
      </c>
      <c r="B98">
        <v>0</v>
      </c>
      <c r="C98">
        <v>0</v>
      </c>
      <c r="D98">
        <v>1</v>
      </c>
      <c r="E98">
        <v>0</v>
      </c>
      <c r="F98">
        <v>0</v>
      </c>
      <c r="G98">
        <v>0</v>
      </c>
      <c r="H98">
        <v>0</v>
      </c>
      <c r="I98">
        <v>0</v>
      </c>
      <c r="J98">
        <v>0</v>
      </c>
      <c r="K98">
        <v>1</v>
      </c>
    </row>
    <row r="99" spans="1:12" x14ac:dyDescent="0.35">
      <c r="A99" t="s">
        <v>478</v>
      </c>
      <c r="B99">
        <v>0</v>
      </c>
      <c r="C99">
        <v>1</v>
      </c>
      <c r="D99">
        <v>0</v>
      </c>
      <c r="E99">
        <v>0</v>
      </c>
      <c r="F99">
        <v>0</v>
      </c>
      <c r="G99">
        <v>0</v>
      </c>
      <c r="H99">
        <v>0</v>
      </c>
      <c r="I99">
        <v>1</v>
      </c>
      <c r="J99">
        <v>0</v>
      </c>
      <c r="K99">
        <v>0</v>
      </c>
    </row>
    <row r="100" spans="1:12" x14ac:dyDescent="0.35">
      <c r="A100" t="s">
        <v>447</v>
      </c>
      <c r="B100">
        <v>1</v>
      </c>
      <c r="C100">
        <v>0</v>
      </c>
      <c r="D100">
        <v>0</v>
      </c>
      <c r="E100">
        <v>0</v>
      </c>
      <c r="F100">
        <v>0</v>
      </c>
      <c r="G100">
        <v>0</v>
      </c>
      <c r="H100">
        <v>0</v>
      </c>
      <c r="I100">
        <v>1</v>
      </c>
      <c r="J100">
        <v>0</v>
      </c>
      <c r="K100">
        <v>0</v>
      </c>
    </row>
    <row r="101" spans="1:12" x14ac:dyDescent="0.35">
      <c r="A101" t="s">
        <v>24</v>
      </c>
      <c r="B101">
        <v>1</v>
      </c>
      <c r="C101">
        <v>0</v>
      </c>
      <c r="D101">
        <v>0</v>
      </c>
      <c r="E101">
        <v>0</v>
      </c>
      <c r="F101">
        <v>0</v>
      </c>
      <c r="G101">
        <v>0</v>
      </c>
      <c r="H101">
        <v>0</v>
      </c>
      <c r="I101">
        <v>1</v>
      </c>
      <c r="J101">
        <v>0</v>
      </c>
      <c r="K101">
        <v>0</v>
      </c>
    </row>
    <row r="102" spans="1:12" x14ac:dyDescent="0.35">
      <c r="A102" t="s">
        <v>25</v>
      </c>
      <c r="B102">
        <v>0</v>
      </c>
      <c r="C102">
        <v>0</v>
      </c>
      <c r="D102">
        <v>0</v>
      </c>
      <c r="E102">
        <v>0</v>
      </c>
      <c r="F102">
        <v>0</v>
      </c>
      <c r="G102">
        <v>0</v>
      </c>
      <c r="H102">
        <v>1</v>
      </c>
      <c r="I102">
        <v>0</v>
      </c>
      <c r="J102">
        <v>0</v>
      </c>
      <c r="K102">
        <v>1</v>
      </c>
    </row>
    <row r="103" spans="1:12" x14ac:dyDescent="0.35">
      <c r="A103" t="s">
        <v>26</v>
      </c>
      <c r="B103">
        <v>1</v>
      </c>
      <c r="C103">
        <v>0</v>
      </c>
      <c r="D103">
        <v>0</v>
      </c>
      <c r="E103">
        <v>0</v>
      </c>
      <c r="F103">
        <v>0</v>
      </c>
      <c r="G103">
        <v>0</v>
      </c>
      <c r="H103">
        <v>0</v>
      </c>
      <c r="I103">
        <v>1</v>
      </c>
      <c r="J103">
        <v>0</v>
      </c>
      <c r="K103">
        <v>0</v>
      </c>
    </row>
    <row r="104" spans="1:12" x14ac:dyDescent="0.35">
      <c r="A104" t="s">
        <v>27</v>
      </c>
      <c r="B104">
        <v>0</v>
      </c>
      <c r="C104">
        <v>0</v>
      </c>
      <c r="D104">
        <v>0</v>
      </c>
      <c r="E104">
        <v>0</v>
      </c>
      <c r="F104">
        <v>0</v>
      </c>
      <c r="G104">
        <v>1</v>
      </c>
      <c r="H104">
        <v>0</v>
      </c>
      <c r="I104">
        <v>0</v>
      </c>
      <c r="J104">
        <v>0</v>
      </c>
      <c r="K104">
        <v>1</v>
      </c>
    </row>
    <row r="105" spans="1:12" x14ac:dyDescent="0.35">
      <c r="A105" t="s">
        <v>412</v>
      </c>
      <c r="B105">
        <v>0</v>
      </c>
      <c r="C105">
        <v>0</v>
      </c>
      <c r="D105">
        <v>0</v>
      </c>
      <c r="E105">
        <v>0</v>
      </c>
      <c r="F105">
        <v>0</v>
      </c>
      <c r="G105">
        <v>0</v>
      </c>
      <c r="H105">
        <v>1</v>
      </c>
      <c r="I105">
        <v>0</v>
      </c>
      <c r="J105">
        <v>0</v>
      </c>
      <c r="K105">
        <v>1</v>
      </c>
      <c r="L105" s="142"/>
    </row>
    <row r="106" spans="1:12" x14ac:dyDescent="0.35">
      <c r="A106" t="s">
        <v>418</v>
      </c>
      <c r="B106">
        <v>1</v>
      </c>
      <c r="C106">
        <v>0</v>
      </c>
      <c r="D106">
        <v>0</v>
      </c>
      <c r="E106">
        <v>0</v>
      </c>
      <c r="F106">
        <v>0</v>
      </c>
      <c r="G106">
        <v>0</v>
      </c>
      <c r="H106">
        <v>0</v>
      </c>
      <c r="I106">
        <v>1</v>
      </c>
      <c r="J106">
        <v>0</v>
      </c>
      <c r="K106">
        <v>0</v>
      </c>
    </row>
    <row r="107" spans="1:12" x14ac:dyDescent="0.35">
      <c r="A107" t="s">
        <v>479</v>
      </c>
      <c r="B107">
        <v>1</v>
      </c>
      <c r="C107">
        <v>0</v>
      </c>
      <c r="D107">
        <v>0</v>
      </c>
      <c r="E107">
        <v>0</v>
      </c>
      <c r="F107">
        <v>0</v>
      </c>
      <c r="G107">
        <v>0</v>
      </c>
      <c r="H107">
        <v>0</v>
      </c>
      <c r="I107">
        <v>1</v>
      </c>
      <c r="J107">
        <v>0</v>
      </c>
      <c r="K107">
        <v>0</v>
      </c>
    </row>
    <row r="108" spans="1:12" x14ac:dyDescent="0.35">
      <c r="A108" t="s">
        <v>432</v>
      </c>
      <c r="B108">
        <v>0</v>
      </c>
      <c r="C108">
        <v>1</v>
      </c>
      <c r="D108">
        <v>0</v>
      </c>
      <c r="E108">
        <v>0</v>
      </c>
      <c r="F108">
        <v>0</v>
      </c>
      <c r="G108">
        <v>0</v>
      </c>
      <c r="H108">
        <v>0</v>
      </c>
      <c r="I108">
        <v>1</v>
      </c>
      <c r="J108">
        <v>0</v>
      </c>
      <c r="K108">
        <v>0</v>
      </c>
    </row>
    <row r="109" spans="1:12" x14ac:dyDescent="0.35">
      <c r="A109" t="s">
        <v>416</v>
      </c>
      <c r="B109">
        <v>0</v>
      </c>
      <c r="C109">
        <v>0</v>
      </c>
      <c r="D109">
        <v>1</v>
      </c>
      <c r="E109">
        <v>0</v>
      </c>
      <c r="F109">
        <v>0</v>
      </c>
      <c r="G109">
        <v>0</v>
      </c>
      <c r="H109">
        <v>0</v>
      </c>
      <c r="I109">
        <v>0</v>
      </c>
      <c r="J109">
        <v>0</v>
      </c>
      <c r="K109">
        <v>1</v>
      </c>
      <c r="L109" s="142"/>
    </row>
    <row r="110" spans="1:12" x14ac:dyDescent="0.35">
      <c r="A110" t="s">
        <v>379</v>
      </c>
      <c r="B110">
        <v>0</v>
      </c>
      <c r="C110">
        <v>0</v>
      </c>
      <c r="D110">
        <v>0</v>
      </c>
      <c r="E110">
        <v>0</v>
      </c>
      <c r="F110">
        <v>0</v>
      </c>
      <c r="G110">
        <v>0</v>
      </c>
      <c r="H110">
        <v>1</v>
      </c>
      <c r="I110">
        <v>0</v>
      </c>
      <c r="J110">
        <v>1</v>
      </c>
      <c r="K110">
        <v>0</v>
      </c>
      <c r="L110" s="142"/>
    </row>
    <row r="111" spans="1:12" x14ac:dyDescent="0.35">
      <c r="A111" t="s">
        <v>28</v>
      </c>
      <c r="B111">
        <v>0</v>
      </c>
      <c r="C111">
        <v>1</v>
      </c>
      <c r="D111">
        <v>0</v>
      </c>
      <c r="E111">
        <v>0</v>
      </c>
      <c r="F111">
        <v>0</v>
      </c>
      <c r="G111">
        <v>0</v>
      </c>
      <c r="H111">
        <v>0</v>
      </c>
      <c r="I111">
        <v>0</v>
      </c>
      <c r="J111">
        <v>0</v>
      </c>
      <c r="K111">
        <v>1</v>
      </c>
    </row>
    <row r="112" spans="1:12" x14ac:dyDescent="0.35">
      <c r="A112" t="s">
        <v>489</v>
      </c>
      <c r="B112">
        <v>0</v>
      </c>
      <c r="C112">
        <v>1</v>
      </c>
      <c r="D112">
        <v>0</v>
      </c>
      <c r="E112">
        <v>0</v>
      </c>
      <c r="F112">
        <v>0</v>
      </c>
      <c r="G112">
        <v>0</v>
      </c>
      <c r="H112">
        <v>0</v>
      </c>
      <c r="I112">
        <v>0</v>
      </c>
      <c r="J112">
        <v>0</v>
      </c>
      <c r="K112">
        <v>1</v>
      </c>
      <c r="L112" s="142"/>
    </row>
    <row r="113" spans="1:12" x14ac:dyDescent="0.35">
      <c r="A113" t="s">
        <v>480</v>
      </c>
      <c r="B113">
        <v>0</v>
      </c>
      <c r="C113">
        <v>0</v>
      </c>
      <c r="D113">
        <v>0</v>
      </c>
      <c r="E113">
        <v>0</v>
      </c>
      <c r="F113">
        <v>1</v>
      </c>
      <c r="G113">
        <v>0</v>
      </c>
      <c r="H113">
        <v>0</v>
      </c>
      <c r="I113">
        <v>0</v>
      </c>
      <c r="J113">
        <v>0</v>
      </c>
      <c r="K113">
        <v>1</v>
      </c>
    </row>
    <row r="114" spans="1:12" x14ac:dyDescent="0.35">
      <c r="A114" t="s">
        <v>29</v>
      </c>
      <c r="B114">
        <v>0</v>
      </c>
      <c r="C114">
        <v>0</v>
      </c>
      <c r="D114">
        <v>1</v>
      </c>
      <c r="E114">
        <v>0</v>
      </c>
      <c r="F114">
        <v>0</v>
      </c>
      <c r="G114">
        <v>0</v>
      </c>
      <c r="H114">
        <v>0</v>
      </c>
      <c r="I114">
        <v>0</v>
      </c>
      <c r="J114">
        <v>0</v>
      </c>
      <c r="K114">
        <v>1</v>
      </c>
    </row>
    <row r="115" spans="1:12" x14ac:dyDescent="0.35">
      <c r="A115" t="s">
        <v>442</v>
      </c>
      <c r="B115">
        <v>0</v>
      </c>
      <c r="C115">
        <v>0</v>
      </c>
      <c r="D115">
        <v>0</v>
      </c>
      <c r="E115">
        <v>0</v>
      </c>
      <c r="F115">
        <v>0</v>
      </c>
      <c r="G115">
        <v>0</v>
      </c>
      <c r="H115">
        <v>1</v>
      </c>
      <c r="I115">
        <v>0</v>
      </c>
      <c r="J115">
        <v>1</v>
      </c>
      <c r="K115">
        <v>0</v>
      </c>
      <c r="L115" s="142"/>
    </row>
    <row r="116" spans="1:12" x14ac:dyDescent="0.35">
      <c r="A116" t="s">
        <v>459</v>
      </c>
      <c r="B116">
        <v>0</v>
      </c>
      <c r="C116">
        <v>0</v>
      </c>
      <c r="D116">
        <v>1</v>
      </c>
      <c r="E116">
        <v>0</v>
      </c>
      <c r="F116">
        <v>0</v>
      </c>
      <c r="G116">
        <v>0</v>
      </c>
      <c r="H116">
        <v>0</v>
      </c>
      <c r="I116">
        <v>0</v>
      </c>
      <c r="J116">
        <v>0</v>
      </c>
      <c r="K116">
        <v>1</v>
      </c>
      <c r="L116" s="142"/>
    </row>
    <row r="117" spans="1:12" x14ac:dyDescent="0.35">
      <c r="A117" t="s">
        <v>498</v>
      </c>
      <c r="B117">
        <v>0</v>
      </c>
      <c r="C117">
        <v>0</v>
      </c>
      <c r="D117">
        <v>0</v>
      </c>
      <c r="E117">
        <v>0</v>
      </c>
      <c r="F117">
        <v>1</v>
      </c>
      <c r="G117">
        <v>0</v>
      </c>
      <c r="H117">
        <v>0</v>
      </c>
      <c r="I117">
        <v>1</v>
      </c>
      <c r="J117">
        <v>0</v>
      </c>
      <c r="K117">
        <v>0</v>
      </c>
    </row>
    <row r="118" spans="1:12" x14ac:dyDescent="0.35">
      <c r="A118" t="s">
        <v>315</v>
      </c>
      <c r="B118">
        <v>1</v>
      </c>
      <c r="C118">
        <v>0</v>
      </c>
      <c r="D118">
        <v>1</v>
      </c>
      <c r="E118">
        <v>0</v>
      </c>
      <c r="F118">
        <v>0</v>
      </c>
      <c r="G118">
        <v>0</v>
      </c>
      <c r="H118">
        <v>0</v>
      </c>
      <c r="I118">
        <v>1</v>
      </c>
      <c r="J118">
        <v>0</v>
      </c>
      <c r="K118">
        <v>0</v>
      </c>
    </row>
    <row r="119" spans="1:12" x14ac:dyDescent="0.35">
      <c r="A119" t="s">
        <v>221</v>
      </c>
      <c r="B119">
        <v>1</v>
      </c>
      <c r="C119">
        <v>0</v>
      </c>
      <c r="D119">
        <v>0</v>
      </c>
      <c r="E119">
        <v>0</v>
      </c>
      <c r="F119">
        <v>0</v>
      </c>
      <c r="G119">
        <v>0</v>
      </c>
      <c r="H119">
        <v>0</v>
      </c>
      <c r="I119">
        <v>1</v>
      </c>
      <c r="J119">
        <v>0</v>
      </c>
      <c r="K119">
        <v>0</v>
      </c>
    </row>
    <row r="120" spans="1:12" x14ac:dyDescent="0.35">
      <c r="A120" t="s">
        <v>473</v>
      </c>
      <c r="B120">
        <v>0</v>
      </c>
      <c r="C120">
        <v>0</v>
      </c>
      <c r="D120">
        <v>0</v>
      </c>
      <c r="E120">
        <v>1</v>
      </c>
      <c r="F120">
        <v>0</v>
      </c>
      <c r="G120">
        <v>0</v>
      </c>
      <c r="H120">
        <v>0</v>
      </c>
      <c r="I120">
        <v>1</v>
      </c>
      <c r="J120">
        <v>0</v>
      </c>
      <c r="K120">
        <v>0</v>
      </c>
    </row>
    <row r="121" spans="1:12" x14ac:dyDescent="0.35">
      <c r="A121" t="s">
        <v>458</v>
      </c>
      <c r="B121">
        <v>0</v>
      </c>
      <c r="C121">
        <v>0</v>
      </c>
      <c r="D121">
        <v>0</v>
      </c>
      <c r="E121">
        <v>1</v>
      </c>
      <c r="F121">
        <v>0</v>
      </c>
      <c r="G121">
        <v>0</v>
      </c>
      <c r="H121">
        <v>0</v>
      </c>
      <c r="I121">
        <v>1</v>
      </c>
      <c r="J121">
        <v>0</v>
      </c>
      <c r="K121">
        <v>0</v>
      </c>
      <c r="L121" s="142"/>
    </row>
    <row r="122" spans="1:12" x14ac:dyDescent="0.35">
      <c r="A122" t="s">
        <v>445</v>
      </c>
      <c r="B122">
        <v>0</v>
      </c>
      <c r="C122">
        <v>1</v>
      </c>
      <c r="D122">
        <v>0</v>
      </c>
      <c r="E122">
        <v>0</v>
      </c>
      <c r="F122">
        <v>0</v>
      </c>
      <c r="G122">
        <v>0</v>
      </c>
      <c r="H122">
        <v>0</v>
      </c>
      <c r="I122">
        <v>0</v>
      </c>
      <c r="J122">
        <v>0</v>
      </c>
      <c r="K122">
        <v>1</v>
      </c>
    </row>
    <row r="123" spans="1:12" x14ac:dyDescent="0.35">
      <c r="A123" t="s">
        <v>30</v>
      </c>
      <c r="B123">
        <v>0</v>
      </c>
      <c r="C123">
        <v>0</v>
      </c>
      <c r="D123">
        <v>0</v>
      </c>
      <c r="E123">
        <v>0</v>
      </c>
      <c r="F123">
        <v>0</v>
      </c>
      <c r="G123">
        <v>0</v>
      </c>
      <c r="H123">
        <v>1</v>
      </c>
      <c r="I123">
        <v>0</v>
      </c>
      <c r="J123">
        <v>0</v>
      </c>
      <c r="K123">
        <v>1</v>
      </c>
    </row>
    <row r="124" spans="1:12" x14ac:dyDescent="0.3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workbookViewId="0">
      <selection activeCell="B7" sqref="B7"/>
    </sheetView>
  </sheetViews>
  <sheetFormatPr defaultRowHeight="14.5" x14ac:dyDescent="0.35"/>
  <sheetData>
    <row r="1" spans="1:4" x14ac:dyDescent="0.35">
      <c r="A1" s="68" t="s">
        <v>62</v>
      </c>
      <c r="B1" s="68" t="s">
        <v>36</v>
      </c>
      <c r="C1" s="68" t="s">
        <v>63</v>
      </c>
      <c r="D1" s="68" t="s">
        <v>64</v>
      </c>
    </row>
    <row r="2" spans="1:4" x14ac:dyDescent="0.35">
      <c r="A2">
        <v>1981</v>
      </c>
      <c r="B2" t="s">
        <v>2</v>
      </c>
      <c r="C2">
        <v>16842.650000000001</v>
      </c>
      <c r="D2">
        <v>1807.633333</v>
      </c>
    </row>
    <row r="3" spans="1:4" x14ac:dyDescent="0.35">
      <c r="A3">
        <v>1985</v>
      </c>
      <c r="B3" t="s">
        <v>2</v>
      </c>
      <c r="C3">
        <v>17464.02</v>
      </c>
      <c r="D3">
        <v>1807.633333</v>
      </c>
    </row>
    <row r="4" spans="1:4" x14ac:dyDescent="0.35">
      <c r="A4">
        <v>2003</v>
      </c>
      <c r="B4" t="s">
        <v>2</v>
      </c>
      <c r="C4">
        <v>25844.663359999999</v>
      </c>
      <c r="D4">
        <v>1847.05</v>
      </c>
    </row>
    <row r="5" spans="1:4" x14ac:dyDescent="0.35">
      <c r="A5">
        <v>2007</v>
      </c>
      <c r="B5" t="s">
        <v>2</v>
      </c>
      <c r="C5">
        <v>29297.606179999999</v>
      </c>
      <c r="D5">
        <v>1927.575</v>
      </c>
    </row>
    <row r="6" spans="1:4" x14ac:dyDescent="0.35">
      <c r="A6">
        <v>2008</v>
      </c>
      <c r="B6" t="s">
        <v>2</v>
      </c>
      <c r="C6">
        <v>30085.673760000001</v>
      </c>
      <c r="D6">
        <v>1893.8166670000001</v>
      </c>
    </row>
    <row r="7" spans="1:4" x14ac:dyDescent="0.35">
      <c r="A7">
        <v>2009</v>
      </c>
      <c r="B7" t="s">
        <v>2</v>
      </c>
      <c r="C7">
        <v>29551.258610000001</v>
      </c>
      <c r="D7" s="158">
        <v>1918.1833329999999</v>
      </c>
    </row>
    <row r="8" spans="1:4" x14ac:dyDescent="0.35">
      <c r="A8">
        <v>2010</v>
      </c>
      <c r="B8" t="s">
        <v>2</v>
      </c>
      <c r="C8">
        <v>30105.01065</v>
      </c>
      <c r="D8" s="158">
        <v>1908.541667</v>
      </c>
    </row>
    <row r="9" spans="1:4" x14ac:dyDescent="0.35">
      <c r="A9">
        <v>1985</v>
      </c>
      <c r="B9" t="s">
        <v>382</v>
      </c>
      <c r="C9">
        <v>15765.85304</v>
      </c>
      <c r="D9">
        <v>285.52999999999997</v>
      </c>
    </row>
    <row r="10" spans="1:4" x14ac:dyDescent="0.35">
      <c r="A10">
        <v>1987</v>
      </c>
      <c r="B10" t="s">
        <v>382</v>
      </c>
      <c r="C10">
        <v>16480.224399999999</v>
      </c>
      <c r="D10">
        <v>326.39999999999998</v>
      </c>
    </row>
    <row r="11" spans="1:4" x14ac:dyDescent="0.35">
      <c r="A11">
        <v>2000</v>
      </c>
      <c r="B11" t="s">
        <v>3</v>
      </c>
      <c r="C11">
        <v>538.07289730000002</v>
      </c>
      <c r="D11">
        <v>46.84</v>
      </c>
    </row>
    <row r="12" spans="1:4" x14ac:dyDescent="0.35">
      <c r="A12">
        <v>2011</v>
      </c>
      <c r="B12" t="s">
        <v>491</v>
      </c>
      <c r="C12">
        <v>20406.397150000001</v>
      </c>
      <c r="D12">
        <v>2035.458333</v>
      </c>
    </row>
    <row r="13" spans="1:4" x14ac:dyDescent="0.35">
      <c r="A13">
        <v>1980</v>
      </c>
      <c r="B13" t="s">
        <v>427</v>
      </c>
      <c r="C13">
        <v>3617.6491550000001</v>
      </c>
      <c r="D13">
        <v>9.8699999999999992</v>
      </c>
    </row>
    <row r="14" spans="1:4" x14ac:dyDescent="0.35">
      <c r="A14">
        <v>1971</v>
      </c>
      <c r="B14" t="s">
        <v>466</v>
      </c>
      <c r="C14">
        <v>11173.810600000001</v>
      </c>
      <c r="D14">
        <v>1340.083333</v>
      </c>
    </row>
    <row r="15" spans="1:4" x14ac:dyDescent="0.35">
      <c r="A15">
        <v>1973</v>
      </c>
      <c r="B15" t="s">
        <v>466</v>
      </c>
      <c r="C15">
        <v>12443.839169999999</v>
      </c>
      <c r="D15">
        <v>1391.9666669999999</v>
      </c>
    </row>
    <row r="16" spans="1:4" x14ac:dyDescent="0.35">
      <c r="A16">
        <v>1989</v>
      </c>
      <c r="B16" t="s">
        <v>5</v>
      </c>
      <c r="C16">
        <v>489.11</v>
      </c>
      <c r="D16">
        <v>12.87</v>
      </c>
    </row>
    <row r="17" spans="1:4" x14ac:dyDescent="0.35">
      <c r="A17">
        <v>1993</v>
      </c>
      <c r="B17" t="s">
        <v>5</v>
      </c>
      <c r="C17">
        <v>501.23</v>
      </c>
      <c r="D17">
        <v>30.61</v>
      </c>
    </row>
    <row r="18" spans="1:4" x14ac:dyDescent="0.35">
      <c r="A18">
        <v>1995</v>
      </c>
      <c r="B18" t="s">
        <v>5</v>
      </c>
      <c r="C18">
        <v>557.00671499999999</v>
      </c>
      <c r="D18">
        <v>41</v>
      </c>
    </row>
    <row r="19" spans="1:4" x14ac:dyDescent="0.35">
      <c r="A19">
        <v>1996</v>
      </c>
      <c r="B19" t="s">
        <v>5</v>
      </c>
      <c r="C19">
        <v>615.0112001</v>
      </c>
      <c r="D19">
        <v>47.57</v>
      </c>
    </row>
    <row r="20" spans="1:4" x14ac:dyDescent="0.35">
      <c r="A20">
        <v>1997</v>
      </c>
      <c r="B20" t="s">
        <v>5</v>
      </c>
      <c r="C20">
        <v>644.93008899999995</v>
      </c>
      <c r="D20">
        <v>57.52</v>
      </c>
    </row>
    <row r="21" spans="1:4" x14ac:dyDescent="0.35">
      <c r="A21">
        <v>2000</v>
      </c>
      <c r="B21" t="s">
        <v>5</v>
      </c>
      <c r="C21">
        <v>818.44971650000002</v>
      </c>
      <c r="D21">
        <v>95.36</v>
      </c>
    </row>
    <row r="22" spans="1:4" x14ac:dyDescent="0.35">
      <c r="A22">
        <v>2001</v>
      </c>
      <c r="B22" t="s">
        <v>5</v>
      </c>
      <c r="C22">
        <v>869.2805591</v>
      </c>
      <c r="D22">
        <v>116.81</v>
      </c>
    </row>
    <row r="23" spans="1:4" x14ac:dyDescent="0.35">
      <c r="A23">
        <v>2002</v>
      </c>
      <c r="B23" t="s">
        <v>5</v>
      </c>
      <c r="C23">
        <v>942.28688590000002</v>
      </c>
      <c r="D23">
        <v>131.54</v>
      </c>
    </row>
    <row r="24" spans="1:4" x14ac:dyDescent="0.35">
      <c r="A24">
        <v>2005</v>
      </c>
      <c r="B24" t="s">
        <v>5</v>
      </c>
      <c r="C24">
        <v>1178.9405340000001</v>
      </c>
      <c r="D24">
        <v>148.86000000000001</v>
      </c>
    </row>
    <row r="25" spans="1:4" x14ac:dyDescent="0.35">
      <c r="A25">
        <v>2007</v>
      </c>
      <c r="B25" t="s">
        <v>5</v>
      </c>
      <c r="C25">
        <v>1462.5103429999999</v>
      </c>
      <c r="D25">
        <v>176.02</v>
      </c>
    </row>
    <row r="26" spans="1:4" x14ac:dyDescent="0.35">
      <c r="A26">
        <v>2009</v>
      </c>
      <c r="B26" t="s">
        <v>5</v>
      </c>
      <c r="C26">
        <v>1732.3423640000001</v>
      </c>
      <c r="D26">
        <v>201.91</v>
      </c>
    </row>
    <row r="27" spans="1:4" x14ac:dyDescent="0.35">
      <c r="A27">
        <v>1984</v>
      </c>
      <c r="B27" t="s">
        <v>446</v>
      </c>
      <c r="C27">
        <v>4842.1251279999997</v>
      </c>
      <c r="D27">
        <v>396.92500000000001</v>
      </c>
    </row>
    <row r="28" spans="1:4" x14ac:dyDescent="0.35">
      <c r="A28">
        <v>1989</v>
      </c>
      <c r="B28" t="s">
        <v>446</v>
      </c>
      <c r="C28">
        <v>4842.1251279999997</v>
      </c>
      <c r="D28">
        <v>396.92500000000001</v>
      </c>
    </row>
    <row r="29" spans="1:4" x14ac:dyDescent="0.35">
      <c r="A29">
        <v>1993</v>
      </c>
      <c r="B29" t="s">
        <v>446</v>
      </c>
      <c r="C29">
        <v>4843.1251279999997</v>
      </c>
      <c r="D29">
        <v>397.0083333</v>
      </c>
    </row>
    <row r="30" spans="1:4" x14ac:dyDescent="0.35">
      <c r="A30">
        <v>1996</v>
      </c>
      <c r="B30" t="s">
        <v>446</v>
      </c>
      <c r="C30">
        <v>5678.3536180000001</v>
      </c>
      <c r="D30">
        <v>345.8666667</v>
      </c>
    </row>
    <row r="31" spans="1:4" x14ac:dyDescent="0.35">
      <c r="A31">
        <v>1991</v>
      </c>
      <c r="B31" t="s">
        <v>440</v>
      </c>
      <c r="C31">
        <v>19392.900000000001</v>
      </c>
      <c r="D31">
        <v>856.3</v>
      </c>
    </row>
    <row r="32" spans="1:4" x14ac:dyDescent="0.35">
      <c r="A32">
        <v>1988</v>
      </c>
      <c r="B32" t="s">
        <v>6</v>
      </c>
      <c r="C32">
        <v>1617.0922410000001</v>
      </c>
      <c r="D32">
        <v>21.13</v>
      </c>
    </row>
    <row r="33" spans="1:4" x14ac:dyDescent="0.35">
      <c r="A33">
        <v>1998</v>
      </c>
      <c r="B33" t="s">
        <v>6</v>
      </c>
      <c r="C33">
        <v>1881.115397</v>
      </c>
      <c r="D33" s="158">
        <v>55.32</v>
      </c>
    </row>
    <row r="34" spans="1:4" x14ac:dyDescent="0.35">
      <c r="A34">
        <v>2006</v>
      </c>
      <c r="B34" t="s">
        <v>6</v>
      </c>
      <c r="C34">
        <v>2166.2962349999998</v>
      </c>
      <c r="D34" s="158">
        <v>43.32</v>
      </c>
    </row>
    <row r="35" spans="1:4" x14ac:dyDescent="0.35">
      <c r="A35">
        <v>2012</v>
      </c>
      <c r="B35" t="s">
        <v>6</v>
      </c>
      <c r="C35">
        <v>2675.892973</v>
      </c>
      <c r="D35">
        <v>153.38</v>
      </c>
    </row>
    <row r="36" spans="1:4" x14ac:dyDescent="0.35">
      <c r="A36">
        <v>1995</v>
      </c>
      <c r="B36" t="s">
        <v>7</v>
      </c>
      <c r="C36" t="s">
        <v>94</v>
      </c>
      <c r="D36" t="s">
        <v>94</v>
      </c>
    </row>
    <row r="37" spans="1:4" x14ac:dyDescent="0.35">
      <c r="A37">
        <v>2002</v>
      </c>
      <c r="B37" t="s">
        <v>420</v>
      </c>
      <c r="C37">
        <v>18137.26081</v>
      </c>
      <c r="D37">
        <v>1617.96</v>
      </c>
    </row>
    <row r="38" spans="1:4" x14ac:dyDescent="0.35">
      <c r="A38">
        <v>2004</v>
      </c>
      <c r="B38" t="s">
        <v>420</v>
      </c>
      <c r="C38">
        <v>18496.490900000001</v>
      </c>
      <c r="D38">
        <v>1700.87</v>
      </c>
    </row>
    <row r="39" spans="1:4" x14ac:dyDescent="0.35">
      <c r="A39">
        <v>2006</v>
      </c>
      <c r="B39" t="s">
        <v>8</v>
      </c>
      <c r="C39" t="s">
        <v>94</v>
      </c>
      <c r="D39">
        <v>51.6</v>
      </c>
    </row>
    <row r="40" spans="1:4" x14ac:dyDescent="0.35">
      <c r="A40">
        <v>1985</v>
      </c>
      <c r="B40" t="s">
        <v>443</v>
      </c>
      <c r="C40">
        <v>14533.925160000001</v>
      </c>
      <c r="D40" s="158">
        <v>1132.05</v>
      </c>
    </row>
    <row r="41" spans="1:4" x14ac:dyDescent="0.35">
      <c r="A41">
        <v>1986</v>
      </c>
      <c r="B41" t="s">
        <v>443</v>
      </c>
      <c r="C41">
        <v>15082.56027</v>
      </c>
      <c r="D41">
        <v>1130.79</v>
      </c>
    </row>
    <row r="42" spans="1:4" x14ac:dyDescent="0.35">
      <c r="A42">
        <v>1989</v>
      </c>
      <c r="B42" t="s">
        <v>443</v>
      </c>
      <c r="C42">
        <v>16305.718339999999</v>
      </c>
      <c r="D42">
        <v>1544.59</v>
      </c>
    </row>
    <row r="43" spans="1:4" x14ac:dyDescent="0.35">
      <c r="A43">
        <v>1989</v>
      </c>
      <c r="B43" t="s">
        <v>10</v>
      </c>
      <c r="C43" t="s">
        <v>94</v>
      </c>
      <c r="D43">
        <v>17</v>
      </c>
    </row>
    <row r="44" spans="1:4" x14ac:dyDescent="0.35">
      <c r="A44">
        <v>1992</v>
      </c>
      <c r="B44" t="s">
        <v>10</v>
      </c>
      <c r="C44" t="s">
        <v>94</v>
      </c>
      <c r="D44">
        <v>28</v>
      </c>
    </row>
    <row r="45" spans="1:4" x14ac:dyDescent="0.35">
      <c r="A45">
        <v>1993</v>
      </c>
      <c r="B45" t="s">
        <v>10</v>
      </c>
      <c r="C45" t="s">
        <v>94</v>
      </c>
      <c r="D45">
        <v>19</v>
      </c>
    </row>
    <row r="46" spans="1:4" x14ac:dyDescent="0.35">
      <c r="A46">
        <v>1995</v>
      </c>
      <c r="B46" t="s">
        <v>10</v>
      </c>
      <c r="C46" t="s">
        <v>94</v>
      </c>
      <c r="D46">
        <v>27</v>
      </c>
    </row>
    <row r="47" spans="1:4" x14ac:dyDescent="0.35">
      <c r="A47">
        <v>1999</v>
      </c>
      <c r="B47" t="s">
        <v>10</v>
      </c>
      <c r="C47" t="s">
        <v>94</v>
      </c>
      <c r="D47">
        <v>22</v>
      </c>
    </row>
    <row r="48" spans="1:4" x14ac:dyDescent="0.35">
      <c r="A48">
        <v>1960</v>
      </c>
      <c r="B48" t="s">
        <v>11</v>
      </c>
      <c r="C48">
        <v>3069.2967159999998</v>
      </c>
      <c r="D48">
        <v>524.54999999999995</v>
      </c>
    </row>
    <row r="49" spans="1:4" x14ac:dyDescent="0.35">
      <c r="A49">
        <v>1964</v>
      </c>
      <c r="B49" t="s">
        <v>11</v>
      </c>
      <c r="C49">
        <v>3892.2033529999999</v>
      </c>
      <c r="D49">
        <v>649.58000000000004</v>
      </c>
    </row>
    <row r="50" spans="1:4" x14ac:dyDescent="0.35">
      <c r="A50">
        <v>1977</v>
      </c>
      <c r="B50" t="s">
        <v>11</v>
      </c>
      <c r="C50">
        <v>7743.6979940000001</v>
      </c>
      <c r="D50">
        <v>1092.3800000000001</v>
      </c>
    </row>
    <row r="51" spans="1:4" x14ac:dyDescent="0.35">
      <c r="A51">
        <v>2017</v>
      </c>
      <c r="B51" t="s">
        <v>11</v>
      </c>
      <c r="C51">
        <v>12659.26535</v>
      </c>
      <c r="D51">
        <v>1092.325</v>
      </c>
    </row>
    <row r="52" spans="1:4" x14ac:dyDescent="0.35">
      <c r="A52">
        <v>1983</v>
      </c>
      <c r="B52" t="s">
        <v>12</v>
      </c>
      <c r="C52">
        <v>329.92068819999997</v>
      </c>
      <c r="D52">
        <v>27.71</v>
      </c>
    </row>
    <row r="53" spans="1:4" x14ac:dyDescent="0.35">
      <c r="A53">
        <v>1990</v>
      </c>
      <c r="B53" t="s">
        <v>12</v>
      </c>
      <c r="C53">
        <v>376.56104579999999</v>
      </c>
      <c r="D53">
        <v>83.44</v>
      </c>
    </row>
    <row r="54" spans="1:4" x14ac:dyDescent="0.35">
      <c r="A54">
        <v>1993</v>
      </c>
      <c r="B54" t="s">
        <v>12</v>
      </c>
      <c r="C54">
        <v>386.91100729999999</v>
      </c>
      <c r="D54">
        <v>221.33</v>
      </c>
    </row>
    <row r="55" spans="1:4" x14ac:dyDescent="0.35">
      <c r="A55">
        <v>1994</v>
      </c>
      <c r="B55" t="s">
        <v>12</v>
      </c>
      <c r="C55">
        <v>397.59870039999998</v>
      </c>
      <c r="D55">
        <v>327.69</v>
      </c>
    </row>
    <row r="56" spans="1:4" x14ac:dyDescent="0.35">
      <c r="A56">
        <v>1995</v>
      </c>
      <c r="B56" t="s">
        <v>12</v>
      </c>
      <c r="C56">
        <v>413.48539729999999</v>
      </c>
      <c r="D56">
        <v>337.4</v>
      </c>
    </row>
    <row r="57" spans="1:4" x14ac:dyDescent="0.35">
      <c r="A57">
        <v>1999</v>
      </c>
      <c r="B57" t="s">
        <v>12</v>
      </c>
      <c r="C57">
        <v>480.5210361</v>
      </c>
      <c r="D57">
        <v>347.95</v>
      </c>
    </row>
    <row r="58" spans="1:4" x14ac:dyDescent="0.35">
      <c r="A58">
        <v>2005</v>
      </c>
      <c r="B58" t="s">
        <v>12</v>
      </c>
      <c r="C58">
        <v>584.41927369999996</v>
      </c>
      <c r="D58">
        <v>495.53</v>
      </c>
    </row>
    <row r="59" spans="1:4" x14ac:dyDescent="0.35">
      <c r="A59">
        <v>1995</v>
      </c>
      <c r="B59" t="s">
        <v>13</v>
      </c>
      <c r="C59">
        <v>1073.45598</v>
      </c>
      <c r="D59">
        <v>69.62</v>
      </c>
    </row>
    <row r="60" spans="1:4" x14ac:dyDescent="0.35">
      <c r="A60">
        <v>2000</v>
      </c>
      <c r="B60" t="s">
        <v>13</v>
      </c>
      <c r="C60">
        <v>1172.2687129999999</v>
      </c>
      <c r="D60">
        <v>35.11</v>
      </c>
    </row>
    <row r="61" spans="1:4" x14ac:dyDescent="0.35">
      <c r="A61">
        <v>2004</v>
      </c>
      <c r="B61" t="s">
        <v>13</v>
      </c>
      <c r="C61">
        <v>1301.66652</v>
      </c>
      <c r="D61">
        <v>51.23</v>
      </c>
    </row>
    <row r="62" spans="1:4" x14ac:dyDescent="0.35">
      <c r="A62">
        <v>2007</v>
      </c>
      <c r="B62" t="s">
        <v>13</v>
      </c>
      <c r="C62">
        <v>1410.286325</v>
      </c>
      <c r="D62">
        <v>79.83</v>
      </c>
    </row>
    <row r="63" spans="1:4" x14ac:dyDescent="0.35">
      <c r="A63">
        <v>2008</v>
      </c>
      <c r="B63" t="s">
        <v>13</v>
      </c>
      <c r="C63">
        <v>1466.322443</v>
      </c>
      <c r="D63">
        <v>97.85</v>
      </c>
    </row>
    <row r="64" spans="1:4" x14ac:dyDescent="0.35">
      <c r="A64">
        <v>1988</v>
      </c>
      <c r="B64" t="s">
        <v>15</v>
      </c>
      <c r="C64">
        <v>1437.1179500000001</v>
      </c>
      <c r="D64">
        <v>18.12</v>
      </c>
    </row>
    <row r="65" spans="1:4" x14ac:dyDescent="0.35">
      <c r="A65">
        <v>1998</v>
      </c>
      <c r="B65" t="s">
        <v>15</v>
      </c>
      <c r="C65">
        <v>1756.7431979999999</v>
      </c>
      <c r="D65">
        <v>72.180000000000007</v>
      </c>
    </row>
    <row r="66" spans="1:4" x14ac:dyDescent="0.35">
      <c r="A66">
        <v>2006</v>
      </c>
      <c r="B66" t="s">
        <v>15</v>
      </c>
      <c r="C66">
        <v>2597.6549129999999</v>
      </c>
      <c r="D66">
        <v>69.319999999999993</v>
      </c>
    </row>
    <row r="67" spans="1:4" x14ac:dyDescent="0.35">
      <c r="A67">
        <v>1982</v>
      </c>
      <c r="B67" t="s">
        <v>421</v>
      </c>
      <c r="C67">
        <v>8556.6869409999999</v>
      </c>
      <c r="D67">
        <v>272.12</v>
      </c>
    </row>
    <row r="68" spans="1:4" x14ac:dyDescent="0.35">
      <c r="A68">
        <v>1983</v>
      </c>
      <c r="B68" t="s">
        <v>421</v>
      </c>
      <c r="C68">
        <v>9134.9964049999999</v>
      </c>
      <c r="D68">
        <v>277.55</v>
      </c>
    </row>
    <row r="69" spans="1:4" x14ac:dyDescent="0.35">
      <c r="A69">
        <v>1984</v>
      </c>
      <c r="B69" t="s">
        <v>421</v>
      </c>
      <c r="C69">
        <v>8398.2101459999994</v>
      </c>
      <c r="D69">
        <v>283.75</v>
      </c>
    </row>
    <row r="70" spans="1:4" x14ac:dyDescent="0.35">
      <c r="A70">
        <v>1985</v>
      </c>
      <c r="B70" t="s">
        <v>421</v>
      </c>
      <c r="C70">
        <v>8357.3759389999996</v>
      </c>
      <c r="D70" s="158">
        <v>295.91000000000003</v>
      </c>
    </row>
    <row r="71" spans="1:4" x14ac:dyDescent="0.35">
      <c r="A71">
        <v>1986</v>
      </c>
      <c r="B71" t="s">
        <v>421</v>
      </c>
      <c r="C71">
        <v>9470.7494029999998</v>
      </c>
      <c r="D71">
        <v>320.16000000000003</v>
      </c>
    </row>
    <row r="72" spans="1:4" x14ac:dyDescent="0.35">
      <c r="A72">
        <v>1987</v>
      </c>
      <c r="B72" t="s">
        <v>421</v>
      </c>
      <c r="C72">
        <v>10148.67959</v>
      </c>
      <c r="D72">
        <v>347.73</v>
      </c>
    </row>
    <row r="73" spans="1:4" x14ac:dyDescent="0.35">
      <c r="A73">
        <v>1988</v>
      </c>
      <c r="B73" t="s">
        <v>421</v>
      </c>
      <c r="C73">
        <v>10449.08691</v>
      </c>
      <c r="D73">
        <v>368.38</v>
      </c>
    </row>
    <row r="74" spans="1:4" x14ac:dyDescent="0.35">
      <c r="A74">
        <v>1989</v>
      </c>
      <c r="B74" t="s">
        <v>421</v>
      </c>
      <c r="C74">
        <v>10329.765649999999</v>
      </c>
      <c r="D74">
        <v>384.22</v>
      </c>
    </row>
    <row r="75" spans="1:4" x14ac:dyDescent="0.35">
      <c r="A75">
        <v>1990</v>
      </c>
      <c r="B75" t="s">
        <v>421</v>
      </c>
      <c r="C75">
        <v>10612.74865</v>
      </c>
      <c r="D75">
        <v>394.88</v>
      </c>
    </row>
    <row r="76" spans="1:4" x14ac:dyDescent="0.35">
      <c r="A76">
        <v>1991</v>
      </c>
      <c r="B76" t="s">
        <v>421</v>
      </c>
      <c r="C76">
        <v>10717.42575</v>
      </c>
      <c r="D76">
        <v>416.6</v>
      </c>
    </row>
    <row r="77" spans="1:4" x14ac:dyDescent="0.35">
      <c r="A77">
        <v>1960</v>
      </c>
      <c r="B77" t="s">
        <v>377</v>
      </c>
      <c r="C77">
        <v>9167.465295</v>
      </c>
      <c r="D77" t="s">
        <v>94</v>
      </c>
    </row>
    <row r="78" spans="1:4" x14ac:dyDescent="0.35">
      <c r="A78">
        <v>2012</v>
      </c>
      <c r="B78" t="s">
        <v>444</v>
      </c>
      <c r="C78">
        <v>19144.62</v>
      </c>
      <c r="D78">
        <v>1210</v>
      </c>
    </row>
    <row r="79" spans="1:4" x14ac:dyDescent="0.35">
      <c r="A79">
        <v>2010</v>
      </c>
      <c r="B79" t="s">
        <v>422</v>
      </c>
      <c r="C79">
        <v>3067.9310150000001</v>
      </c>
      <c r="D79">
        <v>155.55000000000001</v>
      </c>
    </row>
    <row r="80" spans="1:4" x14ac:dyDescent="0.35">
      <c r="A80">
        <v>1994</v>
      </c>
      <c r="B80" t="s">
        <v>360</v>
      </c>
      <c r="C80">
        <v>819.17575690000001</v>
      </c>
      <c r="D80">
        <v>42.26</v>
      </c>
    </row>
    <row r="81" spans="1:4" x14ac:dyDescent="0.35">
      <c r="A81">
        <v>2005</v>
      </c>
      <c r="B81" t="s">
        <v>438</v>
      </c>
      <c r="C81" t="s">
        <v>94</v>
      </c>
      <c r="D81">
        <v>28.94</v>
      </c>
    </row>
    <row r="82" spans="1:4" x14ac:dyDescent="0.35">
      <c r="A82">
        <v>2007</v>
      </c>
      <c r="B82" t="s">
        <v>16</v>
      </c>
      <c r="C82">
        <v>3648.2418550000002</v>
      </c>
      <c r="D82">
        <v>236.71</v>
      </c>
    </row>
    <row r="83" spans="1:4" x14ac:dyDescent="0.35">
      <c r="A83">
        <v>1997</v>
      </c>
      <c r="B83" t="s">
        <v>18</v>
      </c>
      <c r="C83">
        <v>17971.82387</v>
      </c>
      <c r="D83">
        <v>1451.5</v>
      </c>
    </row>
    <row r="84" spans="1:4" x14ac:dyDescent="0.35">
      <c r="A84">
        <v>1983</v>
      </c>
      <c r="B84" t="s">
        <v>19</v>
      </c>
      <c r="C84">
        <v>925.37760249999997</v>
      </c>
      <c r="D84" t="s">
        <v>94</v>
      </c>
    </row>
    <row r="85" spans="1:4" x14ac:dyDescent="0.35">
      <c r="A85">
        <v>1995</v>
      </c>
      <c r="B85" t="s">
        <v>19</v>
      </c>
      <c r="C85">
        <v>994.50668370000005</v>
      </c>
      <c r="D85">
        <v>44.47</v>
      </c>
    </row>
    <row r="86" spans="1:4" x14ac:dyDescent="0.35">
      <c r="A86">
        <v>1998</v>
      </c>
      <c r="B86" t="s">
        <v>19</v>
      </c>
      <c r="C86">
        <v>1066.8555679999999</v>
      </c>
      <c r="D86">
        <v>85.2</v>
      </c>
    </row>
    <row r="87" spans="1:4" x14ac:dyDescent="0.35">
      <c r="A87">
        <v>2011</v>
      </c>
      <c r="B87" t="s">
        <v>19</v>
      </c>
      <c r="C87">
        <v>1894.4555700000001</v>
      </c>
      <c r="D87">
        <v>75.83</v>
      </c>
    </row>
    <row r="88" spans="1:4" x14ac:dyDescent="0.35">
      <c r="A88">
        <v>2013</v>
      </c>
      <c r="B88" t="s">
        <v>19</v>
      </c>
      <c r="C88">
        <v>2172.063807</v>
      </c>
      <c r="D88">
        <v>70.349999999999994</v>
      </c>
    </row>
    <row r="89" spans="1:4" x14ac:dyDescent="0.35">
      <c r="A89">
        <v>1991</v>
      </c>
      <c r="B89" t="s">
        <v>370</v>
      </c>
      <c r="C89">
        <v>18095.971750000001</v>
      </c>
      <c r="D89">
        <v>27.04</v>
      </c>
    </row>
    <row r="90" spans="1:4" x14ac:dyDescent="0.35">
      <c r="A90">
        <v>1995</v>
      </c>
      <c r="B90" t="s">
        <v>370</v>
      </c>
      <c r="C90">
        <v>19841.3593</v>
      </c>
      <c r="D90">
        <v>31.98</v>
      </c>
    </row>
    <row r="91" spans="1:4" x14ac:dyDescent="0.35">
      <c r="A91">
        <v>2002</v>
      </c>
      <c r="B91" t="s">
        <v>20</v>
      </c>
      <c r="C91">
        <v>787.8550444</v>
      </c>
      <c r="D91">
        <v>29.55</v>
      </c>
    </row>
    <row r="92" spans="1:4" x14ac:dyDescent="0.35">
      <c r="A92">
        <v>2017</v>
      </c>
      <c r="B92" t="s">
        <v>411</v>
      </c>
      <c r="C92">
        <v>3012.5448809999998</v>
      </c>
      <c r="D92">
        <v>376.35</v>
      </c>
    </row>
    <row r="93" spans="1:4" x14ac:dyDescent="0.35">
      <c r="A93">
        <v>1986</v>
      </c>
      <c r="B93" t="s">
        <v>21</v>
      </c>
      <c r="C93" t="s">
        <v>94</v>
      </c>
      <c r="D93" t="s">
        <v>94</v>
      </c>
    </row>
    <row r="94" spans="1:4" x14ac:dyDescent="0.35">
      <c r="A94">
        <v>1985</v>
      </c>
      <c r="B94" t="s">
        <v>472</v>
      </c>
      <c r="C94">
        <v>1105.8685190000001</v>
      </c>
      <c r="D94">
        <v>269.24</v>
      </c>
    </row>
    <row r="95" spans="1:4" x14ac:dyDescent="0.35">
      <c r="A95">
        <v>2006</v>
      </c>
      <c r="B95" t="s">
        <v>23</v>
      </c>
      <c r="C95">
        <v>5548.3588209999998</v>
      </c>
      <c r="D95">
        <v>312.74</v>
      </c>
    </row>
    <row r="96" spans="1:4" x14ac:dyDescent="0.35">
      <c r="A96">
        <v>1986</v>
      </c>
      <c r="B96" t="s">
        <v>425</v>
      </c>
      <c r="C96">
        <v>7294.8719659999997</v>
      </c>
      <c r="D96">
        <v>760.1</v>
      </c>
    </row>
    <row r="97" spans="1:4" x14ac:dyDescent="0.35">
      <c r="A97">
        <v>1996</v>
      </c>
      <c r="B97" t="s">
        <v>425</v>
      </c>
      <c r="C97">
        <v>10406.07497</v>
      </c>
      <c r="D97">
        <v>775.02499999999998</v>
      </c>
    </row>
    <row r="98" spans="1:4" x14ac:dyDescent="0.35">
      <c r="A98">
        <v>2005</v>
      </c>
      <c r="B98" t="s">
        <v>425</v>
      </c>
      <c r="C98">
        <v>12511.71221</v>
      </c>
      <c r="D98">
        <v>825.9916667</v>
      </c>
    </row>
    <row r="99" spans="1:4" x14ac:dyDescent="0.35">
      <c r="A99">
        <v>2010</v>
      </c>
      <c r="B99" t="s">
        <v>425</v>
      </c>
      <c r="C99">
        <v>13110.272999999999</v>
      </c>
      <c r="D99">
        <v>960.8666667</v>
      </c>
    </row>
    <row r="100" spans="1:4" x14ac:dyDescent="0.35">
      <c r="A100">
        <v>2013</v>
      </c>
      <c r="B100" t="s">
        <v>425</v>
      </c>
      <c r="C100">
        <v>11965.08555</v>
      </c>
      <c r="D100">
        <v>918.45</v>
      </c>
    </row>
    <row r="101" spans="1:4" x14ac:dyDescent="0.35">
      <c r="A101">
        <v>1985</v>
      </c>
      <c r="B101" t="s">
        <v>450</v>
      </c>
      <c r="C101">
        <v>1680</v>
      </c>
      <c r="D101">
        <v>44.5</v>
      </c>
    </row>
    <row r="102" spans="1:4" x14ac:dyDescent="0.35">
      <c r="A102">
        <v>1990</v>
      </c>
      <c r="B102" t="s">
        <v>450</v>
      </c>
      <c r="C102">
        <v>1710</v>
      </c>
      <c r="D102">
        <v>29.96</v>
      </c>
    </row>
    <row r="103" spans="1:4" x14ac:dyDescent="0.35">
      <c r="A103">
        <v>1991</v>
      </c>
      <c r="B103" t="s">
        <v>450</v>
      </c>
      <c r="C103">
        <v>1740</v>
      </c>
      <c r="D103">
        <v>9.83</v>
      </c>
    </row>
    <row r="104" spans="1:4" x14ac:dyDescent="0.35">
      <c r="A104">
        <v>1993</v>
      </c>
      <c r="B104" t="s">
        <v>450</v>
      </c>
      <c r="C104">
        <v>1770</v>
      </c>
      <c r="D104">
        <v>3.48</v>
      </c>
    </row>
    <row r="105" spans="1:4" x14ac:dyDescent="0.35">
      <c r="A105">
        <v>1994</v>
      </c>
      <c r="B105" t="s">
        <v>450</v>
      </c>
      <c r="C105">
        <v>1800</v>
      </c>
      <c r="D105">
        <v>5.55</v>
      </c>
    </row>
    <row r="106" spans="1:4" x14ac:dyDescent="0.35">
      <c r="A106">
        <v>1996</v>
      </c>
      <c r="B106" t="s">
        <v>450</v>
      </c>
      <c r="C106">
        <v>1836.5551760000001</v>
      </c>
      <c r="D106" s="158">
        <v>62.36</v>
      </c>
    </row>
    <row r="107" spans="1:4" x14ac:dyDescent="0.35">
      <c r="A107">
        <v>1998</v>
      </c>
      <c r="B107" t="s">
        <v>450</v>
      </c>
      <c r="C107">
        <v>1867.986572</v>
      </c>
      <c r="D107" s="158">
        <v>134.83000000000001</v>
      </c>
    </row>
    <row r="108" spans="1:4" x14ac:dyDescent="0.35">
      <c r="A108">
        <v>2000</v>
      </c>
      <c r="B108" t="s">
        <v>450</v>
      </c>
      <c r="C108">
        <v>1958.1173100000001</v>
      </c>
      <c r="D108" s="158">
        <v>377.8</v>
      </c>
    </row>
    <row r="109" spans="1:4" x14ac:dyDescent="0.35">
      <c r="A109">
        <v>2002</v>
      </c>
      <c r="B109" t="s">
        <v>450</v>
      </c>
      <c r="C109">
        <v>2337.5092770000001</v>
      </c>
      <c r="D109" s="158">
        <v>814</v>
      </c>
    </row>
    <row r="110" spans="1:4" x14ac:dyDescent="0.35">
      <c r="A110">
        <v>1984</v>
      </c>
      <c r="B110" t="s">
        <v>447</v>
      </c>
      <c r="C110">
        <v>4455.2138210000003</v>
      </c>
      <c r="D110" t="s">
        <v>94</v>
      </c>
    </row>
    <row r="111" spans="1:4" x14ac:dyDescent="0.35">
      <c r="A111">
        <v>1993</v>
      </c>
      <c r="B111" t="s">
        <v>447</v>
      </c>
      <c r="C111">
        <v>4456.2138210000003</v>
      </c>
      <c r="D111">
        <v>4763</v>
      </c>
    </row>
    <row r="112" spans="1:4" x14ac:dyDescent="0.35">
      <c r="A112">
        <v>2004</v>
      </c>
      <c r="B112" t="s">
        <v>24</v>
      </c>
      <c r="C112">
        <v>10169.178459999999</v>
      </c>
      <c r="D112">
        <v>996.05</v>
      </c>
    </row>
    <row r="113" spans="1:4" x14ac:dyDescent="0.35">
      <c r="A113">
        <v>2006</v>
      </c>
      <c r="B113" t="s">
        <v>24</v>
      </c>
      <c r="C113">
        <v>10461.59352</v>
      </c>
      <c r="D113">
        <v>1029.0666670000001</v>
      </c>
    </row>
    <row r="114" spans="1:4" x14ac:dyDescent="0.35">
      <c r="A114">
        <v>2008</v>
      </c>
      <c r="B114" t="s">
        <v>24</v>
      </c>
      <c r="C114">
        <v>11381.34726</v>
      </c>
      <c r="D114">
        <v>1040.675</v>
      </c>
    </row>
    <row r="115" spans="1:4" x14ac:dyDescent="0.35">
      <c r="A115">
        <v>2011</v>
      </c>
      <c r="B115" t="s">
        <v>25</v>
      </c>
      <c r="C115">
        <v>3903.2389509999998</v>
      </c>
      <c r="D115">
        <v>118.95</v>
      </c>
    </row>
    <row r="116" spans="1:4" x14ac:dyDescent="0.35">
      <c r="A116">
        <v>1997</v>
      </c>
      <c r="B116" t="s">
        <v>26</v>
      </c>
      <c r="C116">
        <v>12986.85563</v>
      </c>
      <c r="D116">
        <v>1078.508333</v>
      </c>
    </row>
    <row r="117" spans="1:4" x14ac:dyDescent="0.35">
      <c r="A117">
        <v>2001</v>
      </c>
      <c r="B117" t="s">
        <v>26</v>
      </c>
      <c r="C117">
        <v>15116.302030000001</v>
      </c>
      <c r="D117">
        <v>1045.73</v>
      </c>
    </row>
    <row r="118" spans="1:4" x14ac:dyDescent="0.35">
      <c r="A118">
        <v>2003</v>
      </c>
      <c r="B118" t="s">
        <v>27</v>
      </c>
      <c r="C118">
        <v>1523.6571309999999</v>
      </c>
      <c r="D118">
        <v>34.619999999999997</v>
      </c>
    </row>
    <row r="119" spans="1:4" x14ac:dyDescent="0.35">
      <c r="A119">
        <v>1990</v>
      </c>
      <c r="B119" t="s">
        <v>418</v>
      </c>
      <c r="C119">
        <v>16476.77</v>
      </c>
      <c r="D119">
        <v>1012.56</v>
      </c>
    </row>
    <row r="120" spans="1:4" x14ac:dyDescent="0.35">
      <c r="A120">
        <v>1997</v>
      </c>
      <c r="B120" t="s">
        <v>418</v>
      </c>
      <c r="C120">
        <v>16471.097519999999</v>
      </c>
      <c r="D120">
        <v>1190.67</v>
      </c>
    </row>
    <row r="121" spans="1:4" x14ac:dyDescent="0.35">
      <c r="A121">
        <v>2005</v>
      </c>
      <c r="B121" t="s">
        <v>418</v>
      </c>
      <c r="C121">
        <v>20349.749179999999</v>
      </c>
      <c r="D121">
        <v>1351.08</v>
      </c>
    </row>
    <row r="122" spans="1:4" x14ac:dyDescent="0.35">
      <c r="A122">
        <v>2006</v>
      </c>
      <c r="B122" t="s">
        <v>418</v>
      </c>
      <c r="C122">
        <v>20841.356749999999</v>
      </c>
      <c r="D122">
        <v>1400.39</v>
      </c>
    </row>
    <row r="123" spans="1:4" x14ac:dyDescent="0.35">
      <c r="A123">
        <v>2015</v>
      </c>
      <c r="B123" t="s">
        <v>418</v>
      </c>
      <c r="C123">
        <v>23733.290249999998</v>
      </c>
      <c r="D123">
        <v>1419.7</v>
      </c>
    </row>
    <row r="124" spans="1:4" x14ac:dyDescent="0.35">
      <c r="A124">
        <v>2001</v>
      </c>
      <c r="B124" t="s">
        <v>379</v>
      </c>
      <c r="C124">
        <v>430.31896970000003</v>
      </c>
      <c r="D124">
        <v>26.66</v>
      </c>
    </row>
    <row r="125" spans="1:4" x14ac:dyDescent="0.35">
      <c r="A125">
        <v>2006</v>
      </c>
      <c r="B125" t="s">
        <v>379</v>
      </c>
      <c r="C125">
        <v>510.41510010000002</v>
      </c>
      <c r="D125">
        <v>49.74</v>
      </c>
    </row>
    <row r="126" spans="1:4" x14ac:dyDescent="0.35">
      <c r="A126">
        <v>2014</v>
      </c>
      <c r="B126" t="s">
        <v>379</v>
      </c>
      <c r="C126">
        <v>571.46875</v>
      </c>
      <c r="D126">
        <v>83.92</v>
      </c>
    </row>
    <row r="127" spans="1:4" x14ac:dyDescent="0.35">
      <c r="A127">
        <v>1985</v>
      </c>
      <c r="B127" t="s">
        <v>28</v>
      </c>
      <c r="C127">
        <v>1025.461552</v>
      </c>
      <c r="D127">
        <v>689.19</v>
      </c>
    </row>
    <row r="128" spans="1:4" x14ac:dyDescent="0.35">
      <c r="A128">
        <v>1995</v>
      </c>
      <c r="B128" t="s">
        <v>28</v>
      </c>
      <c r="C128">
        <v>1946.319377</v>
      </c>
      <c r="D128">
        <v>427.05</v>
      </c>
    </row>
    <row r="129" spans="1:4" x14ac:dyDescent="0.35">
      <c r="A129">
        <v>1996</v>
      </c>
      <c r="B129" t="s">
        <v>28</v>
      </c>
      <c r="C129">
        <v>2017.5901429999999</v>
      </c>
      <c r="D129">
        <v>440.1</v>
      </c>
    </row>
    <row r="130" spans="1:4" x14ac:dyDescent="0.35">
      <c r="A130">
        <v>1998</v>
      </c>
      <c r="B130" t="s">
        <v>28</v>
      </c>
      <c r="C130">
        <v>1741.8719140000001</v>
      </c>
      <c r="D130">
        <v>500.87</v>
      </c>
    </row>
    <row r="131" spans="1:4" x14ac:dyDescent="0.35">
      <c r="A131">
        <v>2008</v>
      </c>
      <c r="B131" t="s">
        <v>28</v>
      </c>
      <c r="C131">
        <v>2572.8324269999998</v>
      </c>
      <c r="D131">
        <v>214.49</v>
      </c>
    </row>
    <row r="132" spans="1:4" x14ac:dyDescent="0.35">
      <c r="A132">
        <v>2013</v>
      </c>
      <c r="B132" t="s">
        <v>28</v>
      </c>
      <c r="C132">
        <v>2870.8489719999998</v>
      </c>
      <c r="D132">
        <v>291.14</v>
      </c>
    </row>
    <row r="133" spans="1:4" x14ac:dyDescent="0.35">
      <c r="A133">
        <v>2014</v>
      </c>
      <c r="B133" t="s">
        <v>480</v>
      </c>
      <c r="C133">
        <v>2614.779438</v>
      </c>
      <c r="D133">
        <v>63.27</v>
      </c>
    </row>
    <row r="134" spans="1:4" x14ac:dyDescent="0.35">
      <c r="A134">
        <v>1987</v>
      </c>
      <c r="B134" t="s">
        <v>29</v>
      </c>
      <c r="C134">
        <v>3276.8349680000001</v>
      </c>
      <c r="D134" t="s">
        <v>94</v>
      </c>
    </row>
    <row r="135" spans="1:4" x14ac:dyDescent="0.35">
      <c r="A135">
        <v>1988</v>
      </c>
      <c r="B135" t="s">
        <v>29</v>
      </c>
      <c r="C135">
        <v>3251.546871</v>
      </c>
      <c r="D135" t="s">
        <v>94</v>
      </c>
    </row>
    <row r="136" spans="1:4" x14ac:dyDescent="0.35">
      <c r="A136">
        <v>1998</v>
      </c>
      <c r="B136" t="s">
        <v>29</v>
      </c>
      <c r="C136">
        <v>4148.1993579999998</v>
      </c>
      <c r="D136" s="158">
        <v>519.67499999999995</v>
      </c>
    </row>
    <row r="137" spans="1:4" x14ac:dyDescent="0.35">
      <c r="A137">
        <v>2001</v>
      </c>
      <c r="B137" t="s">
        <v>29</v>
      </c>
      <c r="C137">
        <v>3855.3728919999999</v>
      </c>
      <c r="D137" s="158">
        <v>493.94166669999998</v>
      </c>
    </row>
    <row r="138" spans="1:4" x14ac:dyDescent="0.35">
      <c r="A138">
        <v>2006</v>
      </c>
      <c r="B138" t="s">
        <v>29</v>
      </c>
      <c r="C138">
        <v>4893.1039229999997</v>
      </c>
      <c r="D138" s="158">
        <v>759.28333329999998</v>
      </c>
    </row>
    <row r="139" spans="1:4" x14ac:dyDescent="0.35">
      <c r="A139">
        <v>2007</v>
      </c>
      <c r="B139" t="s">
        <v>29</v>
      </c>
      <c r="C139">
        <v>5087.8446649999996</v>
      </c>
      <c r="D139">
        <v>754.35833330000003</v>
      </c>
    </row>
    <row r="140" spans="1:4" x14ac:dyDescent="0.35">
      <c r="A140">
        <v>2017</v>
      </c>
      <c r="B140" t="s">
        <v>29</v>
      </c>
      <c r="C140">
        <v>6947.3575170000004</v>
      </c>
      <c r="D140">
        <v>1048.4083330000001</v>
      </c>
    </row>
    <row r="141" spans="1:4" x14ac:dyDescent="0.35">
      <c r="A141">
        <v>1986</v>
      </c>
      <c r="B141" t="s">
        <v>459</v>
      </c>
      <c r="C141" t="s">
        <v>94</v>
      </c>
      <c r="D141" t="s">
        <v>94</v>
      </c>
    </row>
    <row r="142" spans="1:4" x14ac:dyDescent="0.35">
      <c r="A142">
        <v>1991</v>
      </c>
      <c r="B142" t="s">
        <v>459</v>
      </c>
      <c r="C142">
        <v>971.63452150000001</v>
      </c>
      <c r="D142">
        <v>5.08</v>
      </c>
    </row>
    <row r="143" spans="1:4" x14ac:dyDescent="0.35">
      <c r="A143">
        <v>1997</v>
      </c>
      <c r="B143" t="s">
        <v>459</v>
      </c>
      <c r="C143">
        <v>543.8438721</v>
      </c>
      <c r="D143">
        <v>34.47</v>
      </c>
    </row>
    <row r="144" spans="1:4" x14ac:dyDescent="0.35">
      <c r="A144">
        <v>1998</v>
      </c>
      <c r="B144" t="s">
        <v>459</v>
      </c>
      <c r="C144">
        <v>557.91784670000004</v>
      </c>
      <c r="D144">
        <v>49.84</v>
      </c>
    </row>
    <row r="145" spans="1:4" x14ac:dyDescent="0.35">
      <c r="A145">
        <v>2000</v>
      </c>
      <c r="B145" t="s">
        <v>459</v>
      </c>
      <c r="C145">
        <v>570.54272460000004</v>
      </c>
      <c r="D145">
        <v>54.54</v>
      </c>
    </row>
    <row r="146" spans="1:4" x14ac:dyDescent="0.35">
      <c r="A146">
        <v>2002</v>
      </c>
      <c r="B146" t="s">
        <v>459</v>
      </c>
      <c r="C146">
        <v>679.80401610000001</v>
      </c>
      <c r="D146">
        <v>66.77</v>
      </c>
    </row>
    <row r="147" spans="1:4" x14ac:dyDescent="0.35">
      <c r="A147">
        <v>1958</v>
      </c>
      <c r="B147" t="s">
        <v>315</v>
      </c>
      <c r="C147" t="s">
        <v>94</v>
      </c>
      <c r="D147">
        <v>27.31</v>
      </c>
    </row>
    <row r="148" spans="1:4" x14ac:dyDescent="0.35">
      <c r="A148">
        <v>1972</v>
      </c>
      <c r="B148" t="s">
        <v>315</v>
      </c>
      <c r="C148" t="s">
        <v>94</v>
      </c>
      <c r="D148">
        <v>130.94</v>
      </c>
    </row>
    <row r="149" spans="1:4" x14ac:dyDescent="0.35">
      <c r="A149">
        <v>1982</v>
      </c>
      <c r="B149" t="s">
        <v>315</v>
      </c>
      <c r="C149">
        <v>13531.85261</v>
      </c>
      <c r="D149">
        <v>245.72</v>
      </c>
    </row>
    <row r="150" spans="1:4" x14ac:dyDescent="0.35">
      <c r="A150">
        <v>1984</v>
      </c>
      <c r="B150" t="s">
        <v>315</v>
      </c>
      <c r="C150">
        <v>14398.397360000001</v>
      </c>
      <c r="D150">
        <v>243.98</v>
      </c>
    </row>
    <row r="151" spans="1:4" x14ac:dyDescent="0.35">
      <c r="A151">
        <v>1999</v>
      </c>
      <c r="B151" t="s">
        <v>315</v>
      </c>
      <c r="C151">
        <v>23477.907670000001</v>
      </c>
      <c r="D151">
        <v>1423</v>
      </c>
    </row>
    <row r="152" spans="1:4" x14ac:dyDescent="0.35">
      <c r="A152">
        <v>2000</v>
      </c>
      <c r="B152" t="s">
        <v>315</v>
      </c>
      <c r="C152">
        <v>24477.315709999999</v>
      </c>
      <c r="D152">
        <v>1503.07</v>
      </c>
    </row>
    <row r="153" spans="1:4" x14ac:dyDescent="0.35">
      <c r="A153">
        <v>2001</v>
      </c>
      <c r="B153" t="s">
        <v>315</v>
      </c>
      <c r="C153">
        <v>25208.408510000001</v>
      </c>
      <c r="D153">
        <v>1486.61</v>
      </c>
    </row>
    <row r="154" spans="1:4" x14ac:dyDescent="0.35">
      <c r="A154">
        <v>1940</v>
      </c>
      <c r="B154" t="s">
        <v>221</v>
      </c>
      <c r="C154">
        <v>15113.74489</v>
      </c>
      <c r="D154">
        <v>528.53</v>
      </c>
    </row>
    <row r="155" spans="1:4" x14ac:dyDescent="0.35">
      <c r="A155">
        <v>1950</v>
      </c>
      <c r="B155" t="s">
        <v>221</v>
      </c>
      <c r="C155">
        <v>15635.363240000001</v>
      </c>
      <c r="D155">
        <v>810.53</v>
      </c>
    </row>
    <row r="156" spans="1:4" x14ac:dyDescent="0.35">
      <c r="A156">
        <v>1960</v>
      </c>
      <c r="B156" t="s">
        <v>221</v>
      </c>
      <c r="C156">
        <v>16156.981589999999</v>
      </c>
      <c r="D156">
        <v>1588.1</v>
      </c>
    </row>
    <row r="157" spans="1:4" x14ac:dyDescent="0.35">
      <c r="A157">
        <v>1965</v>
      </c>
      <c r="B157" t="s">
        <v>221</v>
      </c>
      <c r="C157">
        <v>16678.59994</v>
      </c>
      <c r="D157">
        <v>1863.3166670000001</v>
      </c>
    </row>
    <row r="158" spans="1:4" x14ac:dyDescent="0.35">
      <c r="A158">
        <v>1970</v>
      </c>
      <c r="B158" t="s">
        <v>221</v>
      </c>
      <c r="C158">
        <v>15553.42758</v>
      </c>
      <c r="D158">
        <v>1935.583333</v>
      </c>
    </row>
    <row r="159" spans="1:4" x14ac:dyDescent="0.35">
      <c r="A159">
        <v>1976</v>
      </c>
      <c r="B159" t="s">
        <v>221</v>
      </c>
      <c r="C159">
        <v>18108.120930000001</v>
      </c>
      <c r="D159">
        <v>1898.258333</v>
      </c>
    </row>
    <row r="160" spans="1:4" x14ac:dyDescent="0.35">
      <c r="A160">
        <v>1978</v>
      </c>
      <c r="B160" t="s">
        <v>221</v>
      </c>
      <c r="C160">
        <v>19296.74165</v>
      </c>
      <c r="D160">
        <v>1908</v>
      </c>
    </row>
    <row r="161" spans="1:4" x14ac:dyDescent="0.35">
      <c r="A161">
        <v>1979</v>
      </c>
      <c r="B161" t="s">
        <v>221</v>
      </c>
      <c r="C161">
        <v>19538.605950000001</v>
      </c>
      <c r="D161">
        <v>1876.7833330000001</v>
      </c>
    </row>
    <row r="162" spans="1:4" x14ac:dyDescent="0.35">
      <c r="A162">
        <v>1980</v>
      </c>
      <c r="B162" t="s">
        <v>221</v>
      </c>
      <c r="C162">
        <v>19291.597280000002</v>
      </c>
      <c r="D162">
        <v>1766.825</v>
      </c>
    </row>
    <row r="163" spans="1:4" x14ac:dyDescent="0.35">
      <c r="A163">
        <v>1981</v>
      </c>
      <c r="B163" t="s">
        <v>221</v>
      </c>
      <c r="C163">
        <v>19368.07476</v>
      </c>
      <c r="D163">
        <v>1730.4749999999999</v>
      </c>
    </row>
    <row r="164" spans="1:4" x14ac:dyDescent="0.35">
      <c r="A164">
        <v>1982</v>
      </c>
      <c r="B164" t="s">
        <v>221</v>
      </c>
      <c r="C164">
        <v>19465.135999999999</v>
      </c>
      <c r="D164">
        <v>1630.5</v>
      </c>
    </row>
    <row r="165" spans="1:4" x14ac:dyDescent="0.35">
      <c r="A165">
        <v>1983</v>
      </c>
      <c r="B165" t="s">
        <v>221</v>
      </c>
      <c r="C165">
        <v>20379.868750000001</v>
      </c>
      <c r="D165">
        <v>1579.75</v>
      </c>
    </row>
    <row r="166" spans="1:4" x14ac:dyDescent="0.35">
      <c r="A166">
        <v>1984</v>
      </c>
      <c r="B166" t="s">
        <v>221</v>
      </c>
      <c r="C166">
        <v>21267.073649999998</v>
      </c>
      <c r="D166">
        <v>1514.616667</v>
      </c>
    </row>
    <row r="167" spans="1:4" x14ac:dyDescent="0.35">
      <c r="A167">
        <v>1985</v>
      </c>
      <c r="B167" t="s">
        <v>221</v>
      </c>
      <c r="C167">
        <v>22170.84131</v>
      </c>
      <c r="D167">
        <v>1462.75</v>
      </c>
    </row>
    <row r="168" spans="1:4" x14ac:dyDescent="0.35">
      <c r="A168">
        <v>1986</v>
      </c>
      <c r="B168" t="s">
        <v>221</v>
      </c>
      <c r="C168">
        <v>22873.709869999999</v>
      </c>
      <c r="D168">
        <v>1435.5</v>
      </c>
    </row>
    <row r="169" spans="1:4" x14ac:dyDescent="0.35">
      <c r="A169">
        <v>1987</v>
      </c>
      <c r="B169" t="s">
        <v>221</v>
      </c>
      <c r="C169">
        <v>23439.863730000001</v>
      </c>
      <c r="D169">
        <v>1384.758333</v>
      </c>
    </row>
    <row r="170" spans="1:4" x14ac:dyDescent="0.35">
      <c r="A170">
        <v>1988</v>
      </c>
      <c r="B170" t="s">
        <v>221</v>
      </c>
      <c r="C170">
        <v>24198.198520000002</v>
      </c>
      <c r="D170">
        <v>1330.5</v>
      </c>
    </row>
    <row r="171" spans="1:4" x14ac:dyDescent="0.35">
      <c r="A171">
        <v>1989</v>
      </c>
      <c r="B171" t="s">
        <v>221</v>
      </c>
      <c r="C171">
        <v>24669.641670000001</v>
      </c>
      <c r="D171">
        <v>1269.241667</v>
      </c>
    </row>
    <row r="172" spans="1:4" x14ac:dyDescent="0.35">
      <c r="A172">
        <v>1990</v>
      </c>
      <c r="B172" t="s">
        <v>221</v>
      </c>
      <c r="C172">
        <v>24883.811160000001</v>
      </c>
      <c r="D172">
        <v>1325.5583329999999</v>
      </c>
    </row>
    <row r="173" spans="1:4" x14ac:dyDescent="0.35">
      <c r="A173">
        <v>1991</v>
      </c>
      <c r="B173" t="s">
        <v>221</v>
      </c>
      <c r="C173">
        <v>24597.83295</v>
      </c>
      <c r="D173">
        <v>1426.8916670000001</v>
      </c>
    </row>
    <row r="174" spans="1:4" x14ac:dyDescent="0.35">
      <c r="A174">
        <v>1992</v>
      </c>
      <c r="B174" t="s">
        <v>221</v>
      </c>
      <c r="C174">
        <v>25151.79477</v>
      </c>
      <c r="D174">
        <v>1422.6</v>
      </c>
    </row>
    <row r="175" spans="1:4" x14ac:dyDescent="0.35">
      <c r="A175">
        <v>1993</v>
      </c>
      <c r="B175" t="s">
        <v>221</v>
      </c>
      <c r="C175">
        <v>25687.022970000002</v>
      </c>
      <c r="D175">
        <v>1381.8166670000001</v>
      </c>
    </row>
    <row r="176" spans="1:4" x14ac:dyDescent="0.35">
      <c r="A176">
        <v>1994</v>
      </c>
      <c r="B176" t="s">
        <v>221</v>
      </c>
      <c r="C176">
        <v>26357.010590000002</v>
      </c>
      <c r="D176">
        <v>1346.7</v>
      </c>
    </row>
    <row r="177" spans="1:4" x14ac:dyDescent="0.35">
      <c r="A177">
        <v>1995</v>
      </c>
      <c r="B177" t="s">
        <v>221</v>
      </c>
      <c r="C177">
        <v>26813.478019999999</v>
      </c>
      <c r="D177">
        <v>1309.95</v>
      </c>
    </row>
    <row r="178" spans="1:4" x14ac:dyDescent="0.35">
      <c r="A178">
        <v>1996</v>
      </c>
      <c r="B178" t="s">
        <v>221</v>
      </c>
      <c r="C178">
        <v>27422.977930000001</v>
      </c>
      <c r="D178">
        <v>1310.075</v>
      </c>
    </row>
    <row r="179" spans="1:4" x14ac:dyDescent="0.35">
      <c r="A179">
        <v>1997</v>
      </c>
      <c r="B179" t="s">
        <v>221</v>
      </c>
      <c r="C179">
        <v>28115.055489999999</v>
      </c>
      <c r="D179">
        <v>1428.8416669999999</v>
      </c>
    </row>
    <row r="180" spans="1:4" x14ac:dyDescent="0.35">
      <c r="A180">
        <v>1998</v>
      </c>
      <c r="B180" t="s">
        <v>221</v>
      </c>
      <c r="C180">
        <v>29265.117839999999</v>
      </c>
      <c r="D180">
        <v>1483.883333</v>
      </c>
    </row>
    <row r="181" spans="1:4" x14ac:dyDescent="0.35">
      <c r="A181">
        <v>1999</v>
      </c>
      <c r="B181" t="s">
        <v>221</v>
      </c>
      <c r="C181">
        <v>30487.783589999999</v>
      </c>
      <c r="D181">
        <v>1452.116667</v>
      </c>
    </row>
    <row r="182" spans="1:4" x14ac:dyDescent="0.35">
      <c r="A182">
        <v>2000</v>
      </c>
      <c r="B182" t="s">
        <v>221</v>
      </c>
      <c r="C182">
        <v>31669.04076</v>
      </c>
      <c r="D182">
        <v>1404.675</v>
      </c>
    </row>
    <row r="183" spans="1:4" x14ac:dyDescent="0.35">
      <c r="A183">
        <v>2001</v>
      </c>
      <c r="B183" t="s">
        <v>221</v>
      </c>
      <c r="C183">
        <v>32133.66805</v>
      </c>
      <c r="D183">
        <v>1366.075</v>
      </c>
    </row>
    <row r="184" spans="1:4" x14ac:dyDescent="0.35">
      <c r="A184">
        <v>2002</v>
      </c>
      <c r="B184" t="s">
        <v>221</v>
      </c>
      <c r="C184">
        <v>32646.505450000001</v>
      </c>
      <c r="D184">
        <v>1344.741667</v>
      </c>
    </row>
    <row r="185" spans="1:4" x14ac:dyDescent="0.35">
      <c r="A185">
        <v>2003</v>
      </c>
      <c r="B185" t="s">
        <v>221</v>
      </c>
      <c r="C185">
        <v>33391.281190000002</v>
      </c>
      <c r="D185">
        <v>1314.8916670000001</v>
      </c>
    </row>
    <row r="186" spans="1:4" x14ac:dyDescent="0.35">
      <c r="A186">
        <v>2004</v>
      </c>
      <c r="B186" t="s">
        <v>221</v>
      </c>
      <c r="C186">
        <v>34330.928659999998</v>
      </c>
      <c r="D186">
        <v>1280.6083329999999</v>
      </c>
    </row>
    <row r="187" spans="1:4" x14ac:dyDescent="0.35">
      <c r="A187">
        <v>2005</v>
      </c>
      <c r="B187" t="s">
        <v>221</v>
      </c>
      <c r="C187">
        <v>35220.589139999996</v>
      </c>
      <c r="D187">
        <v>1238.583333</v>
      </c>
    </row>
    <row r="188" spans="1:4" x14ac:dyDescent="0.35">
      <c r="A188">
        <v>2006</v>
      </c>
      <c r="B188" t="s">
        <v>221</v>
      </c>
      <c r="C188">
        <v>35893.281669999997</v>
      </c>
      <c r="D188">
        <v>1199.883333</v>
      </c>
    </row>
    <row r="189" spans="1:4" x14ac:dyDescent="0.35">
      <c r="A189">
        <v>2007</v>
      </c>
      <c r="B189" t="s">
        <v>221</v>
      </c>
      <c r="C189">
        <v>36417.811650000003</v>
      </c>
      <c r="D189">
        <v>1236.083333</v>
      </c>
    </row>
    <row r="190" spans="1:4" x14ac:dyDescent="0.35">
      <c r="A190">
        <v>2008</v>
      </c>
      <c r="B190" t="s">
        <v>221</v>
      </c>
      <c r="C190">
        <v>36129.091099999998</v>
      </c>
      <c r="D190">
        <v>1343.083333</v>
      </c>
    </row>
    <row r="191" spans="1:4" x14ac:dyDescent="0.35">
      <c r="A191">
        <v>2009</v>
      </c>
      <c r="B191" t="s">
        <v>221</v>
      </c>
      <c r="C191">
        <v>35346.2039</v>
      </c>
      <c r="D191">
        <v>1501.125</v>
      </c>
    </row>
    <row r="192" spans="1:4" x14ac:dyDescent="0.35">
      <c r="A192">
        <v>2010</v>
      </c>
      <c r="B192" t="s">
        <v>221</v>
      </c>
      <c r="C192">
        <v>35722.274279999998</v>
      </c>
      <c r="D192">
        <v>1561.616667</v>
      </c>
    </row>
    <row r="193" spans="1:4" x14ac:dyDescent="0.3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4.5" x14ac:dyDescent="0.35"/>
  <cols>
    <col min="5" max="5" width="49.26953125" customWidth="1"/>
    <col min="6" max="6" width="10.26953125" customWidth="1"/>
    <col min="8" max="8" width="17" customWidth="1"/>
    <col min="9" max="9" width="9.453125" customWidth="1"/>
    <col min="10" max="10" width="15.54296875" customWidth="1"/>
    <col min="11" max="11" width="10.453125" customWidth="1"/>
  </cols>
  <sheetData>
    <row r="1" spans="1:21" ht="15" thickBot="1" x14ac:dyDescent="0.4">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1477</v>
      </c>
    </row>
    <row r="2" spans="1:21" x14ac:dyDescent="0.3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1478</v>
      </c>
    </row>
    <row r="3" spans="1:21" x14ac:dyDescent="0.3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3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3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3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3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3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3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3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3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3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3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3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3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3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3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3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3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3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3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3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3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3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3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3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3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3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3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3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3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3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3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3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3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3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3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3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3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3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3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3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3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3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3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3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3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3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3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3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3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3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3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3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3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3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3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3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3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3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3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3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3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3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3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3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3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3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3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3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3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3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3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3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 thickBot="1" x14ac:dyDescent="0.4">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 thickTop="1" x14ac:dyDescent="0.3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1479</v>
      </c>
    </row>
    <row r="77" spans="1:21" x14ac:dyDescent="0.3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3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3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3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3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3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3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3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3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3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3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3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3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3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3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3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3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3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3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3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3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3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3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3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3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3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3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3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35">
      <c r="A105">
        <v>104</v>
      </c>
      <c r="B105" t="s">
        <v>1473</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3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3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3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3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3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3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3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3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3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3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 thickBot="1" x14ac:dyDescent="0.4">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 thickTop="1" x14ac:dyDescent="0.3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4.5" x14ac:dyDescent="0.35"/>
  <cols>
    <col min="1" max="1" width="17.26953125" bestFit="1" customWidth="1"/>
    <col min="2" max="2" width="10.81640625" customWidth="1"/>
    <col min="3" max="3" width="12.7265625" customWidth="1"/>
    <col min="4" max="6" width="10.81640625" customWidth="1"/>
    <col min="7" max="7" width="11" bestFit="1" customWidth="1"/>
    <col min="8" max="8" width="12.7265625" bestFit="1" customWidth="1"/>
    <col min="9" max="11" width="12" bestFit="1" customWidth="1"/>
    <col min="12" max="13" width="11" bestFit="1" customWidth="1"/>
    <col min="18" max="18" width="9.81640625" customWidth="1"/>
  </cols>
  <sheetData>
    <row r="1" spans="1:22" x14ac:dyDescent="0.35">
      <c r="R1" s="68" t="s">
        <v>1472</v>
      </c>
    </row>
    <row r="2" spans="1:22" x14ac:dyDescent="0.35">
      <c r="R2" t="s">
        <v>141</v>
      </c>
      <c r="S2" t="s">
        <v>1468</v>
      </c>
      <c r="T2" t="s">
        <v>144</v>
      </c>
      <c r="U2" t="s">
        <v>1470</v>
      </c>
    </row>
    <row r="3" spans="1:22" x14ac:dyDescent="0.35">
      <c r="A3" s="66" t="s">
        <v>118</v>
      </c>
      <c r="R3">
        <v>10</v>
      </c>
      <c r="S3">
        <v>0.9</v>
      </c>
      <c r="T3">
        <f>(1+S3)^(1/R3)-1</f>
        <v>6.629005847852576E-2</v>
      </c>
      <c r="U3">
        <f>T3*100</f>
        <v>6.629005847852576</v>
      </c>
    </row>
    <row r="5" spans="1:22" x14ac:dyDescent="0.35">
      <c r="B5" t="s">
        <v>155</v>
      </c>
      <c r="D5" t="s">
        <v>156</v>
      </c>
      <c r="R5" s="68" t="s">
        <v>1471</v>
      </c>
    </row>
    <row r="6" spans="1:22" x14ac:dyDescent="0.35">
      <c r="K6" t="s">
        <v>1467</v>
      </c>
      <c r="R6" t="s">
        <v>141</v>
      </c>
      <c r="S6" t="s">
        <v>1468</v>
      </c>
      <c r="T6" t="s">
        <v>1469</v>
      </c>
      <c r="U6" t="s">
        <v>144</v>
      </c>
      <c r="V6" t="s">
        <v>1470</v>
      </c>
    </row>
    <row r="7" spans="1:22" x14ac:dyDescent="0.3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3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3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3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3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3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3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3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3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3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35">
      <c r="B17" t="s">
        <v>147</v>
      </c>
      <c r="C17">
        <v>5</v>
      </c>
      <c r="D17">
        <v>5</v>
      </c>
      <c r="E17" t="s">
        <v>140</v>
      </c>
      <c r="F17">
        <v>2008</v>
      </c>
      <c r="G17" t="s">
        <v>153</v>
      </c>
      <c r="H17">
        <v>0.52800000000000002</v>
      </c>
      <c r="I17">
        <v>0.01</v>
      </c>
      <c r="K17" s="65">
        <v>8.8490569773641781</v>
      </c>
      <c r="L17" s="65">
        <v>0.14247258766670709</v>
      </c>
      <c r="M17" s="65">
        <v>62.110593499327749</v>
      </c>
    </row>
    <row r="18" spans="2:13" x14ac:dyDescent="0.3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3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35">
      <c r="B20" t="s">
        <v>146</v>
      </c>
      <c r="C20">
        <v>3</v>
      </c>
      <c r="D20">
        <v>3</v>
      </c>
      <c r="E20" t="s">
        <v>142</v>
      </c>
      <c r="F20">
        <v>2004</v>
      </c>
      <c r="G20" t="s">
        <v>153</v>
      </c>
      <c r="H20">
        <v>0.157</v>
      </c>
      <c r="I20">
        <v>5.6000000000000001E-2</v>
      </c>
      <c r="K20" s="65">
        <v>4.9811001507905184</v>
      </c>
      <c r="L20" s="65">
        <v>1.6937313766765401</v>
      </c>
      <c r="M20" s="65">
        <v>2.940903273909051</v>
      </c>
    </row>
    <row r="21" spans="2:13" x14ac:dyDescent="0.35">
      <c r="B21" t="s">
        <v>147</v>
      </c>
      <c r="C21">
        <v>5</v>
      </c>
      <c r="D21">
        <v>5</v>
      </c>
      <c r="E21" t="s">
        <v>142</v>
      </c>
      <c r="F21">
        <v>2004</v>
      </c>
      <c r="G21" t="s">
        <v>153</v>
      </c>
      <c r="H21">
        <v>0.49199999999999999</v>
      </c>
      <c r="I21">
        <v>0.02</v>
      </c>
      <c r="K21" s="65">
        <v>8.3312525606173082</v>
      </c>
      <c r="L21" s="65">
        <v>0.29043231249495249</v>
      </c>
      <c r="M21" s="65">
        <v>28.685694401727758</v>
      </c>
    </row>
    <row r="22" spans="2:13" x14ac:dyDescent="0.3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3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35">
      <c r="B24" t="s">
        <v>146</v>
      </c>
      <c r="C24">
        <v>3</v>
      </c>
      <c r="D24">
        <v>3</v>
      </c>
      <c r="E24" t="s">
        <v>142</v>
      </c>
      <c r="F24">
        <v>2006</v>
      </c>
      <c r="G24" t="s">
        <v>153</v>
      </c>
      <c r="H24">
        <v>0.187</v>
      </c>
      <c r="I24">
        <v>4.2000000000000003E-2</v>
      </c>
      <c r="K24" s="65">
        <v>5.8807249810217446</v>
      </c>
      <c r="L24" s="65">
        <v>1.2488038329690849</v>
      </c>
      <c r="M24" s="65">
        <v>4.709086267808825</v>
      </c>
    </row>
    <row r="25" spans="2:13" x14ac:dyDescent="0.3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3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3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3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3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3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3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35">
      <c r="B32" t="s">
        <v>146</v>
      </c>
      <c r="C32">
        <v>3</v>
      </c>
      <c r="D32">
        <v>3</v>
      </c>
      <c r="E32" t="s">
        <v>140</v>
      </c>
      <c r="F32">
        <v>2004</v>
      </c>
      <c r="G32" t="s">
        <v>154</v>
      </c>
      <c r="H32">
        <v>0.35</v>
      </c>
      <c r="I32">
        <v>6.6000000000000003E-2</v>
      </c>
      <c r="K32" s="65">
        <v>10.52094495921161</v>
      </c>
      <c r="L32" s="65">
        <v>1.801082066001966</v>
      </c>
      <c r="M32" s="65">
        <v>5.8414578423769177</v>
      </c>
    </row>
    <row r="33" spans="2:13" x14ac:dyDescent="0.35">
      <c r="B33" t="s">
        <v>147</v>
      </c>
      <c r="C33">
        <v>5</v>
      </c>
      <c r="D33">
        <v>5</v>
      </c>
      <c r="E33" t="s">
        <v>140</v>
      </c>
      <c r="F33">
        <v>2004</v>
      </c>
      <c r="G33" t="s">
        <v>154</v>
      </c>
      <c r="H33">
        <v>0.53</v>
      </c>
      <c r="I33">
        <v>2.4E-2</v>
      </c>
      <c r="K33" s="65">
        <v>8.8775365880074055</v>
      </c>
      <c r="L33" s="65">
        <v>0.34157658537414087</v>
      </c>
      <c r="M33" s="65">
        <v>25.989886216244962</v>
      </c>
    </row>
    <row r="34" spans="2:13" x14ac:dyDescent="0.3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3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3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3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3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3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3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35">
      <c r="B41" t="s">
        <v>147</v>
      </c>
      <c r="C41">
        <v>5</v>
      </c>
      <c r="D41">
        <v>5</v>
      </c>
      <c r="E41" t="s">
        <v>140</v>
      </c>
      <c r="F41">
        <v>2008</v>
      </c>
      <c r="G41" t="s">
        <v>154</v>
      </c>
      <c r="H41">
        <v>0.502</v>
      </c>
      <c r="I41">
        <v>1.0999999999999999E-2</v>
      </c>
      <c r="K41" s="65">
        <v>8.476080955730648</v>
      </c>
      <c r="L41" s="65">
        <v>0.15888640353036451</v>
      </c>
      <c r="M41" s="65">
        <v>53.34679851388794</v>
      </c>
    </row>
    <row r="42" spans="2:13" x14ac:dyDescent="0.3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3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3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3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3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3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3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35">
      <c r="B49" t="s">
        <v>147</v>
      </c>
      <c r="C49">
        <v>5</v>
      </c>
      <c r="D49">
        <v>5</v>
      </c>
      <c r="E49" t="s">
        <v>142</v>
      </c>
      <c r="F49">
        <v>2006</v>
      </c>
      <c r="G49" t="s">
        <v>154</v>
      </c>
      <c r="H49">
        <v>0.37</v>
      </c>
      <c r="I49">
        <v>1.6E-2</v>
      </c>
      <c r="K49" s="65">
        <v>6.498652656427617</v>
      </c>
      <c r="L49" s="65">
        <v>0.2487559770077141</v>
      </c>
      <c r="M49" s="65">
        <v>26.12460908316622</v>
      </c>
    </row>
    <row r="50" spans="1:13" x14ac:dyDescent="0.3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3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3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3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3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3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35">
      <c r="A59" s="67" t="s">
        <v>127</v>
      </c>
    </row>
    <row r="60" spans="1:13" x14ac:dyDescent="0.35">
      <c r="C60" t="s">
        <v>1084</v>
      </c>
      <c r="D60" t="s">
        <v>1085</v>
      </c>
      <c r="E60" t="s">
        <v>141</v>
      </c>
      <c r="G60" t="s">
        <v>144</v>
      </c>
      <c r="H60" t="s">
        <v>143</v>
      </c>
      <c r="I60" t="s">
        <v>145</v>
      </c>
    </row>
    <row r="61" spans="1:13" x14ac:dyDescent="0.35">
      <c r="C61">
        <v>0.6</v>
      </c>
      <c r="D61">
        <v>-0.19500000000000001</v>
      </c>
      <c r="E61">
        <v>13</v>
      </c>
      <c r="G61" s="65">
        <v>4.6028263992595297</v>
      </c>
      <c r="H61" s="65">
        <v>4.7651309065708088E-2</v>
      </c>
      <c r="I61" s="65">
        <v>96.593912937680855</v>
      </c>
    </row>
    <row r="62" spans="1:13" x14ac:dyDescent="0.35">
      <c r="C62">
        <v>0.59199999999999997</v>
      </c>
      <c r="D62">
        <v>-0.20300000000000001</v>
      </c>
      <c r="E62">
        <v>13</v>
      </c>
      <c r="G62" s="65">
        <v>4.6028263992595297</v>
      </c>
      <c r="H62" s="65">
        <v>6.3394358584268798E-2</v>
      </c>
      <c r="I62" s="65">
        <v>72.606246076945297</v>
      </c>
    </row>
    <row r="63" spans="1:13" x14ac:dyDescent="0.35">
      <c r="C63">
        <v>0.59899999999999998</v>
      </c>
      <c r="D63">
        <v>-0.19600000000000001</v>
      </c>
      <c r="E63">
        <v>13</v>
      </c>
      <c r="G63" s="65">
        <v>4.6028263992595297</v>
      </c>
      <c r="H63" s="65">
        <v>7.2972386749453957E-2</v>
      </c>
      <c r="I63" s="65">
        <v>63.076275894100057</v>
      </c>
    </row>
    <row r="70" spans="1:11" x14ac:dyDescent="0.35">
      <c r="A70" s="67" t="s">
        <v>157</v>
      </c>
    </row>
    <row r="73" spans="1:11" x14ac:dyDescent="0.35">
      <c r="B73" t="s">
        <v>155</v>
      </c>
      <c r="D73" t="s">
        <v>166</v>
      </c>
    </row>
    <row r="75" spans="1:11" x14ac:dyDescent="0.35">
      <c r="C75" t="s">
        <v>141</v>
      </c>
      <c r="D75" t="s">
        <v>163</v>
      </c>
      <c r="E75" t="s">
        <v>138</v>
      </c>
      <c r="F75" s="64" t="s">
        <v>143</v>
      </c>
      <c r="I75" t="s">
        <v>144</v>
      </c>
      <c r="J75" t="s">
        <v>143</v>
      </c>
      <c r="K75" t="s">
        <v>145</v>
      </c>
    </row>
    <row r="76" spans="1:11" x14ac:dyDescent="0.35">
      <c r="B76" t="s">
        <v>162</v>
      </c>
      <c r="C76">
        <v>3</v>
      </c>
      <c r="D76" t="s">
        <v>164</v>
      </c>
      <c r="E76">
        <v>0.16400000000000001</v>
      </c>
      <c r="F76">
        <v>8.9999999999999993E-3</v>
      </c>
      <c r="I76" s="65">
        <v>5.1923910316380004</v>
      </c>
      <c r="J76" s="65">
        <v>0.27111440987535568</v>
      </c>
      <c r="K76" s="65">
        <v>19.15202896823223</v>
      </c>
    </row>
    <row r="77" spans="1:11" x14ac:dyDescent="0.35">
      <c r="B77" t="s">
        <v>158</v>
      </c>
      <c r="C77">
        <v>3</v>
      </c>
      <c r="D77" t="s">
        <v>164</v>
      </c>
      <c r="E77">
        <v>0.34899999999999998</v>
      </c>
      <c r="F77">
        <v>8.9999999999999993E-3</v>
      </c>
      <c r="I77" s="65">
        <v>5.8212247015734242</v>
      </c>
      <c r="J77" s="65">
        <v>0.37887040799973642</v>
      </c>
      <c r="K77" s="65">
        <v>15.36468559871658</v>
      </c>
    </row>
    <row r="78" spans="1:11" x14ac:dyDescent="0.35">
      <c r="B78" t="s">
        <v>159</v>
      </c>
      <c r="C78" s="63" t="s">
        <v>150</v>
      </c>
      <c r="D78" t="s">
        <v>164</v>
      </c>
      <c r="E78">
        <v>0.57599999999999996</v>
      </c>
      <c r="F78">
        <v>0.01</v>
      </c>
      <c r="I78" s="65">
        <v>10.770032048383911</v>
      </c>
      <c r="J78" s="65">
        <v>0.60727724810972428</v>
      </c>
      <c r="K78" s="65">
        <v>17.734950686705059</v>
      </c>
    </row>
    <row r="79" spans="1:11" x14ac:dyDescent="0.35">
      <c r="B79" t="s">
        <v>160</v>
      </c>
      <c r="C79" s="63" t="s">
        <v>150</v>
      </c>
      <c r="D79" t="s">
        <v>164</v>
      </c>
      <c r="E79">
        <v>0.82</v>
      </c>
      <c r="F79">
        <v>1.2999999999999999E-2</v>
      </c>
      <c r="I79" s="65">
        <v>11.53474794878948</v>
      </c>
      <c r="J79" s="65">
        <v>0.73525155919961593</v>
      </c>
      <c r="K79" s="65">
        <v>15.688165233333249</v>
      </c>
    </row>
    <row r="80" spans="1:11" x14ac:dyDescent="0.35">
      <c r="B80" t="s">
        <v>161</v>
      </c>
      <c r="C80">
        <v>3</v>
      </c>
      <c r="D80" t="s">
        <v>164</v>
      </c>
      <c r="E80">
        <v>1.296</v>
      </c>
      <c r="F80">
        <v>1.2999999999999999E-2</v>
      </c>
      <c r="I80" s="65">
        <v>13.85762466127971</v>
      </c>
      <c r="J80" s="65">
        <v>0.47272966591742821</v>
      </c>
      <c r="K80" s="65">
        <v>29.314057611311888</v>
      </c>
    </row>
    <row r="81" spans="2:11" x14ac:dyDescent="0.35">
      <c r="B81" t="s">
        <v>162</v>
      </c>
      <c r="C81">
        <v>3</v>
      </c>
      <c r="D81" t="s">
        <v>167</v>
      </c>
      <c r="E81">
        <v>0.13900000000000001</v>
      </c>
      <c r="F81">
        <v>0.01</v>
      </c>
      <c r="I81" s="65">
        <v>4.4338386024890264</v>
      </c>
      <c r="J81" s="65">
        <v>0.3056301978416418</v>
      </c>
      <c r="K81" s="65">
        <v>14.507200642478271</v>
      </c>
    </row>
    <row r="82" spans="2:11" x14ac:dyDescent="0.35">
      <c r="B82" t="s">
        <v>158</v>
      </c>
      <c r="C82">
        <v>3</v>
      </c>
      <c r="D82" t="s">
        <v>167</v>
      </c>
      <c r="E82">
        <v>0.313</v>
      </c>
      <c r="F82">
        <v>1.0999999999999999E-2</v>
      </c>
      <c r="I82" s="65">
        <v>5.4927707062356168</v>
      </c>
      <c r="J82" s="65">
        <v>0.44527620149460712</v>
      </c>
      <c r="K82" s="65">
        <v>12.33564849816511</v>
      </c>
    </row>
    <row r="83" spans="2:11" x14ac:dyDescent="0.35">
      <c r="B83" t="s">
        <v>159</v>
      </c>
      <c r="C83" s="63" t="s">
        <v>150</v>
      </c>
      <c r="D83" t="s">
        <v>167</v>
      </c>
      <c r="E83">
        <v>0.51900000000000002</v>
      </c>
      <c r="F83">
        <v>1.2E-2</v>
      </c>
      <c r="I83" s="65">
        <v>9.8180313063387601</v>
      </c>
      <c r="J83" s="65">
        <v>0.74117248335520292</v>
      </c>
      <c r="K83" s="65">
        <v>13.24662143674527</v>
      </c>
    </row>
    <row r="84" spans="2:11" x14ac:dyDescent="0.35">
      <c r="B84" t="s">
        <v>160</v>
      </c>
      <c r="C84" s="63" t="s">
        <v>150</v>
      </c>
      <c r="D84" t="s">
        <v>167</v>
      </c>
      <c r="E84">
        <v>0.71099999999999997</v>
      </c>
      <c r="F84">
        <v>1.7000000000000001E-2</v>
      </c>
      <c r="I84" s="65">
        <v>9.1787525116494351</v>
      </c>
      <c r="J84" s="65">
        <v>0.95296253016192489</v>
      </c>
      <c r="K84" s="65">
        <v>9.6318084091824741</v>
      </c>
    </row>
    <row r="85" spans="2:11" x14ac:dyDescent="0.35">
      <c r="B85" t="s">
        <v>161</v>
      </c>
      <c r="C85">
        <v>3</v>
      </c>
      <c r="D85" t="s">
        <v>167</v>
      </c>
      <c r="E85">
        <v>1.204</v>
      </c>
      <c r="F85">
        <v>1.9E-2</v>
      </c>
      <c r="I85" s="65">
        <v>14.29307988242752</v>
      </c>
      <c r="J85" s="65">
        <v>0.65057227571904097</v>
      </c>
      <c r="K85" s="65">
        <v>21.97001073651683</v>
      </c>
    </row>
    <row r="86" spans="2:11" x14ac:dyDescent="0.35">
      <c r="B86" t="s">
        <v>162</v>
      </c>
      <c r="C86">
        <v>3</v>
      </c>
      <c r="D86" t="s">
        <v>168</v>
      </c>
      <c r="E86">
        <v>0.19800000000000001</v>
      </c>
      <c r="F86">
        <v>0.02</v>
      </c>
      <c r="I86" s="65">
        <v>6.206787502577904</v>
      </c>
      <c r="J86" s="65">
        <v>0.59102274625808515</v>
      </c>
      <c r="K86" s="65">
        <v>10.50177432573391</v>
      </c>
    </row>
    <row r="87" spans="2:11" x14ac:dyDescent="0.35">
      <c r="B87" t="s">
        <v>158</v>
      </c>
      <c r="C87">
        <v>3</v>
      </c>
      <c r="D87" t="s">
        <v>168</v>
      </c>
      <c r="E87">
        <v>0.38400000000000001</v>
      </c>
      <c r="F87">
        <v>1.9E-2</v>
      </c>
      <c r="I87" s="65">
        <v>5.8509832027769706</v>
      </c>
      <c r="J87" s="65">
        <v>0.82069404275028812</v>
      </c>
      <c r="K87" s="65">
        <v>7.1293111659118562</v>
      </c>
    </row>
    <row r="88" spans="2:11" x14ac:dyDescent="0.35">
      <c r="B88" t="s">
        <v>159</v>
      </c>
      <c r="C88" s="63" t="s">
        <v>150</v>
      </c>
      <c r="D88" t="s">
        <v>168</v>
      </c>
      <c r="E88">
        <v>0.63900000000000001</v>
      </c>
      <c r="F88">
        <v>1.9E-2</v>
      </c>
      <c r="I88" s="65">
        <v>12.02678251204039</v>
      </c>
      <c r="J88" s="65">
        <v>1.199269365885826</v>
      </c>
      <c r="K88" s="65">
        <v>10.028424684355169</v>
      </c>
    </row>
    <row r="89" spans="2:11" x14ac:dyDescent="0.35">
      <c r="B89" t="s">
        <v>160</v>
      </c>
      <c r="C89" s="63" t="s">
        <v>150</v>
      </c>
      <c r="D89" t="s">
        <v>168</v>
      </c>
      <c r="E89">
        <v>0.93200000000000005</v>
      </c>
      <c r="F89">
        <v>2.3E-2</v>
      </c>
      <c r="I89" s="65">
        <v>13.71015785759864</v>
      </c>
      <c r="J89" s="65">
        <v>1.311794317342909</v>
      </c>
      <c r="K89" s="65">
        <v>10.45145391799616</v>
      </c>
    </row>
    <row r="90" spans="2:11" x14ac:dyDescent="0.35">
      <c r="B90" t="s">
        <v>161</v>
      </c>
      <c r="C90">
        <v>3</v>
      </c>
      <c r="D90" t="s">
        <v>168</v>
      </c>
      <c r="E90">
        <v>1.3859999999999999</v>
      </c>
      <c r="F90">
        <v>2.1999999999999999E-2</v>
      </c>
      <c r="I90" s="65">
        <v>13.28910230943492</v>
      </c>
      <c r="J90" s="65">
        <v>0.82662245182926697</v>
      </c>
      <c r="K90" s="65">
        <v>16.076386843869191</v>
      </c>
    </row>
    <row r="93" spans="2:11" x14ac:dyDescent="0.35">
      <c r="B93" t="s">
        <v>169</v>
      </c>
    </row>
    <row r="95" spans="2:11" x14ac:dyDescent="0.35">
      <c r="B95" s="68" t="s">
        <v>175</v>
      </c>
      <c r="C95" s="68" t="s">
        <v>141</v>
      </c>
      <c r="D95" s="68" t="s">
        <v>170</v>
      </c>
      <c r="E95" s="68" t="s">
        <v>178</v>
      </c>
      <c r="F95" s="68" t="s">
        <v>173</v>
      </c>
    </row>
    <row r="96" spans="2:11" x14ac:dyDescent="0.35">
      <c r="B96" t="s">
        <v>174</v>
      </c>
      <c r="C96">
        <v>0</v>
      </c>
      <c r="D96" t="s">
        <v>171</v>
      </c>
      <c r="E96" s="29">
        <v>0.39100000000000001</v>
      </c>
      <c r="F96" s="9">
        <v>46965</v>
      </c>
      <c r="H96" t="s">
        <v>179</v>
      </c>
      <c r="I96" s="9"/>
    </row>
    <row r="97" spans="1:12" x14ac:dyDescent="0.35">
      <c r="B97" t="s">
        <v>162</v>
      </c>
      <c r="C97">
        <v>5</v>
      </c>
      <c r="D97" t="s">
        <v>171</v>
      </c>
      <c r="E97" s="29">
        <v>0.14299999999999999</v>
      </c>
      <c r="F97" s="9">
        <v>46965</v>
      </c>
      <c r="H97" s="69">
        <f>C96*E96+C97*E97+C98*E98+C99*E99</f>
        <v>6.134999999999998</v>
      </c>
      <c r="I97" s="9"/>
    </row>
    <row r="98" spans="1:12" x14ac:dyDescent="0.35">
      <c r="B98" t="s">
        <v>159</v>
      </c>
      <c r="C98">
        <v>10</v>
      </c>
      <c r="D98" t="s">
        <v>171</v>
      </c>
      <c r="E98" s="29">
        <v>0.314</v>
      </c>
      <c r="F98" s="9">
        <v>46965</v>
      </c>
      <c r="G98" s="29"/>
      <c r="H98" s="29"/>
      <c r="I98" s="9"/>
    </row>
    <row r="99" spans="1:12" x14ac:dyDescent="0.35">
      <c r="B99" t="s">
        <v>176</v>
      </c>
      <c r="C99" s="63" t="s">
        <v>181</v>
      </c>
      <c r="D99" t="s">
        <v>171</v>
      </c>
      <c r="E99" s="29">
        <v>0.15199999999999991</v>
      </c>
      <c r="F99" s="9">
        <v>46965</v>
      </c>
      <c r="G99" s="29"/>
      <c r="H99" s="29"/>
      <c r="I99" s="9"/>
    </row>
    <row r="100" spans="1:12" x14ac:dyDescent="0.35">
      <c r="B100" t="s">
        <v>174</v>
      </c>
      <c r="C100">
        <v>0</v>
      </c>
      <c r="D100" t="s">
        <v>172</v>
      </c>
      <c r="E100">
        <v>0.32600000000000001</v>
      </c>
      <c r="F100" s="9">
        <v>99900</v>
      </c>
      <c r="G100" s="29"/>
      <c r="H100" s="29" t="s">
        <v>180</v>
      </c>
      <c r="I100" s="9"/>
    </row>
    <row r="101" spans="1:12" x14ac:dyDescent="0.35">
      <c r="B101" t="s">
        <v>162</v>
      </c>
      <c r="C101">
        <v>5</v>
      </c>
      <c r="D101" t="s">
        <v>172</v>
      </c>
      <c r="E101">
        <v>0.127</v>
      </c>
      <c r="F101" s="9">
        <v>99900</v>
      </c>
      <c r="G101" s="29"/>
      <c r="H101" s="69">
        <f>C100*E100+C101*E101+C102*E102+C103*E103</f>
        <v>7.0349999999999993</v>
      </c>
    </row>
    <row r="102" spans="1:12" x14ac:dyDescent="0.35">
      <c r="B102" t="s">
        <v>159</v>
      </c>
      <c r="C102">
        <v>10</v>
      </c>
      <c r="D102" t="s">
        <v>172</v>
      </c>
      <c r="E102">
        <v>0.36099999999999999</v>
      </c>
      <c r="F102" s="9">
        <v>99900</v>
      </c>
      <c r="I102" s="9"/>
    </row>
    <row r="103" spans="1:12" x14ac:dyDescent="0.35">
      <c r="B103" t="s">
        <v>176</v>
      </c>
      <c r="C103" s="63" t="s">
        <v>181</v>
      </c>
      <c r="D103" t="s">
        <v>172</v>
      </c>
      <c r="E103">
        <v>0.18599999999999994</v>
      </c>
      <c r="F103" s="9">
        <v>99900</v>
      </c>
      <c r="I103" s="9"/>
    </row>
    <row r="104" spans="1:12" x14ac:dyDescent="0.35">
      <c r="C104" s="63"/>
      <c r="I104" s="9"/>
    </row>
    <row r="105" spans="1:12" x14ac:dyDescent="0.35">
      <c r="C105" s="63"/>
      <c r="I105" s="9"/>
    </row>
    <row r="106" spans="1:12" x14ac:dyDescent="0.35">
      <c r="I106" s="9"/>
    </row>
    <row r="107" spans="1:12" x14ac:dyDescent="0.35">
      <c r="A107" s="67" t="s">
        <v>182</v>
      </c>
    </row>
    <row r="109" spans="1:12" x14ac:dyDescent="0.35">
      <c r="B109" t="s">
        <v>155</v>
      </c>
      <c r="D109" s="68" t="s">
        <v>185</v>
      </c>
    </row>
    <row r="111" spans="1:12" x14ac:dyDescent="0.35">
      <c r="C111" t="s">
        <v>141</v>
      </c>
      <c r="D111" t="s">
        <v>151</v>
      </c>
      <c r="E111" t="s">
        <v>139</v>
      </c>
      <c r="F111" t="s">
        <v>138</v>
      </c>
      <c r="G111" s="64" t="s">
        <v>186</v>
      </c>
      <c r="H111" t="s">
        <v>143</v>
      </c>
      <c r="J111" t="s">
        <v>144</v>
      </c>
      <c r="K111" t="s">
        <v>143</v>
      </c>
      <c r="L111" t="s">
        <v>145</v>
      </c>
    </row>
    <row r="112" spans="1:12" x14ac:dyDescent="0.3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3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3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3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35">
      <c r="B116" t="s">
        <v>162</v>
      </c>
      <c r="C116">
        <v>6</v>
      </c>
      <c r="D116">
        <v>1992</v>
      </c>
      <c r="E116" t="s">
        <v>140</v>
      </c>
      <c r="F116">
        <v>2.4E-2</v>
      </c>
      <c r="G116">
        <v>0.48</v>
      </c>
      <c r="H116" s="35">
        <f t="shared" si="0"/>
        <v>0.05</v>
      </c>
      <c r="J116" s="65">
        <v>0.39605768733643743</v>
      </c>
      <c r="K116" s="65">
        <v>0.81702520904407894</v>
      </c>
      <c r="L116" s="65">
        <v>0.484755773692498</v>
      </c>
    </row>
    <row r="117" spans="2:12" x14ac:dyDescent="0.3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3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3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3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3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3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3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3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3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3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3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35">
      <c r="D129" s="68" t="s">
        <v>187</v>
      </c>
      <c r="F129" t="s">
        <v>188</v>
      </c>
    </row>
    <row r="131" spans="2:13" x14ac:dyDescent="0.35">
      <c r="C131" t="s">
        <v>141</v>
      </c>
      <c r="D131" t="s">
        <v>151</v>
      </c>
      <c r="E131" t="s">
        <v>139</v>
      </c>
      <c r="F131" t="s">
        <v>189</v>
      </c>
      <c r="G131" t="s">
        <v>138</v>
      </c>
      <c r="H131" s="64" t="s">
        <v>186</v>
      </c>
      <c r="I131" t="s">
        <v>143</v>
      </c>
      <c r="K131" t="s">
        <v>144</v>
      </c>
      <c r="L131" t="s">
        <v>143</v>
      </c>
      <c r="M131" t="s">
        <v>145</v>
      </c>
    </row>
    <row r="132" spans="2:13" x14ac:dyDescent="0.3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3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3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3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3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3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3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3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3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3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3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3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3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3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3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3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3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3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3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3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3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3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3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3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3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3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3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3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3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3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3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3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35">
      <c r="B166" s="68" t="s">
        <v>192</v>
      </c>
    </row>
    <row r="168" spans="2:13" x14ac:dyDescent="0.35">
      <c r="C168" t="s">
        <v>193</v>
      </c>
      <c r="D168" t="s">
        <v>196</v>
      </c>
      <c r="E168" t="s">
        <v>194</v>
      </c>
      <c r="H168" s="68" t="s">
        <v>201</v>
      </c>
    </row>
    <row r="169" spans="2:13" x14ac:dyDescent="0.35">
      <c r="B169" t="s">
        <v>174</v>
      </c>
      <c r="C169">
        <v>0</v>
      </c>
      <c r="D169" t="s">
        <v>197</v>
      </c>
      <c r="E169">
        <v>0.26250000000000001</v>
      </c>
      <c r="H169" t="s">
        <v>197</v>
      </c>
    </row>
    <row r="170" spans="2:13" x14ac:dyDescent="0.35">
      <c r="B170" t="s">
        <v>162</v>
      </c>
      <c r="C170">
        <v>6</v>
      </c>
      <c r="D170" t="s">
        <v>197</v>
      </c>
      <c r="E170">
        <v>0.25</v>
      </c>
      <c r="H170" s="70">
        <f>C169*E169+C170*E170+C171*E171+C172*E172+C173*E173</f>
        <v>9.8249999999999993</v>
      </c>
    </row>
    <row r="171" spans="2:13" x14ac:dyDescent="0.35">
      <c r="B171" t="s">
        <v>158</v>
      </c>
      <c r="C171">
        <v>10</v>
      </c>
      <c r="D171" t="s">
        <v>197</v>
      </c>
      <c r="E171">
        <v>0.1125</v>
      </c>
    </row>
    <row r="172" spans="2:13" x14ac:dyDescent="0.35">
      <c r="B172" t="s">
        <v>159</v>
      </c>
      <c r="C172" s="63" t="s">
        <v>181</v>
      </c>
      <c r="D172" t="s">
        <v>197</v>
      </c>
      <c r="E172">
        <v>0.1125</v>
      </c>
    </row>
    <row r="173" spans="2:13" x14ac:dyDescent="0.35">
      <c r="B173" t="s">
        <v>176</v>
      </c>
      <c r="C173" s="63" t="s">
        <v>195</v>
      </c>
      <c r="D173" t="s">
        <v>197</v>
      </c>
      <c r="E173">
        <v>0.26250000000000001</v>
      </c>
    </row>
    <row r="174" spans="2:13" x14ac:dyDescent="0.35">
      <c r="B174" t="s">
        <v>174</v>
      </c>
      <c r="C174">
        <v>0</v>
      </c>
      <c r="D174" t="s">
        <v>198</v>
      </c>
      <c r="E174">
        <v>0.17</v>
      </c>
      <c r="H174" t="s">
        <v>198</v>
      </c>
    </row>
    <row r="175" spans="2:13" x14ac:dyDescent="0.35">
      <c r="B175" t="s">
        <v>162</v>
      </c>
      <c r="C175">
        <v>6</v>
      </c>
      <c r="D175" t="s">
        <v>198</v>
      </c>
      <c r="E175">
        <v>0.2</v>
      </c>
      <c r="H175" s="70">
        <f>C174*E174+C175*E175+C176*E176+C177*E177+C178*E178</f>
        <v>10.520000000000001</v>
      </c>
    </row>
    <row r="176" spans="2:13" x14ac:dyDescent="0.35">
      <c r="B176" t="s">
        <v>158</v>
      </c>
      <c r="C176">
        <v>10</v>
      </c>
      <c r="D176" t="s">
        <v>198</v>
      </c>
      <c r="E176">
        <v>0.23</v>
      </c>
    </row>
    <row r="177" spans="1:10" x14ac:dyDescent="0.35">
      <c r="B177" t="s">
        <v>159</v>
      </c>
      <c r="C177" s="63" t="s">
        <v>181</v>
      </c>
      <c r="D177" t="s">
        <v>198</v>
      </c>
      <c r="E177">
        <v>0.23</v>
      </c>
    </row>
    <row r="178" spans="1:10" x14ac:dyDescent="0.35">
      <c r="B178" t="s">
        <v>176</v>
      </c>
      <c r="C178" s="63" t="s">
        <v>195</v>
      </c>
      <c r="D178" t="s">
        <v>198</v>
      </c>
      <c r="E178">
        <v>0.17</v>
      </c>
    </row>
    <row r="179" spans="1:10" x14ac:dyDescent="0.35">
      <c r="B179" t="s">
        <v>174</v>
      </c>
      <c r="C179">
        <v>0</v>
      </c>
      <c r="D179" t="s">
        <v>199</v>
      </c>
      <c r="E179">
        <v>0.1925</v>
      </c>
      <c r="H179" t="s">
        <v>199</v>
      </c>
    </row>
    <row r="180" spans="1:10" x14ac:dyDescent="0.35">
      <c r="B180" t="s">
        <v>162</v>
      </c>
      <c r="C180">
        <v>6</v>
      </c>
      <c r="D180" t="s">
        <v>199</v>
      </c>
      <c r="E180">
        <v>0.28999999999999998</v>
      </c>
      <c r="H180" s="70">
        <f>C179*E179+C180*E180+C181*E181+C182*E182+C183*E183</f>
        <v>9.8450000000000006</v>
      </c>
    </row>
    <row r="181" spans="1:10" x14ac:dyDescent="0.35">
      <c r="B181" t="s">
        <v>158</v>
      </c>
      <c r="C181">
        <v>10</v>
      </c>
      <c r="D181" t="s">
        <v>199</v>
      </c>
      <c r="E181">
        <v>0.16250000000000001</v>
      </c>
    </row>
    <row r="182" spans="1:10" x14ac:dyDescent="0.35">
      <c r="B182" t="s">
        <v>159</v>
      </c>
      <c r="C182" s="63" t="s">
        <v>181</v>
      </c>
      <c r="D182" t="s">
        <v>199</v>
      </c>
      <c r="E182">
        <v>0.16250000000000001</v>
      </c>
    </row>
    <row r="183" spans="1:10" x14ac:dyDescent="0.35">
      <c r="B183" t="s">
        <v>176</v>
      </c>
      <c r="C183" s="63" t="s">
        <v>195</v>
      </c>
      <c r="D183" t="s">
        <v>199</v>
      </c>
      <c r="E183">
        <v>0.1925</v>
      </c>
    </row>
    <row r="184" spans="1:10" x14ac:dyDescent="0.35">
      <c r="B184" t="s">
        <v>174</v>
      </c>
      <c r="C184">
        <v>0</v>
      </c>
      <c r="D184" t="s">
        <v>200</v>
      </c>
      <c r="E184">
        <v>0.12</v>
      </c>
      <c r="H184" t="s">
        <v>200</v>
      </c>
      <c r="J184" s="69"/>
    </row>
    <row r="185" spans="1:10" x14ac:dyDescent="0.35">
      <c r="B185" t="s">
        <v>162</v>
      </c>
      <c r="C185">
        <v>6</v>
      </c>
      <c r="D185" t="s">
        <v>200</v>
      </c>
      <c r="E185">
        <v>0.23</v>
      </c>
      <c r="H185" s="70">
        <f>C184*E184+C185*E185+C186*E186+C187*E187+C188*E188</f>
        <v>10.525</v>
      </c>
    </row>
    <row r="186" spans="1:10" x14ac:dyDescent="0.35">
      <c r="B186" t="s">
        <v>158</v>
      </c>
      <c r="C186">
        <v>10</v>
      </c>
      <c r="D186" t="s">
        <v>200</v>
      </c>
      <c r="E186">
        <v>0.26500000000000001</v>
      </c>
    </row>
    <row r="187" spans="1:10" x14ac:dyDescent="0.35">
      <c r="B187" t="s">
        <v>159</v>
      </c>
      <c r="C187" s="63" t="s">
        <v>181</v>
      </c>
      <c r="D187" t="s">
        <v>200</v>
      </c>
      <c r="E187">
        <v>0.26500000000000001</v>
      </c>
    </row>
    <row r="188" spans="1:10" x14ac:dyDescent="0.35">
      <c r="B188" t="s">
        <v>176</v>
      </c>
      <c r="C188" s="63" t="s">
        <v>195</v>
      </c>
      <c r="D188" t="s">
        <v>200</v>
      </c>
      <c r="E188">
        <v>0.12</v>
      </c>
    </row>
    <row r="192" spans="1:10" x14ac:dyDescent="0.35">
      <c r="A192" s="67" t="s">
        <v>203</v>
      </c>
      <c r="C192" t="s">
        <v>207</v>
      </c>
    </row>
    <row r="194" spans="2:9" x14ac:dyDescent="0.35">
      <c r="C194" t="s">
        <v>193</v>
      </c>
      <c r="D194" t="s">
        <v>138</v>
      </c>
      <c r="E194" s="64" t="s">
        <v>143</v>
      </c>
      <c r="G194" t="s">
        <v>144</v>
      </c>
      <c r="H194" t="s">
        <v>143</v>
      </c>
      <c r="I194" t="s">
        <v>145</v>
      </c>
    </row>
    <row r="195" spans="2:9" x14ac:dyDescent="0.35">
      <c r="B195" t="s">
        <v>205</v>
      </c>
      <c r="C195">
        <v>5</v>
      </c>
      <c r="D195">
        <v>0.498</v>
      </c>
      <c r="E195">
        <v>2.9000000000000001E-2</v>
      </c>
      <c r="G195" s="65">
        <v>8.4182424365889972</v>
      </c>
      <c r="H195" s="65">
        <v>0.41977690663031803</v>
      </c>
      <c r="I195" s="65">
        <v>20.054086596056209</v>
      </c>
    </row>
    <row r="196" spans="2:9" x14ac:dyDescent="0.35">
      <c r="B196" t="s">
        <v>204</v>
      </c>
      <c r="C196">
        <v>3</v>
      </c>
      <c r="D196">
        <v>0.25600000000000001</v>
      </c>
      <c r="E196">
        <v>2.7E-2</v>
      </c>
      <c r="G196" s="65">
        <v>7.8938142421918212</v>
      </c>
      <c r="H196" s="65">
        <v>0.77312446511124699</v>
      </c>
      <c r="I196" s="65">
        <v>10.2102760919045</v>
      </c>
    </row>
    <row r="197" spans="2:9" x14ac:dyDescent="0.35">
      <c r="B197" t="s">
        <v>158</v>
      </c>
      <c r="C197">
        <v>3</v>
      </c>
      <c r="D197">
        <v>0.254</v>
      </c>
      <c r="E197">
        <v>6.2E-2</v>
      </c>
      <c r="G197" s="65">
        <v>7.8365153390935971</v>
      </c>
      <c r="H197" s="65">
        <v>1.7772099816650191</v>
      </c>
      <c r="I197" s="65">
        <v>4.4094481912327446</v>
      </c>
    </row>
    <row r="198" spans="2:9" x14ac:dyDescent="0.35">
      <c r="B198" t="s">
        <v>205</v>
      </c>
      <c r="C198">
        <v>5</v>
      </c>
      <c r="D198">
        <v>0.497</v>
      </c>
      <c r="E198">
        <v>2.9000000000000001E-2</v>
      </c>
      <c r="G198" s="65">
        <v>8.4037635041231731</v>
      </c>
      <c r="H198" s="65">
        <v>0.42000122132526019</v>
      </c>
      <c r="I198" s="65">
        <v>20.008902539869219</v>
      </c>
    </row>
    <row r="199" spans="2:9" x14ac:dyDescent="0.35">
      <c r="B199" t="s">
        <v>204</v>
      </c>
      <c r="C199">
        <v>3</v>
      </c>
      <c r="D199">
        <v>0.245</v>
      </c>
      <c r="E199">
        <v>2.7E-2</v>
      </c>
      <c r="G199" s="65">
        <v>7.5779135902474204</v>
      </c>
      <c r="H199" s="65">
        <v>0.77767166450781244</v>
      </c>
      <c r="I199" s="65">
        <v>9.7443611952140152</v>
      </c>
    </row>
    <row r="200" spans="2:9" x14ac:dyDescent="0.35">
      <c r="B200" t="s">
        <v>158</v>
      </c>
      <c r="C200">
        <v>3</v>
      </c>
      <c r="D200">
        <v>0.27</v>
      </c>
      <c r="E200">
        <v>6.3E-2</v>
      </c>
      <c r="G200" s="65">
        <v>8.2932132831999397</v>
      </c>
      <c r="H200" s="65">
        <v>1.7906751802733849</v>
      </c>
      <c r="I200" s="65">
        <v>4.6313331276160339</v>
      </c>
    </row>
    <row r="201" spans="2:9" x14ac:dyDescent="0.35">
      <c r="B201" t="s">
        <v>205</v>
      </c>
      <c r="C201">
        <v>5</v>
      </c>
      <c r="D201">
        <v>0.47099999999999997</v>
      </c>
      <c r="E201">
        <v>2.8000000000000001E-2</v>
      </c>
      <c r="G201" s="65">
        <v>8.0245670900269026</v>
      </c>
      <c r="H201" s="65">
        <v>0.41124240360581282</v>
      </c>
      <c r="I201" s="65">
        <v>19.51298557655225</v>
      </c>
    </row>
    <row r="202" spans="2:9" x14ac:dyDescent="0.35">
      <c r="B202" t="s">
        <v>204</v>
      </c>
      <c r="C202">
        <v>3</v>
      </c>
      <c r="D202">
        <v>0.216</v>
      </c>
      <c r="E202">
        <v>2.8000000000000001E-2</v>
      </c>
      <c r="G202" s="65">
        <v>6.7360659488777896</v>
      </c>
      <c r="H202" s="65">
        <v>0.81924612022164967</v>
      </c>
      <c r="I202" s="65">
        <v>8.2222738473943888</v>
      </c>
    </row>
    <row r="203" spans="2:9" x14ac:dyDescent="0.35">
      <c r="B203" t="s">
        <v>158</v>
      </c>
      <c r="C203">
        <v>3</v>
      </c>
      <c r="D203">
        <v>0.24199999999999999</v>
      </c>
      <c r="E203">
        <v>6.3E-2</v>
      </c>
      <c r="G203" s="65">
        <v>7.4914361304784016</v>
      </c>
      <c r="H203" s="65">
        <v>1.817488050515335</v>
      </c>
      <c r="I203" s="65">
        <v>4.1218626600346902</v>
      </c>
    </row>
    <row r="204" spans="2:9" x14ac:dyDescent="0.35">
      <c r="B204" t="s">
        <v>205</v>
      </c>
      <c r="C204">
        <v>5</v>
      </c>
      <c r="D204">
        <v>0.42</v>
      </c>
      <c r="E204">
        <v>0.03</v>
      </c>
      <c r="G204" s="65">
        <v>7.264909054577684</v>
      </c>
      <c r="H204" s="65">
        <v>0.45323201008976488</v>
      </c>
      <c r="I204" s="65">
        <v>16.02911730161961</v>
      </c>
    </row>
    <row r="205" spans="2:9" x14ac:dyDescent="0.35">
      <c r="B205" t="s">
        <v>204</v>
      </c>
      <c r="C205">
        <v>3</v>
      </c>
      <c r="D205">
        <v>0.20899999999999999</v>
      </c>
      <c r="E205">
        <v>2.9000000000000001E-2</v>
      </c>
      <c r="G205" s="65">
        <v>6.5308601525300158</v>
      </c>
      <c r="H205" s="65">
        <v>0.8517769353248883</v>
      </c>
      <c r="I205" s="65">
        <v>7.6673362258147879</v>
      </c>
    </row>
    <row r="206" spans="2:9" x14ac:dyDescent="0.35">
      <c r="B206" t="s">
        <v>158</v>
      </c>
      <c r="C206">
        <v>3</v>
      </c>
      <c r="D206">
        <v>0.23400000000000001</v>
      </c>
      <c r="E206">
        <v>6.4000000000000001E-2</v>
      </c>
      <c r="G206" s="65">
        <v>7.2601466882732391</v>
      </c>
      <c r="H206" s="65">
        <v>1.8543083165989971</v>
      </c>
      <c r="I206" s="65">
        <v>3.915285620672369</v>
      </c>
    </row>
    <row r="209" spans="2:9" x14ac:dyDescent="0.35">
      <c r="C209" t="s">
        <v>208</v>
      </c>
    </row>
    <row r="211" spans="2:9" x14ac:dyDescent="0.35">
      <c r="C211" t="s">
        <v>193</v>
      </c>
      <c r="D211" t="s">
        <v>138</v>
      </c>
      <c r="E211" s="64" t="s">
        <v>143</v>
      </c>
      <c r="G211" t="s">
        <v>144</v>
      </c>
      <c r="H211" t="s">
        <v>143</v>
      </c>
      <c r="I211" t="s">
        <v>145</v>
      </c>
    </row>
    <row r="212" spans="2:9" x14ac:dyDescent="0.35">
      <c r="B212" t="s">
        <v>205</v>
      </c>
      <c r="C212">
        <v>5</v>
      </c>
      <c r="D212">
        <v>0.42</v>
      </c>
      <c r="E212">
        <v>0.03</v>
      </c>
      <c r="G212" s="65">
        <v>7.264909054577684</v>
      </c>
      <c r="H212" s="65">
        <v>0.45323201008976488</v>
      </c>
      <c r="I212" s="65">
        <v>16.02911730161961</v>
      </c>
    </row>
    <row r="213" spans="2:9" x14ac:dyDescent="0.35">
      <c r="B213" t="s">
        <v>204</v>
      </c>
      <c r="C213">
        <v>3</v>
      </c>
      <c r="D213">
        <v>0.20899999999999999</v>
      </c>
      <c r="E213">
        <v>2.9000000000000001E-2</v>
      </c>
      <c r="G213" s="65">
        <v>6.5308601525300158</v>
      </c>
      <c r="H213" s="65">
        <v>0.8517769353248883</v>
      </c>
      <c r="I213" s="65">
        <v>7.6673362258147879</v>
      </c>
    </row>
    <row r="214" spans="2:9" x14ac:dyDescent="0.35">
      <c r="B214" t="s">
        <v>158</v>
      </c>
      <c r="C214">
        <v>3</v>
      </c>
      <c r="D214">
        <v>0.23400000000000001</v>
      </c>
      <c r="E214">
        <v>6.4000000000000001E-2</v>
      </c>
      <c r="G214" s="65">
        <v>7.2601466882732391</v>
      </c>
      <c r="H214" s="65">
        <v>1.8543083165989971</v>
      </c>
      <c r="I214" s="65">
        <v>3.915285620672369</v>
      </c>
    </row>
    <row r="215" spans="2:9" x14ac:dyDescent="0.35">
      <c r="B215" t="s">
        <v>205</v>
      </c>
      <c r="C215">
        <v>5</v>
      </c>
      <c r="D215">
        <v>0.379</v>
      </c>
      <c r="E215">
        <v>0.17699999999999999</v>
      </c>
      <c r="G215" s="65">
        <v>6.6382116493849166</v>
      </c>
      <c r="H215" s="65">
        <v>2.73748563624962</v>
      </c>
      <c r="I215" s="65">
        <v>2.424930221178923</v>
      </c>
    </row>
    <row r="216" spans="2:9" x14ac:dyDescent="0.35">
      <c r="B216" t="s">
        <v>204</v>
      </c>
      <c r="C216">
        <v>3</v>
      </c>
      <c r="D216">
        <v>0.28799999999999998</v>
      </c>
      <c r="E216">
        <v>0.121</v>
      </c>
      <c r="G216" s="65">
        <v>8.8024365082959513</v>
      </c>
      <c r="H216" s="65">
        <v>3.4071156359999502</v>
      </c>
      <c r="I216" s="65">
        <v>2.5835449831195811</v>
      </c>
    </row>
    <row r="217" spans="2:9" x14ac:dyDescent="0.35">
      <c r="B217" t="s">
        <v>158</v>
      </c>
      <c r="C217">
        <v>3</v>
      </c>
      <c r="D217">
        <v>0.192</v>
      </c>
      <c r="E217">
        <v>8.6999999999999994E-2</v>
      </c>
      <c r="G217" s="65">
        <v>6.0291838476180803</v>
      </c>
      <c r="H217" s="65">
        <v>2.5795690701182248</v>
      </c>
      <c r="I217" s="65">
        <v>2.3372833538207041</v>
      </c>
    </row>
    <row r="218" spans="2:9" x14ac:dyDescent="0.35">
      <c r="B218" t="s">
        <v>205</v>
      </c>
      <c r="C218">
        <v>5</v>
      </c>
      <c r="D218">
        <v>0.36199999999999999</v>
      </c>
      <c r="E218">
        <v>0.16700000000000001</v>
      </c>
      <c r="G218" s="65">
        <v>6.3739831279421733</v>
      </c>
      <c r="H218" s="65">
        <v>2.608583727219727</v>
      </c>
      <c r="I218" s="65">
        <v>2.4434650348507971</v>
      </c>
    </row>
    <row r="219" spans="2:9" x14ac:dyDescent="0.35">
      <c r="B219" t="s">
        <v>204</v>
      </c>
      <c r="C219">
        <v>3</v>
      </c>
      <c r="D219">
        <v>0.30099999999999999</v>
      </c>
      <c r="E219">
        <v>0.124</v>
      </c>
      <c r="G219" s="65">
        <v>9.1672655665788518</v>
      </c>
      <c r="H219" s="65">
        <v>3.4682912965041699</v>
      </c>
      <c r="I219" s="65">
        <v>2.6431648275388251</v>
      </c>
    </row>
    <row r="220" spans="2:9" x14ac:dyDescent="0.35">
      <c r="B220" t="s">
        <v>158</v>
      </c>
      <c r="C220">
        <v>3</v>
      </c>
      <c r="D220">
        <v>0.19</v>
      </c>
      <c r="E220">
        <v>8.8999999999999996E-2</v>
      </c>
      <c r="G220" s="65">
        <v>5.9698502124814867</v>
      </c>
      <c r="H220" s="65">
        <v>2.6418253974540198</v>
      </c>
      <c r="I220" s="65">
        <v>2.25974442453114</v>
      </c>
    </row>
    <row r="221" spans="2:9" x14ac:dyDescent="0.35">
      <c r="B221" t="s">
        <v>205</v>
      </c>
      <c r="C221">
        <v>5</v>
      </c>
      <c r="D221">
        <v>0.373</v>
      </c>
      <c r="E221">
        <v>0.17699999999999999</v>
      </c>
      <c r="G221" s="65">
        <v>6.5452536016274987</v>
      </c>
      <c r="H221" s="65">
        <v>2.7470516951912698</v>
      </c>
      <c r="I221" s="65">
        <v>2.3826466801061681</v>
      </c>
    </row>
    <row r="222" spans="2:9" x14ac:dyDescent="0.35">
      <c r="B222" t="s">
        <v>204</v>
      </c>
      <c r="C222">
        <v>3</v>
      </c>
      <c r="D222">
        <v>0.28699999999999998</v>
      </c>
      <c r="E222">
        <v>0.122</v>
      </c>
      <c r="G222" s="65">
        <v>8.7742712374262446</v>
      </c>
      <c r="H222" s="65">
        <v>3.437052859613055</v>
      </c>
      <c r="I222" s="65">
        <v>2.5528473363118591</v>
      </c>
    </row>
    <row r="223" spans="2:9" x14ac:dyDescent="0.35">
      <c r="B223" t="s">
        <v>158</v>
      </c>
      <c r="C223">
        <v>3</v>
      </c>
      <c r="D223">
        <v>0.19700000000000001</v>
      </c>
      <c r="E223">
        <v>8.7999999999999995E-2</v>
      </c>
      <c r="G223" s="65">
        <v>6.1772281390967132</v>
      </c>
      <c r="H223" s="65">
        <v>2.601948225073937</v>
      </c>
      <c r="I223" s="65">
        <v>2.3740780387439031</v>
      </c>
    </row>
    <row r="227" spans="1:12" x14ac:dyDescent="0.35">
      <c r="A227" s="67" t="s">
        <v>209</v>
      </c>
    </row>
    <row r="228" spans="1:12" x14ac:dyDescent="0.35">
      <c r="C228" t="s">
        <v>185</v>
      </c>
    </row>
    <row r="230" spans="1:12" x14ac:dyDescent="0.35">
      <c r="C230" t="s">
        <v>141</v>
      </c>
      <c r="D230" t="s">
        <v>215</v>
      </c>
      <c r="E230" t="s">
        <v>217</v>
      </c>
      <c r="F230" t="s">
        <v>138</v>
      </c>
      <c r="G230" s="64" t="s">
        <v>143</v>
      </c>
      <c r="J230" t="s">
        <v>144</v>
      </c>
      <c r="K230" t="s">
        <v>143</v>
      </c>
      <c r="L230" t="s">
        <v>145</v>
      </c>
    </row>
    <row r="231" spans="1:12" x14ac:dyDescent="0.35">
      <c r="B231" t="s">
        <v>210</v>
      </c>
      <c r="C231">
        <v>0</v>
      </c>
      <c r="D231" t="s">
        <v>216</v>
      </c>
      <c r="E231">
        <v>1</v>
      </c>
      <c r="F231">
        <v>-0.1295</v>
      </c>
      <c r="G231">
        <v>0.2034</v>
      </c>
      <c r="I231" t="s">
        <v>37</v>
      </c>
      <c r="J231" s="65">
        <v>1.5842461862563659</v>
      </c>
      <c r="K231" s="65">
        <v>4.4438278368802804</v>
      </c>
      <c r="L231" s="65">
        <v>0.3565048522151032</v>
      </c>
    </row>
    <row r="232" spans="1:12" x14ac:dyDescent="0.3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3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35">
      <c r="B234" t="s">
        <v>211</v>
      </c>
      <c r="C234">
        <v>4</v>
      </c>
      <c r="D234" t="s">
        <v>216</v>
      </c>
      <c r="E234">
        <v>1</v>
      </c>
      <c r="F234">
        <v>0.183</v>
      </c>
      <c r="G234">
        <v>0.215</v>
      </c>
      <c r="I234" t="s">
        <v>212</v>
      </c>
      <c r="J234" s="65">
        <v>4.5673010915691981</v>
      </c>
      <c r="K234" s="65">
        <v>6.2696655529493164</v>
      </c>
      <c r="L234" s="65">
        <v>0.72847603321052612</v>
      </c>
    </row>
    <row r="235" spans="1:12" x14ac:dyDescent="0.35">
      <c r="B235" t="s">
        <v>212</v>
      </c>
      <c r="C235">
        <v>5</v>
      </c>
      <c r="D235" t="s">
        <v>216</v>
      </c>
      <c r="E235">
        <v>1</v>
      </c>
      <c r="F235">
        <v>0.43319999999999997</v>
      </c>
      <c r="G235">
        <v>0.307</v>
      </c>
      <c r="I235" t="s">
        <v>37</v>
      </c>
      <c r="J235" s="65">
        <v>1.1607883405032831</v>
      </c>
      <c r="K235" s="65">
        <v>4.1916956119114168</v>
      </c>
      <c r="L235" s="65">
        <v>0.27692572361521312</v>
      </c>
    </row>
    <row r="236" spans="1:12" x14ac:dyDescent="0.3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3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35">
      <c r="B238" t="s">
        <v>38</v>
      </c>
      <c r="C238">
        <v>6</v>
      </c>
      <c r="D238" t="s">
        <v>216</v>
      </c>
      <c r="E238">
        <v>2</v>
      </c>
      <c r="F238">
        <v>0.11609999999999999</v>
      </c>
      <c r="G238">
        <v>0.1875</v>
      </c>
      <c r="I238" t="s">
        <v>212</v>
      </c>
      <c r="J238" s="65">
        <v>10.99528104162324</v>
      </c>
      <c r="K238" s="65">
        <v>3.8798791877961039</v>
      </c>
      <c r="L238" s="65">
        <v>2.8339235603541861</v>
      </c>
    </row>
    <row r="239" spans="1:12" x14ac:dyDescent="0.35">
      <c r="B239" t="s">
        <v>211</v>
      </c>
      <c r="C239">
        <v>4</v>
      </c>
      <c r="D239" t="s">
        <v>216</v>
      </c>
      <c r="E239">
        <v>2</v>
      </c>
      <c r="F239">
        <v>0.52880000000000005</v>
      </c>
      <c r="G239">
        <v>0.1885</v>
      </c>
      <c r="I239" t="s">
        <v>37</v>
      </c>
      <c r="J239" s="65">
        <v>1.3938506841181251</v>
      </c>
      <c r="K239" s="65">
        <v>4.4835081139046222</v>
      </c>
      <c r="L239" s="65">
        <v>0.31088394371260342</v>
      </c>
    </row>
    <row r="240" spans="1:12" x14ac:dyDescent="0.35">
      <c r="B240" t="s">
        <v>212</v>
      </c>
      <c r="C240">
        <v>5</v>
      </c>
      <c r="D240" t="s">
        <v>216</v>
      </c>
      <c r="E240">
        <v>2</v>
      </c>
      <c r="F240">
        <v>1.2135</v>
      </c>
      <c r="G240">
        <v>0.22620000000000001</v>
      </c>
      <c r="I240" t="s">
        <v>38</v>
      </c>
      <c r="J240" s="65">
        <v>1.396960877242837</v>
      </c>
      <c r="K240" s="65">
        <v>4.514734113261162</v>
      </c>
      <c r="L240" s="65">
        <v>0.30942262427803507</v>
      </c>
    </row>
    <row r="241" spans="1:12" x14ac:dyDescent="0.35">
      <c r="B241" t="s">
        <v>210</v>
      </c>
      <c r="C241">
        <v>0</v>
      </c>
      <c r="D241" t="s">
        <v>218</v>
      </c>
      <c r="E241">
        <v>1</v>
      </c>
      <c r="F241">
        <v>-0.1411</v>
      </c>
      <c r="G241">
        <v>0.20330000000000001</v>
      </c>
      <c r="I241" t="s">
        <v>211</v>
      </c>
      <c r="J241" s="65">
        <v>3.1982685342211381</v>
      </c>
      <c r="K241" s="65">
        <v>6.7795573104180562</v>
      </c>
      <c r="L241" s="65">
        <v>0.47175182505005181</v>
      </c>
    </row>
    <row r="242" spans="1:12" x14ac:dyDescent="0.35">
      <c r="B242" t="s">
        <v>37</v>
      </c>
      <c r="C242">
        <v>6</v>
      </c>
      <c r="D242" t="s">
        <v>218</v>
      </c>
      <c r="E242">
        <v>1</v>
      </c>
      <c r="F242">
        <v>-5.45E-2</v>
      </c>
      <c r="G242">
        <v>0.2044</v>
      </c>
      <c r="I242" t="s">
        <v>212</v>
      </c>
      <c r="J242" s="65">
        <v>4.3893788765642316</v>
      </c>
      <c r="K242" s="65">
        <v>6.3227297392078068</v>
      </c>
      <c r="L242" s="65">
        <v>0.69422212519148252</v>
      </c>
    </row>
    <row r="243" spans="1:12" x14ac:dyDescent="0.3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35">
      <c r="B244" t="s">
        <v>211</v>
      </c>
      <c r="C244">
        <v>4</v>
      </c>
      <c r="D244" t="s">
        <v>218</v>
      </c>
      <c r="E244">
        <v>1</v>
      </c>
      <c r="F244">
        <v>0.16650000000000001</v>
      </c>
      <c r="G244">
        <v>0.2152</v>
      </c>
      <c r="I244" t="s">
        <v>38</v>
      </c>
      <c r="J244" s="65">
        <v>3.1368104442244031</v>
      </c>
      <c r="K244" s="65">
        <v>3.7829718025246679</v>
      </c>
      <c r="L244" s="65">
        <v>0.82919212935474906</v>
      </c>
    </row>
    <row r="245" spans="1:12" x14ac:dyDescent="0.3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3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35">
      <c r="B247" t="s">
        <v>37</v>
      </c>
      <c r="C247">
        <v>6</v>
      </c>
      <c r="D247" t="s">
        <v>218</v>
      </c>
      <c r="E247">
        <v>2</v>
      </c>
      <c r="F247">
        <v>-6.6900000000000001E-2</v>
      </c>
      <c r="G247">
        <v>0.18720000000000001</v>
      </c>
    </row>
    <row r="248" spans="1:12" x14ac:dyDescent="0.35">
      <c r="B248" t="s">
        <v>38</v>
      </c>
      <c r="C248">
        <v>6</v>
      </c>
      <c r="D248" t="s">
        <v>218</v>
      </c>
      <c r="E248">
        <v>2</v>
      </c>
      <c r="F248">
        <v>0.13669999999999999</v>
      </c>
      <c r="G248">
        <v>0.18740000000000001</v>
      </c>
    </row>
    <row r="249" spans="1:12" x14ac:dyDescent="0.35">
      <c r="B249" t="s">
        <v>211</v>
      </c>
      <c r="C249">
        <v>4</v>
      </c>
      <c r="D249" t="s">
        <v>218</v>
      </c>
      <c r="E249">
        <v>2</v>
      </c>
      <c r="F249">
        <v>0.55030000000000001</v>
      </c>
      <c r="G249">
        <v>0.1885</v>
      </c>
    </row>
    <row r="250" spans="1:12" x14ac:dyDescent="0.35">
      <c r="B250" t="s">
        <v>212</v>
      </c>
      <c r="C250">
        <v>5</v>
      </c>
      <c r="D250" t="s">
        <v>218</v>
      </c>
      <c r="E250">
        <v>2</v>
      </c>
      <c r="F250">
        <v>1.2347999999999999</v>
      </c>
      <c r="G250">
        <v>0.2263</v>
      </c>
    </row>
    <row r="253" spans="1:12" x14ac:dyDescent="0.35">
      <c r="A253" s="67" t="s">
        <v>224</v>
      </c>
    </row>
    <row r="254" spans="1:12" x14ac:dyDescent="0.35">
      <c r="C254" t="s">
        <v>225</v>
      </c>
    </row>
    <row r="256" spans="1:12" x14ac:dyDescent="0.35">
      <c r="D256" t="s">
        <v>227</v>
      </c>
      <c r="E256" t="s">
        <v>228</v>
      </c>
      <c r="F256" t="s">
        <v>229</v>
      </c>
      <c r="G256" t="s">
        <v>230</v>
      </c>
      <c r="H256" t="s">
        <v>231</v>
      </c>
      <c r="J256" t="s">
        <v>232</v>
      </c>
      <c r="K256" t="s">
        <v>233</v>
      </c>
    </row>
    <row r="257" spans="1:16" x14ac:dyDescent="0.35">
      <c r="C257" t="s">
        <v>226</v>
      </c>
      <c r="D257">
        <v>22.08</v>
      </c>
      <c r="E257">
        <v>21.7</v>
      </c>
      <c r="F257">
        <v>12.7</v>
      </c>
      <c r="G257">
        <v>15.3</v>
      </c>
      <c r="H257">
        <f>AVERAGE(D257:G257)/100</f>
        <v>0.17945</v>
      </c>
      <c r="J257">
        <v>0</v>
      </c>
      <c r="K257">
        <f>H257*J257</f>
        <v>0</v>
      </c>
    </row>
    <row r="258" spans="1:16" x14ac:dyDescent="0.35">
      <c r="C258" t="s">
        <v>37</v>
      </c>
      <c r="D258">
        <v>49.66</v>
      </c>
      <c r="E258">
        <v>52.1</v>
      </c>
      <c r="F258">
        <v>69.2</v>
      </c>
      <c r="G258">
        <v>67.2</v>
      </c>
      <c r="H258">
        <f>AVERAGE(D258:G258)/100</f>
        <v>0.59539999999999993</v>
      </c>
      <c r="J258">
        <v>7</v>
      </c>
      <c r="K258">
        <f t="shared" ref="K258:K260" si="2">H258*J258</f>
        <v>4.1677999999999997</v>
      </c>
    </row>
    <row r="259" spans="1:16" x14ac:dyDescent="0.35">
      <c r="C259" t="s">
        <v>38</v>
      </c>
      <c r="D259">
        <v>20.440000000000001</v>
      </c>
      <c r="E259">
        <v>22.4</v>
      </c>
      <c r="F259">
        <v>15.9</v>
      </c>
      <c r="G259">
        <v>16.61</v>
      </c>
      <c r="H259">
        <f>AVERAGE(D259:G259)/100</f>
        <v>0.18837499999999999</v>
      </c>
      <c r="J259">
        <v>12</v>
      </c>
      <c r="K259">
        <f t="shared" si="2"/>
        <v>2.2605</v>
      </c>
    </row>
    <row r="260" spans="1:16" x14ac:dyDescent="0.35">
      <c r="C260" t="s">
        <v>39</v>
      </c>
      <c r="D260">
        <v>7.82</v>
      </c>
      <c r="E260">
        <v>3.8</v>
      </c>
      <c r="F260">
        <v>2.2999999999999998</v>
      </c>
      <c r="G260">
        <v>0.88</v>
      </c>
      <c r="H260">
        <f>AVERAGE(D260:G260)/100</f>
        <v>3.7000000000000005E-2</v>
      </c>
      <c r="J260">
        <v>16</v>
      </c>
      <c r="K260">
        <f t="shared" si="2"/>
        <v>0.59200000000000008</v>
      </c>
    </row>
    <row r="261" spans="1:16" x14ac:dyDescent="0.35">
      <c r="H261" s="72">
        <f>SUM(H257:H260)</f>
        <v>1.0002249999999999</v>
      </c>
      <c r="J261" t="s">
        <v>234</v>
      </c>
      <c r="K261">
        <f>SUM(K257:K260)</f>
        <v>7.0203000000000007</v>
      </c>
    </row>
    <row r="264" spans="1:16" x14ac:dyDescent="0.35">
      <c r="A264" s="67" t="s">
        <v>235</v>
      </c>
    </row>
    <row r="266" spans="1:16" x14ac:dyDescent="0.35">
      <c r="C266" t="s">
        <v>236</v>
      </c>
    </row>
    <row r="268" spans="1:16" x14ac:dyDescent="0.35">
      <c r="C268" t="s">
        <v>243</v>
      </c>
      <c r="D268" t="s">
        <v>245</v>
      </c>
      <c r="E268" t="s">
        <v>193</v>
      </c>
      <c r="F268" t="s">
        <v>244</v>
      </c>
      <c r="G268" t="s">
        <v>138</v>
      </c>
      <c r="H268" s="64" t="s">
        <v>143</v>
      </c>
      <c r="J268" t="s">
        <v>144</v>
      </c>
      <c r="K268" t="s">
        <v>143</v>
      </c>
      <c r="L268" t="s">
        <v>145</v>
      </c>
    </row>
    <row r="269" spans="1:16" x14ac:dyDescent="0.35">
      <c r="B269" t="s">
        <v>237</v>
      </c>
      <c r="C269">
        <v>0</v>
      </c>
      <c r="D269">
        <v>0.7</v>
      </c>
      <c r="E269">
        <f>D269</f>
        <v>0.7</v>
      </c>
      <c r="F269" t="s">
        <v>140</v>
      </c>
      <c r="G269">
        <v>1.0999999999999999E-2</v>
      </c>
      <c r="H269">
        <v>0.03</v>
      </c>
      <c r="J269" s="65" t="s">
        <v>83</v>
      </c>
      <c r="K269" s="65" t="s">
        <v>83</v>
      </c>
      <c r="L269" s="65" t="s">
        <v>83</v>
      </c>
      <c r="N269" s="65" t="s">
        <v>219</v>
      </c>
    </row>
    <row r="270" spans="1:16" x14ac:dyDescent="0.3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3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3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3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3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3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3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3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3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3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3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3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3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35">
      <c r="N283" s="65">
        <v>3.1640378314807589</v>
      </c>
      <c r="O283" s="65">
        <v>0.20102111814396101</v>
      </c>
      <c r="P283" s="65">
        <v>15.7398280374445</v>
      </c>
    </row>
    <row r="284" spans="2:16" x14ac:dyDescent="0.35">
      <c r="C284" t="s">
        <v>246</v>
      </c>
      <c r="N284" s="65">
        <v>4.3648409248163267</v>
      </c>
      <c r="O284" s="65">
        <v>0.1361576528699496</v>
      </c>
      <c r="P284" s="65">
        <v>32.057257398417313</v>
      </c>
    </row>
    <row r="285" spans="2:16" x14ac:dyDescent="0.35">
      <c r="N285" s="65">
        <v>4.6836822714674931</v>
      </c>
      <c r="O285" s="65">
        <v>0.1511023127474993</v>
      </c>
      <c r="P285" s="65">
        <v>30.996760978067869</v>
      </c>
    </row>
    <row r="286" spans="2:16" x14ac:dyDescent="0.3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3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3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3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3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3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3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3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35">
      <c r="B294" t="s">
        <v>237</v>
      </c>
      <c r="C294">
        <v>0</v>
      </c>
      <c r="D294">
        <v>0.7</v>
      </c>
      <c r="E294">
        <f>D294</f>
        <v>0.7</v>
      </c>
      <c r="F294" t="s">
        <v>142</v>
      </c>
      <c r="G294">
        <v>0.33400000000000002</v>
      </c>
      <c r="H294">
        <v>0.13</v>
      </c>
      <c r="J294" s="65" t="s">
        <v>83</v>
      </c>
      <c r="K294" s="65" t="s">
        <v>83</v>
      </c>
      <c r="L294" s="65" t="s">
        <v>83</v>
      </c>
    </row>
    <row r="295" spans="1:16" x14ac:dyDescent="0.3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3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3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3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3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3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35">
      <c r="A303" s="67" t="s">
        <v>249</v>
      </c>
    </row>
    <row r="304" spans="1:16" x14ac:dyDescent="0.35">
      <c r="G304" t="s">
        <v>256</v>
      </c>
    </row>
    <row r="305" spans="1:12" x14ac:dyDescent="0.35">
      <c r="C305" t="s">
        <v>250</v>
      </c>
      <c r="D305" t="s">
        <v>251</v>
      </c>
      <c r="H305" t="s">
        <v>252</v>
      </c>
      <c r="I305" t="s">
        <v>253</v>
      </c>
      <c r="J305" t="s">
        <v>260</v>
      </c>
      <c r="K305" t="s">
        <v>259</v>
      </c>
    </row>
    <row r="306" spans="1:12" x14ac:dyDescent="0.35">
      <c r="C306" t="s">
        <v>254</v>
      </c>
      <c r="D306" t="s">
        <v>252</v>
      </c>
      <c r="E306">
        <v>9065</v>
      </c>
      <c r="G306" t="s">
        <v>174</v>
      </c>
      <c r="H306">
        <v>1</v>
      </c>
      <c r="I306">
        <v>1</v>
      </c>
      <c r="J306">
        <f>H306-H307</f>
        <v>0.10999999999999999</v>
      </c>
      <c r="K306">
        <f>I306-I307</f>
        <v>0.26</v>
      </c>
    </row>
    <row r="307" spans="1:12" x14ac:dyDescent="0.35">
      <c r="C307" t="s">
        <v>255</v>
      </c>
      <c r="D307" t="s">
        <v>252</v>
      </c>
      <c r="E307">
        <v>55135</v>
      </c>
      <c r="G307" t="s">
        <v>257</v>
      </c>
      <c r="H307">
        <v>0.89</v>
      </c>
      <c r="I307">
        <v>0.74</v>
      </c>
      <c r="J307">
        <f t="shared" ref="J307:J308" si="7">H307-H308</f>
        <v>0.52</v>
      </c>
      <c r="K307">
        <f t="shared" ref="K307:K308" si="8">I307-I308</f>
        <v>0.47</v>
      </c>
    </row>
    <row r="308" spans="1:12" x14ac:dyDescent="0.35">
      <c r="C308" t="s">
        <v>254</v>
      </c>
      <c r="D308" t="s">
        <v>253</v>
      </c>
      <c r="E308">
        <v>3135</v>
      </c>
      <c r="G308" t="s">
        <v>258</v>
      </c>
      <c r="H308">
        <v>0.37</v>
      </c>
      <c r="I308">
        <v>0.27</v>
      </c>
      <c r="J308">
        <f t="shared" si="7"/>
        <v>0.31</v>
      </c>
      <c r="K308">
        <f t="shared" si="8"/>
        <v>0.24700000000000003</v>
      </c>
    </row>
    <row r="309" spans="1:12" x14ac:dyDescent="0.35">
      <c r="C309" t="s">
        <v>255</v>
      </c>
      <c r="D309" t="s">
        <v>253</v>
      </c>
      <c r="E309">
        <v>24826</v>
      </c>
      <c r="G309" t="s">
        <v>176</v>
      </c>
      <c r="H309">
        <v>0.06</v>
      </c>
      <c r="I309">
        <v>2.3E-2</v>
      </c>
      <c r="J309">
        <f>H309-H310</f>
        <v>0.06</v>
      </c>
      <c r="K309">
        <f>I309-I310</f>
        <v>2.3E-2</v>
      </c>
    </row>
    <row r="310" spans="1:12" x14ac:dyDescent="0.35">
      <c r="J310">
        <f>SUM(J306:J309)</f>
        <v>1</v>
      </c>
      <c r="K310">
        <f>SUM(K306:K309)</f>
        <v>1</v>
      </c>
    </row>
    <row r="312" spans="1:12" x14ac:dyDescent="0.35">
      <c r="A312" s="67" t="s">
        <v>261</v>
      </c>
    </row>
    <row r="315" spans="1:12" x14ac:dyDescent="0.35">
      <c r="C315" s="68" t="s">
        <v>263</v>
      </c>
    </row>
    <row r="317" spans="1:12" x14ac:dyDescent="0.35">
      <c r="D317" t="s">
        <v>193</v>
      </c>
      <c r="E317" t="s">
        <v>36</v>
      </c>
      <c r="F317" t="s">
        <v>151</v>
      </c>
      <c r="G317" t="s">
        <v>138</v>
      </c>
      <c r="H317" s="64" t="s">
        <v>143</v>
      </c>
      <c r="J317" t="s">
        <v>144</v>
      </c>
      <c r="K317" t="s">
        <v>143</v>
      </c>
      <c r="L317" t="s">
        <v>145</v>
      </c>
    </row>
    <row r="318" spans="1:12" x14ac:dyDescent="0.35">
      <c r="C318" t="s">
        <v>37</v>
      </c>
      <c r="D318">
        <v>5</v>
      </c>
      <c r="E318" t="s">
        <v>6</v>
      </c>
      <c r="F318">
        <v>1988</v>
      </c>
      <c r="G318">
        <v>2.7E-2</v>
      </c>
      <c r="H318">
        <v>4.7E-2</v>
      </c>
      <c r="J318" s="65">
        <v>0.53426072862545748</v>
      </c>
      <c r="K318" s="65">
        <v>0.92017726470212213</v>
      </c>
      <c r="L318" s="65">
        <v>0.58060631263086815</v>
      </c>
    </row>
    <row r="319" spans="1:12" x14ac:dyDescent="0.35">
      <c r="C319" t="s">
        <v>38</v>
      </c>
      <c r="D319">
        <v>6</v>
      </c>
      <c r="E319" t="s">
        <v>6</v>
      </c>
      <c r="F319">
        <v>1988</v>
      </c>
      <c r="G319">
        <v>0.43</v>
      </c>
      <c r="H319">
        <v>0.10100000000000001</v>
      </c>
      <c r="J319" s="65">
        <v>5.8058332763509357</v>
      </c>
      <c r="K319" s="65">
        <v>1.4001887411061369</v>
      </c>
      <c r="L319" s="65">
        <v>4.1464647628607407</v>
      </c>
    </row>
    <row r="320" spans="1:12" x14ac:dyDescent="0.35">
      <c r="C320" t="s">
        <v>211</v>
      </c>
      <c r="D320">
        <v>5</v>
      </c>
      <c r="E320" t="s">
        <v>6</v>
      </c>
      <c r="F320">
        <v>1988</v>
      </c>
      <c r="G320">
        <v>0.63400000000000001</v>
      </c>
      <c r="H320">
        <v>4.2000000000000003E-2</v>
      </c>
      <c r="J320" s="65">
        <v>3.782779413590132</v>
      </c>
      <c r="K320" s="65">
        <v>1.8857545210574489</v>
      </c>
      <c r="L320" s="65">
        <v>2.005976584624023</v>
      </c>
    </row>
    <row r="321" spans="3:12" x14ac:dyDescent="0.35">
      <c r="C321" t="s">
        <v>37</v>
      </c>
      <c r="D321">
        <v>5</v>
      </c>
      <c r="E321" t="s">
        <v>6</v>
      </c>
      <c r="F321">
        <v>1998</v>
      </c>
      <c r="G321">
        <v>0.153</v>
      </c>
      <c r="H321">
        <v>0.04</v>
      </c>
      <c r="J321" s="65">
        <v>2.8882691843426622</v>
      </c>
      <c r="K321" s="65">
        <v>0.71388217994340097</v>
      </c>
      <c r="L321" s="65">
        <v>4.0458625603620666</v>
      </c>
    </row>
    <row r="322" spans="3:12" x14ac:dyDescent="0.35">
      <c r="C322" t="s">
        <v>38</v>
      </c>
      <c r="D322">
        <v>6</v>
      </c>
      <c r="E322" t="s">
        <v>6</v>
      </c>
      <c r="F322">
        <v>1998</v>
      </c>
      <c r="G322">
        <v>0.501</v>
      </c>
      <c r="H322">
        <v>9.8000000000000004E-2</v>
      </c>
      <c r="J322" s="65">
        <v>5.1029684358929073</v>
      </c>
      <c r="K322" s="65">
        <v>1.3754993500905861</v>
      </c>
      <c r="L322" s="65">
        <v>3.7099024696426368</v>
      </c>
    </row>
    <row r="323" spans="3:12" x14ac:dyDescent="0.35">
      <c r="C323" t="s">
        <v>211</v>
      </c>
      <c r="D323">
        <v>5</v>
      </c>
      <c r="E323" t="s">
        <v>6</v>
      </c>
      <c r="F323">
        <v>1998</v>
      </c>
      <c r="G323">
        <v>0.64</v>
      </c>
      <c r="H323">
        <v>3.9E-2</v>
      </c>
      <c r="J323" s="65">
        <v>2.637187966687971</v>
      </c>
      <c r="K323" s="65">
        <v>1.9009076839990171</v>
      </c>
      <c r="L323" s="65">
        <v>1.3873308992786071</v>
      </c>
    </row>
    <row r="324" spans="3:12" x14ac:dyDescent="0.35">
      <c r="C324" t="s">
        <v>37</v>
      </c>
      <c r="D324">
        <v>5</v>
      </c>
      <c r="E324" t="s">
        <v>6</v>
      </c>
      <c r="F324">
        <v>2006</v>
      </c>
      <c r="G324">
        <v>7.0000000000000007E-2</v>
      </c>
      <c r="H324">
        <v>4.1000000000000002E-2</v>
      </c>
      <c r="J324" s="65">
        <v>1.362369791050599</v>
      </c>
      <c r="K324" s="65">
        <v>0.77679573110898581</v>
      </c>
      <c r="L324" s="65">
        <v>1.7538327471311199</v>
      </c>
    </row>
    <row r="325" spans="3:12" x14ac:dyDescent="0.35">
      <c r="C325" t="s">
        <v>38</v>
      </c>
      <c r="D325">
        <v>6</v>
      </c>
      <c r="E325" t="s">
        <v>6</v>
      </c>
      <c r="F325">
        <v>2006</v>
      </c>
      <c r="G325">
        <v>0.38</v>
      </c>
      <c r="H325">
        <v>0.127</v>
      </c>
      <c r="J325" s="65">
        <v>4.6032590966232689</v>
      </c>
      <c r="K325" s="65">
        <v>1.776047716442867</v>
      </c>
      <c r="L325" s="65">
        <v>2.5918555306852031</v>
      </c>
    </row>
    <row r="326" spans="3:12" x14ac:dyDescent="0.35">
      <c r="C326" t="s">
        <v>211</v>
      </c>
      <c r="D326">
        <v>5</v>
      </c>
      <c r="E326" t="s">
        <v>6</v>
      </c>
      <c r="F326">
        <v>2006</v>
      </c>
      <c r="G326">
        <v>0.72299999999999998</v>
      </c>
      <c r="H326">
        <v>3.9E-2</v>
      </c>
      <c r="J326" s="65">
        <v>6.0755280859349448</v>
      </c>
      <c r="K326" s="65">
        <v>2.098657368067578</v>
      </c>
      <c r="L326" s="65">
        <v>2.8949595004777868</v>
      </c>
    </row>
    <row r="327" spans="3:12" x14ac:dyDescent="0.35">
      <c r="C327" t="s">
        <v>37</v>
      </c>
      <c r="D327">
        <v>5</v>
      </c>
      <c r="E327" t="s">
        <v>15</v>
      </c>
      <c r="F327">
        <v>1987</v>
      </c>
      <c r="G327">
        <v>0.107</v>
      </c>
      <c r="H327">
        <v>6.0999999999999999E-2</v>
      </c>
      <c r="J327" s="65">
        <v>2.0538807778703432</v>
      </c>
      <c r="K327" s="65">
        <v>1.1247130492231421</v>
      </c>
      <c r="L327" s="65">
        <v>1.826137590640557</v>
      </c>
    </row>
    <row r="328" spans="3:12" x14ac:dyDescent="0.35">
      <c r="C328" t="s">
        <v>38</v>
      </c>
      <c r="D328">
        <v>6</v>
      </c>
      <c r="E328" t="s">
        <v>15</v>
      </c>
      <c r="F328">
        <v>1987</v>
      </c>
      <c r="G328">
        <v>0.68200000000000005</v>
      </c>
      <c r="H328">
        <v>8.2000000000000003E-2</v>
      </c>
      <c r="J328" s="65">
        <v>7.8648870451029076</v>
      </c>
      <c r="K328" s="65">
        <v>1.1665477132317481</v>
      </c>
      <c r="L328" s="65">
        <v>6.7420191698069534</v>
      </c>
    </row>
    <row r="329" spans="3:12" x14ac:dyDescent="0.35">
      <c r="C329" t="s">
        <v>211</v>
      </c>
      <c r="D329">
        <v>5</v>
      </c>
      <c r="E329" t="s">
        <v>15</v>
      </c>
      <c r="F329">
        <v>1987</v>
      </c>
      <c r="G329">
        <v>1.274</v>
      </c>
      <c r="H329">
        <v>0.13200000000000001</v>
      </c>
      <c r="J329" s="65">
        <v>9.745977902720405</v>
      </c>
      <c r="K329" s="65">
        <v>2.1424768034975972</v>
      </c>
      <c r="L329" s="65">
        <v>4.5489304186678146</v>
      </c>
    </row>
    <row r="330" spans="3:12" x14ac:dyDescent="0.35">
      <c r="C330" t="s">
        <v>37</v>
      </c>
      <c r="D330">
        <v>5</v>
      </c>
      <c r="E330" t="s">
        <v>15</v>
      </c>
      <c r="F330">
        <v>2001</v>
      </c>
      <c r="G330">
        <v>0.253</v>
      </c>
      <c r="H330">
        <v>5.8000000000000003E-2</v>
      </c>
      <c r="J330" s="65">
        <v>4.6140978438483859</v>
      </c>
      <c r="K330" s="65">
        <v>0.96849444133171692</v>
      </c>
      <c r="L330" s="65">
        <v>4.7641965167129143</v>
      </c>
    </row>
    <row r="331" spans="3:12" x14ac:dyDescent="0.35">
      <c r="C331" t="s">
        <v>38</v>
      </c>
      <c r="D331">
        <v>6</v>
      </c>
      <c r="E331" t="s">
        <v>15</v>
      </c>
      <c r="F331">
        <v>2001</v>
      </c>
      <c r="G331">
        <v>0.71</v>
      </c>
      <c r="H331">
        <v>6.5000000000000002E-2</v>
      </c>
      <c r="J331" s="65">
        <v>6.4739236902311426</v>
      </c>
      <c r="K331" s="65">
        <v>1.0610228402200219</v>
      </c>
      <c r="L331" s="65">
        <v>6.1015874916402906</v>
      </c>
    </row>
    <row r="332" spans="3:12" x14ac:dyDescent="0.35">
      <c r="C332" t="s">
        <v>211</v>
      </c>
      <c r="D332">
        <v>5</v>
      </c>
      <c r="E332" t="s">
        <v>15</v>
      </c>
      <c r="F332">
        <v>2001</v>
      </c>
      <c r="G332">
        <v>1.2130000000000001</v>
      </c>
      <c r="H332">
        <v>0.13200000000000001</v>
      </c>
      <c r="J332" s="65">
        <v>8.490521329106592</v>
      </c>
      <c r="K332" s="65">
        <v>2.1241331238946599</v>
      </c>
      <c r="L332" s="65">
        <v>3.9971700613278771</v>
      </c>
    </row>
    <row r="333" spans="3:12" x14ac:dyDescent="0.35">
      <c r="C333" t="s">
        <v>37</v>
      </c>
      <c r="D333">
        <v>5</v>
      </c>
      <c r="E333" t="s">
        <v>15</v>
      </c>
      <c r="F333">
        <v>2006</v>
      </c>
      <c r="G333">
        <v>0.157</v>
      </c>
      <c r="H333">
        <v>2.8000000000000001E-2</v>
      </c>
      <c r="J333" s="65">
        <v>2.9595585437330869</v>
      </c>
      <c r="K333" s="65">
        <v>0.49833494195756728</v>
      </c>
      <c r="L333" s="65">
        <v>5.938894294883883</v>
      </c>
    </row>
    <row r="334" spans="3:12" x14ac:dyDescent="0.35">
      <c r="C334" t="s">
        <v>38</v>
      </c>
      <c r="D334">
        <v>6</v>
      </c>
      <c r="E334" t="s">
        <v>15</v>
      </c>
      <c r="F334">
        <v>2006</v>
      </c>
      <c r="G334">
        <v>0.57299999999999995</v>
      </c>
      <c r="H334">
        <v>3.2000000000000001E-2</v>
      </c>
      <c r="J334" s="65">
        <v>5.9686029727814338</v>
      </c>
      <c r="K334" s="65">
        <v>0.53034920017535458</v>
      </c>
      <c r="L334" s="65">
        <v>11.25410007370234</v>
      </c>
    </row>
    <row r="335" spans="3:12" x14ac:dyDescent="0.35">
      <c r="C335" t="s">
        <v>211</v>
      </c>
      <c r="D335">
        <v>5</v>
      </c>
      <c r="E335" t="s">
        <v>15</v>
      </c>
      <c r="F335">
        <v>2006</v>
      </c>
      <c r="G335">
        <v>1.0880000000000001</v>
      </c>
      <c r="H335">
        <v>3.5999999999999997E-2</v>
      </c>
      <c r="J335" s="65">
        <v>8.6632090658934189</v>
      </c>
      <c r="K335" s="65">
        <v>0.69094564182285734</v>
      </c>
      <c r="L335" s="65">
        <v>12.538191923518159</v>
      </c>
    </row>
    <row r="338" spans="2:19" x14ac:dyDescent="0.35">
      <c r="B338" s="68" t="s">
        <v>276</v>
      </c>
    </row>
    <row r="340" spans="2:19" x14ac:dyDescent="0.35">
      <c r="B340" s="22"/>
      <c r="C340" s="76" t="s">
        <v>277</v>
      </c>
      <c r="D340" t="s">
        <v>6</v>
      </c>
      <c r="E340" t="s">
        <v>6</v>
      </c>
      <c r="F340" t="s">
        <v>6</v>
      </c>
      <c r="G340" t="s">
        <v>15</v>
      </c>
      <c r="H340" t="s">
        <v>15</v>
      </c>
      <c r="I340" t="s">
        <v>15</v>
      </c>
      <c r="J340" t="s">
        <v>29</v>
      </c>
      <c r="K340" t="s">
        <v>29</v>
      </c>
      <c r="L340" t="s">
        <v>29</v>
      </c>
      <c r="N340" t="s">
        <v>281</v>
      </c>
    </row>
    <row r="341" spans="2:19" x14ac:dyDescent="0.3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3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3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3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3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3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3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3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3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3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3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3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3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 thickBot="1" x14ac:dyDescent="0.4">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35">
      <c r="B355" s="22" t="s">
        <v>155</v>
      </c>
      <c r="C355" s="76" t="s">
        <v>283</v>
      </c>
      <c r="D355">
        <v>63.23</v>
      </c>
      <c r="E355">
        <v>55.19</v>
      </c>
      <c r="F355">
        <v>43.89</v>
      </c>
      <c r="G355">
        <v>66.709999999999994</v>
      </c>
      <c r="H355">
        <v>49</v>
      </c>
      <c r="I355">
        <v>35.07</v>
      </c>
      <c r="J355">
        <v>22.37</v>
      </c>
      <c r="K355">
        <v>19.43</v>
      </c>
      <c r="L355">
        <v>27.93</v>
      </c>
    </row>
    <row r="356" spans="2:21" x14ac:dyDescent="0.3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35">
      <c r="B357" s="22"/>
      <c r="C357" s="76"/>
    </row>
    <row r="359" spans="2:21" x14ac:dyDescent="0.35">
      <c r="B359" s="68" t="s">
        <v>291</v>
      </c>
    </row>
    <row r="361" spans="2:21" x14ac:dyDescent="0.35">
      <c r="B361" t="s">
        <v>290</v>
      </c>
      <c r="D361">
        <v>1988</v>
      </c>
      <c r="I361">
        <v>1998</v>
      </c>
      <c r="N361">
        <v>2006</v>
      </c>
    </row>
    <row r="362" spans="2:21" x14ac:dyDescent="0.3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3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3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3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3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3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3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3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3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3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35">
      <c r="B372" t="s">
        <v>292</v>
      </c>
      <c r="T372">
        <v>0.43074865236748022</v>
      </c>
      <c r="U372">
        <v>0.56925134763251983</v>
      </c>
    </row>
    <row r="373" spans="2:21" x14ac:dyDescent="0.35">
      <c r="D373">
        <v>1987</v>
      </c>
      <c r="I373">
        <v>2001</v>
      </c>
      <c r="N373">
        <v>2006</v>
      </c>
      <c r="T373">
        <v>0.4185962674287485</v>
      </c>
      <c r="U373">
        <v>0.58140373257125155</v>
      </c>
    </row>
    <row r="374" spans="2:21" x14ac:dyDescent="0.3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3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3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3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3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3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3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3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3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3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35">
      <c r="B385" t="s">
        <v>293</v>
      </c>
      <c r="D385">
        <v>1988</v>
      </c>
      <c r="I385">
        <v>1994</v>
      </c>
      <c r="N385">
        <v>2002</v>
      </c>
    </row>
    <row r="386" spans="1:18" x14ac:dyDescent="0.3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3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3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3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3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3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3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3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3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35">
      <c r="A397" s="67" t="s">
        <v>306</v>
      </c>
    </row>
    <row r="398" spans="1:18" x14ac:dyDescent="0.35">
      <c r="D398" t="s">
        <v>193</v>
      </c>
      <c r="E398" t="s">
        <v>301</v>
      </c>
      <c r="F398" t="s">
        <v>138</v>
      </c>
      <c r="G398" s="64" t="s">
        <v>143</v>
      </c>
      <c r="I398" t="s">
        <v>144</v>
      </c>
      <c r="J398" t="s">
        <v>143</v>
      </c>
      <c r="K398" t="s">
        <v>145</v>
      </c>
    </row>
    <row r="399" spans="1:18" x14ac:dyDescent="0.35">
      <c r="C399" t="s">
        <v>241</v>
      </c>
      <c r="D399">
        <v>4</v>
      </c>
      <c r="E399" t="s">
        <v>302</v>
      </c>
      <c r="F399">
        <v>0.36</v>
      </c>
      <c r="G399">
        <v>8.9999999999999993E-3</v>
      </c>
      <c r="I399" s="65">
        <v>7.9902948865804291</v>
      </c>
      <c r="J399" s="65">
        <v>0.17866041433441621</v>
      </c>
      <c r="K399" s="65">
        <v>44.723364805503103</v>
      </c>
    </row>
    <row r="400" spans="1:18" x14ac:dyDescent="0.35">
      <c r="C400" t="s">
        <v>300</v>
      </c>
      <c r="D400">
        <v>2</v>
      </c>
      <c r="E400" t="s">
        <v>302</v>
      </c>
      <c r="F400">
        <v>0.68</v>
      </c>
      <c r="G400">
        <v>1.2999999999999999E-2</v>
      </c>
      <c r="I400" s="65">
        <v>14.89125293076059</v>
      </c>
      <c r="J400" s="65">
        <v>0.68810235320397528</v>
      </c>
      <c r="K400" s="65">
        <v>21.641043460210859</v>
      </c>
    </row>
    <row r="401" spans="3:11" x14ac:dyDescent="0.35">
      <c r="C401" t="s">
        <v>241</v>
      </c>
      <c r="D401" s="81">
        <v>4</v>
      </c>
      <c r="E401" s="81" t="s">
        <v>302</v>
      </c>
      <c r="F401">
        <v>0.37</v>
      </c>
      <c r="G401">
        <v>6.0000000000000001E-3</v>
      </c>
      <c r="I401" s="65">
        <v>8.1882614275672125</v>
      </c>
      <c r="J401" s="65">
        <v>0.11845430083310279</v>
      </c>
      <c r="K401" s="65">
        <v>69.125910751895248</v>
      </c>
    </row>
    <row r="402" spans="3:11" x14ac:dyDescent="0.35">
      <c r="C402" t="s">
        <v>300</v>
      </c>
      <c r="D402" s="81">
        <v>2</v>
      </c>
      <c r="E402" s="81" t="s">
        <v>302</v>
      </c>
      <c r="F402">
        <v>0.69</v>
      </c>
      <c r="G402">
        <v>8.9999999999999993E-3</v>
      </c>
      <c r="I402" s="65">
        <v>14.891252930760571</v>
      </c>
      <c r="J402" s="65">
        <v>0.4707344358456359</v>
      </c>
      <c r="K402" s="65">
        <v>31.63408452158307</v>
      </c>
    </row>
    <row r="403" spans="3:11" x14ac:dyDescent="0.35">
      <c r="C403" t="s">
        <v>241</v>
      </c>
      <c r="D403">
        <v>4</v>
      </c>
      <c r="E403" t="s">
        <v>302</v>
      </c>
      <c r="F403">
        <v>0.36</v>
      </c>
      <c r="G403">
        <v>6.0000000000000001E-3</v>
      </c>
      <c r="I403" s="65">
        <v>7.9902948865804291</v>
      </c>
      <c r="J403" s="65">
        <v>0.1191069428896108</v>
      </c>
      <c r="K403" s="65">
        <v>67.085047208254636</v>
      </c>
    </row>
    <row r="404" spans="3:11" x14ac:dyDescent="0.35">
      <c r="C404" t="s">
        <v>300</v>
      </c>
      <c r="D404">
        <v>2</v>
      </c>
      <c r="E404" t="s">
        <v>302</v>
      </c>
      <c r="F404">
        <v>0.68</v>
      </c>
      <c r="G404">
        <v>8.9999999999999993E-3</v>
      </c>
      <c r="I404" s="65">
        <v>14.89125293076059</v>
      </c>
      <c r="J404" s="65">
        <v>0.47073443584563579</v>
      </c>
      <c r="K404" s="65">
        <v>31.634084521583119</v>
      </c>
    </row>
    <row r="405" spans="3:11" x14ac:dyDescent="0.35">
      <c r="C405" t="s">
        <v>241</v>
      </c>
      <c r="D405" s="81">
        <v>4</v>
      </c>
      <c r="E405" s="81" t="s">
        <v>302</v>
      </c>
      <c r="F405">
        <v>0.36</v>
      </c>
      <c r="G405">
        <v>6.0000000000000001E-3</v>
      </c>
      <c r="I405" s="65">
        <v>7.9902948865804291</v>
      </c>
      <c r="J405" s="65">
        <v>0.1191069428896108</v>
      </c>
      <c r="K405" s="65">
        <v>67.085047208254636</v>
      </c>
    </row>
    <row r="406" spans="3:11" x14ac:dyDescent="0.35">
      <c r="C406" t="s">
        <v>300</v>
      </c>
      <c r="D406" s="81">
        <v>2</v>
      </c>
      <c r="E406" s="81" t="s">
        <v>302</v>
      </c>
      <c r="F406">
        <v>0.67</v>
      </c>
      <c r="G406">
        <v>8.9999999999999993E-3</v>
      </c>
      <c r="I406" s="65">
        <v>14.45523142259597</v>
      </c>
      <c r="J406" s="65">
        <v>0.47252771638084001</v>
      </c>
      <c r="K406" s="65">
        <v>30.591287921290071</v>
      </c>
    </row>
    <row r="407" spans="3:11" x14ac:dyDescent="0.35">
      <c r="C407" t="s">
        <v>241</v>
      </c>
      <c r="D407">
        <v>4</v>
      </c>
      <c r="E407" s="81" t="s">
        <v>303</v>
      </c>
      <c r="F407">
        <v>0.39</v>
      </c>
      <c r="G407">
        <v>1.4E-2</v>
      </c>
      <c r="I407" s="65">
        <v>8.5809657470018905</v>
      </c>
      <c r="J407" s="65">
        <v>0.27340530943489683</v>
      </c>
      <c r="K407" s="65">
        <v>31.3855124640335</v>
      </c>
    </row>
    <row r="408" spans="3:11" x14ac:dyDescent="0.35">
      <c r="C408" t="s">
        <v>300</v>
      </c>
      <c r="D408">
        <v>2</v>
      </c>
      <c r="E408" s="81" t="s">
        <v>303</v>
      </c>
      <c r="F408">
        <v>0.7</v>
      </c>
      <c r="G408">
        <v>1.7000000000000001E-2</v>
      </c>
      <c r="I408" s="65">
        <v>14.45523142259597</v>
      </c>
      <c r="J408" s="65">
        <v>0.9620667955417489</v>
      </c>
      <c r="K408" s="65">
        <v>15.02518483080595</v>
      </c>
    </row>
    <row r="409" spans="3:11" x14ac:dyDescent="0.35">
      <c r="C409" t="s">
        <v>241</v>
      </c>
      <c r="D409" s="81">
        <v>4</v>
      </c>
      <c r="E409" s="81" t="s">
        <v>303</v>
      </c>
      <c r="F409">
        <v>0.34</v>
      </c>
      <c r="G409">
        <v>5.1999999999999998E-2</v>
      </c>
      <c r="I409" s="65">
        <v>7.59106330355801</v>
      </c>
      <c r="J409" s="65">
        <v>1.043793897721085</v>
      </c>
      <c r="K409" s="65">
        <v>7.2725691538641639</v>
      </c>
    </row>
    <row r="410" spans="3:11" x14ac:dyDescent="0.35">
      <c r="C410" t="s">
        <v>300</v>
      </c>
      <c r="D410" s="81">
        <v>2</v>
      </c>
      <c r="E410" s="81" t="s">
        <v>303</v>
      </c>
      <c r="F410">
        <v>0.68</v>
      </c>
      <c r="G410">
        <v>3.7999999999999999E-2</v>
      </c>
      <c r="I410" s="65">
        <v>15.75836902790226</v>
      </c>
      <c r="J410" s="65">
        <v>2.781870947788422</v>
      </c>
      <c r="K410" s="65">
        <v>5.6646657316832449</v>
      </c>
    </row>
    <row r="411" spans="3:11" x14ac:dyDescent="0.35">
      <c r="C411" t="s">
        <v>241</v>
      </c>
      <c r="D411">
        <v>4</v>
      </c>
      <c r="E411" s="81" t="s">
        <v>304</v>
      </c>
      <c r="F411">
        <v>0.36</v>
      </c>
      <c r="G411">
        <v>8.9999999999999993E-3</v>
      </c>
      <c r="I411" s="65">
        <v>7.9902948865804291</v>
      </c>
      <c r="J411" s="65">
        <v>0.17866041433441621</v>
      </c>
      <c r="K411" s="65">
        <v>44.723364805503103</v>
      </c>
    </row>
    <row r="412" spans="3:11" x14ac:dyDescent="0.35">
      <c r="C412" t="s">
        <v>300</v>
      </c>
      <c r="D412">
        <v>2</v>
      </c>
      <c r="E412" s="81" t="s">
        <v>304</v>
      </c>
      <c r="F412">
        <v>0.68</v>
      </c>
      <c r="G412">
        <v>1.2999999999999999E-2</v>
      </c>
      <c r="I412" s="65">
        <v>14.89125293076059</v>
      </c>
      <c r="J412" s="65">
        <v>0.68810235320397528</v>
      </c>
      <c r="K412" s="65">
        <v>21.641043460210859</v>
      </c>
    </row>
    <row r="413" spans="3:11" x14ac:dyDescent="0.35">
      <c r="C413" t="s">
        <v>241</v>
      </c>
      <c r="D413" s="81">
        <v>4</v>
      </c>
      <c r="E413" s="81" t="s">
        <v>305</v>
      </c>
      <c r="F413">
        <v>0.37</v>
      </c>
      <c r="G413">
        <v>8.0000000000000002E-3</v>
      </c>
      <c r="I413" s="65">
        <v>8.1882614275672125</v>
      </c>
      <c r="J413" s="65">
        <v>0.15793906777747041</v>
      </c>
      <c r="K413" s="65">
        <v>51.844433063921443</v>
      </c>
    </row>
    <row r="414" spans="3:11" x14ac:dyDescent="0.35">
      <c r="C414" t="s">
        <v>300</v>
      </c>
      <c r="D414" s="81">
        <v>2</v>
      </c>
      <c r="E414" s="81" t="s">
        <v>305</v>
      </c>
      <c r="F414">
        <v>0.69</v>
      </c>
      <c r="G414">
        <v>1.2E-2</v>
      </c>
      <c r="I414" s="65">
        <v>14.891252930760571</v>
      </c>
      <c r="J414" s="65">
        <v>0.62764591446084783</v>
      </c>
      <c r="K414" s="65">
        <v>23.725563391187301</v>
      </c>
    </row>
    <row r="417" spans="1:20" x14ac:dyDescent="0.35">
      <c r="A417" s="67" t="s">
        <v>320</v>
      </c>
    </row>
    <row r="418" spans="1:20" x14ac:dyDescent="0.35">
      <c r="A418" s="68"/>
      <c r="C418" s="68" t="s">
        <v>321</v>
      </c>
    </row>
    <row r="419" spans="1:20" x14ac:dyDescent="0.35">
      <c r="D419" t="s">
        <v>193</v>
      </c>
      <c r="E419" t="s">
        <v>322</v>
      </c>
    </row>
    <row r="420" spans="1:20" x14ac:dyDescent="0.35">
      <c r="C420" t="s">
        <v>323</v>
      </c>
      <c r="D420">
        <v>0</v>
      </c>
      <c r="E420">
        <v>0</v>
      </c>
    </row>
    <row r="421" spans="1:20" x14ac:dyDescent="0.35">
      <c r="C421" s="81" t="s">
        <v>162</v>
      </c>
      <c r="D421">
        <v>6</v>
      </c>
      <c r="E421">
        <v>6</v>
      </c>
    </row>
    <row r="422" spans="1:20" x14ac:dyDescent="0.35">
      <c r="C422" t="s">
        <v>324</v>
      </c>
      <c r="D422">
        <v>3</v>
      </c>
      <c r="E422">
        <v>9</v>
      </c>
      <c r="R422" s="62"/>
      <c r="S422" s="62"/>
      <c r="T422" s="62"/>
    </row>
    <row r="423" spans="1:20" x14ac:dyDescent="0.35">
      <c r="C423" t="s">
        <v>325</v>
      </c>
      <c r="D423">
        <v>3</v>
      </c>
      <c r="E423">
        <v>12</v>
      </c>
      <c r="R423" s="62"/>
      <c r="S423" s="62"/>
      <c r="T423" s="62"/>
    </row>
    <row r="424" spans="1:20" x14ac:dyDescent="0.35">
      <c r="C424" t="s">
        <v>326</v>
      </c>
      <c r="D424">
        <v>3</v>
      </c>
      <c r="E424">
        <v>12</v>
      </c>
      <c r="R424" s="62"/>
      <c r="S424" s="62"/>
      <c r="T424" s="62"/>
    </row>
    <row r="425" spans="1:20" x14ac:dyDescent="0.35">
      <c r="C425" t="s">
        <v>327</v>
      </c>
      <c r="D425">
        <v>2</v>
      </c>
      <c r="E425">
        <v>14</v>
      </c>
      <c r="R425" s="62"/>
      <c r="S425" s="62"/>
      <c r="T425" s="62"/>
    </row>
    <row r="426" spans="1:20" x14ac:dyDescent="0.35">
      <c r="C426" t="s">
        <v>328</v>
      </c>
      <c r="D426">
        <v>4</v>
      </c>
      <c r="E426">
        <v>16</v>
      </c>
      <c r="R426" s="62"/>
      <c r="S426" s="62"/>
      <c r="T426" s="62"/>
    </row>
    <row r="427" spans="1:20" x14ac:dyDescent="0.35">
      <c r="C427" t="s">
        <v>329</v>
      </c>
      <c r="D427">
        <v>4</v>
      </c>
      <c r="E427">
        <v>16</v>
      </c>
      <c r="R427" s="62"/>
      <c r="S427" s="62"/>
      <c r="T427" s="62"/>
    </row>
    <row r="428" spans="1:20" x14ac:dyDescent="0.35">
      <c r="R428" s="62"/>
      <c r="S428" s="62"/>
      <c r="T428" s="62"/>
    </row>
    <row r="429" spans="1:20" x14ac:dyDescent="0.35">
      <c r="D429" t="s">
        <v>193</v>
      </c>
      <c r="E429" t="s">
        <v>322</v>
      </c>
      <c r="F429" t="s">
        <v>333</v>
      </c>
      <c r="G429" t="s">
        <v>138</v>
      </c>
      <c r="H429" t="s">
        <v>143</v>
      </c>
      <c r="J429" t="s">
        <v>144</v>
      </c>
      <c r="K429" t="s">
        <v>143</v>
      </c>
      <c r="L429" t="s">
        <v>145</v>
      </c>
    </row>
    <row r="430" spans="1:20" x14ac:dyDescent="0.3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35">
      <c r="C431" s="73" t="s">
        <v>330</v>
      </c>
      <c r="D431">
        <v>3</v>
      </c>
      <c r="E431">
        <v>9</v>
      </c>
      <c r="F431" s="62" t="s">
        <v>171</v>
      </c>
      <c r="G431">
        <v>7.1999999999999995E-2</v>
      </c>
      <c r="H431">
        <v>0.03</v>
      </c>
      <c r="J431" s="65">
        <v>1.2184273858862</v>
      </c>
      <c r="K431" s="65">
        <v>1.31316747221383</v>
      </c>
      <c r="L431" s="65">
        <v>0.92785376706909273</v>
      </c>
    </row>
    <row r="432" spans="1:20" x14ac:dyDescent="0.35">
      <c r="B432" s="68"/>
      <c r="C432" s="73" t="s">
        <v>331</v>
      </c>
      <c r="D432">
        <v>3</v>
      </c>
      <c r="E432">
        <v>12</v>
      </c>
      <c r="F432" s="62" t="s">
        <v>171</v>
      </c>
      <c r="G432">
        <v>0.217</v>
      </c>
      <c r="H432">
        <v>2.1000000000000001E-2</v>
      </c>
      <c r="J432" s="65">
        <v>4.6168956617874226</v>
      </c>
      <c r="K432" s="65">
        <v>1.1152942840532909</v>
      </c>
      <c r="L432" s="65">
        <v>4.1396210200309964</v>
      </c>
    </row>
    <row r="433" spans="1:20" x14ac:dyDescent="0.3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35">
      <c r="C434" s="73" t="s">
        <v>39</v>
      </c>
      <c r="D434">
        <v>4</v>
      </c>
      <c r="E434">
        <v>16</v>
      </c>
      <c r="F434" s="62" t="s">
        <v>171</v>
      </c>
      <c r="G434">
        <v>0.56499999999999995</v>
      </c>
      <c r="H434">
        <v>2.4E-2</v>
      </c>
      <c r="J434" s="65">
        <v>7.36957776560212</v>
      </c>
      <c r="K434" s="65">
        <v>1.030069312649682</v>
      </c>
      <c r="L434" s="65">
        <v>7.1544484192477391</v>
      </c>
    </row>
    <row r="435" spans="1:20" x14ac:dyDescent="0.3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3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35">
      <c r="C437" s="73" t="s">
        <v>331</v>
      </c>
      <c r="D437">
        <v>3</v>
      </c>
      <c r="E437">
        <v>12</v>
      </c>
      <c r="F437" s="62" t="s">
        <v>334</v>
      </c>
      <c r="G437">
        <v>0.10199999999999999</v>
      </c>
      <c r="H437">
        <v>5.5E-2</v>
      </c>
      <c r="J437" s="65">
        <v>2.376412617299128</v>
      </c>
      <c r="K437" s="65">
        <v>2.8063131436241009</v>
      </c>
      <c r="L437" s="65">
        <v>0.84680949547569218</v>
      </c>
    </row>
    <row r="438" spans="1:20" x14ac:dyDescent="0.35">
      <c r="C438" s="73" t="s">
        <v>332</v>
      </c>
      <c r="D438">
        <v>3</v>
      </c>
      <c r="E438">
        <v>12</v>
      </c>
      <c r="F438" s="62" t="s">
        <v>334</v>
      </c>
      <c r="G438">
        <v>0.1</v>
      </c>
      <c r="H438">
        <v>0.113</v>
      </c>
      <c r="J438" s="65">
        <v>-6.6711160559762561E-2</v>
      </c>
      <c r="K438" s="65">
        <v>4.1947342421410339</v>
      </c>
      <c r="L438" s="65">
        <v>-1.5903548761103999E-2</v>
      </c>
    </row>
    <row r="439" spans="1:20" x14ac:dyDescent="0.35">
      <c r="C439" s="73" t="s">
        <v>39</v>
      </c>
      <c r="D439">
        <v>4</v>
      </c>
      <c r="E439">
        <v>16</v>
      </c>
      <c r="F439" s="62" t="s">
        <v>334</v>
      </c>
      <c r="G439">
        <v>0.26700000000000002</v>
      </c>
      <c r="H439">
        <v>7.3999999999999996E-2</v>
      </c>
      <c r="J439" s="65">
        <v>3.9364104664247002</v>
      </c>
      <c r="K439" s="65">
        <v>3.0075219141573908</v>
      </c>
      <c r="L439" s="65">
        <v>1.3088551235137229</v>
      </c>
    </row>
    <row r="440" spans="1:20" x14ac:dyDescent="0.35">
      <c r="S440" s="62"/>
      <c r="T440" s="62"/>
    </row>
    <row r="442" spans="1:20" x14ac:dyDescent="0.35">
      <c r="A442" s="67" t="s">
        <v>357</v>
      </c>
    </row>
    <row r="443" spans="1:20" x14ac:dyDescent="0.35">
      <c r="C443" s="62" t="s">
        <v>207</v>
      </c>
    </row>
    <row r="444" spans="1:20" x14ac:dyDescent="0.35">
      <c r="C444" s="62"/>
      <c r="F444" t="s">
        <v>251</v>
      </c>
      <c r="G444" t="s">
        <v>138</v>
      </c>
      <c r="H444" t="s">
        <v>143</v>
      </c>
      <c r="J444" t="s">
        <v>144</v>
      </c>
      <c r="K444" t="s">
        <v>143</v>
      </c>
      <c r="L444" t="s">
        <v>145</v>
      </c>
    </row>
    <row r="445" spans="1:20" x14ac:dyDescent="0.35">
      <c r="C445" s="62" t="s">
        <v>358</v>
      </c>
      <c r="D445">
        <v>3</v>
      </c>
      <c r="E445">
        <v>3</v>
      </c>
      <c r="F445" t="s">
        <v>252</v>
      </c>
      <c r="G445" s="62">
        <v>0.21</v>
      </c>
      <c r="H445" s="62">
        <v>0.02</v>
      </c>
      <c r="I445" s="62"/>
      <c r="J445" s="65">
        <v>6.56022367666107</v>
      </c>
      <c r="K445" s="65">
        <v>0.58710867039482684</v>
      </c>
      <c r="L445" s="65">
        <v>11.17378094969942</v>
      </c>
    </row>
    <row r="446" spans="1:20" x14ac:dyDescent="0.35">
      <c r="C446" s="62" t="s">
        <v>358</v>
      </c>
      <c r="D446">
        <v>3</v>
      </c>
      <c r="E446">
        <v>3</v>
      </c>
      <c r="F446" t="s">
        <v>253</v>
      </c>
      <c r="G446">
        <v>0.36</v>
      </c>
      <c r="H446" s="62">
        <v>0.02</v>
      </c>
      <c r="J446" s="65">
        <v>10.79316513508928</v>
      </c>
      <c r="K446" s="65">
        <v>0.54310375066220229</v>
      </c>
      <c r="L446" s="65">
        <v>19.873118390232541</v>
      </c>
    </row>
    <row r="447" spans="1:20" x14ac:dyDescent="0.35">
      <c r="C447" s="62" t="s">
        <v>358</v>
      </c>
      <c r="D447">
        <v>3</v>
      </c>
      <c r="E447">
        <v>3</v>
      </c>
      <c r="F447" t="s">
        <v>252</v>
      </c>
      <c r="G447">
        <v>0.27</v>
      </c>
      <c r="H447" s="62">
        <v>0.02</v>
      </c>
      <c r="J447" s="65">
        <v>8.2932132831999397</v>
      </c>
      <c r="K447" s="65">
        <v>0.56846831119789987</v>
      </c>
      <c r="L447" s="65">
        <v>14.58869935199051</v>
      </c>
    </row>
    <row r="448" spans="1:20" x14ac:dyDescent="0.35">
      <c r="C448" s="62" t="s">
        <v>358</v>
      </c>
      <c r="D448">
        <v>3</v>
      </c>
      <c r="E448">
        <v>3</v>
      </c>
      <c r="F448" t="s">
        <v>253</v>
      </c>
      <c r="G448">
        <v>0.36</v>
      </c>
      <c r="H448" s="62">
        <v>0.03</v>
      </c>
      <c r="J448" s="65">
        <v>10.79316513508928</v>
      </c>
      <c r="K448" s="65">
        <v>0.81465562599330343</v>
      </c>
      <c r="L448" s="65">
        <v>13.24874559348836</v>
      </c>
    </row>
    <row r="449" spans="3:12" x14ac:dyDescent="0.35">
      <c r="C449" s="62" t="s">
        <v>358</v>
      </c>
      <c r="D449">
        <v>3</v>
      </c>
      <c r="E449">
        <v>3</v>
      </c>
      <c r="F449" t="s">
        <v>252</v>
      </c>
      <c r="G449">
        <v>0.28000000000000003</v>
      </c>
      <c r="H449" s="62">
        <v>0.04</v>
      </c>
      <c r="J449" s="65">
        <v>8.576704663796253</v>
      </c>
      <c r="K449" s="65">
        <v>1.131007340247878</v>
      </c>
      <c r="L449" s="65">
        <v>7.5832440326307129</v>
      </c>
    </row>
    <row r="450" spans="3:12" x14ac:dyDescent="0.35">
      <c r="C450" s="62" t="s">
        <v>358</v>
      </c>
      <c r="D450">
        <v>3</v>
      </c>
      <c r="E450">
        <v>3</v>
      </c>
      <c r="F450" t="s">
        <v>253</v>
      </c>
      <c r="G450">
        <v>0.36</v>
      </c>
      <c r="H450" s="62">
        <v>0.03</v>
      </c>
      <c r="J450" s="65">
        <v>10.79316513508928</v>
      </c>
      <c r="K450" s="65">
        <v>0.81465562599330343</v>
      </c>
      <c r="L450" s="65">
        <v>13.24874559348836</v>
      </c>
    </row>
    <row r="451" spans="3:12" x14ac:dyDescent="0.35">
      <c r="C451" s="62" t="s">
        <v>358</v>
      </c>
      <c r="D451">
        <v>3</v>
      </c>
      <c r="E451">
        <v>3</v>
      </c>
      <c r="F451" t="s">
        <v>252</v>
      </c>
      <c r="G451">
        <v>0.27</v>
      </c>
      <c r="H451" s="62">
        <v>0.04</v>
      </c>
      <c r="J451" s="65">
        <v>8.2932132831999397</v>
      </c>
      <c r="K451" s="65">
        <v>1.1369366223958</v>
      </c>
      <c r="L451" s="65">
        <v>7.2943496759952531</v>
      </c>
    </row>
    <row r="452" spans="3:12" x14ac:dyDescent="0.35">
      <c r="C452" s="62" t="s">
        <v>358</v>
      </c>
      <c r="D452">
        <v>3</v>
      </c>
      <c r="E452">
        <v>3</v>
      </c>
      <c r="F452" t="s">
        <v>253</v>
      </c>
      <c r="G452">
        <v>0.34</v>
      </c>
      <c r="H452" s="62">
        <v>0.03</v>
      </c>
      <c r="J452" s="65">
        <v>10.247377144973321</v>
      </c>
      <c r="K452" s="65">
        <v>0.82274162048487554</v>
      </c>
      <c r="L452" s="65">
        <v>12.45515832654014</v>
      </c>
    </row>
    <row r="453" spans="3:12" x14ac:dyDescent="0.35">
      <c r="C453" s="62" t="s">
        <v>358</v>
      </c>
      <c r="D453">
        <v>3</v>
      </c>
      <c r="E453">
        <v>3</v>
      </c>
      <c r="F453" t="s">
        <v>252</v>
      </c>
      <c r="G453">
        <v>0.24</v>
      </c>
      <c r="H453" s="62">
        <v>0.03</v>
      </c>
      <c r="J453" s="65">
        <v>7.4337070988966358</v>
      </c>
      <c r="K453" s="65">
        <v>0.8664008637007794</v>
      </c>
      <c r="L453" s="65">
        <v>8.5799857898848355</v>
      </c>
    </row>
    <row r="454" spans="3:12" x14ac:dyDescent="0.35">
      <c r="C454" s="62" t="s">
        <v>358</v>
      </c>
      <c r="D454">
        <v>3</v>
      </c>
      <c r="E454">
        <v>3</v>
      </c>
      <c r="F454" t="s">
        <v>253</v>
      </c>
      <c r="G454">
        <v>0.36</v>
      </c>
      <c r="H454" s="62">
        <v>0.03</v>
      </c>
      <c r="J454" s="65">
        <v>10.79316513508928</v>
      </c>
      <c r="K454" s="65">
        <v>0.81465562599330343</v>
      </c>
      <c r="L454" s="65">
        <v>13.24874559348836</v>
      </c>
    </row>
    <row r="455" spans="3:12" x14ac:dyDescent="0.35">
      <c r="C455" s="62" t="s">
        <v>358</v>
      </c>
      <c r="D455">
        <v>3</v>
      </c>
      <c r="E455">
        <v>3</v>
      </c>
      <c r="F455" t="s">
        <v>252</v>
      </c>
      <c r="G455">
        <v>0.25</v>
      </c>
      <c r="H455" s="62">
        <v>0.03</v>
      </c>
      <c r="J455" s="65">
        <v>7.7217345015941907</v>
      </c>
      <c r="K455" s="65">
        <v>0.86177387601275335</v>
      </c>
      <c r="L455" s="65">
        <v>8.9602791596805353</v>
      </c>
    </row>
    <row r="456" spans="3:12" x14ac:dyDescent="0.35">
      <c r="C456" s="62" t="s">
        <v>358</v>
      </c>
      <c r="D456">
        <v>3</v>
      </c>
      <c r="E456">
        <v>3</v>
      </c>
      <c r="F456" t="s">
        <v>253</v>
      </c>
      <c r="G456">
        <v>0.42</v>
      </c>
      <c r="H456" s="62">
        <v>0.03</v>
      </c>
      <c r="J456" s="65">
        <v>12.399086461422669</v>
      </c>
      <c r="K456" s="65">
        <v>0.79154286240438487</v>
      </c>
      <c r="L456" s="65">
        <v>15.66445362637633</v>
      </c>
    </row>
    <row r="457" spans="3:12" x14ac:dyDescent="0.35">
      <c r="C457" s="62" t="s">
        <v>358</v>
      </c>
      <c r="D457">
        <v>3</v>
      </c>
      <c r="E457">
        <v>3</v>
      </c>
      <c r="F457" t="s">
        <v>252</v>
      </c>
      <c r="G457">
        <v>0.23</v>
      </c>
      <c r="H457" s="62">
        <v>0.03</v>
      </c>
      <c r="J457" s="65">
        <v>7.1441269690773126</v>
      </c>
      <c r="K457" s="65">
        <v>0.87109046316323002</v>
      </c>
      <c r="L457" s="65">
        <v>8.2013605603424047</v>
      </c>
    </row>
    <row r="458" spans="3:12" x14ac:dyDescent="0.35">
      <c r="C458" s="62" t="s">
        <v>358</v>
      </c>
      <c r="D458">
        <v>3</v>
      </c>
      <c r="E458">
        <v>3</v>
      </c>
      <c r="F458" t="s">
        <v>253</v>
      </c>
      <c r="G458">
        <v>0.41</v>
      </c>
      <c r="H458" s="62">
        <v>0.03</v>
      </c>
      <c r="J458" s="65">
        <v>12.13461704540997</v>
      </c>
      <c r="K458" s="65">
        <v>0.79528097195326231</v>
      </c>
      <c r="L458" s="65">
        <v>15.25827660079249</v>
      </c>
    </row>
    <row r="459" spans="3:12" x14ac:dyDescent="0.35">
      <c r="C459" s="62" t="s">
        <v>358</v>
      </c>
      <c r="D459">
        <v>3</v>
      </c>
      <c r="E459">
        <v>3</v>
      </c>
      <c r="F459" t="s">
        <v>252</v>
      </c>
      <c r="G459">
        <v>0.21</v>
      </c>
      <c r="H459" s="62">
        <v>0.03</v>
      </c>
      <c r="J459" s="65">
        <v>6.56022367666107</v>
      </c>
      <c r="K459" s="65">
        <v>0.88066300559224031</v>
      </c>
      <c r="L459" s="65">
        <v>7.4491872997996103</v>
      </c>
    </row>
    <row r="460" spans="3:12" x14ac:dyDescent="0.35">
      <c r="C460" s="62" t="s">
        <v>358</v>
      </c>
      <c r="D460">
        <v>3</v>
      </c>
      <c r="E460">
        <v>3</v>
      </c>
      <c r="F460" t="s">
        <v>253</v>
      </c>
      <c r="G460">
        <v>0.37</v>
      </c>
      <c r="H460" s="62">
        <v>0.03</v>
      </c>
      <c r="J460" s="65">
        <v>11.064054147667219</v>
      </c>
      <c r="K460" s="65">
        <v>0.81068652662530805</v>
      </c>
      <c r="L460" s="65">
        <v>13.647758762840439</v>
      </c>
    </row>
    <row r="461" spans="3:12" x14ac:dyDescent="0.35">
      <c r="C461" s="62" t="s">
        <v>358</v>
      </c>
      <c r="D461">
        <v>3</v>
      </c>
      <c r="E461">
        <v>3</v>
      </c>
      <c r="F461" t="s">
        <v>252</v>
      </c>
      <c r="G461">
        <v>0.25</v>
      </c>
      <c r="H461" s="62">
        <v>0.03</v>
      </c>
      <c r="J461" s="65">
        <v>7.7217345015941907</v>
      </c>
      <c r="K461" s="65">
        <v>0.86177387601275335</v>
      </c>
      <c r="L461" s="65">
        <v>8.9602791596805353</v>
      </c>
    </row>
    <row r="462" spans="3:12" x14ac:dyDescent="0.35">
      <c r="C462" s="62" t="s">
        <v>358</v>
      </c>
      <c r="D462">
        <v>3</v>
      </c>
      <c r="E462">
        <v>3</v>
      </c>
      <c r="F462" t="s">
        <v>253</v>
      </c>
      <c r="G462">
        <v>0.32</v>
      </c>
      <c r="H462" s="62">
        <v>0.03</v>
      </c>
      <c r="J462" s="65">
        <v>9.6961310486523686</v>
      </c>
      <c r="K462" s="65">
        <v>0.83103129582312396</v>
      </c>
      <c r="L462" s="65">
        <v>11.66758832956886</v>
      </c>
    </row>
    <row r="463" spans="3:12" x14ac:dyDescent="0.35">
      <c r="C463" s="62" t="s">
        <v>358</v>
      </c>
      <c r="D463">
        <v>3</v>
      </c>
      <c r="E463">
        <v>3</v>
      </c>
      <c r="F463" t="s">
        <v>252</v>
      </c>
      <c r="G463">
        <v>0.21</v>
      </c>
      <c r="H463" s="62">
        <v>0.03</v>
      </c>
      <c r="J463" s="65">
        <v>6.56022367666107</v>
      </c>
      <c r="K463" s="65">
        <v>0.88066300559224031</v>
      </c>
      <c r="L463" s="65">
        <v>7.4491872997996103</v>
      </c>
    </row>
    <row r="464" spans="3:12" x14ac:dyDescent="0.35">
      <c r="C464" s="62" t="s">
        <v>358</v>
      </c>
      <c r="D464">
        <v>3</v>
      </c>
      <c r="E464">
        <v>3</v>
      </c>
      <c r="F464" t="s">
        <v>253</v>
      </c>
      <c r="G464">
        <v>0.33</v>
      </c>
      <c r="H464" s="62">
        <v>0.03</v>
      </c>
      <c r="J464" s="65">
        <v>9.9724448886266757</v>
      </c>
      <c r="K464" s="65">
        <v>0.82686048788441091</v>
      </c>
      <c r="L464" s="65">
        <v>12.060613652179679</v>
      </c>
    </row>
    <row r="465" spans="1:15" x14ac:dyDescent="0.35">
      <c r="C465" s="62" t="s">
        <v>358</v>
      </c>
      <c r="D465">
        <v>3</v>
      </c>
      <c r="E465">
        <v>3</v>
      </c>
      <c r="F465" t="s">
        <v>252</v>
      </c>
      <c r="G465">
        <v>0.21</v>
      </c>
      <c r="H465" s="62">
        <v>0.04</v>
      </c>
      <c r="J465" s="65">
        <v>6.56022367666107</v>
      </c>
      <c r="K465" s="65">
        <v>1.1742173407896539</v>
      </c>
      <c r="L465" s="65">
        <v>5.5868904748497084</v>
      </c>
    </row>
    <row r="466" spans="1:15" x14ac:dyDescent="0.35">
      <c r="C466" s="62" t="s">
        <v>358</v>
      </c>
      <c r="D466">
        <v>3</v>
      </c>
      <c r="E466">
        <v>3</v>
      </c>
      <c r="F466" t="s">
        <v>253</v>
      </c>
      <c r="G466">
        <v>0.25</v>
      </c>
      <c r="H466" s="62">
        <v>0.03</v>
      </c>
      <c r="J466" s="65">
        <v>7.7217345015941907</v>
      </c>
      <c r="K466" s="65">
        <v>0.86177387601275335</v>
      </c>
      <c r="L466" s="65">
        <v>8.9602791596805353</v>
      </c>
    </row>
    <row r="467" spans="1:15" x14ac:dyDescent="0.35">
      <c r="C467" s="62" t="s">
        <v>358</v>
      </c>
      <c r="D467">
        <v>3</v>
      </c>
      <c r="E467">
        <v>3</v>
      </c>
      <c r="F467" t="s">
        <v>252</v>
      </c>
      <c r="G467">
        <v>0.15</v>
      </c>
      <c r="H467" s="62">
        <v>0.04</v>
      </c>
      <c r="J467" s="65">
        <v>4.7689553171647248</v>
      </c>
      <c r="K467" s="65">
        <v>1.2147125254164031</v>
      </c>
      <c r="L467" s="65">
        <v>3.9259950131245498</v>
      </c>
    </row>
    <row r="468" spans="1:15" x14ac:dyDescent="0.35">
      <c r="C468" s="62" t="s">
        <v>358</v>
      </c>
      <c r="D468">
        <v>3</v>
      </c>
      <c r="E468">
        <v>3</v>
      </c>
      <c r="F468" t="s">
        <v>253</v>
      </c>
      <c r="G468">
        <v>0.21</v>
      </c>
      <c r="H468" s="62">
        <v>0.03</v>
      </c>
      <c r="J468" s="65">
        <v>6.56022367666107</v>
      </c>
      <c r="K468" s="65">
        <v>0.88066300559224031</v>
      </c>
      <c r="L468" s="65">
        <v>7.4491872997996103</v>
      </c>
    </row>
    <row r="471" spans="1:15" x14ac:dyDescent="0.35">
      <c r="A471" s="67" t="s">
        <v>359</v>
      </c>
      <c r="C471" s="62"/>
    </row>
    <row r="472" spans="1:15" x14ac:dyDescent="0.35">
      <c r="C472" s="62"/>
      <c r="D472" t="s">
        <v>1474</v>
      </c>
      <c r="E472" t="s">
        <v>193</v>
      </c>
      <c r="F472" t="s">
        <v>364</v>
      </c>
      <c r="G472" t="s">
        <v>365</v>
      </c>
      <c r="H472" t="s">
        <v>251</v>
      </c>
      <c r="I472" t="s">
        <v>138</v>
      </c>
      <c r="J472" t="s">
        <v>206</v>
      </c>
      <c r="K472" t="s">
        <v>143</v>
      </c>
      <c r="M472" t="s">
        <v>144</v>
      </c>
      <c r="N472" t="s">
        <v>143</v>
      </c>
      <c r="O472" t="s">
        <v>206</v>
      </c>
    </row>
    <row r="473" spans="1:15" x14ac:dyDescent="0.3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3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3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3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3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3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3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3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3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3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3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3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3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3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3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3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3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3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35">
      <c r="A493" s="67" t="s">
        <v>369</v>
      </c>
      <c r="C493" t="s">
        <v>371</v>
      </c>
      <c r="D493" t="s">
        <v>372</v>
      </c>
      <c r="E493" t="s">
        <v>373</v>
      </c>
      <c r="F493" t="s">
        <v>374</v>
      </c>
      <c r="G493" t="s">
        <v>206</v>
      </c>
      <c r="H493" t="s">
        <v>138</v>
      </c>
      <c r="I493" t="s">
        <v>143</v>
      </c>
      <c r="K493" t="s">
        <v>144</v>
      </c>
      <c r="L493" t="s">
        <v>143</v>
      </c>
      <c r="M493" t="s">
        <v>206</v>
      </c>
    </row>
    <row r="494" spans="1:15" x14ac:dyDescent="0.3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3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3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3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3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3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35">
      <c r="A503" s="67" t="s">
        <v>386</v>
      </c>
    </row>
    <row r="505" spans="1:13" x14ac:dyDescent="0.35">
      <c r="C505" t="s">
        <v>193</v>
      </c>
      <c r="D505" t="s">
        <v>333</v>
      </c>
      <c r="E505" t="s">
        <v>138</v>
      </c>
      <c r="F505" t="s">
        <v>143</v>
      </c>
      <c r="H505" t="s">
        <v>144</v>
      </c>
      <c r="I505" t="s">
        <v>143</v>
      </c>
      <c r="J505" t="s">
        <v>145</v>
      </c>
    </row>
    <row r="506" spans="1:13" x14ac:dyDescent="0.3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35">
      <c r="B507" s="73" t="s">
        <v>387</v>
      </c>
      <c r="C507">
        <v>3</v>
      </c>
      <c r="D507" s="62" t="s">
        <v>171</v>
      </c>
      <c r="E507">
        <v>9.4E-2</v>
      </c>
      <c r="F507">
        <v>1.6E-2</v>
      </c>
      <c r="H507" s="65">
        <v>3.0399819644272301</v>
      </c>
      <c r="I507" s="65">
        <v>0.50232776094784748</v>
      </c>
      <c r="J507" s="65">
        <v>6.0517896894470971</v>
      </c>
    </row>
    <row r="508" spans="1:13" x14ac:dyDescent="0.35">
      <c r="B508" s="73" t="s">
        <v>39</v>
      </c>
      <c r="C508">
        <v>6</v>
      </c>
      <c r="D508" s="62" t="s">
        <v>171</v>
      </c>
      <c r="E508">
        <v>0.29799999999999999</v>
      </c>
      <c r="F508">
        <v>1.6E-2</v>
      </c>
      <c r="H508" s="65">
        <v>4.4429464893505077</v>
      </c>
      <c r="I508" s="65">
        <v>0.21457205236641089</v>
      </c>
      <c r="J508" s="65">
        <v>20.70608189813823</v>
      </c>
    </row>
    <row r="509" spans="1:13" x14ac:dyDescent="0.35">
      <c r="B509" s="73" t="s">
        <v>388</v>
      </c>
      <c r="C509">
        <v>3</v>
      </c>
      <c r="D509" s="62" t="s">
        <v>389</v>
      </c>
      <c r="E509">
        <v>0.16600000000000001</v>
      </c>
      <c r="F509">
        <v>1.7999999999999999E-2</v>
      </c>
      <c r="H509" s="65">
        <v>5.2526042050797814</v>
      </c>
      <c r="I509" s="65">
        <v>0.54160859796782046</v>
      </c>
      <c r="J509" s="65">
        <v>9.698155134147008</v>
      </c>
    </row>
    <row r="510" spans="1:13" x14ac:dyDescent="0.35">
      <c r="B510" s="73" t="s">
        <v>387</v>
      </c>
      <c r="C510">
        <v>3</v>
      </c>
      <c r="D510" s="62" t="s">
        <v>389</v>
      </c>
      <c r="E510">
        <v>7.6999999999999999E-2</v>
      </c>
      <c r="F510">
        <v>1.6E-2</v>
      </c>
      <c r="H510" s="65">
        <v>2.503470039176614</v>
      </c>
      <c r="I510" s="65">
        <v>0.50759997543386748</v>
      </c>
      <c r="J510" s="65">
        <v>4.9319743111429251</v>
      </c>
    </row>
    <row r="511" spans="1:13" x14ac:dyDescent="0.35">
      <c r="B511" s="73" t="s">
        <v>39</v>
      </c>
      <c r="C511">
        <v>6</v>
      </c>
      <c r="D511" s="62" t="s">
        <v>389</v>
      </c>
      <c r="E511">
        <v>0.249</v>
      </c>
      <c r="F511">
        <v>1.6E-2</v>
      </c>
      <c r="H511" s="65">
        <v>3.775238396309422</v>
      </c>
      <c r="I511" s="65">
        <v>0.22156442678688951</v>
      </c>
      <c r="J511" s="65">
        <v>17.039009605727969</v>
      </c>
    </row>
    <row r="512" spans="1:13" x14ac:dyDescent="0.35">
      <c r="B512" s="73" t="s">
        <v>388</v>
      </c>
      <c r="C512">
        <v>3</v>
      </c>
      <c r="D512" s="62" t="s">
        <v>390</v>
      </c>
      <c r="E512">
        <v>0.315</v>
      </c>
      <c r="F512">
        <v>5.2999999999999999E-2</v>
      </c>
      <c r="H512" s="65">
        <v>9.5574505834125745</v>
      </c>
      <c r="I512" s="65">
        <v>1.471874494530004</v>
      </c>
      <c r="J512" s="65">
        <v>6.4933869150741952</v>
      </c>
    </row>
    <row r="513" spans="1:10" x14ac:dyDescent="0.35">
      <c r="B513" s="73" t="s">
        <v>387</v>
      </c>
      <c r="C513">
        <v>3</v>
      </c>
      <c r="D513" s="62" t="s">
        <v>390</v>
      </c>
      <c r="E513">
        <v>0.17</v>
      </c>
      <c r="F513">
        <v>3.5000000000000003E-2</v>
      </c>
      <c r="H513" s="65">
        <v>5.3728243029631084</v>
      </c>
      <c r="I513" s="65">
        <v>1.050726168263165</v>
      </c>
      <c r="J513" s="65">
        <v>5.1134391292874239</v>
      </c>
    </row>
    <row r="514" spans="1:10" x14ac:dyDescent="0.35">
      <c r="B514" s="73" t="s">
        <v>39</v>
      </c>
      <c r="C514">
        <v>6</v>
      </c>
      <c r="D514" s="62" t="s">
        <v>390</v>
      </c>
      <c r="E514">
        <v>0.39300000000000002</v>
      </c>
      <c r="F514">
        <v>2.9000000000000001E-2</v>
      </c>
      <c r="H514" s="65">
        <v>5.6797683750887007</v>
      </c>
      <c r="I514" s="65">
        <v>0.36668022049265042</v>
      </c>
      <c r="J514" s="65">
        <v>15.489704809977731</v>
      </c>
    </row>
    <row r="515" spans="1:10" x14ac:dyDescent="0.35">
      <c r="B515" s="73" t="s">
        <v>388</v>
      </c>
      <c r="C515">
        <v>3</v>
      </c>
      <c r="D515" s="62" t="s">
        <v>391</v>
      </c>
      <c r="E515">
        <v>0.28899999999999998</v>
      </c>
      <c r="F515">
        <v>0.01</v>
      </c>
      <c r="H515" s="65">
        <v>8.8305872046383183</v>
      </c>
      <c r="I515" s="65">
        <v>0.2814341536194423</v>
      </c>
      <c r="J515" s="65">
        <v>31.37709866080829</v>
      </c>
    </row>
    <row r="516" spans="1:10" x14ac:dyDescent="0.35">
      <c r="B516" s="73" t="s">
        <v>387</v>
      </c>
      <c r="C516">
        <v>3</v>
      </c>
      <c r="D516" s="62" t="s">
        <v>391</v>
      </c>
      <c r="E516">
        <v>0.16600000000000001</v>
      </c>
      <c r="F516">
        <v>6.8000000000000005E-2</v>
      </c>
      <c r="H516" s="65">
        <v>5.2526042050797814</v>
      </c>
      <c r="I516" s="65">
        <v>2.046076925656211</v>
      </c>
      <c r="J516" s="65">
        <v>2.56715871198009</v>
      </c>
    </row>
    <row r="517" spans="1:10" x14ac:dyDescent="0.35">
      <c r="B517" s="73" t="s">
        <v>39</v>
      </c>
      <c r="C517">
        <v>6</v>
      </c>
      <c r="D517" s="62" t="s">
        <v>391</v>
      </c>
      <c r="E517">
        <v>0.373</v>
      </c>
      <c r="F517">
        <v>6.3E-2</v>
      </c>
      <c r="H517" s="65">
        <v>5.4253592348699966</v>
      </c>
      <c r="I517" s="65">
        <v>0.8062390910168501</v>
      </c>
      <c r="J517" s="65">
        <v>6.7292187830131018</v>
      </c>
    </row>
    <row r="518" spans="1:10" x14ac:dyDescent="0.35">
      <c r="B518" s="73" t="s">
        <v>388</v>
      </c>
      <c r="C518">
        <v>3</v>
      </c>
      <c r="D518" s="62" t="s">
        <v>392</v>
      </c>
      <c r="E518">
        <v>0.221</v>
      </c>
      <c r="F518">
        <v>0.01</v>
      </c>
      <c r="H518" s="65">
        <v>6.8821598431665576</v>
      </c>
      <c r="I518" s="65">
        <v>0.29178858816043279</v>
      </c>
      <c r="J518" s="65">
        <v>23.586117217793898</v>
      </c>
    </row>
    <row r="519" spans="1:10" x14ac:dyDescent="0.35">
      <c r="B519" s="73" t="s">
        <v>387</v>
      </c>
      <c r="C519">
        <v>3</v>
      </c>
      <c r="D519" s="62" t="s">
        <v>392</v>
      </c>
      <c r="E519">
        <v>0.155</v>
      </c>
      <c r="F519">
        <v>0.13700000000000001</v>
      </c>
      <c r="H519" s="65">
        <v>4.9205748562267893</v>
      </c>
      <c r="I519" s="65">
        <v>4.1483748211552864</v>
      </c>
      <c r="J519" s="65">
        <v>1.1861451938078369</v>
      </c>
    </row>
    <row r="520" spans="1:10" x14ac:dyDescent="0.35">
      <c r="B520" s="73" t="s">
        <v>39</v>
      </c>
      <c r="C520">
        <v>6</v>
      </c>
      <c r="D520" s="62" t="s">
        <v>392</v>
      </c>
      <c r="E520">
        <v>0.33100000000000002</v>
      </c>
      <c r="F520">
        <v>0.153</v>
      </c>
      <c r="H520" s="65">
        <v>4.8808848170151631</v>
      </c>
      <c r="I520" s="65">
        <v>2.0093633079142652</v>
      </c>
      <c r="J520" s="65">
        <v>2.4290703417300681</v>
      </c>
    </row>
    <row r="523" spans="1:10" x14ac:dyDescent="0.35">
      <c r="A523" s="67" t="s">
        <v>394</v>
      </c>
      <c r="C523" t="s">
        <v>395</v>
      </c>
    </row>
    <row r="525" spans="1:10" x14ac:dyDescent="0.35">
      <c r="A525" t="s">
        <v>397</v>
      </c>
      <c r="B525" t="s">
        <v>193</v>
      </c>
      <c r="C525" t="s">
        <v>322</v>
      </c>
    </row>
    <row r="526" spans="1:10" x14ac:dyDescent="0.35">
      <c r="A526" t="s">
        <v>396</v>
      </c>
      <c r="B526">
        <v>4</v>
      </c>
      <c r="C526">
        <v>4</v>
      </c>
    </row>
    <row r="527" spans="1:10" x14ac:dyDescent="0.35">
      <c r="A527" t="s">
        <v>398</v>
      </c>
      <c r="B527">
        <v>6</v>
      </c>
      <c r="C527">
        <v>10</v>
      </c>
    </row>
    <row r="528" spans="1:10" x14ac:dyDescent="0.35">
      <c r="A528" t="s">
        <v>399</v>
      </c>
      <c r="B528">
        <v>2</v>
      </c>
      <c r="C528">
        <v>12</v>
      </c>
    </row>
    <row r="529" spans="1:11" x14ac:dyDescent="0.35">
      <c r="A529" t="s">
        <v>400</v>
      </c>
      <c r="B529">
        <v>2</v>
      </c>
      <c r="C529">
        <v>14</v>
      </c>
    </row>
    <row r="530" spans="1:11" x14ac:dyDescent="0.35">
      <c r="A530" t="s">
        <v>241</v>
      </c>
      <c r="B530">
        <v>4</v>
      </c>
      <c r="C530">
        <v>16</v>
      </c>
    </row>
    <row r="531" spans="1:11" x14ac:dyDescent="0.35">
      <c r="A531" t="s">
        <v>401</v>
      </c>
      <c r="B531">
        <v>2</v>
      </c>
      <c r="C531">
        <v>18</v>
      </c>
    </row>
    <row r="532" spans="1:11" x14ac:dyDescent="0.35">
      <c r="A532" t="s">
        <v>402</v>
      </c>
      <c r="B532">
        <v>2</v>
      </c>
      <c r="C532">
        <v>18</v>
      </c>
    </row>
    <row r="533" spans="1:11" x14ac:dyDescent="0.35">
      <c r="A533" t="s">
        <v>403</v>
      </c>
      <c r="B533">
        <v>4</v>
      </c>
      <c r="C533">
        <v>22</v>
      </c>
    </row>
    <row r="536" spans="1:11" x14ac:dyDescent="0.35">
      <c r="D536" t="s">
        <v>410</v>
      </c>
    </row>
    <row r="538" spans="1:11" x14ac:dyDescent="0.35">
      <c r="B538" t="s">
        <v>409</v>
      </c>
      <c r="C538" t="s">
        <v>193</v>
      </c>
      <c r="D538" t="s">
        <v>322</v>
      </c>
      <c r="E538" t="s">
        <v>333</v>
      </c>
      <c r="F538" t="s">
        <v>138</v>
      </c>
      <c r="G538" t="s">
        <v>143</v>
      </c>
      <c r="I538" t="s">
        <v>144</v>
      </c>
      <c r="J538" t="s">
        <v>143</v>
      </c>
      <c r="K538" t="s">
        <v>145</v>
      </c>
    </row>
    <row r="539" spans="1:11" x14ac:dyDescent="0.35">
      <c r="B539" t="s">
        <v>159</v>
      </c>
      <c r="C539">
        <v>2</v>
      </c>
      <c r="D539">
        <v>2</v>
      </c>
      <c r="E539" t="s">
        <v>171</v>
      </c>
      <c r="F539">
        <v>6.7699999999999996E-2</v>
      </c>
      <c r="G539">
        <v>1.2E-2</v>
      </c>
      <c r="I539" s="65">
        <v>3.329569823937617</v>
      </c>
      <c r="J539" s="65">
        <v>0.58066630977205735</v>
      </c>
      <c r="K539" s="65">
        <v>5.7340502934372957</v>
      </c>
    </row>
    <row r="540" spans="1:11" x14ac:dyDescent="0.35">
      <c r="B540" t="s">
        <v>404</v>
      </c>
      <c r="C540">
        <v>2</v>
      </c>
      <c r="D540">
        <v>4</v>
      </c>
      <c r="E540" t="s">
        <v>171</v>
      </c>
      <c r="F540">
        <v>5.9400000000000001E-2</v>
      </c>
      <c r="G540">
        <v>1.7000000000000001E-2</v>
      </c>
      <c r="I540" s="65">
        <v>1.453022975882035</v>
      </c>
      <c r="J540" s="65">
        <v>0.40699957301066519</v>
      </c>
      <c r="K540" s="65">
        <v>3.5700847672485372</v>
      </c>
    </row>
    <row r="541" spans="1:11" x14ac:dyDescent="0.35">
      <c r="B541" t="s">
        <v>405</v>
      </c>
      <c r="C541">
        <v>2</v>
      </c>
      <c r="D541">
        <v>6</v>
      </c>
      <c r="E541" t="s">
        <v>171</v>
      </c>
      <c r="F541">
        <v>0.22059999999999999</v>
      </c>
      <c r="G541">
        <v>1.4999999999999999E-2</v>
      </c>
      <c r="I541" s="65">
        <v>3.3781829134533981</v>
      </c>
      <c r="J541" s="65">
        <v>0.21173640609833971</v>
      </c>
      <c r="K541" s="65">
        <v>15.954662571746971</v>
      </c>
    </row>
    <row r="542" spans="1:11" x14ac:dyDescent="0.35">
      <c r="B542" t="s">
        <v>406</v>
      </c>
      <c r="C542">
        <v>4</v>
      </c>
      <c r="D542">
        <v>8</v>
      </c>
      <c r="E542" t="s">
        <v>171</v>
      </c>
      <c r="F542">
        <v>0.35560000000000003</v>
      </c>
      <c r="G542">
        <v>8.7999999999999995E-2</v>
      </c>
      <c r="I542" s="65">
        <v>3.8762935536986509</v>
      </c>
      <c r="J542" s="65">
        <v>0.84290294267533572</v>
      </c>
      <c r="K542" s="65">
        <v>4.5987424618491319</v>
      </c>
    </row>
    <row r="543" spans="1:11" x14ac:dyDescent="0.35">
      <c r="B543" t="s">
        <v>407</v>
      </c>
      <c r="C543">
        <v>2</v>
      </c>
      <c r="D543">
        <v>8</v>
      </c>
      <c r="E543" t="s">
        <v>171</v>
      </c>
      <c r="F543">
        <v>0.52170000000000005</v>
      </c>
      <c r="G543">
        <v>3.7999999999999999E-2</v>
      </c>
      <c r="I543" s="65">
        <v>5.3879920666931591</v>
      </c>
      <c r="J543" s="65">
        <v>0.32896954873943118</v>
      </c>
      <c r="K543" s="65">
        <v>16.378391517814489</v>
      </c>
    </row>
    <row r="544" spans="1:11" x14ac:dyDescent="0.35">
      <c r="B544" t="s">
        <v>408</v>
      </c>
      <c r="C544">
        <v>2</v>
      </c>
      <c r="D544">
        <v>12</v>
      </c>
      <c r="E544" t="s">
        <v>171</v>
      </c>
      <c r="F544">
        <v>1.0491999999999999</v>
      </c>
      <c r="G544">
        <v>7.8E-2</v>
      </c>
      <c r="I544" s="65">
        <v>6.1610883636721514</v>
      </c>
      <c r="J544" s="65">
        <v>0.33673973958806802</v>
      </c>
      <c r="K544" s="65">
        <v>18.296291287773101</v>
      </c>
    </row>
    <row r="545" spans="1:11" x14ac:dyDescent="0.35">
      <c r="B545" t="s">
        <v>159</v>
      </c>
      <c r="C545">
        <v>2</v>
      </c>
      <c r="D545">
        <v>2</v>
      </c>
      <c r="E545" t="s">
        <v>171</v>
      </c>
      <c r="F545">
        <v>3.3399999999999999E-2</v>
      </c>
      <c r="G545">
        <v>5.8000000000000003E-2</v>
      </c>
      <c r="I545" s="65">
        <v>1.6562836228041671</v>
      </c>
      <c r="J545" s="65">
        <v>2.852750362939152</v>
      </c>
      <c r="K545" s="65">
        <v>0.58059185420546877</v>
      </c>
    </row>
    <row r="546" spans="1:11" x14ac:dyDescent="0.35">
      <c r="B546" t="s">
        <v>404</v>
      </c>
      <c r="C546">
        <v>2</v>
      </c>
      <c r="D546">
        <v>4</v>
      </c>
      <c r="E546" t="s">
        <v>171</v>
      </c>
      <c r="F546">
        <v>0.38540000000000002</v>
      </c>
      <c r="G546">
        <v>6.0999999999999999E-2</v>
      </c>
      <c r="I546" s="65">
        <v>8.4910208745827109</v>
      </c>
      <c r="J546" s="65">
        <v>1.194231318274424</v>
      </c>
      <c r="K546" s="65">
        <v>7.1100303137683678</v>
      </c>
    </row>
    <row r="547" spans="1:11" x14ac:dyDescent="0.35">
      <c r="B547" t="s">
        <v>405</v>
      </c>
      <c r="C547">
        <v>2</v>
      </c>
      <c r="D547">
        <v>6</v>
      </c>
      <c r="E547" t="s">
        <v>171</v>
      </c>
      <c r="F547">
        <v>0.50729999999999997</v>
      </c>
      <c r="G547">
        <v>5.7000000000000002E-2</v>
      </c>
      <c r="I547" s="65">
        <v>7.0779257885790647</v>
      </c>
      <c r="J547" s="65">
        <v>0.67487580109566869</v>
      </c>
      <c r="K547" s="65">
        <v>10.487745711267131</v>
      </c>
    </row>
    <row r="548" spans="1:11" x14ac:dyDescent="0.35">
      <c r="B548" t="s">
        <v>406</v>
      </c>
      <c r="C548">
        <v>4</v>
      </c>
      <c r="D548">
        <v>8</v>
      </c>
      <c r="E548" t="s">
        <v>171</v>
      </c>
      <c r="F548">
        <v>0.74619999999999997</v>
      </c>
      <c r="G548">
        <v>0.109</v>
      </c>
      <c r="I548" s="65">
        <v>7.2165301368908308</v>
      </c>
      <c r="J548" s="65">
        <v>0.83657383066953228</v>
      </c>
      <c r="K548" s="65">
        <v>8.6262919928002653</v>
      </c>
    </row>
    <row r="549" spans="1:11" x14ac:dyDescent="0.35">
      <c r="B549" t="s">
        <v>407</v>
      </c>
      <c r="C549">
        <v>2</v>
      </c>
      <c r="D549">
        <v>8</v>
      </c>
      <c r="E549" t="s">
        <v>171</v>
      </c>
      <c r="F549">
        <v>0.8579</v>
      </c>
      <c r="G549">
        <v>6.8400000000000002E-2</v>
      </c>
      <c r="I549" s="65">
        <v>8.0507515161814869</v>
      </c>
      <c r="J549" s="65">
        <v>0.49724631329100161</v>
      </c>
      <c r="K549" s="65">
        <v>16.19067110402079</v>
      </c>
    </row>
    <row r="550" spans="1:11" x14ac:dyDescent="0.35">
      <c r="B550" t="s">
        <v>408</v>
      </c>
      <c r="C550">
        <v>2</v>
      </c>
      <c r="D550">
        <v>12</v>
      </c>
      <c r="E550" t="s">
        <v>171</v>
      </c>
      <c r="F550">
        <v>1.0858000000000001</v>
      </c>
      <c r="G550">
        <v>0.13500000000000001</v>
      </c>
      <c r="I550" s="65">
        <v>6.3178181029901692</v>
      </c>
      <c r="J550" s="65">
        <v>0.57343726803079853</v>
      </c>
      <c r="K550" s="65">
        <v>11.017452919803681</v>
      </c>
    </row>
    <row r="553" spans="1:11" x14ac:dyDescent="0.35">
      <c r="A553" s="67" t="s">
        <v>915</v>
      </c>
    </row>
    <row r="554" spans="1:11" x14ac:dyDescent="0.35">
      <c r="C554" t="s">
        <v>916</v>
      </c>
    </row>
    <row r="555" spans="1:11" x14ac:dyDescent="0.35">
      <c r="C555" t="s">
        <v>917</v>
      </c>
    </row>
    <row r="557" spans="1:11" x14ac:dyDescent="0.35">
      <c r="B557" t="s">
        <v>919</v>
      </c>
      <c r="C557" t="s">
        <v>1150</v>
      </c>
      <c r="D557" t="s">
        <v>322</v>
      </c>
      <c r="E557" t="s">
        <v>333</v>
      </c>
      <c r="F557" t="s">
        <v>138</v>
      </c>
      <c r="G557" t="s">
        <v>143</v>
      </c>
      <c r="I557" t="s">
        <v>144</v>
      </c>
      <c r="J557" t="s">
        <v>143</v>
      </c>
      <c r="K557" t="s">
        <v>145</v>
      </c>
    </row>
    <row r="558" spans="1:11" x14ac:dyDescent="0.35">
      <c r="B558" t="s">
        <v>920</v>
      </c>
      <c r="C558">
        <v>1</v>
      </c>
      <c r="D558">
        <v>3</v>
      </c>
      <c r="E558" t="s">
        <v>171</v>
      </c>
      <c r="F558">
        <v>8.7999999999999995E-2</v>
      </c>
      <c r="G558">
        <v>2E-3</v>
      </c>
      <c r="I558" s="65">
        <v>8.7999999999999995E-2</v>
      </c>
      <c r="J558" s="65">
        <v>2.8512636263294144E-2</v>
      </c>
      <c r="K558" s="65">
        <v>2.8512636263294144</v>
      </c>
    </row>
    <row r="559" spans="1:11" x14ac:dyDescent="0.35">
      <c r="B559" t="s">
        <v>920</v>
      </c>
      <c r="C559">
        <v>1</v>
      </c>
      <c r="D559">
        <v>3</v>
      </c>
      <c r="E559" t="s">
        <v>918</v>
      </c>
      <c r="F559">
        <v>0.126</v>
      </c>
      <c r="G559">
        <v>1.2E-2</v>
      </c>
      <c r="I559" s="65">
        <v>0.126</v>
      </c>
      <c r="J559" s="65">
        <v>4.034998083055874E-2</v>
      </c>
      <c r="K559" s="65">
        <v>4.034998083055874</v>
      </c>
    </row>
    <row r="560" spans="1:11" x14ac:dyDescent="0.35">
      <c r="B560" t="s">
        <v>920</v>
      </c>
      <c r="C560">
        <v>1</v>
      </c>
      <c r="D560">
        <v>3</v>
      </c>
      <c r="E560" t="s">
        <v>171</v>
      </c>
      <c r="F560">
        <v>7.0999999999999994E-2</v>
      </c>
      <c r="G560">
        <v>2E-3</v>
      </c>
      <c r="I560" s="65">
        <v>7.0999999999999994E-2</v>
      </c>
      <c r="J560" s="65">
        <v>2.3127654683995136E-2</v>
      </c>
      <c r="K560" s="65">
        <v>2.3127654683995136</v>
      </c>
    </row>
    <row r="561" spans="1:11" x14ac:dyDescent="0.35">
      <c r="B561" t="s">
        <v>920</v>
      </c>
      <c r="C561">
        <v>1</v>
      </c>
      <c r="D561">
        <v>3</v>
      </c>
      <c r="E561" t="s">
        <v>918</v>
      </c>
      <c r="F561">
        <v>8.9999999999999993E-3</v>
      </c>
      <c r="G561">
        <v>1.6E-2</v>
      </c>
      <c r="I561" s="65">
        <v>8.9999999999999993E-3</v>
      </c>
      <c r="J561" s="65">
        <v>2.9910447317695876E-3</v>
      </c>
      <c r="K561" s="65">
        <v>0.29910447317695876</v>
      </c>
    </row>
    <row r="562" spans="1:11" x14ac:dyDescent="0.35">
      <c r="B562" t="s">
        <v>252</v>
      </c>
      <c r="C562">
        <v>1</v>
      </c>
      <c r="D562">
        <v>3</v>
      </c>
      <c r="E562" t="s">
        <v>171</v>
      </c>
      <c r="F562">
        <v>9.2999999999999999E-2</v>
      </c>
      <c r="G562">
        <v>3.0000000000000001E-3</v>
      </c>
      <c r="I562" s="65">
        <v>9.2999999999999999E-2</v>
      </c>
      <c r="J562" s="65">
        <v>3.0085769085459013E-2</v>
      </c>
      <c r="K562" s="65">
        <v>3.0085769085459013</v>
      </c>
    </row>
    <row r="563" spans="1:11" x14ac:dyDescent="0.35">
      <c r="B563" t="s">
        <v>252</v>
      </c>
      <c r="C563">
        <v>1</v>
      </c>
      <c r="D563">
        <v>3</v>
      </c>
      <c r="E563" t="s">
        <v>918</v>
      </c>
      <c r="F563">
        <v>-1.0999999999999999E-2</v>
      </c>
      <c r="G563">
        <v>1.4999999999999999E-2</v>
      </c>
      <c r="I563" s="65">
        <v>-1.0999999999999999E-2</v>
      </c>
      <c r="J563" s="65">
        <v>-3.6801938790174127E-3</v>
      </c>
      <c r="K563" s="65">
        <v>-0.36801938790174127</v>
      </c>
    </row>
    <row r="564" spans="1:11" x14ac:dyDescent="0.35">
      <c r="B564" t="s">
        <v>252</v>
      </c>
      <c r="C564">
        <v>1</v>
      </c>
      <c r="D564">
        <v>3</v>
      </c>
      <c r="E564" t="s">
        <v>171</v>
      </c>
      <c r="F564">
        <v>8.5000000000000006E-2</v>
      </c>
      <c r="G564">
        <v>3.0000000000000001E-3</v>
      </c>
      <c r="I564" s="65">
        <v>8.5000000000000006E-2</v>
      </c>
      <c r="J564" s="65">
        <v>2.7566441951573761E-2</v>
      </c>
      <c r="K564" s="65">
        <v>2.7566441951573761</v>
      </c>
    </row>
    <row r="565" spans="1:11" x14ac:dyDescent="0.35">
      <c r="B565" t="s">
        <v>252</v>
      </c>
      <c r="C565">
        <v>1</v>
      </c>
      <c r="D565">
        <v>3</v>
      </c>
      <c r="E565" t="s">
        <v>918</v>
      </c>
      <c r="F565">
        <v>-9.0999999999999998E-2</v>
      </c>
      <c r="G565">
        <v>2.1999999999999999E-2</v>
      </c>
      <c r="I565" s="65">
        <v>-9.0999999999999998E-2</v>
      </c>
      <c r="J565" s="65">
        <v>-3.1302985901833114E-2</v>
      </c>
      <c r="K565" s="65">
        <v>-3.1302985901833114</v>
      </c>
    </row>
    <row r="566" spans="1:11" x14ac:dyDescent="0.35">
      <c r="B566" t="s">
        <v>253</v>
      </c>
      <c r="C566">
        <v>1</v>
      </c>
      <c r="D566">
        <v>3</v>
      </c>
      <c r="E566" t="s">
        <v>171</v>
      </c>
      <c r="F566">
        <v>5.1999999999999998E-2</v>
      </c>
      <c r="G566">
        <v>3.0000000000000001E-3</v>
      </c>
      <c r="I566" s="65">
        <v>5.1999999999999998E-2</v>
      </c>
      <c r="J566" s="65">
        <v>1.7041278534103421E-2</v>
      </c>
      <c r="K566" s="65">
        <v>1.7041278534103421</v>
      </c>
    </row>
    <row r="567" spans="1:11" x14ac:dyDescent="0.35">
      <c r="B567" t="s">
        <v>253</v>
      </c>
      <c r="C567">
        <v>1</v>
      </c>
      <c r="D567">
        <v>3</v>
      </c>
      <c r="E567" t="s">
        <v>918</v>
      </c>
      <c r="F567">
        <v>0.222</v>
      </c>
      <c r="G567">
        <v>2.5000000000000001E-2</v>
      </c>
      <c r="I567" s="65">
        <v>0.222</v>
      </c>
      <c r="J567" s="65">
        <v>6.9113307397686619E-2</v>
      </c>
      <c r="K567" s="65">
        <v>6.9113307397686619</v>
      </c>
    </row>
    <row r="568" spans="1:11" x14ac:dyDescent="0.35">
      <c r="B568" t="s">
        <v>253</v>
      </c>
      <c r="C568">
        <v>1</v>
      </c>
      <c r="D568">
        <v>3</v>
      </c>
      <c r="E568" t="s">
        <v>171</v>
      </c>
      <c r="F568">
        <v>3.6999999999999998E-2</v>
      </c>
      <c r="G568">
        <v>3.0000000000000001E-3</v>
      </c>
      <c r="I568" s="65">
        <v>3.6999999999999998E-2</v>
      </c>
      <c r="J568" s="65">
        <v>1.2184273858861783E-2</v>
      </c>
      <c r="K568" s="65">
        <v>1.2184273858861783</v>
      </c>
    </row>
    <row r="569" spans="1:11" x14ac:dyDescent="0.35">
      <c r="B569" t="s">
        <v>253</v>
      </c>
      <c r="C569">
        <v>1</v>
      </c>
      <c r="D569">
        <v>3</v>
      </c>
      <c r="E569" t="s">
        <v>918</v>
      </c>
      <c r="F569">
        <v>0.23</v>
      </c>
      <c r="G569">
        <v>3.5000000000000003E-2</v>
      </c>
      <c r="I569" s="65">
        <v>0.23</v>
      </c>
      <c r="J569" s="65">
        <v>7.1441269690773135E-2</v>
      </c>
      <c r="K569" s="65">
        <v>7.1441269690773135</v>
      </c>
    </row>
    <row r="573" spans="1:11" x14ac:dyDescent="0.35">
      <c r="A573" s="67" t="s">
        <v>971</v>
      </c>
    </row>
    <row r="574" spans="1:11" x14ac:dyDescent="0.35">
      <c r="C574" t="s">
        <v>978</v>
      </c>
    </row>
    <row r="576" spans="1:11" x14ac:dyDescent="0.35">
      <c r="B576" t="s">
        <v>979</v>
      </c>
      <c r="C576" t="s">
        <v>287</v>
      </c>
      <c r="D576" t="s">
        <v>140</v>
      </c>
      <c r="E576" t="s">
        <v>980</v>
      </c>
    </row>
    <row r="577" spans="1:5" x14ac:dyDescent="0.35">
      <c r="B577">
        <v>1997</v>
      </c>
      <c r="C577">
        <v>874</v>
      </c>
      <c r="D577">
        <v>426</v>
      </c>
      <c r="E577">
        <f>D577/C577</f>
        <v>0.48741418764302058</v>
      </c>
    </row>
    <row r="578" spans="1:5" x14ac:dyDescent="0.35">
      <c r="B578">
        <v>2005</v>
      </c>
      <c r="C578">
        <v>947</v>
      </c>
      <c r="D578">
        <v>464</v>
      </c>
      <c r="E578">
        <f>D578/C578</f>
        <v>0.48996832101372756</v>
      </c>
    </row>
    <row r="579" spans="1:5" x14ac:dyDescent="0.35">
      <c r="B579">
        <v>2015</v>
      </c>
      <c r="C579">
        <v>648</v>
      </c>
      <c r="D579">
        <v>361</v>
      </c>
      <c r="E579">
        <f>D579/C579</f>
        <v>0.5570987654320988</v>
      </c>
    </row>
    <row r="580" spans="1:5" x14ac:dyDescent="0.35">
      <c r="B580" t="s">
        <v>201</v>
      </c>
      <c r="C580">
        <v>2518</v>
      </c>
      <c r="D580">
        <v>1251</v>
      </c>
      <c r="E580">
        <f>D580/C580</f>
        <v>0.49682287529785546</v>
      </c>
    </row>
    <row r="583" spans="1:5" x14ac:dyDescent="0.35">
      <c r="A583" s="67" t="s">
        <v>1052</v>
      </c>
    </row>
    <row r="585" spans="1:5" x14ac:dyDescent="0.35">
      <c r="B585" t="s">
        <v>1061</v>
      </c>
    </row>
    <row r="587" spans="1:5" x14ac:dyDescent="0.35">
      <c r="B587" t="s">
        <v>144</v>
      </c>
      <c r="C587" t="s">
        <v>143</v>
      </c>
      <c r="D587" t="s">
        <v>145</v>
      </c>
    </row>
    <row r="588" spans="1:5" x14ac:dyDescent="0.35">
      <c r="B588">
        <v>2.4</v>
      </c>
      <c r="C588">
        <v>3.3</v>
      </c>
      <c r="D588" s="65">
        <f>B588/C588</f>
        <v>0.72727272727272729</v>
      </c>
    </row>
    <row r="589" spans="1:5" x14ac:dyDescent="0.35">
      <c r="B589">
        <v>13.5</v>
      </c>
      <c r="C589">
        <v>3.1</v>
      </c>
      <c r="D589" s="65">
        <f t="shared" ref="D589:D617" si="47">B589/C589</f>
        <v>4.354838709677419</v>
      </c>
    </row>
    <row r="590" spans="1:5" x14ac:dyDescent="0.35">
      <c r="B590">
        <v>30.5</v>
      </c>
      <c r="C590">
        <v>2.8</v>
      </c>
      <c r="D590" s="65">
        <f t="shared" si="47"/>
        <v>10.892857142857144</v>
      </c>
    </row>
    <row r="591" spans="1:5" x14ac:dyDescent="0.35">
      <c r="B591">
        <v>42.6</v>
      </c>
      <c r="C591">
        <v>4</v>
      </c>
      <c r="D591" s="65">
        <f t="shared" si="47"/>
        <v>10.65</v>
      </c>
    </row>
    <row r="592" spans="1:5" x14ac:dyDescent="0.35">
      <c r="B592">
        <v>66.900000000000006</v>
      </c>
      <c r="C592">
        <v>3</v>
      </c>
      <c r="D592" s="65">
        <f t="shared" si="47"/>
        <v>22.3</v>
      </c>
    </row>
    <row r="593" spans="2:4" x14ac:dyDescent="0.35">
      <c r="B593">
        <v>1.6</v>
      </c>
      <c r="C593">
        <v>5.0999999999999996</v>
      </c>
      <c r="D593" s="65">
        <f t="shared" si="47"/>
        <v>0.31372549019607848</v>
      </c>
    </row>
    <row r="594" spans="2:4" x14ac:dyDescent="0.35">
      <c r="B594">
        <v>11.6</v>
      </c>
      <c r="C594">
        <v>5.6</v>
      </c>
      <c r="D594" s="65">
        <f t="shared" si="47"/>
        <v>2.0714285714285716</v>
      </c>
    </row>
    <row r="595" spans="2:4" x14ac:dyDescent="0.35">
      <c r="B595">
        <v>38.6</v>
      </c>
      <c r="C595">
        <v>5.0999999999999996</v>
      </c>
      <c r="D595" s="65">
        <f t="shared" si="47"/>
        <v>7.5686274509803928</v>
      </c>
    </row>
    <row r="596" spans="2:4" x14ac:dyDescent="0.35">
      <c r="B596">
        <v>43.2</v>
      </c>
      <c r="C596">
        <v>8.3000000000000007</v>
      </c>
      <c r="D596" s="65">
        <f t="shared" si="47"/>
        <v>5.2048192771084336</v>
      </c>
    </row>
    <row r="597" spans="2:4" x14ac:dyDescent="0.35">
      <c r="B597">
        <v>80.099999999999994</v>
      </c>
      <c r="C597">
        <v>6</v>
      </c>
      <c r="D597" s="65">
        <f t="shared" si="47"/>
        <v>13.35</v>
      </c>
    </row>
    <row r="598" spans="2:4" x14ac:dyDescent="0.35">
      <c r="B598">
        <v>17.2</v>
      </c>
      <c r="C598">
        <v>9.1999999999999993</v>
      </c>
      <c r="D598" s="65">
        <f t="shared" si="47"/>
        <v>1.8695652173913044</v>
      </c>
    </row>
    <row r="599" spans="2:4" x14ac:dyDescent="0.35">
      <c r="B599">
        <v>33.1</v>
      </c>
      <c r="C599">
        <v>9</v>
      </c>
      <c r="D599" s="65">
        <f t="shared" si="47"/>
        <v>3.677777777777778</v>
      </c>
    </row>
    <row r="600" spans="2:4" x14ac:dyDescent="0.35">
      <c r="B600">
        <v>45.5</v>
      </c>
      <c r="C600">
        <v>9.1999999999999993</v>
      </c>
      <c r="D600" s="65">
        <f t="shared" si="47"/>
        <v>4.9456521739130439</v>
      </c>
    </row>
    <row r="601" spans="2:4" x14ac:dyDescent="0.35">
      <c r="B601">
        <v>60.7</v>
      </c>
      <c r="C601">
        <v>9.4</v>
      </c>
      <c r="D601" s="65">
        <f t="shared" si="47"/>
        <v>6.457446808510638</v>
      </c>
    </row>
    <row r="602" spans="2:4" x14ac:dyDescent="0.35">
      <c r="B602">
        <v>96.5</v>
      </c>
      <c r="C602">
        <v>9.1</v>
      </c>
      <c r="D602" s="65">
        <f t="shared" si="47"/>
        <v>10.604395604395604</v>
      </c>
    </row>
    <row r="603" spans="2:4" x14ac:dyDescent="0.35">
      <c r="B603">
        <v>25.5</v>
      </c>
      <c r="C603">
        <v>12.3</v>
      </c>
      <c r="D603" s="65">
        <f t="shared" si="47"/>
        <v>2.0731707317073171</v>
      </c>
    </row>
    <row r="604" spans="2:4" x14ac:dyDescent="0.35">
      <c r="B604">
        <v>29.1</v>
      </c>
      <c r="C604">
        <v>12</v>
      </c>
      <c r="D604" s="65">
        <f t="shared" si="47"/>
        <v>2.4250000000000003</v>
      </c>
    </row>
    <row r="605" spans="2:4" x14ac:dyDescent="0.35">
      <c r="B605">
        <v>39.200000000000003</v>
      </c>
      <c r="C605">
        <v>12.7</v>
      </c>
      <c r="D605" s="65">
        <f t="shared" si="47"/>
        <v>3.0866141732283467</v>
      </c>
    </row>
    <row r="606" spans="2:4" x14ac:dyDescent="0.35">
      <c r="B606">
        <v>65.900000000000006</v>
      </c>
      <c r="C606">
        <v>14</v>
      </c>
      <c r="D606" s="65">
        <f t="shared" si="47"/>
        <v>4.7071428571428573</v>
      </c>
    </row>
    <row r="607" spans="2:4" x14ac:dyDescent="0.35">
      <c r="B607">
        <v>114.7</v>
      </c>
      <c r="C607">
        <v>12.9</v>
      </c>
      <c r="D607" s="65">
        <f t="shared" si="47"/>
        <v>8.8914728682170541</v>
      </c>
    </row>
    <row r="608" spans="2:4" x14ac:dyDescent="0.35">
      <c r="B608">
        <v>5.9</v>
      </c>
      <c r="C608">
        <v>6.2</v>
      </c>
      <c r="D608" s="65">
        <f t="shared" si="47"/>
        <v>0.95161290322580649</v>
      </c>
    </row>
    <row r="609" spans="1:9" x14ac:dyDescent="0.35">
      <c r="B609">
        <v>22.2</v>
      </c>
      <c r="C609">
        <v>7.1</v>
      </c>
      <c r="D609" s="65">
        <f t="shared" si="47"/>
        <v>3.126760563380282</v>
      </c>
    </row>
    <row r="610" spans="1:9" x14ac:dyDescent="0.35">
      <c r="B610">
        <v>61.2</v>
      </c>
      <c r="C610">
        <v>8.3000000000000007</v>
      </c>
      <c r="D610" s="65">
        <f t="shared" si="47"/>
        <v>7.3734939759036138</v>
      </c>
    </row>
    <row r="611" spans="1:9" x14ac:dyDescent="0.35">
      <c r="B611">
        <v>107.4</v>
      </c>
      <c r="C611">
        <v>9.1999999999999993</v>
      </c>
      <c r="D611" s="65">
        <f t="shared" si="47"/>
        <v>11.673913043478262</v>
      </c>
    </row>
    <row r="612" spans="1:9" x14ac:dyDescent="0.35">
      <c r="B612">
        <v>148.80000000000001</v>
      </c>
      <c r="C612">
        <v>10.199999999999999</v>
      </c>
      <c r="D612" s="65">
        <f t="shared" si="47"/>
        <v>14.588235294117649</v>
      </c>
    </row>
    <row r="613" spans="1:9" x14ac:dyDescent="0.35">
      <c r="B613">
        <v>6.5</v>
      </c>
      <c r="C613">
        <v>8.5</v>
      </c>
      <c r="D613" s="65">
        <f t="shared" si="47"/>
        <v>0.76470588235294112</v>
      </c>
    </row>
    <row r="614" spans="1:9" x14ac:dyDescent="0.35">
      <c r="B614">
        <v>21.2</v>
      </c>
      <c r="C614">
        <v>9</v>
      </c>
      <c r="D614" s="65">
        <f t="shared" si="47"/>
        <v>2.3555555555555556</v>
      </c>
    </row>
    <row r="615" spans="1:9" x14ac:dyDescent="0.35">
      <c r="B615">
        <v>39.5</v>
      </c>
      <c r="C615">
        <v>16.399999999999999</v>
      </c>
      <c r="D615" s="65">
        <f t="shared" si="47"/>
        <v>2.4085365853658538</v>
      </c>
    </row>
    <row r="616" spans="1:9" x14ac:dyDescent="0.35">
      <c r="B616">
        <v>103.4</v>
      </c>
      <c r="C616">
        <v>16.399999999999999</v>
      </c>
      <c r="D616" s="65">
        <f t="shared" si="47"/>
        <v>6.3048780487804885</v>
      </c>
    </row>
    <row r="617" spans="1:9" x14ac:dyDescent="0.35">
      <c r="B617">
        <v>106.5</v>
      </c>
      <c r="C617">
        <v>18.399999999999999</v>
      </c>
      <c r="D617" s="65">
        <f t="shared" si="47"/>
        <v>5.7880434782608701</v>
      </c>
    </row>
    <row r="620" spans="1:9" x14ac:dyDescent="0.35">
      <c r="A620" s="67" t="s">
        <v>1101</v>
      </c>
    </row>
    <row r="623" spans="1:9" x14ac:dyDescent="0.35">
      <c r="B623" t="s">
        <v>1106</v>
      </c>
      <c r="C623" t="s">
        <v>1107</v>
      </c>
      <c r="D623" t="s">
        <v>1110</v>
      </c>
      <c r="G623" t="s">
        <v>1108</v>
      </c>
      <c r="H623" t="s">
        <v>1111</v>
      </c>
      <c r="I623" t="s">
        <v>1112</v>
      </c>
    </row>
    <row r="624" spans="1:9" x14ac:dyDescent="0.35">
      <c r="B624">
        <v>4.0000000000000001E-3</v>
      </c>
      <c r="C624">
        <v>1.1999999999999999E-3</v>
      </c>
      <c r="D624">
        <f>B624/C624</f>
        <v>3.3333333333333335</v>
      </c>
      <c r="G624" s="65">
        <v>0.4</v>
      </c>
      <c r="H624" s="65">
        <f>G624/I624</f>
        <v>0.12</v>
      </c>
      <c r="I624" s="65">
        <v>3.3333333333333335</v>
      </c>
    </row>
    <row r="625" spans="2:9" x14ac:dyDescent="0.3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35">
      <c r="B626">
        <v>2.52E-2</v>
      </c>
      <c r="C626">
        <v>2.5000000000000001E-3</v>
      </c>
      <c r="D626">
        <f t="shared" si="48"/>
        <v>10.08</v>
      </c>
      <c r="G626" s="65">
        <v>0.71</v>
      </c>
      <c r="H626" s="65">
        <f t="shared" si="49"/>
        <v>7.0436507936507936E-2</v>
      </c>
      <c r="I626" s="65">
        <v>10.08</v>
      </c>
    </row>
    <row r="627" spans="2:9" x14ac:dyDescent="0.35">
      <c r="B627">
        <v>2.2700000000000001E-2</v>
      </c>
      <c r="C627">
        <v>1.9E-3</v>
      </c>
      <c r="D627">
        <f t="shared" si="48"/>
        <v>11.947368421052632</v>
      </c>
      <c r="G627" s="65">
        <v>1.47</v>
      </c>
      <c r="H627" s="65">
        <f t="shared" si="49"/>
        <v>0.1230396475770925</v>
      </c>
      <c r="I627" s="65">
        <v>11.947368421052632</v>
      </c>
    </row>
    <row r="628" spans="2:9" x14ac:dyDescent="0.35">
      <c r="B628">
        <v>6.7000000000000004E-2</v>
      </c>
      <c r="C628">
        <v>2.3E-3</v>
      </c>
      <c r="D628">
        <f t="shared" si="48"/>
        <v>29.130434782608699</v>
      </c>
      <c r="G628" s="65">
        <v>2.87</v>
      </c>
      <c r="H628" s="65">
        <f t="shared" si="49"/>
        <v>9.8522388059701482E-2</v>
      </c>
      <c r="I628" s="65">
        <v>29.130434782608699</v>
      </c>
    </row>
    <row r="629" spans="2:9" x14ac:dyDescent="0.35">
      <c r="B629">
        <v>1.95E-2</v>
      </c>
      <c r="C629">
        <v>3.5000000000000001E-3</v>
      </c>
      <c r="D629">
        <f t="shared" si="48"/>
        <v>5.5714285714285712</v>
      </c>
      <c r="G629" s="65">
        <v>3.74</v>
      </c>
      <c r="H629" s="65">
        <f t="shared" si="49"/>
        <v>0.67128205128205132</v>
      </c>
      <c r="I629" s="65">
        <v>5.5714285714285712</v>
      </c>
    </row>
    <row r="630" spans="2:9" x14ac:dyDescent="0.35">
      <c r="B630">
        <v>1.4800000000000001E-2</v>
      </c>
      <c r="C630">
        <v>3.3E-3</v>
      </c>
      <c r="D630">
        <f t="shared" si="48"/>
        <v>4.4848484848484853</v>
      </c>
      <c r="G630" s="65">
        <v>4.59</v>
      </c>
      <c r="H630" s="65">
        <f t="shared" si="49"/>
        <v>1.0234459459459457</v>
      </c>
      <c r="I630" s="65">
        <v>4.4848484848484853</v>
      </c>
    </row>
    <row r="631" spans="2:9" x14ac:dyDescent="0.35">
      <c r="B631">
        <v>3.4500000000000003E-2</v>
      </c>
      <c r="C631">
        <v>2.7000000000000001E-3</v>
      </c>
      <c r="D631">
        <f t="shared" si="48"/>
        <v>12.777777777777779</v>
      </c>
      <c r="G631" s="65">
        <v>5.0599999999999996</v>
      </c>
      <c r="H631" s="65">
        <f t="shared" si="49"/>
        <v>0.39599999999999996</v>
      </c>
      <c r="I631" s="65">
        <v>12.777777777777779</v>
      </c>
    </row>
    <row r="633" spans="2:9" x14ac:dyDescent="0.35">
      <c r="G633" t="s">
        <v>1109</v>
      </c>
      <c r="H633" t="s">
        <v>1113</v>
      </c>
      <c r="I633" t="s">
        <v>1114</v>
      </c>
    </row>
    <row r="634" spans="2:9" x14ac:dyDescent="0.35">
      <c r="G634" s="65">
        <v>0.4</v>
      </c>
      <c r="H634" s="65">
        <f>G634/I634</f>
        <v>0.12</v>
      </c>
      <c r="I634" s="65">
        <v>3.3333333333333335</v>
      </c>
    </row>
    <row r="635" spans="2:9" x14ac:dyDescent="0.35">
      <c r="G635" s="65">
        <v>0.8</v>
      </c>
      <c r="H635" s="65">
        <f t="shared" ref="H635:H641" si="50">G635/I635</f>
        <v>0.19000000000000003</v>
      </c>
      <c r="I635" s="65">
        <v>4.2105263157894735</v>
      </c>
    </row>
    <row r="636" spans="2:9" x14ac:dyDescent="0.35">
      <c r="G636" s="65">
        <v>1.77</v>
      </c>
      <c r="H636" s="65">
        <f t="shared" si="50"/>
        <v>0.17559523809523808</v>
      </c>
      <c r="I636" s="65">
        <v>10.08</v>
      </c>
    </row>
    <row r="637" spans="2:9" x14ac:dyDescent="0.35">
      <c r="G637" s="65">
        <v>2.8</v>
      </c>
      <c r="H637" s="65">
        <f t="shared" si="50"/>
        <v>0.23436123348017618</v>
      </c>
      <c r="I637" s="65">
        <v>11.947368421052632</v>
      </c>
    </row>
    <row r="638" spans="2:9" x14ac:dyDescent="0.35">
      <c r="G638" s="65">
        <v>4.78</v>
      </c>
      <c r="H638" s="65">
        <f t="shared" si="50"/>
        <v>0.16408955223880595</v>
      </c>
      <c r="I638" s="65">
        <v>29.130434782608699</v>
      </c>
    </row>
    <row r="639" spans="2:9" x14ac:dyDescent="0.35">
      <c r="G639" s="65">
        <v>5.77</v>
      </c>
      <c r="H639" s="65">
        <f t="shared" si="50"/>
        <v>1.0356410256410256</v>
      </c>
      <c r="I639" s="65">
        <v>5.5714285714285712</v>
      </c>
    </row>
    <row r="640" spans="2:9" x14ac:dyDescent="0.35">
      <c r="G640" s="65">
        <v>6.69</v>
      </c>
      <c r="H640" s="65">
        <f t="shared" si="50"/>
        <v>1.491689189189189</v>
      </c>
      <c r="I640" s="65">
        <v>4.4848484848484853</v>
      </c>
    </row>
    <row r="641" spans="1:9" x14ac:dyDescent="0.35">
      <c r="G641" s="65">
        <v>6.96</v>
      </c>
      <c r="H641" s="65">
        <f t="shared" si="50"/>
        <v>0.54469565217391303</v>
      </c>
      <c r="I641" s="65">
        <v>12.777777777777779</v>
      </c>
    </row>
    <row r="646" spans="1:9" x14ac:dyDescent="0.35">
      <c r="A646" s="67" t="s">
        <v>1115</v>
      </c>
    </row>
    <row r="648" spans="1:9" x14ac:dyDescent="0.35">
      <c r="C648" t="s">
        <v>1119</v>
      </c>
    </row>
    <row r="651" spans="1:9" x14ac:dyDescent="0.35">
      <c r="D651" t="s">
        <v>151</v>
      </c>
      <c r="E651" t="s">
        <v>141</v>
      </c>
      <c r="F651" t="s">
        <v>1125</v>
      </c>
    </row>
    <row r="652" spans="1:9" x14ac:dyDescent="0.35">
      <c r="C652" t="s">
        <v>162</v>
      </c>
      <c r="D652">
        <v>1991</v>
      </c>
      <c r="E652">
        <v>6</v>
      </c>
      <c r="F652">
        <v>4.2</v>
      </c>
    </row>
    <row r="653" spans="1:9" x14ac:dyDescent="0.35">
      <c r="C653" t="s">
        <v>1120</v>
      </c>
      <c r="D653">
        <v>1991</v>
      </c>
      <c r="E653">
        <v>7</v>
      </c>
      <c r="F653">
        <v>18.399999999999999</v>
      </c>
      <c r="H653" t="s">
        <v>1129</v>
      </c>
      <c r="I653" s="65">
        <f>SUMPRODUCT(E652:E658,F652:F658)/100</f>
        <v>10.900500000000001</v>
      </c>
    </row>
    <row r="654" spans="1:9" x14ac:dyDescent="0.35">
      <c r="C654" t="s">
        <v>1121</v>
      </c>
      <c r="D654">
        <v>1991</v>
      </c>
      <c r="E654">
        <v>10</v>
      </c>
      <c r="F654">
        <v>19.399999999999999</v>
      </c>
      <c r="H654" t="s">
        <v>1126</v>
      </c>
      <c r="I654" s="65">
        <f>SUMPRODUCT(E660:E665,F660:F665)/100</f>
        <v>11.75</v>
      </c>
    </row>
    <row r="655" spans="1:9" x14ac:dyDescent="0.35">
      <c r="C655" t="s">
        <v>1122</v>
      </c>
      <c r="D655">
        <v>1991</v>
      </c>
      <c r="E655">
        <v>12</v>
      </c>
      <c r="F655">
        <v>18.7</v>
      </c>
      <c r="H655" t="s">
        <v>1127</v>
      </c>
      <c r="I655" s="65">
        <f>SUMPRODUCT(E666:E672,F666:F672)/100</f>
        <v>11.290999999999999</v>
      </c>
    </row>
    <row r="656" spans="1:9" x14ac:dyDescent="0.35">
      <c r="C656" t="s">
        <v>1123</v>
      </c>
      <c r="D656">
        <v>1991</v>
      </c>
      <c r="E656">
        <v>12</v>
      </c>
      <c r="F656">
        <v>22.6</v>
      </c>
    </row>
    <row r="657" spans="3:12" x14ac:dyDescent="0.35">
      <c r="C657" t="s">
        <v>1124</v>
      </c>
      <c r="D657">
        <v>1991</v>
      </c>
      <c r="E657">
        <v>13.5</v>
      </c>
      <c r="F657">
        <v>1.7</v>
      </c>
    </row>
    <row r="658" spans="3:12" x14ac:dyDescent="0.35">
      <c r="C658" t="s">
        <v>39</v>
      </c>
      <c r="D658">
        <v>1991</v>
      </c>
      <c r="E658">
        <v>15</v>
      </c>
      <c r="F658">
        <v>14.9</v>
      </c>
      <c r="H658" t="s">
        <v>1128</v>
      </c>
      <c r="I658" t="s">
        <v>216</v>
      </c>
      <c r="J658" t="s">
        <v>37</v>
      </c>
      <c r="K658" t="s">
        <v>38</v>
      </c>
      <c r="L658" t="s">
        <v>39</v>
      </c>
    </row>
    <row r="659" spans="3:12" x14ac:dyDescent="0.35">
      <c r="C659" t="s">
        <v>162</v>
      </c>
      <c r="D659">
        <v>1993</v>
      </c>
      <c r="E659">
        <v>6</v>
      </c>
      <c r="F659">
        <v>2.6</v>
      </c>
      <c r="H659">
        <v>1991</v>
      </c>
      <c r="I659">
        <f>100-J659-K659-L659</f>
        <v>2.2000000000000011</v>
      </c>
      <c r="J659">
        <f>F653+F652/2</f>
        <v>20.5</v>
      </c>
      <c r="K659">
        <f>F654+F655+F656+F657</f>
        <v>62.4</v>
      </c>
      <c r="L659">
        <f>F658</f>
        <v>14.9</v>
      </c>
    </row>
    <row r="660" spans="3:12" x14ac:dyDescent="0.35">
      <c r="C660" t="s">
        <v>1120</v>
      </c>
      <c r="D660">
        <v>1993</v>
      </c>
      <c r="E660">
        <v>7</v>
      </c>
      <c r="F660">
        <v>5.9</v>
      </c>
      <c r="H660">
        <v>1993</v>
      </c>
      <c r="I660">
        <f>100-J660-K660-L660</f>
        <v>1.3000000000000043</v>
      </c>
      <c r="J660">
        <f>F660+F659/2</f>
        <v>7.2</v>
      </c>
      <c r="K660">
        <f>F661+F662+F663+F664</f>
        <v>68.599999999999994</v>
      </c>
      <c r="L660">
        <f>F665</f>
        <v>22.9</v>
      </c>
    </row>
    <row r="661" spans="3:12" x14ac:dyDescent="0.35">
      <c r="C661" t="s">
        <v>1121</v>
      </c>
      <c r="D661">
        <v>1993</v>
      </c>
      <c r="E661">
        <v>10</v>
      </c>
      <c r="F661">
        <v>18</v>
      </c>
      <c r="H661">
        <v>1994</v>
      </c>
      <c r="I661">
        <f>100-J661-K661-L661</f>
        <v>1.3500000000000032</v>
      </c>
      <c r="J661">
        <f>F667+F666/2</f>
        <v>12.75</v>
      </c>
      <c r="K661">
        <f>F668+F669+F670+F671</f>
        <v>72.8</v>
      </c>
      <c r="L661">
        <f>F672</f>
        <v>13.1</v>
      </c>
    </row>
    <row r="662" spans="3:12" x14ac:dyDescent="0.35">
      <c r="C662" t="s">
        <v>1122</v>
      </c>
      <c r="D662">
        <v>1993</v>
      </c>
      <c r="E662">
        <v>12</v>
      </c>
      <c r="F662">
        <v>17.100000000000001</v>
      </c>
    </row>
    <row r="663" spans="3:12" x14ac:dyDescent="0.35">
      <c r="C663" t="s">
        <v>1123</v>
      </c>
      <c r="D663">
        <v>1993</v>
      </c>
      <c r="E663">
        <v>12</v>
      </c>
      <c r="F663">
        <v>31.5</v>
      </c>
      <c r="H663" t="s">
        <v>1130</v>
      </c>
      <c r="I663" t="s">
        <v>216</v>
      </c>
      <c r="J663" t="s">
        <v>37</v>
      </c>
      <c r="K663" t="s">
        <v>38</v>
      </c>
      <c r="L663" t="s">
        <v>39</v>
      </c>
    </row>
    <row r="664" spans="3:12" x14ac:dyDescent="0.3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3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3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35">
      <c r="C667" t="s">
        <v>1120</v>
      </c>
      <c r="D667">
        <v>1994</v>
      </c>
      <c r="E667">
        <v>7</v>
      </c>
      <c r="F667">
        <v>11.3</v>
      </c>
    </row>
    <row r="668" spans="3:12" x14ac:dyDescent="0.35">
      <c r="C668" t="s">
        <v>1121</v>
      </c>
      <c r="D668">
        <v>1994</v>
      </c>
      <c r="E668">
        <v>10</v>
      </c>
      <c r="F668">
        <v>20.100000000000001</v>
      </c>
    </row>
    <row r="669" spans="3:12" x14ac:dyDescent="0.35">
      <c r="C669" t="s">
        <v>1122</v>
      </c>
      <c r="D669">
        <v>1994</v>
      </c>
      <c r="E669">
        <v>12</v>
      </c>
      <c r="F669">
        <v>19.8</v>
      </c>
    </row>
    <row r="670" spans="3:12" x14ac:dyDescent="0.35">
      <c r="C670" t="s">
        <v>1123</v>
      </c>
      <c r="D670">
        <v>1994</v>
      </c>
      <c r="E670">
        <v>12</v>
      </c>
      <c r="F670">
        <v>31.1</v>
      </c>
    </row>
    <row r="671" spans="3:12" x14ac:dyDescent="0.35">
      <c r="C671" t="s">
        <v>1124</v>
      </c>
      <c r="D671">
        <v>1994</v>
      </c>
      <c r="E671">
        <v>13.5</v>
      </c>
      <c r="F671">
        <v>1.8</v>
      </c>
    </row>
    <row r="672" spans="3:12" x14ac:dyDescent="0.35">
      <c r="C672" t="s">
        <v>39</v>
      </c>
      <c r="D672">
        <v>1994</v>
      </c>
      <c r="E672">
        <v>15</v>
      </c>
      <c r="F672">
        <v>13.1</v>
      </c>
    </row>
    <row r="677" spans="1:11" x14ac:dyDescent="0.35">
      <c r="A677" s="67" t="s">
        <v>1131</v>
      </c>
      <c r="C677" t="s">
        <v>207</v>
      </c>
    </row>
    <row r="679" spans="1:11" x14ac:dyDescent="0.35">
      <c r="B679" t="s">
        <v>1141</v>
      </c>
      <c r="C679" t="s">
        <v>1140</v>
      </c>
      <c r="D679" t="s">
        <v>1150</v>
      </c>
      <c r="E679" t="s">
        <v>141</v>
      </c>
      <c r="F679" t="s">
        <v>1139</v>
      </c>
      <c r="G679" t="s">
        <v>143</v>
      </c>
      <c r="I679" t="s">
        <v>144</v>
      </c>
      <c r="J679" t="s">
        <v>143</v>
      </c>
      <c r="K679" t="s">
        <v>145</v>
      </c>
    </row>
    <row r="680" spans="1:11" x14ac:dyDescent="0.35">
      <c r="B680">
        <v>2</v>
      </c>
      <c r="C680" t="s">
        <v>1136</v>
      </c>
      <c r="D680">
        <v>1</v>
      </c>
      <c r="E680">
        <v>6</v>
      </c>
      <c r="F680">
        <v>9.6799999999999997E-2</v>
      </c>
      <c r="G680">
        <v>4.0000000000000001E-3</v>
      </c>
      <c r="I680" s="65">
        <v>1.5518657789766801</v>
      </c>
      <c r="J680" s="65">
        <v>6.1726152309127563E-2</v>
      </c>
      <c r="K680" s="65">
        <v>25.141139062173529</v>
      </c>
    </row>
    <row r="681" spans="1:11" x14ac:dyDescent="0.35">
      <c r="B681">
        <v>2</v>
      </c>
      <c r="C681" t="s">
        <v>1137</v>
      </c>
      <c r="D681">
        <v>2</v>
      </c>
      <c r="E681">
        <v>2</v>
      </c>
      <c r="F681">
        <v>0.13699999999999998</v>
      </c>
      <c r="G681">
        <v>4.0000000000000001E-3</v>
      </c>
      <c r="I681" s="65">
        <v>1.990195607224909</v>
      </c>
      <c r="J681" s="65">
        <v>0.27732343367972001</v>
      </c>
      <c r="K681" s="65">
        <v>7.176442253067516</v>
      </c>
    </row>
    <row r="682" spans="1:11" x14ac:dyDescent="0.35">
      <c r="B682">
        <v>2</v>
      </c>
      <c r="C682" t="s">
        <v>1138</v>
      </c>
      <c r="D682">
        <v>2</v>
      </c>
      <c r="E682">
        <v>4</v>
      </c>
      <c r="F682">
        <v>0.26899999999999996</v>
      </c>
      <c r="G682">
        <v>5.0000000000000001E-3</v>
      </c>
      <c r="I682" s="65">
        <v>4.0519992789316728</v>
      </c>
      <c r="J682" s="65">
        <v>0.14209560623960771</v>
      </c>
      <c r="K682" s="65">
        <v>28.516006836263589</v>
      </c>
    </row>
    <row r="683" spans="1:11" x14ac:dyDescent="0.35">
      <c r="B683">
        <v>3</v>
      </c>
      <c r="C683" t="s">
        <v>1136</v>
      </c>
      <c r="D683">
        <v>1</v>
      </c>
      <c r="E683">
        <v>6</v>
      </c>
      <c r="F683">
        <v>0.10300000000000001</v>
      </c>
      <c r="G683">
        <v>4.0000000000000001E-3</v>
      </c>
      <c r="I683" s="65">
        <v>1.647316742310911</v>
      </c>
      <c r="J683" s="65">
        <v>6.1436879264013852E-2</v>
      </c>
      <c r="K683" s="65">
        <v>26.813157862915961</v>
      </c>
    </row>
    <row r="684" spans="1:11" x14ac:dyDescent="0.35">
      <c r="B684">
        <v>3</v>
      </c>
      <c r="C684" t="s">
        <v>1137</v>
      </c>
      <c r="D684">
        <v>2</v>
      </c>
      <c r="E684">
        <v>2</v>
      </c>
      <c r="F684">
        <v>0.14499999999999999</v>
      </c>
      <c r="G684">
        <v>4.0000000000000001E-3</v>
      </c>
      <c r="I684" s="65">
        <v>2.0784012413987529</v>
      </c>
      <c r="J684" s="65">
        <v>0.27708379934922978</v>
      </c>
      <c r="K684" s="65">
        <v>7.5009843458194601</v>
      </c>
    </row>
    <row r="685" spans="1:11" x14ac:dyDescent="0.35">
      <c r="B685">
        <v>3</v>
      </c>
      <c r="C685" t="s">
        <v>1138</v>
      </c>
      <c r="D685">
        <v>2</v>
      </c>
      <c r="E685">
        <v>4</v>
      </c>
      <c r="F685">
        <v>0.28399999999999997</v>
      </c>
      <c r="G685">
        <v>5.0000000000000001E-3</v>
      </c>
      <c r="I685" s="65">
        <v>4.2467380281883349</v>
      </c>
      <c r="J685" s="65">
        <v>0.14130076522895971</v>
      </c>
      <c r="K685" s="65">
        <v>30.054600350585819</v>
      </c>
    </row>
    <row r="686" spans="1:11" x14ac:dyDescent="0.35">
      <c r="B686">
        <v>4</v>
      </c>
      <c r="C686" t="s">
        <v>1136</v>
      </c>
      <c r="D686">
        <v>1</v>
      </c>
      <c r="E686">
        <v>6</v>
      </c>
      <c r="F686">
        <v>9.9399999999999988E-2</v>
      </c>
      <c r="G686">
        <v>4.0000000000000001E-3</v>
      </c>
      <c r="I686" s="65">
        <v>1.5919482059154391</v>
      </c>
      <c r="J686" s="65">
        <v>6.160448014426987E-2</v>
      </c>
      <c r="K686" s="65">
        <v>25.841435593438959</v>
      </c>
    </row>
    <row r="687" spans="1:11" x14ac:dyDescent="0.35">
      <c r="B687">
        <v>4</v>
      </c>
      <c r="C687" t="s">
        <v>1137</v>
      </c>
      <c r="D687">
        <v>2</v>
      </c>
      <c r="E687">
        <v>2</v>
      </c>
      <c r="F687">
        <v>0.13900000000000001</v>
      </c>
      <c r="G687">
        <v>4.0000000000000001E-3</v>
      </c>
      <c r="I687" s="65">
        <v>1.9607767722470859</v>
      </c>
      <c r="J687" s="65">
        <v>0.27740345006042222</v>
      </c>
      <c r="K687" s="65">
        <v>7.0683215072487462</v>
      </c>
    </row>
    <row r="688" spans="1:11" x14ac:dyDescent="0.35">
      <c r="B688">
        <v>4</v>
      </c>
      <c r="C688" t="s">
        <v>1138</v>
      </c>
      <c r="D688">
        <v>2</v>
      </c>
      <c r="E688">
        <v>4</v>
      </c>
      <c r="F688">
        <v>0.27699999999999997</v>
      </c>
      <c r="G688">
        <v>5.0000000000000001E-3</v>
      </c>
      <c r="I688" s="65">
        <v>4.1716274856087088</v>
      </c>
      <c r="J688" s="65">
        <v>0.14160663060587789</v>
      </c>
      <c r="K688" s="65">
        <v>29.45926661597689</v>
      </c>
    </row>
    <row r="689" spans="1:11" x14ac:dyDescent="0.35">
      <c r="B689" t="s">
        <v>1142</v>
      </c>
      <c r="C689" t="s">
        <v>1136</v>
      </c>
      <c r="D689">
        <v>1</v>
      </c>
      <c r="E689">
        <v>6</v>
      </c>
      <c r="F689">
        <v>5.5E-2</v>
      </c>
      <c r="G689">
        <v>0.01</v>
      </c>
      <c r="I689" s="65">
        <v>0.89633939252906636</v>
      </c>
      <c r="J689" s="65">
        <v>0.15939390109404281</v>
      </c>
      <c r="K689" s="65">
        <v>5.6234233956054824</v>
      </c>
    </row>
    <row r="690" spans="1:11" x14ac:dyDescent="0.35">
      <c r="B690" t="s">
        <v>1142</v>
      </c>
      <c r="C690" t="s">
        <v>1137</v>
      </c>
      <c r="D690">
        <v>2</v>
      </c>
      <c r="E690">
        <v>2</v>
      </c>
      <c r="F690">
        <v>0.11</v>
      </c>
      <c r="G690">
        <v>1.2E-2</v>
      </c>
      <c r="I690" s="65">
        <v>2.713192920870688</v>
      </c>
      <c r="J690" s="65">
        <v>0.76039401111049088</v>
      </c>
      <c r="K690" s="65">
        <v>3.568140833866249</v>
      </c>
    </row>
    <row r="691" spans="1:11" x14ac:dyDescent="0.35">
      <c r="B691" t="s">
        <v>1142</v>
      </c>
      <c r="C691" t="s">
        <v>1138</v>
      </c>
      <c r="D691">
        <v>2</v>
      </c>
      <c r="E691">
        <v>4</v>
      </c>
      <c r="F691">
        <v>0.21899999999999997</v>
      </c>
      <c r="G691">
        <v>1.7000000000000001E-2</v>
      </c>
      <c r="I691" s="65">
        <v>3.869548797561162</v>
      </c>
      <c r="J691" s="65">
        <v>0.43999736343249979</v>
      </c>
      <c r="K691" s="65">
        <v>8.7944817836500313</v>
      </c>
    </row>
    <row r="692" spans="1:11" x14ac:dyDescent="0.35">
      <c r="B692" t="s">
        <v>1143</v>
      </c>
      <c r="C692" t="s">
        <v>1136</v>
      </c>
      <c r="D692">
        <v>1</v>
      </c>
      <c r="E692">
        <v>6</v>
      </c>
      <c r="F692">
        <v>6.0999999999999999E-2</v>
      </c>
      <c r="G692">
        <v>0.01</v>
      </c>
      <c r="I692" s="65">
        <v>0.99174989126973312</v>
      </c>
      <c r="J692" s="65">
        <v>0.1586423969388466</v>
      </c>
      <c r="K692" s="65">
        <v>6.2514807542401956</v>
      </c>
    </row>
    <row r="693" spans="1:11" x14ac:dyDescent="0.35">
      <c r="B693" t="s">
        <v>1143</v>
      </c>
      <c r="C693" t="s">
        <v>1137</v>
      </c>
      <c r="D693">
        <v>2</v>
      </c>
      <c r="E693">
        <v>2</v>
      </c>
      <c r="F693">
        <v>0.122</v>
      </c>
      <c r="G693">
        <v>1.2E-2</v>
      </c>
      <c r="I693" s="65">
        <v>3.0048542545447088</v>
      </c>
      <c r="J693" s="65">
        <v>0.75824093266575887</v>
      </c>
      <c r="K693" s="65">
        <v>3.962928041856693</v>
      </c>
    </row>
    <row r="694" spans="1:11" x14ac:dyDescent="0.35">
      <c r="B694" t="s">
        <v>1143</v>
      </c>
      <c r="C694" t="s">
        <v>1138</v>
      </c>
      <c r="D694">
        <v>2</v>
      </c>
      <c r="E694">
        <v>4</v>
      </c>
      <c r="F694">
        <v>0.24600000000000002</v>
      </c>
      <c r="G694">
        <v>1.7000000000000001E-2</v>
      </c>
      <c r="I694" s="65">
        <v>4.3348960249571578</v>
      </c>
      <c r="J694" s="65">
        <v>0.43413624601176892</v>
      </c>
      <c r="K694" s="65">
        <v>9.9851050557977228</v>
      </c>
    </row>
    <row r="695" spans="1:11" x14ac:dyDescent="0.35">
      <c r="B695">
        <v>5</v>
      </c>
      <c r="C695" t="s">
        <v>1136</v>
      </c>
      <c r="D695">
        <v>1</v>
      </c>
      <c r="E695">
        <v>6</v>
      </c>
      <c r="F695">
        <v>4.8000000000000001E-2</v>
      </c>
      <c r="G695">
        <v>9.0000000000000011E-3</v>
      </c>
      <c r="I695" s="65">
        <v>0.78445394139614599</v>
      </c>
      <c r="J695" s="65">
        <v>0.14425255812222729</v>
      </c>
      <c r="K695" s="65">
        <v>5.4380591346703646</v>
      </c>
    </row>
    <row r="696" spans="1:11" x14ac:dyDescent="0.35">
      <c r="B696">
        <v>5</v>
      </c>
      <c r="C696" t="s">
        <v>1137</v>
      </c>
      <c r="D696">
        <v>2</v>
      </c>
      <c r="E696">
        <v>2</v>
      </c>
      <c r="F696">
        <v>0.10800000000000001</v>
      </c>
      <c r="G696">
        <v>1.1000000000000001E-2</v>
      </c>
      <c r="I696" s="65">
        <v>2.9563014098699991</v>
      </c>
      <c r="J696" s="65">
        <v>0.69022829146567344</v>
      </c>
      <c r="K696" s="65">
        <v>4.2830777098290271</v>
      </c>
    </row>
    <row r="697" spans="1:11" x14ac:dyDescent="0.35">
      <c r="B697">
        <v>5</v>
      </c>
      <c r="C697" t="s">
        <v>1138</v>
      </c>
      <c r="D697">
        <v>2</v>
      </c>
      <c r="E697">
        <v>4</v>
      </c>
      <c r="F697">
        <v>0.22399999999999998</v>
      </c>
      <c r="G697">
        <v>1.6E-2</v>
      </c>
      <c r="I697" s="65">
        <v>4.1362250582416937</v>
      </c>
      <c r="J697" s="65">
        <v>0.40639604033110932</v>
      </c>
      <c r="K697" s="65">
        <v>10.177818304705241</v>
      </c>
    </row>
    <row r="698" spans="1:11" x14ac:dyDescent="0.35">
      <c r="B698">
        <v>6</v>
      </c>
      <c r="C698" t="s">
        <v>1136</v>
      </c>
      <c r="D698">
        <v>1</v>
      </c>
      <c r="E698">
        <v>6</v>
      </c>
      <c r="F698">
        <v>5.2999999999999999E-2</v>
      </c>
      <c r="G698">
        <v>1.1000000000000001E-2</v>
      </c>
      <c r="I698" s="65">
        <v>0.86443540238798633</v>
      </c>
      <c r="J698" s="65">
        <v>0.17561076122606331</v>
      </c>
      <c r="K698" s="65">
        <v>4.922451200329351</v>
      </c>
    </row>
    <row r="699" spans="1:11" x14ac:dyDescent="0.35">
      <c r="B699">
        <v>6</v>
      </c>
      <c r="C699" t="s">
        <v>1137</v>
      </c>
      <c r="D699">
        <v>2</v>
      </c>
      <c r="E699">
        <v>2</v>
      </c>
      <c r="F699">
        <v>0.12</v>
      </c>
      <c r="G699">
        <v>1.3000000000000001E-2</v>
      </c>
      <c r="I699" s="65">
        <v>3.2956920689338309</v>
      </c>
      <c r="J699" s="65">
        <v>0.82430283513478619</v>
      </c>
      <c r="K699" s="65">
        <v>3.998156901152639</v>
      </c>
    </row>
    <row r="700" spans="1:11" x14ac:dyDescent="0.35">
      <c r="B700">
        <v>6</v>
      </c>
      <c r="C700" t="s">
        <v>1138</v>
      </c>
      <c r="D700">
        <v>2</v>
      </c>
      <c r="E700">
        <v>4</v>
      </c>
      <c r="F700">
        <v>0.22600000000000001</v>
      </c>
      <c r="G700">
        <v>1.8000000000000002E-2</v>
      </c>
      <c r="I700" s="65">
        <v>4.0697480214584081</v>
      </c>
      <c r="J700" s="65">
        <v>0.46789295386537472</v>
      </c>
      <c r="K700" s="65">
        <v>8.6980322910128365</v>
      </c>
    </row>
    <row r="704" spans="1:11" x14ac:dyDescent="0.35">
      <c r="A704" s="67" t="s">
        <v>1144</v>
      </c>
      <c r="C704" t="s">
        <v>1149</v>
      </c>
    </row>
    <row r="708" spans="3:11" x14ac:dyDescent="0.35">
      <c r="C708" t="s">
        <v>151</v>
      </c>
      <c r="D708" t="s">
        <v>1150</v>
      </c>
      <c r="E708" t="s">
        <v>141</v>
      </c>
      <c r="F708" t="s">
        <v>1139</v>
      </c>
      <c r="G708" t="s">
        <v>143</v>
      </c>
      <c r="I708" t="s">
        <v>144</v>
      </c>
      <c r="J708" t="s">
        <v>143</v>
      </c>
      <c r="K708" t="s">
        <v>145</v>
      </c>
    </row>
    <row r="709" spans="3:11" x14ac:dyDescent="0.35">
      <c r="C709">
        <v>1980</v>
      </c>
      <c r="D709" t="s">
        <v>1151</v>
      </c>
      <c r="E709">
        <v>4</v>
      </c>
      <c r="F709">
        <v>0.23630000000000001</v>
      </c>
      <c r="G709">
        <v>7.7999999999999996E-3</v>
      </c>
      <c r="I709" s="65">
        <v>5.4462081991112576</v>
      </c>
      <c r="J709" s="65">
        <v>0.16631894037714709</v>
      </c>
      <c r="K709" s="65">
        <v>32.745568164163153</v>
      </c>
    </row>
    <row r="710" spans="3:11" x14ac:dyDescent="0.35">
      <c r="C710">
        <v>1981</v>
      </c>
      <c r="D710" t="s">
        <v>1151</v>
      </c>
      <c r="E710">
        <v>4</v>
      </c>
      <c r="F710">
        <v>0.24310000000000001</v>
      </c>
      <c r="G710">
        <v>8.6999999999999994E-3</v>
      </c>
      <c r="I710" s="65">
        <v>5.5909060847234127</v>
      </c>
      <c r="J710" s="65">
        <v>0.1847479854671977</v>
      </c>
      <c r="K710" s="65">
        <v>30.26233856128346</v>
      </c>
    </row>
    <row r="711" spans="3:11" x14ac:dyDescent="0.35">
      <c r="C711">
        <v>1982</v>
      </c>
      <c r="D711" t="s">
        <v>1151</v>
      </c>
      <c r="E711">
        <v>4</v>
      </c>
      <c r="F711">
        <v>0.28349999999999997</v>
      </c>
      <c r="G711">
        <v>8.8000000000000005E-3</v>
      </c>
      <c r="I711" s="65">
        <v>6.4385545770590191</v>
      </c>
      <c r="J711" s="65">
        <v>0.18244239974252419</v>
      </c>
      <c r="K711" s="65">
        <v>35.290889541825628</v>
      </c>
    </row>
    <row r="712" spans="3:11" x14ac:dyDescent="0.35">
      <c r="C712">
        <v>1983</v>
      </c>
      <c r="D712" t="s">
        <v>1151</v>
      </c>
      <c r="E712">
        <v>4</v>
      </c>
      <c r="F712">
        <v>0.30230000000000001</v>
      </c>
      <c r="G712">
        <v>8.6E-3</v>
      </c>
      <c r="I712" s="65">
        <v>6.8261951066597826</v>
      </c>
      <c r="J712" s="65">
        <v>0.17636206671221569</v>
      </c>
      <c r="K712" s="65">
        <v>38.705574469132522</v>
      </c>
    </row>
    <row r="713" spans="3:11" x14ac:dyDescent="0.35">
      <c r="C713">
        <v>1984</v>
      </c>
      <c r="D713" t="s">
        <v>1151</v>
      </c>
      <c r="E713">
        <v>4</v>
      </c>
      <c r="F713">
        <v>0.30880000000000002</v>
      </c>
      <c r="G713">
        <v>8.3999999999999995E-3</v>
      </c>
      <c r="I713" s="65">
        <v>6.9592432511565328</v>
      </c>
      <c r="J713" s="65">
        <v>0.17161859017988129</v>
      </c>
      <c r="K713" s="65">
        <v>40.550637572900627</v>
      </c>
    </row>
    <row r="714" spans="3:11" x14ac:dyDescent="0.35">
      <c r="C714">
        <v>1985</v>
      </c>
      <c r="D714" t="s">
        <v>1151</v>
      </c>
      <c r="E714">
        <v>4</v>
      </c>
      <c r="F714">
        <v>0.33189999999999997</v>
      </c>
      <c r="G714">
        <v>8.3999999999999995E-3</v>
      </c>
      <c r="I714" s="65">
        <v>7.4281024662567594</v>
      </c>
      <c r="J714" s="65">
        <v>0.16938134633166091</v>
      </c>
      <c r="K714" s="65">
        <v>43.854312337983167</v>
      </c>
    </row>
    <row r="715" spans="3:11" x14ac:dyDescent="0.35">
      <c r="C715">
        <v>1986</v>
      </c>
      <c r="D715" t="s">
        <v>1151</v>
      </c>
      <c r="E715">
        <v>4</v>
      </c>
      <c r="F715">
        <v>0.3367</v>
      </c>
      <c r="G715">
        <v>8.6E-3</v>
      </c>
      <c r="I715" s="65">
        <v>7.524761275100178</v>
      </c>
      <c r="J715" s="65">
        <v>0.17294698641540021</v>
      </c>
      <c r="K715" s="65">
        <v>43.509062696394757</v>
      </c>
    </row>
    <row r="716" spans="3:11" x14ac:dyDescent="0.35">
      <c r="C716">
        <v>1987</v>
      </c>
      <c r="D716" t="s">
        <v>1151</v>
      </c>
      <c r="E716">
        <v>4</v>
      </c>
      <c r="F716">
        <v>0.33939999999999998</v>
      </c>
      <c r="G716">
        <v>8.2000000000000007E-3</v>
      </c>
      <c r="I716" s="65">
        <v>7.5790175050109099</v>
      </c>
      <c r="J716" s="65">
        <v>0.16465356569006451</v>
      </c>
      <c r="K716" s="65">
        <v>46.030084275716611</v>
      </c>
    </row>
    <row r="717" spans="3:11" x14ac:dyDescent="0.35">
      <c r="C717">
        <v>1988</v>
      </c>
      <c r="D717" t="s">
        <v>1151</v>
      </c>
      <c r="E717">
        <v>4</v>
      </c>
      <c r="F717">
        <v>0.3402</v>
      </c>
      <c r="G717">
        <v>9.1000000000000004E-3</v>
      </c>
      <c r="I717" s="65">
        <v>7.59507767079457</v>
      </c>
      <c r="J717" s="65">
        <v>0.18264348731611521</v>
      </c>
      <c r="K717" s="65">
        <v>41.584169150522079</v>
      </c>
    </row>
    <row r="718" spans="3:11" x14ac:dyDescent="0.35">
      <c r="C718">
        <v>1989</v>
      </c>
      <c r="D718" t="s">
        <v>1151</v>
      </c>
      <c r="E718">
        <v>4</v>
      </c>
      <c r="F718">
        <v>0.36809999999999998</v>
      </c>
      <c r="G718">
        <v>8.3999999999999995E-3</v>
      </c>
      <c r="I718" s="65">
        <v>8.1507313749599408</v>
      </c>
      <c r="J718" s="65">
        <v>0.16600872442615</v>
      </c>
      <c r="K718" s="65">
        <v>49.098210971350753</v>
      </c>
    </row>
    <row r="719" spans="3:11" x14ac:dyDescent="0.35">
      <c r="C719">
        <v>1990</v>
      </c>
      <c r="D719" t="s">
        <v>1151</v>
      </c>
      <c r="E719">
        <v>4</v>
      </c>
      <c r="F719">
        <v>0.37640000000000001</v>
      </c>
      <c r="G719">
        <v>8.6E-3</v>
      </c>
      <c r="I719" s="65">
        <v>8.3143919377751665</v>
      </c>
      <c r="J719" s="65">
        <v>0.16919205366624279</v>
      </c>
      <c r="K719" s="65">
        <v>49.141740156287582</v>
      </c>
    </row>
    <row r="720" spans="3:11" x14ac:dyDescent="0.35">
      <c r="C720">
        <v>1991</v>
      </c>
      <c r="D720" t="s">
        <v>1151</v>
      </c>
      <c r="E720">
        <v>4</v>
      </c>
      <c r="F720">
        <v>0.39329999999999998</v>
      </c>
      <c r="G720">
        <v>8.6999999999999994E-3</v>
      </c>
      <c r="I720" s="65">
        <v>8.6453539884810304</v>
      </c>
      <c r="J720" s="65">
        <v>0.16959997482591421</v>
      </c>
      <c r="K720" s="65">
        <v>50.974972121045703</v>
      </c>
    </row>
    <row r="721" spans="3:11" x14ac:dyDescent="0.35">
      <c r="C721">
        <v>1992</v>
      </c>
      <c r="D721" t="s">
        <v>1151</v>
      </c>
      <c r="E721">
        <v>4</v>
      </c>
      <c r="F721">
        <v>0.39660000000000001</v>
      </c>
      <c r="G721">
        <v>8.6999999999999994E-3</v>
      </c>
      <c r="I721" s="65">
        <v>8.7096279547539179</v>
      </c>
      <c r="J721" s="65">
        <v>0.16929932751080459</v>
      </c>
      <c r="K721" s="65">
        <v>51.445142061760841</v>
      </c>
    </row>
    <row r="722" spans="3:11" x14ac:dyDescent="0.35">
      <c r="C722">
        <v>1993</v>
      </c>
      <c r="D722" t="s">
        <v>1151</v>
      </c>
      <c r="E722">
        <v>4</v>
      </c>
      <c r="F722">
        <v>0.3962</v>
      </c>
      <c r="G722">
        <v>9.1999999999999998E-3</v>
      </c>
      <c r="I722" s="65">
        <v>8.7018432414701188</v>
      </c>
      <c r="J722" s="65">
        <v>0.17906764034907699</v>
      </c>
      <c r="K722" s="65">
        <v>48.595286253320943</v>
      </c>
    </row>
    <row r="723" spans="3:11" x14ac:dyDescent="0.35">
      <c r="C723">
        <v>1994</v>
      </c>
      <c r="D723" t="s">
        <v>1151</v>
      </c>
      <c r="E723">
        <v>4</v>
      </c>
      <c r="F723">
        <v>0.3957</v>
      </c>
      <c r="G723">
        <v>9.1000000000000004E-3</v>
      </c>
      <c r="I723" s="65">
        <v>8.692109997289732</v>
      </c>
      <c r="J723" s="65">
        <v>0.1771688401833017</v>
      </c>
      <c r="K723" s="65">
        <v>49.061166671841043</v>
      </c>
    </row>
    <row r="724" spans="3:11" x14ac:dyDescent="0.35">
      <c r="C724">
        <v>1995</v>
      </c>
      <c r="D724" t="s">
        <v>1151</v>
      </c>
      <c r="E724">
        <v>4</v>
      </c>
      <c r="F724">
        <v>0.44519999999999998</v>
      </c>
      <c r="G724">
        <v>1.01E-2</v>
      </c>
      <c r="I724" s="65">
        <v>9.6432722136610352</v>
      </c>
      <c r="J724" s="65">
        <v>0.1915646708687338</v>
      </c>
      <c r="K724" s="65">
        <v>50.339512864921268</v>
      </c>
    </row>
    <row r="725" spans="3:11" x14ac:dyDescent="0.35">
      <c r="C725">
        <v>1996</v>
      </c>
      <c r="D725" t="s">
        <v>1151</v>
      </c>
      <c r="E725">
        <v>4</v>
      </c>
      <c r="F725">
        <v>0.4365</v>
      </c>
      <c r="G725">
        <v>1.03E-2</v>
      </c>
      <c r="I725" s="65">
        <v>9.4778872397561109</v>
      </c>
      <c r="J725" s="65">
        <v>0.1962447334788528</v>
      </c>
      <c r="K725" s="65">
        <v>48.296262894501787</v>
      </c>
    </row>
    <row r="726" spans="3:11" x14ac:dyDescent="0.35">
      <c r="C726">
        <v>1997</v>
      </c>
      <c r="D726" t="s">
        <v>1151</v>
      </c>
      <c r="E726">
        <v>4</v>
      </c>
      <c r="F726">
        <v>0.44890000000000002</v>
      </c>
      <c r="G726">
        <v>9.9000000000000008E-3</v>
      </c>
      <c r="I726" s="65">
        <v>9.7133820954460539</v>
      </c>
      <c r="J726" s="65">
        <v>0.18741156786957619</v>
      </c>
      <c r="K726" s="65">
        <v>51.829149106771297</v>
      </c>
    </row>
    <row r="727" spans="3:11" x14ac:dyDescent="0.35">
      <c r="C727">
        <v>1998</v>
      </c>
      <c r="D727" t="s">
        <v>1151</v>
      </c>
      <c r="E727">
        <v>4</v>
      </c>
      <c r="F727">
        <v>0.47420000000000001</v>
      </c>
      <c r="G727">
        <v>0.01</v>
      </c>
      <c r="I727" s="65">
        <v>10.18921819719403</v>
      </c>
      <c r="J727" s="65">
        <v>0.1868627360554776</v>
      </c>
      <c r="K727" s="65">
        <v>54.527823001419357</v>
      </c>
    </row>
    <row r="728" spans="3:11" x14ac:dyDescent="0.35">
      <c r="C728">
        <v>1999</v>
      </c>
      <c r="D728" t="s">
        <v>1151</v>
      </c>
      <c r="E728">
        <v>4</v>
      </c>
      <c r="F728">
        <v>0.4793</v>
      </c>
      <c r="G728">
        <v>9.7000000000000003E-3</v>
      </c>
      <c r="I728" s="65">
        <v>10.28439480749037</v>
      </c>
      <c r="J728" s="65">
        <v>0.1807879790496614</v>
      </c>
      <c r="K728" s="65">
        <v>56.886496887413657</v>
      </c>
    </row>
    <row r="729" spans="3:11" x14ac:dyDescent="0.35">
      <c r="C729">
        <v>2000</v>
      </c>
      <c r="D729" t="s">
        <v>1151</v>
      </c>
      <c r="E729">
        <v>4</v>
      </c>
      <c r="F729">
        <v>0.50680000000000003</v>
      </c>
      <c r="G729">
        <v>8.8000000000000005E-3</v>
      </c>
      <c r="I729" s="65">
        <v>10.793403262313969</v>
      </c>
      <c r="J729" s="65">
        <v>0.16176366284648969</v>
      </c>
      <c r="K729" s="65">
        <v>66.723286752950713</v>
      </c>
    </row>
    <row r="730" spans="3:11" x14ac:dyDescent="0.35">
      <c r="C730">
        <v>2001</v>
      </c>
      <c r="D730" t="s">
        <v>1151</v>
      </c>
      <c r="E730">
        <v>4</v>
      </c>
      <c r="F730">
        <v>0.52710000000000001</v>
      </c>
      <c r="G730">
        <v>8.8000000000000005E-3</v>
      </c>
      <c r="I730" s="65">
        <v>11.164692063472719</v>
      </c>
      <c r="J730" s="65">
        <v>0.16014820413832759</v>
      </c>
      <c r="K730" s="65">
        <v>69.714750306093052</v>
      </c>
    </row>
    <row r="731" spans="3:11" x14ac:dyDescent="0.35">
      <c r="C731">
        <v>2002</v>
      </c>
      <c r="D731" t="s">
        <v>1151</v>
      </c>
      <c r="E731">
        <v>4</v>
      </c>
      <c r="F731">
        <v>0.502</v>
      </c>
      <c r="G731">
        <v>8.8000000000000005E-3</v>
      </c>
      <c r="I731" s="65">
        <v>10.705062936989579</v>
      </c>
      <c r="J731" s="65">
        <v>0.16215122400890619</v>
      </c>
      <c r="K731" s="65">
        <v>66.019007888596676</v>
      </c>
    </row>
    <row r="732" spans="3:11" x14ac:dyDescent="0.35">
      <c r="C732">
        <v>2003</v>
      </c>
      <c r="D732" t="s">
        <v>1151</v>
      </c>
      <c r="E732">
        <v>4</v>
      </c>
      <c r="F732">
        <v>0.48780000000000001</v>
      </c>
      <c r="G732">
        <v>8.9999999999999993E-3</v>
      </c>
      <c r="I732" s="65">
        <v>10.442477044561519</v>
      </c>
      <c r="J732" s="65">
        <v>0.1670221624884147</v>
      </c>
      <c r="K732" s="65">
        <v>62.521505463598857</v>
      </c>
    </row>
    <row r="733" spans="3:11" x14ac:dyDescent="0.35">
      <c r="C733">
        <v>2004</v>
      </c>
      <c r="D733" t="s">
        <v>1151</v>
      </c>
      <c r="E733">
        <v>4</v>
      </c>
      <c r="F733">
        <v>0.51980000000000004</v>
      </c>
      <c r="G733">
        <v>9.1999999999999998E-3</v>
      </c>
      <c r="I733" s="65">
        <v>11.031603033322851</v>
      </c>
      <c r="J733" s="65">
        <v>0.16803045596568139</v>
      </c>
      <c r="K733" s="65">
        <v>65.652401940609778</v>
      </c>
    </row>
    <row r="734" spans="3:11" x14ac:dyDescent="0.35">
      <c r="C734">
        <v>2005</v>
      </c>
      <c r="D734" t="s">
        <v>1151</v>
      </c>
      <c r="E734">
        <v>4</v>
      </c>
      <c r="F734">
        <v>0.54369999999999996</v>
      </c>
      <c r="G734">
        <v>8.8999999999999999E-3</v>
      </c>
      <c r="I734" s="65">
        <v>11.46556610563985</v>
      </c>
      <c r="J734" s="65">
        <v>0.16066002758635009</v>
      </c>
      <c r="K734" s="65">
        <v>71.365393607177339</v>
      </c>
    </row>
    <row r="735" spans="3:11" x14ac:dyDescent="0.35">
      <c r="C735">
        <v>2006</v>
      </c>
      <c r="D735" t="s">
        <v>1151</v>
      </c>
      <c r="E735">
        <v>4</v>
      </c>
      <c r="F735">
        <v>0.53879999999999995</v>
      </c>
      <c r="G735">
        <v>9.1999999999999998E-3</v>
      </c>
      <c r="I735" s="65">
        <v>11.37700734877269</v>
      </c>
      <c r="J735" s="65">
        <v>0.16647200214594299</v>
      </c>
      <c r="K735" s="65">
        <v>68.341866512776562</v>
      </c>
    </row>
    <row r="736" spans="3:11" x14ac:dyDescent="0.35">
      <c r="C736">
        <v>2007</v>
      </c>
      <c r="D736" t="s">
        <v>1151</v>
      </c>
      <c r="E736">
        <v>4</v>
      </c>
      <c r="F736">
        <v>0.53820000000000001</v>
      </c>
      <c r="G736">
        <v>8.6999999999999994E-3</v>
      </c>
      <c r="I736" s="65">
        <v>11.366148891238391</v>
      </c>
      <c r="J736" s="65">
        <v>0.1574706630076996</v>
      </c>
      <c r="K736" s="65">
        <v>72.179469331901146</v>
      </c>
    </row>
    <row r="737" spans="3:11" x14ac:dyDescent="0.35">
      <c r="C737">
        <v>2008</v>
      </c>
      <c r="D737" t="s">
        <v>1151</v>
      </c>
      <c r="E737">
        <v>4</v>
      </c>
      <c r="F737">
        <v>0.54690000000000005</v>
      </c>
      <c r="G737">
        <v>8.8000000000000005E-3</v>
      </c>
      <c r="I737" s="65">
        <v>11.523286658922499</v>
      </c>
      <c r="J737" s="65">
        <v>0.15860833321457729</v>
      </c>
      <c r="K737" s="65">
        <v>72.652466773816585</v>
      </c>
    </row>
    <row r="738" spans="3:11" x14ac:dyDescent="0.35">
      <c r="C738">
        <v>2009</v>
      </c>
      <c r="D738" t="s">
        <v>1151</v>
      </c>
      <c r="E738">
        <v>4</v>
      </c>
      <c r="F738">
        <v>0.54969999999999997</v>
      </c>
      <c r="G738">
        <v>9.1999999999999998E-3</v>
      </c>
      <c r="I738" s="65">
        <v>11.57371872753707</v>
      </c>
      <c r="J738" s="65">
        <v>0.16559305225097459</v>
      </c>
      <c r="K738" s="65">
        <v>69.892538184487506</v>
      </c>
    </row>
    <row r="739" spans="3:11" x14ac:dyDescent="0.35">
      <c r="C739">
        <v>2010</v>
      </c>
      <c r="D739" t="s">
        <v>1151</v>
      </c>
      <c r="E739">
        <v>4</v>
      </c>
      <c r="F739">
        <v>0.55030000000000001</v>
      </c>
      <c r="G739">
        <v>8.8000000000000005E-3</v>
      </c>
      <c r="I739" s="65">
        <v>11.584516706797411</v>
      </c>
      <c r="J739" s="65">
        <v>0.15834737583368011</v>
      </c>
      <c r="K739" s="65">
        <v>73.158880251764856</v>
      </c>
    </row>
    <row r="740" spans="3:11" x14ac:dyDescent="0.35">
      <c r="C740">
        <v>1980</v>
      </c>
      <c r="D740" t="s">
        <v>1151</v>
      </c>
      <c r="E740">
        <v>4</v>
      </c>
      <c r="F740">
        <v>0.15379999999999999</v>
      </c>
      <c r="G740">
        <v>1.0500000000000001E-2</v>
      </c>
      <c r="I740" s="65">
        <v>3.6412479372035289</v>
      </c>
      <c r="J740" s="65">
        <v>0.23579327078796949</v>
      </c>
      <c r="K740" s="65">
        <v>15.4425439073612</v>
      </c>
    </row>
    <row r="741" spans="3:11" x14ac:dyDescent="0.35">
      <c r="C741">
        <v>1981</v>
      </c>
      <c r="D741" t="s">
        <v>1151</v>
      </c>
      <c r="E741">
        <v>4</v>
      </c>
      <c r="F741">
        <v>0.14280000000000001</v>
      </c>
      <c r="G741">
        <v>1.15E-2</v>
      </c>
      <c r="I741" s="65">
        <v>3.3933383343153878</v>
      </c>
      <c r="J741" s="65">
        <v>0.26011187234087918</v>
      </c>
      <c r="K741" s="65">
        <v>13.045688010228091</v>
      </c>
    </row>
    <row r="742" spans="3:11" x14ac:dyDescent="0.35">
      <c r="C742">
        <v>1982</v>
      </c>
      <c r="D742" t="s">
        <v>1151</v>
      </c>
      <c r="E742">
        <v>4</v>
      </c>
      <c r="F742">
        <v>0.18959999999999999</v>
      </c>
      <c r="G742">
        <v>1.1599999999999999E-2</v>
      </c>
      <c r="I742" s="65">
        <v>4.4360022384464237</v>
      </c>
      <c r="J742" s="65">
        <v>0.2545934822557957</v>
      </c>
      <c r="K742" s="65">
        <v>17.42386411129517</v>
      </c>
    </row>
    <row r="743" spans="3:11" x14ac:dyDescent="0.35">
      <c r="C743">
        <v>1983</v>
      </c>
      <c r="D743" t="s">
        <v>1151</v>
      </c>
      <c r="E743">
        <v>4</v>
      </c>
      <c r="F743">
        <v>0.1908</v>
      </c>
      <c r="G743">
        <v>1.1299999999999999E-2</v>
      </c>
      <c r="I743" s="65">
        <v>4.4623295382741901</v>
      </c>
      <c r="J743" s="65">
        <v>0.24782170049179089</v>
      </c>
      <c r="K743" s="65">
        <v>18.006209825123872</v>
      </c>
    </row>
    <row r="744" spans="3:11" x14ac:dyDescent="0.35">
      <c r="C744">
        <v>1984</v>
      </c>
      <c r="D744" t="s">
        <v>1151</v>
      </c>
      <c r="E744">
        <v>4</v>
      </c>
      <c r="F744">
        <v>0.18179999999999999</v>
      </c>
      <c r="G744">
        <v>1.0999999999999999E-2</v>
      </c>
      <c r="I744" s="65">
        <v>4.2643875231113793</v>
      </c>
      <c r="J744" s="65">
        <v>0.2426189420278865</v>
      </c>
      <c r="K744" s="65">
        <v>17.576482229574768</v>
      </c>
    </row>
    <row r="745" spans="3:11" x14ac:dyDescent="0.35">
      <c r="C745">
        <v>1985</v>
      </c>
      <c r="D745" t="s">
        <v>1151</v>
      </c>
      <c r="E745">
        <v>4</v>
      </c>
      <c r="F745">
        <v>0.2137</v>
      </c>
      <c r="G745">
        <v>1.17E-2</v>
      </c>
      <c r="I745" s="65">
        <v>4.9609705774644963</v>
      </c>
      <c r="J745" s="65">
        <v>0.25295446892896412</v>
      </c>
      <c r="K745" s="65">
        <v>19.612108845001909</v>
      </c>
    </row>
    <row r="746" spans="3:11" x14ac:dyDescent="0.35">
      <c r="C746">
        <v>1986</v>
      </c>
      <c r="D746" t="s">
        <v>1151</v>
      </c>
      <c r="E746">
        <v>4</v>
      </c>
      <c r="F746">
        <v>0.20030000000000001</v>
      </c>
      <c r="G746">
        <v>1.14E-2</v>
      </c>
      <c r="I746" s="65">
        <v>4.6700547956584071</v>
      </c>
      <c r="J746" s="65">
        <v>0.24852924782773181</v>
      </c>
      <c r="K746" s="65">
        <v>18.790765418867149</v>
      </c>
    </row>
    <row r="747" spans="3:11" x14ac:dyDescent="0.35">
      <c r="C747">
        <v>1987</v>
      </c>
      <c r="D747" t="s">
        <v>1151</v>
      </c>
      <c r="E747">
        <v>4</v>
      </c>
      <c r="F747">
        <v>0.20619999999999999</v>
      </c>
      <c r="G747">
        <v>1.0800000000000001E-2</v>
      </c>
      <c r="I747" s="65">
        <v>4.7984431666746152</v>
      </c>
      <c r="J747" s="65">
        <v>0.2345844773255028</v>
      </c>
      <c r="K747" s="65">
        <v>20.455075380015149</v>
      </c>
    </row>
    <row r="748" spans="3:11" x14ac:dyDescent="0.35">
      <c r="C748">
        <v>1988</v>
      </c>
      <c r="D748" t="s">
        <v>1151</v>
      </c>
      <c r="E748">
        <v>4</v>
      </c>
      <c r="F748">
        <v>0.18629999999999999</v>
      </c>
      <c r="G748">
        <v>1.2200000000000001E-2</v>
      </c>
      <c r="I748" s="65">
        <v>4.3634993163400804</v>
      </c>
      <c r="J748" s="65">
        <v>0.26832055375102187</v>
      </c>
      <c r="K748" s="65">
        <v>16.26226263825107</v>
      </c>
    </row>
    <row r="749" spans="3:11" x14ac:dyDescent="0.35">
      <c r="C749">
        <v>1989</v>
      </c>
      <c r="D749" t="s">
        <v>1151</v>
      </c>
      <c r="E749">
        <v>4</v>
      </c>
      <c r="F749">
        <v>0.21820000000000001</v>
      </c>
      <c r="G749">
        <v>1.1299999999999999E-2</v>
      </c>
      <c r="I749" s="65">
        <v>5.0581257796572956</v>
      </c>
      <c r="J749" s="65">
        <v>0.24362929348836959</v>
      </c>
      <c r="K749" s="65">
        <v>20.761566506364151</v>
      </c>
    </row>
    <row r="750" spans="3:11" x14ac:dyDescent="0.35">
      <c r="C750">
        <v>1990</v>
      </c>
      <c r="D750" t="s">
        <v>1151</v>
      </c>
      <c r="E750">
        <v>4</v>
      </c>
      <c r="F750">
        <v>0.21690000000000001</v>
      </c>
      <c r="G750">
        <v>1.17E-2</v>
      </c>
      <c r="I750" s="65">
        <v>5.030086407540324</v>
      </c>
      <c r="J750" s="65">
        <v>0.25245542176189939</v>
      </c>
      <c r="K750" s="65">
        <v>19.92465193432999</v>
      </c>
    </row>
    <row r="751" spans="3:11" x14ac:dyDescent="0.35">
      <c r="C751">
        <v>1991</v>
      </c>
      <c r="D751" t="s">
        <v>1151</v>
      </c>
      <c r="E751">
        <v>4</v>
      </c>
      <c r="F751">
        <v>0.21840000000000001</v>
      </c>
      <c r="G751">
        <v>1.1900000000000001E-2</v>
      </c>
      <c r="I751" s="65">
        <v>5.0624375371012498</v>
      </c>
      <c r="J751" s="65">
        <v>0.25653377517471793</v>
      </c>
      <c r="K751" s="65">
        <v>19.734000069399698</v>
      </c>
    </row>
    <row r="752" spans="3:11" x14ac:dyDescent="0.35">
      <c r="C752">
        <v>1992</v>
      </c>
      <c r="D752" t="s">
        <v>1151</v>
      </c>
      <c r="E752">
        <v>4</v>
      </c>
      <c r="F752">
        <v>0.20269999999999999</v>
      </c>
      <c r="G752">
        <v>1.2E-2</v>
      </c>
      <c r="I752" s="65">
        <v>4.7223375566132431</v>
      </c>
      <c r="J752" s="65">
        <v>0.2612181031594244</v>
      </c>
      <c r="K752" s="65">
        <v>18.078140448524529</v>
      </c>
    </row>
    <row r="753" spans="3:11" x14ac:dyDescent="0.35">
      <c r="C753">
        <v>1993</v>
      </c>
      <c r="D753" t="s">
        <v>1151</v>
      </c>
      <c r="E753">
        <v>4</v>
      </c>
      <c r="F753">
        <v>0.21340000000000001</v>
      </c>
      <c r="G753">
        <v>1.23E-2</v>
      </c>
      <c r="I753" s="65">
        <v>4.954483964154055</v>
      </c>
      <c r="J753" s="65">
        <v>0.26597580203541599</v>
      </c>
      <c r="K753" s="65">
        <v>18.627574111025108</v>
      </c>
    </row>
    <row r="754" spans="3:11" x14ac:dyDescent="0.35">
      <c r="C754">
        <v>1994</v>
      </c>
      <c r="D754" t="s">
        <v>1151</v>
      </c>
      <c r="E754">
        <v>4</v>
      </c>
      <c r="F754">
        <v>0.21190000000000001</v>
      </c>
      <c r="G754">
        <v>1.2E-2</v>
      </c>
      <c r="I754" s="65">
        <v>4.922032843381019</v>
      </c>
      <c r="J754" s="65">
        <v>0.25972943190869141</v>
      </c>
      <c r="K754" s="65">
        <v>18.950616444236381</v>
      </c>
    </row>
    <row r="755" spans="3:11" x14ac:dyDescent="0.35">
      <c r="C755">
        <v>1995</v>
      </c>
      <c r="D755" t="s">
        <v>1152</v>
      </c>
      <c r="E755">
        <v>4</v>
      </c>
      <c r="F755">
        <v>0.24110000000000001</v>
      </c>
      <c r="G755">
        <v>1.37E-2</v>
      </c>
      <c r="I755" s="65">
        <v>5.5484096354667223</v>
      </c>
      <c r="J755" s="65">
        <v>0.29127653130406378</v>
      </c>
      <c r="K755" s="65">
        <v>19.048598287771881</v>
      </c>
    </row>
    <row r="756" spans="3:11" x14ac:dyDescent="0.35">
      <c r="C756">
        <v>1996</v>
      </c>
      <c r="D756" t="s">
        <v>1152</v>
      </c>
      <c r="E756">
        <v>4</v>
      </c>
      <c r="F756">
        <v>0.2283</v>
      </c>
      <c r="G756">
        <v>1.3599999999999999E-2</v>
      </c>
      <c r="I756" s="65">
        <v>5.2752091638231802</v>
      </c>
      <c r="J756" s="65">
        <v>0.29140740141414873</v>
      </c>
      <c r="K756" s="65">
        <v>18.102522922285161</v>
      </c>
    </row>
    <row r="757" spans="3:11" x14ac:dyDescent="0.35">
      <c r="C757">
        <v>1997</v>
      </c>
      <c r="D757" t="s">
        <v>1152</v>
      </c>
      <c r="E757">
        <v>4</v>
      </c>
      <c r="F757">
        <v>0.25369999999999998</v>
      </c>
      <c r="G757">
        <v>1.3100000000000001E-2</v>
      </c>
      <c r="I757" s="65">
        <v>5.8152851147362128</v>
      </c>
      <c r="J757" s="65">
        <v>0.27641785016412312</v>
      </c>
      <c r="K757" s="65">
        <v>21.038023091791601</v>
      </c>
    </row>
    <row r="758" spans="3:11" x14ac:dyDescent="0.35">
      <c r="C758">
        <v>1998</v>
      </c>
      <c r="D758" t="s">
        <v>1152</v>
      </c>
      <c r="E758">
        <v>4</v>
      </c>
      <c r="F758">
        <v>0.25</v>
      </c>
      <c r="G758">
        <v>1.2999999999999999E-2</v>
      </c>
      <c r="I758" s="65">
        <v>5.7371263440564091</v>
      </c>
      <c r="J758" s="65">
        <v>0.27491652849454667</v>
      </c>
      <c r="K758" s="65">
        <v>20.86861192185545</v>
      </c>
    </row>
    <row r="759" spans="3:11" x14ac:dyDescent="0.35">
      <c r="C759">
        <v>1999</v>
      </c>
      <c r="D759" t="s">
        <v>1152</v>
      </c>
      <c r="E759">
        <v>4</v>
      </c>
      <c r="F759">
        <v>0.25590000000000002</v>
      </c>
      <c r="G759">
        <v>1.2800000000000001E-2</v>
      </c>
      <c r="I759" s="65">
        <v>5.8616759166673296</v>
      </c>
      <c r="J759" s="65">
        <v>0.26973275175836892</v>
      </c>
      <c r="K759" s="65">
        <v>21.731420743144749</v>
      </c>
    </row>
    <row r="760" spans="3:11" x14ac:dyDescent="0.35">
      <c r="C760">
        <v>2000</v>
      </c>
      <c r="D760" t="s">
        <v>1152</v>
      </c>
      <c r="E760">
        <v>4</v>
      </c>
      <c r="F760">
        <v>0.26229999999999998</v>
      </c>
      <c r="G760">
        <v>1.11E-2</v>
      </c>
      <c r="I760" s="65">
        <v>5.9962853290306706</v>
      </c>
      <c r="J760" s="65">
        <v>0.23301884796645811</v>
      </c>
      <c r="K760" s="65">
        <v>25.733048555341782</v>
      </c>
    </row>
    <row r="761" spans="3:11" x14ac:dyDescent="0.35">
      <c r="C761">
        <v>2001</v>
      </c>
      <c r="D761" t="s">
        <v>1152</v>
      </c>
      <c r="E761">
        <v>4</v>
      </c>
      <c r="F761">
        <v>0.27760000000000001</v>
      </c>
      <c r="G761">
        <v>1.12E-2</v>
      </c>
      <c r="I761" s="65">
        <v>6.3160238193464169</v>
      </c>
      <c r="J761" s="65">
        <v>0.23300318307308229</v>
      </c>
      <c r="K761" s="65">
        <v>27.10702805019352</v>
      </c>
    </row>
    <row r="762" spans="3:11" x14ac:dyDescent="0.35">
      <c r="C762">
        <v>2002</v>
      </c>
      <c r="D762" t="s">
        <v>1152</v>
      </c>
      <c r="E762">
        <v>4</v>
      </c>
      <c r="F762">
        <v>0.27350000000000002</v>
      </c>
      <c r="G762">
        <v>1.18E-2</v>
      </c>
      <c r="I762" s="65">
        <v>6.2306251712867189</v>
      </c>
      <c r="J762" s="65">
        <v>0.24607800883808079</v>
      </c>
      <c r="K762" s="65">
        <v>25.31971548658974</v>
      </c>
    </row>
    <row r="763" spans="3:11" x14ac:dyDescent="0.35">
      <c r="C763">
        <v>2003</v>
      </c>
      <c r="D763" t="s">
        <v>1152</v>
      </c>
      <c r="E763">
        <v>4</v>
      </c>
      <c r="F763">
        <v>0.20880000000000001</v>
      </c>
      <c r="G763">
        <v>1.1599999999999999E-2</v>
      </c>
      <c r="I763" s="65">
        <v>4.8548716155229599</v>
      </c>
      <c r="J763" s="65">
        <v>0.25155453977913339</v>
      </c>
      <c r="K763" s="65">
        <v>19.299479229377329</v>
      </c>
    </row>
    <row r="764" spans="3:11" x14ac:dyDescent="0.35">
      <c r="C764">
        <v>2004</v>
      </c>
      <c r="D764" t="s">
        <v>1152</v>
      </c>
      <c r="E764">
        <v>4</v>
      </c>
      <c r="F764">
        <v>0.2651</v>
      </c>
      <c r="G764">
        <v>1.14E-2</v>
      </c>
      <c r="I764" s="65">
        <v>6.0550160277257126</v>
      </c>
      <c r="J764" s="65">
        <v>0.23891929150187199</v>
      </c>
      <c r="K764" s="65">
        <v>25.343353354445512</v>
      </c>
    </row>
    <row r="765" spans="3:11" x14ac:dyDescent="0.35">
      <c r="C765">
        <v>2005</v>
      </c>
      <c r="D765" t="s">
        <v>1152</v>
      </c>
      <c r="E765">
        <v>4</v>
      </c>
      <c r="F765">
        <v>0.26740000000000003</v>
      </c>
      <c r="G765">
        <v>1.1299999999999999E-2</v>
      </c>
      <c r="I765" s="65">
        <v>6.1031862143922533</v>
      </c>
      <c r="J765" s="65">
        <v>0.23650110545657099</v>
      </c>
      <c r="K765" s="65">
        <v>25.806163580546091</v>
      </c>
    </row>
    <row r="766" spans="3:11" x14ac:dyDescent="0.35">
      <c r="C766">
        <v>2006</v>
      </c>
      <c r="D766" t="s">
        <v>1152</v>
      </c>
      <c r="E766">
        <v>4</v>
      </c>
      <c r="F766">
        <v>0.26040000000000002</v>
      </c>
      <c r="G766">
        <v>1.1599999999999999E-2</v>
      </c>
      <c r="I766" s="65">
        <v>5.956376686582443</v>
      </c>
      <c r="J766" s="65">
        <v>0.24379045730806809</v>
      </c>
      <c r="K766" s="65">
        <v>24.432361924058458</v>
      </c>
    </row>
    <row r="767" spans="3:11" x14ac:dyDescent="0.35">
      <c r="C767">
        <v>2007</v>
      </c>
      <c r="D767" t="s">
        <v>1152</v>
      </c>
      <c r="E767">
        <v>4</v>
      </c>
      <c r="F767">
        <v>0.25879999999999997</v>
      </c>
      <c r="G767">
        <v>1.12E-2</v>
      </c>
      <c r="I767" s="65">
        <v>5.9227343973171864</v>
      </c>
      <c r="J767" s="65">
        <v>0.2356082430191358</v>
      </c>
      <c r="K767" s="65">
        <v>25.138061051778021</v>
      </c>
    </row>
    <row r="768" spans="3:11" x14ac:dyDescent="0.35">
      <c r="C768">
        <v>2008</v>
      </c>
      <c r="D768" t="s">
        <v>1152</v>
      </c>
      <c r="E768">
        <v>4</v>
      </c>
      <c r="F768">
        <v>0.28289999999999998</v>
      </c>
      <c r="G768">
        <v>1.15E-2</v>
      </c>
      <c r="I768" s="65">
        <v>6.4261131413112293</v>
      </c>
      <c r="J768" s="65">
        <v>0.2385026699518823</v>
      </c>
      <c r="K768" s="65">
        <v>26.943568986492661</v>
      </c>
    </row>
    <row r="769" spans="1:11" x14ac:dyDescent="0.35">
      <c r="C769">
        <v>2009</v>
      </c>
      <c r="D769" t="s">
        <v>1152</v>
      </c>
      <c r="E769">
        <v>4</v>
      </c>
      <c r="F769">
        <v>0.26850000000000002</v>
      </c>
      <c r="G769">
        <v>1.1299999999999999E-2</v>
      </c>
      <c r="I769" s="65">
        <v>6.126200956654837</v>
      </c>
      <c r="J769" s="65">
        <v>0.2363472744994482</v>
      </c>
      <c r="K769" s="65">
        <v>25.920336799437649</v>
      </c>
    </row>
    <row r="770" spans="1:11" x14ac:dyDescent="0.35">
      <c r="C770">
        <v>2010</v>
      </c>
      <c r="D770" t="s">
        <v>1152</v>
      </c>
      <c r="E770">
        <v>4</v>
      </c>
      <c r="F770">
        <v>0.27460000000000001</v>
      </c>
      <c r="G770">
        <v>1.14E-2</v>
      </c>
      <c r="I770" s="65">
        <v>6.2535572200919542</v>
      </c>
      <c r="J770" s="65">
        <v>0.23758248711537899</v>
      </c>
      <c r="K770" s="65">
        <v>26.321625369023899</v>
      </c>
    </row>
    <row r="773" spans="1:11" x14ac:dyDescent="0.35">
      <c r="A773" s="67" t="s">
        <v>1172</v>
      </c>
      <c r="C773" t="s">
        <v>1149</v>
      </c>
    </row>
    <row r="775" spans="1:11" x14ac:dyDescent="0.35">
      <c r="B775" t="s">
        <v>1176</v>
      </c>
      <c r="C775" t="s">
        <v>409</v>
      </c>
      <c r="D775" t="s">
        <v>193</v>
      </c>
      <c r="E775" t="s">
        <v>322</v>
      </c>
      <c r="F775" t="s">
        <v>1139</v>
      </c>
      <c r="G775" t="s">
        <v>143</v>
      </c>
      <c r="I775" t="s">
        <v>144</v>
      </c>
      <c r="J775" t="s">
        <v>143</v>
      </c>
      <c r="K775" t="s">
        <v>145</v>
      </c>
    </row>
    <row r="776" spans="1:11" x14ac:dyDescent="0.35">
      <c r="B776" t="s">
        <v>1177</v>
      </c>
      <c r="C776" t="s">
        <v>174</v>
      </c>
      <c r="D776">
        <v>0</v>
      </c>
      <c r="E776">
        <v>0</v>
      </c>
      <c r="F776" t="s">
        <v>83</v>
      </c>
      <c r="G776" t="s">
        <v>83</v>
      </c>
      <c r="I776" s="65" t="s">
        <v>83</v>
      </c>
      <c r="J776" s="65" t="s">
        <v>83</v>
      </c>
      <c r="K776" s="65" t="s">
        <v>83</v>
      </c>
    </row>
    <row r="777" spans="1:11" x14ac:dyDescent="0.35">
      <c r="B777" t="s">
        <v>1178</v>
      </c>
      <c r="C777" t="s">
        <v>1185</v>
      </c>
      <c r="D777">
        <v>4</v>
      </c>
      <c r="E777">
        <v>4</v>
      </c>
      <c r="F777">
        <v>0.36720000000000003</v>
      </c>
      <c r="G777">
        <v>1.0880000000000001E-2</v>
      </c>
      <c r="I777" s="65">
        <v>8.1329403363969099</v>
      </c>
      <c r="J777" s="65">
        <v>0.21512697316778789</v>
      </c>
      <c r="K777" s="65">
        <v>37.805302685375658</v>
      </c>
    </row>
    <row r="778" spans="1:11" x14ac:dyDescent="0.35">
      <c r="B778" t="s">
        <v>1179</v>
      </c>
      <c r="C778" t="s">
        <v>1186</v>
      </c>
      <c r="D778">
        <v>4</v>
      </c>
      <c r="E778">
        <v>8</v>
      </c>
      <c r="F778">
        <v>0.69072</v>
      </c>
      <c r="G778">
        <v>1.619E-2</v>
      </c>
      <c r="I778" s="65">
        <v>6.7846826330989263</v>
      </c>
      <c r="J778" s="65">
        <v>0.12781862252693171</v>
      </c>
      <c r="K778" s="65">
        <v>53.080548819632106</v>
      </c>
    </row>
    <row r="779" spans="1:11" x14ac:dyDescent="0.35">
      <c r="B779" t="s">
        <v>1180</v>
      </c>
      <c r="C779" t="s">
        <v>1187</v>
      </c>
      <c r="D779">
        <v>3</v>
      </c>
      <c r="E779">
        <v>11</v>
      </c>
      <c r="F779">
        <v>1.18726</v>
      </c>
      <c r="G779">
        <v>2.266E-2</v>
      </c>
      <c r="I779" s="65">
        <v>7.3742237934721233</v>
      </c>
      <c r="J779" s="65">
        <v>0.10112693553329399</v>
      </c>
      <c r="K779" s="65">
        <v>72.920471233347243</v>
      </c>
    </row>
    <row r="780" spans="1:11" x14ac:dyDescent="0.35">
      <c r="B780" t="s">
        <v>1181</v>
      </c>
      <c r="C780" t="s">
        <v>1188</v>
      </c>
      <c r="D780">
        <v>3</v>
      </c>
      <c r="E780">
        <v>11</v>
      </c>
      <c r="F780">
        <v>1.1603699999999999</v>
      </c>
      <c r="G780">
        <v>2.7810000000000001E-2</v>
      </c>
      <c r="I780" s="65">
        <v>7.2535433382302061</v>
      </c>
      <c r="J780" s="65">
        <v>0.12551389725060491</v>
      </c>
      <c r="K780" s="65">
        <v>57.79075861016058</v>
      </c>
    </row>
    <row r="781" spans="1:11" x14ac:dyDescent="0.35">
      <c r="B781" t="s">
        <v>1182</v>
      </c>
      <c r="C781" t="s">
        <v>1189</v>
      </c>
      <c r="D781">
        <v>4</v>
      </c>
      <c r="E781">
        <v>15</v>
      </c>
      <c r="F781">
        <v>2.3220299999999998</v>
      </c>
      <c r="G781">
        <v>3.9969999999999999E-2</v>
      </c>
      <c r="I781" s="65">
        <v>8.332866971988139</v>
      </c>
      <c r="J781" s="65">
        <v>8.6895958051158795E-2</v>
      </c>
      <c r="K781" s="65">
        <v>95.894759191011843</v>
      </c>
    </row>
    <row r="782" spans="1:11" x14ac:dyDescent="0.35">
      <c r="B782" t="s">
        <v>1183</v>
      </c>
      <c r="C782" t="s">
        <v>1190</v>
      </c>
      <c r="D782">
        <v>4</v>
      </c>
      <c r="E782">
        <v>15</v>
      </c>
      <c r="F782">
        <v>2.09362</v>
      </c>
      <c r="G782">
        <v>4.2680000000000003E-2</v>
      </c>
      <c r="I782" s="65">
        <v>7.8196202278534077</v>
      </c>
      <c r="J782" s="65">
        <v>9.9166271042226348E-2</v>
      </c>
      <c r="K782" s="65">
        <v>78.85362780782296</v>
      </c>
    </row>
    <row r="783" spans="1:11" x14ac:dyDescent="0.35">
      <c r="B783" t="s">
        <v>1184</v>
      </c>
      <c r="C783" t="s">
        <v>1191</v>
      </c>
      <c r="D783">
        <v>4</v>
      </c>
      <c r="E783">
        <v>15</v>
      </c>
      <c r="F783">
        <v>1.72776</v>
      </c>
      <c r="G783">
        <v>4.8939999999999997E-2</v>
      </c>
      <c r="I783" s="65">
        <v>6.9187182530897173</v>
      </c>
      <c r="J783" s="65">
        <v>0.12788520180920629</v>
      </c>
      <c r="K783" s="65">
        <v>54.101007428614359</v>
      </c>
    </row>
    <row r="787" spans="1:13" x14ac:dyDescent="0.35">
      <c r="A787" s="67" t="s">
        <v>1196</v>
      </c>
      <c r="C787" t="s">
        <v>207</v>
      </c>
    </row>
    <row r="790" spans="1:13" x14ac:dyDescent="0.35">
      <c r="B790" t="s">
        <v>1205</v>
      </c>
      <c r="C790" t="s">
        <v>1203</v>
      </c>
      <c r="D790" t="s">
        <v>409</v>
      </c>
      <c r="E790" t="s">
        <v>193</v>
      </c>
      <c r="F790" t="s">
        <v>322</v>
      </c>
      <c r="G790" t="s">
        <v>1139</v>
      </c>
      <c r="H790" t="s">
        <v>1202</v>
      </c>
      <c r="I790" t="s">
        <v>143</v>
      </c>
      <c r="K790" t="s">
        <v>144</v>
      </c>
      <c r="L790" t="s">
        <v>143</v>
      </c>
      <c r="M790" t="s">
        <v>145</v>
      </c>
    </row>
    <row r="791" spans="1:13" x14ac:dyDescent="0.3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3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3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3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3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3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3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3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3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3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3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3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3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3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3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3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3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3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3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3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3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3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3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3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3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3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3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3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3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3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35">
      <c r="A823" s="67" t="s">
        <v>1207</v>
      </c>
      <c r="C823" t="s">
        <v>1211</v>
      </c>
      <c r="D823" t="s">
        <v>1213</v>
      </c>
    </row>
    <row r="826" spans="1:13" x14ac:dyDescent="0.35">
      <c r="B826" t="s">
        <v>278</v>
      </c>
      <c r="C826" t="s">
        <v>1212</v>
      </c>
      <c r="D826" t="s">
        <v>409</v>
      </c>
      <c r="E826" t="s">
        <v>193</v>
      </c>
      <c r="F826" t="s">
        <v>322</v>
      </c>
      <c r="G826" t="s">
        <v>1139</v>
      </c>
      <c r="H826" t="s">
        <v>143</v>
      </c>
      <c r="K826" t="s">
        <v>144</v>
      </c>
      <c r="L826" t="s">
        <v>143</v>
      </c>
      <c r="M826" t="s">
        <v>145</v>
      </c>
    </row>
    <row r="827" spans="1:13" x14ac:dyDescent="0.35">
      <c r="B827">
        <v>1979</v>
      </c>
      <c r="C827">
        <v>2</v>
      </c>
      <c r="D827" t="s">
        <v>1214</v>
      </c>
      <c r="E827">
        <v>2</v>
      </c>
      <c r="F827">
        <v>2</v>
      </c>
      <c r="G827">
        <v>5.0999999999999997E-2</v>
      </c>
      <c r="H827">
        <v>1.9E-2</v>
      </c>
      <c r="K827" s="65">
        <v>2.5182910509144119</v>
      </c>
      <c r="L827" s="65">
        <v>0.92666390578847491</v>
      </c>
      <c r="M827" s="65">
        <v>2.7175883674584931</v>
      </c>
    </row>
    <row r="828" spans="1:13" x14ac:dyDescent="0.35">
      <c r="B828">
        <v>1979</v>
      </c>
      <c r="C828">
        <v>2</v>
      </c>
      <c r="D828" t="s">
        <v>1215</v>
      </c>
      <c r="E828">
        <v>2</v>
      </c>
      <c r="F828">
        <v>2</v>
      </c>
      <c r="G828">
        <v>5.1999999999999998E-2</v>
      </c>
      <c r="H828">
        <v>1.4E-2</v>
      </c>
      <c r="K828" s="65">
        <v>2.567051239664675</v>
      </c>
      <c r="L828" s="65">
        <v>0.68248037897115288</v>
      </c>
      <c r="M828" s="65">
        <v>3.7613553719075918</v>
      </c>
    </row>
    <row r="829" spans="1:13" x14ac:dyDescent="0.3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3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35">
      <c r="B831">
        <v>1979</v>
      </c>
      <c r="C831">
        <v>3</v>
      </c>
      <c r="D831" t="s">
        <v>1214</v>
      </c>
      <c r="E831">
        <v>2</v>
      </c>
      <c r="F831">
        <v>2</v>
      </c>
      <c r="G831">
        <v>5.2999999999999999E-2</v>
      </c>
      <c r="H831">
        <v>1.9E-2</v>
      </c>
      <c r="K831" s="65">
        <v>2.615788258922414</v>
      </c>
      <c r="L831" s="65">
        <v>0.92578346482408647</v>
      </c>
      <c r="M831" s="65">
        <v>2.8254860432395552</v>
      </c>
    </row>
    <row r="832" spans="1:13" x14ac:dyDescent="0.35">
      <c r="B832">
        <v>1979</v>
      </c>
      <c r="C832">
        <v>3</v>
      </c>
      <c r="D832" t="s">
        <v>1215</v>
      </c>
      <c r="E832">
        <v>2</v>
      </c>
      <c r="F832">
        <v>2</v>
      </c>
      <c r="G832">
        <v>5.0999999999999997E-2</v>
      </c>
      <c r="H832">
        <v>1.4E-2</v>
      </c>
      <c r="K832" s="65">
        <v>2.5182910509144119</v>
      </c>
      <c r="L832" s="65">
        <v>0.68280498321256045</v>
      </c>
      <c r="M832" s="65">
        <v>3.6881556415508112</v>
      </c>
    </row>
    <row r="833" spans="2:93" x14ac:dyDescent="0.3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3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35">
      <c r="B835">
        <v>1979</v>
      </c>
      <c r="C835">
        <v>4</v>
      </c>
      <c r="D835" t="s">
        <v>1214</v>
      </c>
      <c r="E835">
        <v>2</v>
      </c>
      <c r="F835">
        <v>2</v>
      </c>
      <c r="G835">
        <v>4.8000000000000001E-2</v>
      </c>
      <c r="H835">
        <v>1.9E-2</v>
      </c>
      <c r="K835" s="65">
        <v>2.3718711365578131</v>
      </c>
      <c r="L835" s="65">
        <v>0.92798928988291918</v>
      </c>
      <c r="M835" s="65">
        <v>2.5559251194128141</v>
      </c>
    </row>
    <row r="836" spans="2:93" x14ac:dyDescent="0.35">
      <c r="B836">
        <v>1979</v>
      </c>
      <c r="C836">
        <v>4</v>
      </c>
      <c r="D836" t="s">
        <v>1215</v>
      </c>
      <c r="E836">
        <v>2</v>
      </c>
      <c r="F836">
        <v>2</v>
      </c>
      <c r="G836">
        <v>4.3999999999999997E-2</v>
      </c>
      <c r="H836">
        <v>1.4E-2</v>
      </c>
      <c r="K836" s="65">
        <v>2.1763181955584132</v>
      </c>
      <c r="L836" s="65">
        <v>0.68509025610048746</v>
      </c>
      <c r="M836" s="65">
        <v>3.1766882920594268</v>
      </c>
    </row>
    <row r="837" spans="2:93" x14ac:dyDescent="0.35">
      <c r="B837">
        <v>1979</v>
      </c>
      <c r="C837">
        <v>4</v>
      </c>
      <c r="D837" t="s">
        <v>205</v>
      </c>
      <c r="E837">
        <v>4</v>
      </c>
      <c r="F837">
        <v>4</v>
      </c>
      <c r="G837">
        <v>0.128</v>
      </c>
      <c r="H837">
        <v>1.7999999999999999E-2</v>
      </c>
      <c r="K837" s="65">
        <v>3.056947547855327</v>
      </c>
      <c r="L837" s="65">
        <v>0.41113143968559301</v>
      </c>
      <c r="M837" s="65">
        <v>7.4354506923457002</v>
      </c>
    </row>
    <row r="838" spans="2:93" x14ac:dyDescent="0.3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35">
      <c r="B839">
        <v>1986</v>
      </c>
      <c r="C839">
        <v>2</v>
      </c>
      <c r="D839" t="s">
        <v>1214</v>
      </c>
      <c r="E839">
        <v>2</v>
      </c>
      <c r="F839">
        <v>2</v>
      </c>
      <c r="G839">
        <v>3.1E-2</v>
      </c>
      <c r="H839">
        <v>2.7E-2</v>
      </c>
      <c r="K839" s="65">
        <v>1.5381701627520841</v>
      </c>
      <c r="L839" s="65">
        <v>1.3295492698323499</v>
      </c>
      <c r="M839" s="65">
        <v>1.156910990553994</v>
      </c>
    </row>
    <row r="840" spans="2:93" x14ac:dyDescent="0.35">
      <c r="B840">
        <v>1986</v>
      </c>
      <c r="C840">
        <v>2</v>
      </c>
      <c r="D840" t="s">
        <v>1215</v>
      </c>
      <c r="E840">
        <v>2</v>
      </c>
      <c r="F840">
        <v>2</v>
      </c>
      <c r="G840">
        <v>9.4E-2</v>
      </c>
      <c r="H840">
        <v>2.3E-2</v>
      </c>
      <c r="K840" s="65">
        <v>4.5944549199430584</v>
      </c>
      <c r="L840" s="65">
        <v>1.099484672376001</v>
      </c>
      <c r="M840" s="65">
        <v>4.1787348522234344</v>
      </c>
    </row>
    <row r="841" spans="2:93" x14ac:dyDescent="0.35">
      <c r="B841">
        <v>1986</v>
      </c>
      <c r="C841">
        <v>2</v>
      </c>
      <c r="D841" t="s">
        <v>205</v>
      </c>
      <c r="E841">
        <v>4</v>
      </c>
      <c r="F841">
        <v>4</v>
      </c>
      <c r="G841">
        <v>0.21</v>
      </c>
      <c r="H841">
        <v>2.7E-2</v>
      </c>
      <c r="K841" s="65">
        <v>4.8808848170151631</v>
      </c>
      <c r="L841" s="65">
        <v>0.58507931612797703</v>
      </c>
      <c r="M841" s="65">
        <v>8.3422617796790224</v>
      </c>
    </row>
    <row r="842" spans="2:93" x14ac:dyDescent="0.35">
      <c r="B842">
        <v>1986</v>
      </c>
      <c r="C842">
        <v>2</v>
      </c>
      <c r="D842" t="s">
        <v>1216</v>
      </c>
      <c r="E842">
        <v>3</v>
      </c>
      <c r="F842">
        <v>7</v>
      </c>
      <c r="G842">
        <v>0.316</v>
      </c>
      <c r="H842">
        <v>3.4000000000000002E-2</v>
      </c>
      <c r="K842" s="65">
        <v>4.0007702094714936</v>
      </c>
      <c r="L842" s="65">
        <v>0.38384999860204411</v>
      </c>
      <c r="M842" s="65">
        <v>10.422743842756359</v>
      </c>
    </row>
    <row r="843" spans="2:93" x14ac:dyDescent="0.35">
      <c r="B843">
        <v>1986</v>
      </c>
      <c r="C843">
        <v>3</v>
      </c>
      <c r="D843" t="s">
        <v>1214</v>
      </c>
      <c r="E843">
        <v>2</v>
      </c>
      <c r="F843">
        <v>2</v>
      </c>
      <c r="G843">
        <v>2.8000000000000001E-2</v>
      </c>
      <c r="H843">
        <v>2.7E-2</v>
      </c>
      <c r="K843" s="65">
        <v>1.390334845092611</v>
      </c>
      <c r="L843" s="65">
        <v>1.3314878603197959</v>
      </c>
      <c r="M843" s="65">
        <v>1.044196411042517</v>
      </c>
    </row>
    <row r="844" spans="2:93" x14ac:dyDescent="0.35">
      <c r="B844">
        <v>1986</v>
      </c>
      <c r="C844">
        <v>3</v>
      </c>
      <c r="D844" t="s">
        <v>1215</v>
      </c>
      <c r="E844">
        <v>2</v>
      </c>
      <c r="F844">
        <v>2</v>
      </c>
      <c r="G844">
        <v>8.8999999999999996E-2</v>
      </c>
      <c r="H844">
        <v>2.3E-2</v>
      </c>
      <c r="K844" s="65">
        <v>4.3551627855565211</v>
      </c>
      <c r="L844" s="65">
        <v>1.1020058512707991</v>
      </c>
      <c r="M844" s="65">
        <v>3.95203236038564</v>
      </c>
    </row>
    <row r="845" spans="2:93" x14ac:dyDescent="0.35">
      <c r="B845">
        <v>1986</v>
      </c>
      <c r="C845">
        <v>3</v>
      </c>
      <c r="D845" t="s">
        <v>205</v>
      </c>
      <c r="E845">
        <v>4</v>
      </c>
      <c r="F845">
        <v>4</v>
      </c>
      <c r="G845">
        <v>0.20300000000000001</v>
      </c>
      <c r="H845">
        <v>2.7E-2</v>
      </c>
      <c r="K845" s="65">
        <v>4.7288673984255958</v>
      </c>
      <c r="L845" s="65">
        <v>0.58763080211086671</v>
      </c>
      <c r="M845" s="65">
        <v>8.0473443213642391</v>
      </c>
    </row>
    <row r="846" spans="2:93" x14ac:dyDescent="0.3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35">
      <c r="B847">
        <v>1986</v>
      </c>
      <c r="C847">
        <v>4</v>
      </c>
      <c r="D847" t="s">
        <v>1214</v>
      </c>
      <c r="E847">
        <v>2</v>
      </c>
      <c r="F847">
        <v>2</v>
      </c>
      <c r="G847">
        <v>2.3E-2</v>
      </c>
      <c r="H847">
        <v>2.7E-2</v>
      </c>
      <c r="K847" s="65">
        <v>1.143462467922252</v>
      </c>
      <c r="L847" s="65">
        <v>1.3347377745033731</v>
      </c>
      <c r="M847" s="65">
        <v>0.8566944682057186</v>
      </c>
    </row>
    <row r="848" spans="2:93" x14ac:dyDescent="0.3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35">
      <c r="B849">
        <v>1986</v>
      </c>
      <c r="C849">
        <v>4</v>
      </c>
      <c r="D849" t="s">
        <v>205</v>
      </c>
      <c r="E849">
        <v>4</v>
      </c>
      <c r="F849">
        <v>4</v>
      </c>
      <c r="G849">
        <v>0.189</v>
      </c>
      <c r="H849">
        <v>2.7E-2</v>
      </c>
      <c r="K849" s="65">
        <v>4.4228311186168989</v>
      </c>
      <c r="L849" s="65">
        <v>0.592812539992148</v>
      </c>
      <c r="M849" s="65">
        <v>7.4607583683629244</v>
      </c>
      <c r="AR849">
        <v>1</v>
      </c>
    </row>
    <row r="850" spans="2:44" x14ac:dyDescent="0.3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3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3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3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3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3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3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3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3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3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3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3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35">
      <c r="B862">
        <v>2000</v>
      </c>
      <c r="C862">
        <v>4</v>
      </c>
      <c r="D862" t="s">
        <v>1216</v>
      </c>
      <c r="E862">
        <v>3</v>
      </c>
      <c r="F862">
        <v>7</v>
      </c>
      <c r="G862">
        <v>0.432</v>
      </c>
      <c r="H862">
        <v>3.5999999999999997E-2</v>
      </c>
      <c r="K862" s="65">
        <v>5.2634437270888226</v>
      </c>
      <c r="L862" s="65">
        <v>0.37804109878044673</v>
      </c>
      <c r="M862" s="65">
        <v>13.922940505856619</v>
      </c>
    </row>
    <row r="865" spans="1:12" x14ac:dyDescent="0.35">
      <c r="A865" s="67" t="s">
        <v>1217</v>
      </c>
    </row>
    <row r="866" spans="1:12" x14ac:dyDescent="0.35">
      <c r="C866" t="s">
        <v>1221</v>
      </c>
    </row>
    <row r="869" spans="1:12" x14ac:dyDescent="0.35">
      <c r="C869" t="s">
        <v>1212</v>
      </c>
      <c r="D869" t="s">
        <v>409</v>
      </c>
      <c r="E869" t="s">
        <v>193</v>
      </c>
      <c r="F869" t="s">
        <v>322</v>
      </c>
      <c r="G869" t="s">
        <v>1139</v>
      </c>
      <c r="H869" t="s">
        <v>143</v>
      </c>
      <c r="J869" t="s">
        <v>144</v>
      </c>
      <c r="K869" t="s">
        <v>143</v>
      </c>
      <c r="L869" t="s">
        <v>145</v>
      </c>
    </row>
    <row r="870" spans="1:12" x14ac:dyDescent="0.35">
      <c r="B870" t="s">
        <v>251</v>
      </c>
      <c r="C870">
        <v>1</v>
      </c>
      <c r="D870" t="s">
        <v>1222</v>
      </c>
      <c r="E870">
        <v>2</v>
      </c>
      <c r="F870">
        <v>2</v>
      </c>
      <c r="G870">
        <v>0.159</v>
      </c>
      <c r="H870">
        <v>0.03</v>
      </c>
      <c r="J870" s="65">
        <v>7.6568622986941781</v>
      </c>
      <c r="K870" s="65">
        <v>1.393315732942547</v>
      </c>
      <c r="L870" s="65">
        <v>5.4954251342038818</v>
      </c>
    </row>
    <row r="871" spans="1:12" x14ac:dyDescent="0.3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3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35">
      <c r="B873" t="s">
        <v>304</v>
      </c>
      <c r="C873">
        <v>2</v>
      </c>
      <c r="D873" t="s">
        <v>1222</v>
      </c>
      <c r="E873">
        <v>2</v>
      </c>
      <c r="F873">
        <v>2</v>
      </c>
      <c r="G873">
        <v>0.23</v>
      </c>
      <c r="H873">
        <v>0.04</v>
      </c>
      <c r="J873" s="65">
        <v>10.905365064094161</v>
      </c>
      <c r="K873" s="65">
        <v>1.8033392693348651</v>
      </c>
      <c r="L873" s="65">
        <v>6.047317467952908</v>
      </c>
    </row>
    <row r="874" spans="1:12" x14ac:dyDescent="0.3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3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35">
      <c r="B876" t="s">
        <v>304</v>
      </c>
      <c r="C876">
        <v>3</v>
      </c>
      <c r="D876" t="s">
        <v>1222</v>
      </c>
      <c r="E876">
        <v>2</v>
      </c>
      <c r="F876">
        <v>2</v>
      </c>
      <c r="G876">
        <v>0.151</v>
      </c>
      <c r="H876">
        <v>5.8000000000000003E-2</v>
      </c>
      <c r="J876" s="65">
        <v>7.2846680565308084</v>
      </c>
      <c r="K876" s="65">
        <v>2.7030889432140688</v>
      </c>
      <c r="L876" s="65">
        <v>2.6949420494721412</v>
      </c>
    </row>
    <row r="877" spans="1:12" x14ac:dyDescent="0.3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3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35">
      <c r="B879" t="s">
        <v>305</v>
      </c>
      <c r="C879">
        <v>1</v>
      </c>
      <c r="D879" t="s">
        <v>1222</v>
      </c>
      <c r="E879">
        <v>2</v>
      </c>
      <c r="F879">
        <v>2</v>
      </c>
      <c r="G879">
        <v>9.9000000000000005E-2</v>
      </c>
      <c r="H879">
        <v>0.03</v>
      </c>
      <c r="J879" s="65">
        <v>4.833200847823016</v>
      </c>
      <c r="K879" s="65">
        <v>1.4308444155753819</v>
      </c>
      <c r="L879" s="65">
        <v>3.3778661014513252</v>
      </c>
    </row>
    <row r="880" spans="1:12" x14ac:dyDescent="0.3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35">
      <c r="B881" t="s">
        <v>305</v>
      </c>
      <c r="C881">
        <v>1</v>
      </c>
      <c r="D881" t="s">
        <v>1224</v>
      </c>
      <c r="E881">
        <v>2</v>
      </c>
      <c r="F881">
        <v>6</v>
      </c>
      <c r="G881">
        <v>0.60799999999999998</v>
      </c>
      <c r="H881">
        <v>6.2E-2</v>
      </c>
      <c r="J881" s="65">
        <v>8.2383111716979087</v>
      </c>
      <c r="K881" s="65">
        <v>0.69556128655112659</v>
      </c>
      <c r="L881" s="65">
        <v>11.844119750463371</v>
      </c>
    </row>
    <row r="882" spans="1:17" x14ac:dyDescent="0.35">
      <c r="B882" t="s">
        <v>305</v>
      </c>
      <c r="C882">
        <v>2</v>
      </c>
      <c r="D882" t="s">
        <v>1222</v>
      </c>
      <c r="E882">
        <v>2</v>
      </c>
      <c r="F882">
        <v>2</v>
      </c>
      <c r="G882">
        <v>0.155</v>
      </c>
      <c r="H882">
        <v>4.2000000000000003E-2</v>
      </c>
      <c r="J882" s="65">
        <v>7.4709263010233951</v>
      </c>
      <c r="K882" s="65">
        <v>1.9540168418367889</v>
      </c>
      <c r="L882" s="65">
        <v>3.8233684280841072</v>
      </c>
    </row>
    <row r="883" spans="1:17" x14ac:dyDescent="0.35">
      <c r="B883" t="s">
        <v>305</v>
      </c>
      <c r="C883">
        <v>2</v>
      </c>
      <c r="D883" t="s">
        <v>1223</v>
      </c>
      <c r="E883">
        <v>4</v>
      </c>
      <c r="F883">
        <v>4</v>
      </c>
      <c r="G883">
        <v>0.47699999999999998</v>
      </c>
      <c r="H883">
        <v>3.9E-2</v>
      </c>
      <c r="J883" s="65">
        <v>10.241502538451799</v>
      </c>
      <c r="K883" s="65">
        <v>0.72772826658761347</v>
      </c>
      <c r="L883" s="65">
        <v>14.07325097659758</v>
      </c>
    </row>
    <row r="884" spans="1:17" x14ac:dyDescent="0.3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35">
      <c r="B885" t="s">
        <v>305</v>
      </c>
      <c r="C885">
        <v>3</v>
      </c>
      <c r="D885" t="s">
        <v>1222</v>
      </c>
      <c r="E885">
        <v>2</v>
      </c>
      <c r="F885">
        <v>2</v>
      </c>
      <c r="G885">
        <v>0.156</v>
      </c>
      <c r="H885">
        <v>5.8000000000000003E-2</v>
      </c>
      <c r="J885" s="65">
        <v>7.5174404457248878</v>
      </c>
      <c r="K885" s="65">
        <v>2.6972368277906771</v>
      </c>
      <c r="L885" s="65">
        <v>2.7870895014741701</v>
      </c>
    </row>
    <row r="886" spans="1:17" x14ac:dyDescent="0.35">
      <c r="B886" t="s">
        <v>305</v>
      </c>
      <c r="C886">
        <v>3</v>
      </c>
      <c r="D886" t="s">
        <v>1223</v>
      </c>
      <c r="E886">
        <v>4</v>
      </c>
      <c r="F886">
        <v>4</v>
      </c>
      <c r="G886">
        <v>0.48499999999999999</v>
      </c>
      <c r="H886">
        <v>0.06</v>
      </c>
      <c r="J886" s="65">
        <v>10.390477881717411</v>
      </c>
      <c r="K886" s="65">
        <v>1.1150553321385599</v>
      </c>
      <c r="L886" s="65">
        <v>9.3183518182811227</v>
      </c>
    </row>
    <row r="887" spans="1:17" x14ac:dyDescent="0.3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35">
      <c r="A891" s="67" t="s">
        <v>1225</v>
      </c>
      <c r="F891" t="s">
        <v>1230</v>
      </c>
      <c r="N891" t="s">
        <v>1231</v>
      </c>
    </row>
    <row r="894" spans="1:17" x14ac:dyDescent="0.35">
      <c r="C894" t="s">
        <v>37</v>
      </c>
      <c r="D894">
        <v>15.51</v>
      </c>
      <c r="E894">
        <v>12.45</v>
      </c>
      <c r="F894">
        <v>8.9700000000000006</v>
      </c>
      <c r="G894">
        <v>7.76</v>
      </c>
      <c r="H894">
        <v>6.96</v>
      </c>
      <c r="I894">
        <v>6.98</v>
      </c>
      <c r="L894">
        <v>12.77</v>
      </c>
      <c r="M894">
        <v>10.39</v>
      </c>
      <c r="N894">
        <v>6.75</v>
      </c>
      <c r="O894">
        <v>5.89</v>
      </c>
      <c r="P894">
        <v>4.2</v>
      </c>
      <c r="Q894">
        <v>4.16</v>
      </c>
    </row>
    <row r="896" spans="1:17" x14ac:dyDescent="0.35">
      <c r="C896" t="s">
        <v>38</v>
      </c>
      <c r="D896">
        <v>5.66</v>
      </c>
      <c r="E896">
        <v>5.35</v>
      </c>
      <c r="F896">
        <v>4.0599999999999996</v>
      </c>
      <c r="G896">
        <v>4.3099999999999996</v>
      </c>
      <c r="H896">
        <v>3.94</v>
      </c>
      <c r="I896">
        <v>3.43</v>
      </c>
      <c r="L896">
        <v>7.19</v>
      </c>
      <c r="M896">
        <v>7.64</v>
      </c>
      <c r="N896">
        <v>7.69</v>
      </c>
      <c r="O896">
        <v>7.66</v>
      </c>
      <c r="P896">
        <v>7.71</v>
      </c>
      <c r="Q896">
        <v>7.63</v>
      </c>
    </row>
    <row r="897" spans="3:17" x14ac:dyDescent="0.35">
      <c r="D897">
        <v>23.32</v>
      </c>
      <c r="E897">
        <v>24.19</v>
      </c>
      <c r="F897">
        <v>24.51</v>
      </c>
      <c r="G897">
        <v>23.67</v>
      </c>
      <c r="H897">
        <v>23.68</v>
      </c>
      <c r="I897">
        <v>23.31</v>
      </c>
      <c r="L897">
        <v>27.03</v>
      </c>
      <c r="M897">
        <v>27.28</v>
      </c>
      <c r="N897">
        <v>25.46</v>
      </c>
      <c r="O897">
        <v>25.26</v>
      </c>
      <c r="P897">
        <v>23.99</v>
      </c>
      <c r="Q897">
        <v>24.4</v>
      </c>
    </row>
    <row r="898" spans="3:17" x14ac:dyDescent="0.35">
      <c r="D898">
        <v>10.68</v>
      </c>
      <c r="E898">
        <v>13.67</v>
      </c>
      <c r="F898">
        <v>15.08</v>
      </c>
      <c r="G898">
        <v>16.48</v>
      </c>
      <c r="H898">
        <v>18.23</v>
      </c>
      <c r="I898">
        <v>17.52</v>
      </c>
      <c r="L898">
        <v>11.62</v>
      </c>
      <c r="M898">
        <v>14.56</v>
      </c>
      <c r="N898">
        <v>15.12</v>
      </c>
      <c r="O898">
        <v>16.03</v>
      </c>
      <c r="P898">
        <v>17.41</v>
      </c>
      <c r="Q898">
        <v>17.440000000000001</v>
      </c>
    </row>
    <row r="899" spans="3:17" x14ac:dyDescent="0.35">
      <c r="D899">
        <v>20.88</v>
      </c>
      <c r="E899">
        <v>22.87</v>
      </c>
      <c r="F899">
        <v>24.79</v>
      </c>
      <c r="G899">
        <v>25.58</v>
      </c>
      <c r="H899">
        <v>25.98</v>
      </c>
      <c r="I899">
        <v>25.69</v>
      </c>
      <c r="L899">
        <v>21.56</v>
      </c>
      <c r="M899">
        <v>22.54</v>
      </c>
      <c r="N899">
        <v>26.17</v>
      </c>
      <c r="O899">
        <v>26.36</v>
      </c>
      <c r="P899">
        <v>26.76</v>
      </c>
      <c r="Q899">
        <v>25.71</v>
      </c>
    </row>
    <row r="901" spans="3:17" x14ac:dyDescent="0.3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35">
      <c r="D902">
        <v>0.57999999999999996</v>
      </c>
      <c r="E902">
        <v>0.64</v>
      </c>
      <c r="F902">
        <v>0.86</v>
      </c>
      <c r="G902">
        <v>0.96</v>
      </c>
      <c r="H902">
        <v>0.72</v>
      </c>
      <c r="I902">
        <v>0.84</v>
      </c>
      <c r="L902">
        <v>0.46</v>
      </c>
      <c r="M902">
        <v>0.4</v>
      </c>
      <c r="N902">
        <v>0.1</v>
      </c>
      <c r="O902">
        <v>0.11</v>
      </c>
      <c r="P902">
        <v>0.2</v>
      </c>
      <c r="Q902">
        <v>0.18</v>
      </c>
    </row>
    <row r="905" spans="3:17" x14ac:dyDescent="0.3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3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3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3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3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3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3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3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3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3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35">
      <c r="C922" t="s">
        <v>1232</v>
      </c>
      <c r="D922" s="65">
        <v>0.15509999999999999</v>
      </c>
      <c r="E922" s="65">
        <v>0.60539999999999994</v>
      </c>
      <c r="F922" s="65">
        <v>0.15909999999999999</v>
      </c>
      <c r="L922" s="65">
        <v>0.12770000000000001</v>
      </c>
      <c r="M922" s="65">
        <v>0.67400000000000004</v>
      </c>
      <c r="N922" s="65">
        <v>0.13289999999999999</v>
      </c>
    </row>
    <row r="923" spans="3:17" x14ac:dyDescent="0.35">
      <c r="D923" s="65">
        <v>0.1245</v>
      </c>
      <c r="E923" s="65">
        <v>0.66080000000000005</v>
      </c>
      <c r="F923" s="65">
        <v>0.17219999999999996</v>
      </c>
      <c r="L923" s="65">
        <v>0.10390000000000001</v>
      </c>
      <c r="M923" s="65">
        <v>0.72019999999999995</v>
      </c>
      <c r="N923" s="65">
        <v>0.14630000000000001</v>
      </c>
    </row>
    <row r="924" spans="3:17" x14ac:dyDescent="0.35">
      <c r="D924" s="65">
        <v>8.9700000000000002E-2</v>
      </c>
      <c r="E924" s="65">
        <v>0.68440000000000001</v>
      </c>
      <c r="F924" s="65">
        <v>0.2165</v>
      </c>
      <c r="L924" s="65">
        <v>6.7500000000000004E-2</v>
      </c>
      <c r="M924" s="65">
        <v>0.74440000000000006</v>
      </c>
      <c r="N924" s="65">
        <v>0.1779</v>
      </c>
    </row>
    <row r="925" spans="3:17" x14ac:dyDescent="0.35">
      <c r="D925" s="65">
        <v>7.7600000000000002E-2</v>
      </c>
      <c r="E925" s="65">
        <v>0.70040000000000002</v>
      </c>
      <c r="F925" s="65">
        <v>0.21630000000000002</v>
      </c>
      <c r="L925" s="65">
        <v>5.8899999999999994E-2</v>
      </c>
      <c r="M925" s="65">
        <v>0.75309999999999999</v>
      </c>
      <c r="N925" s="65">
        <v>0.18129999999999999</v>
      </c>
    </row>
    <row r="926" spans="3:17" x14ac:dyDescent="0.35">
      <c r="D926" s="65">
        <v>6.9599999999999995E-2</v>
      </c>
      <c r="E926" s="65">
        <v>0.71830000000000005</v>
      </c>
      <c r="F926" s="65">
        <v>0.20900000000000002</v>
      </c>
      <c r="L926" s="65">
        <v>4.2000000000000003E-2</v>
      </c>
      <c r="M926" s="65">
        <v>0.75869999999999993</v>
      </c>
      <c r="N926" s="65">
        <v>0.19309999999999999</v>
      </c>
    </row>
    <row r="927" spans="3:17" x14ac:dyDescent="0.35">
      <c r="D927" s="65">
        <v>6.9800000000000001E-2</v>
      </c>
      <c r="E927" s="65">
        <v>0.69950000000000001</v>
      </c>
      <c r="F927" s="65">
        <v>0.2286</v>
      </c>
      <c r="L927" s="65">
        <v>4.1599999999999998E-2</v>
      </c>
      <c r="M927" s="65">
        <v>0.75180000000000002</v>
      </c>
      <c r="N927" s="65">
        <v>0.20199999999999999</v>
      </c>
    </row>
    <row r="931" spans="1:12" x14ac:dyDescent="0.35">
      <c r="A931" s="67" t="s">
        <v>1233</v>
      </c>
    </row>
    <row r="934" spans="1:12" x14ac:dyDescent="0.35">
      <c r="A934" t="s">
        <v>208</v>
      </c>
      <c r="B934" t="s">
        <v>251</v>
      </c>
      <c r="C934" t="s">
        <v>1212</v>
      </c>
      <c r="D934" t="s">
        <v>409</v>
      </c>
      <c r="E934" t="s">
        <v>193</v>
      </c>
      <c r="F934" t="s">
        <v>322</v>
      </c>
      <c r="G934" t="s">
        <v>1139</v>
      </c>
      <c r="H934" t="s">
        <v>143</v>
      </c>
      <c r="J934" t="s">
        <v>144</v>
      </c>
      <c r="K934" t="s">
        <v>143</v>
      </c>
      <c r="L934" t="s">
        <v>145</v>
      </c>
    </row>
    <row r="935" spans="1:12" x14ac:dyDescent="0.3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35">
      <c r="B936" t="s">
        <v>304</v>
      </c>
      <c r="C936">
        <v>1</v>
      </c>
      <c r="D936" t="s">
        <v>1216</v>
      </c>
      <c r="E936">
        <v>6</v>
      </c>
      <c r="F936">
        <v>6</v>
      </c>
      <c r="G936">
        <v>0.1091</v>
      </c>
      <c r="H936">
        <v>3.4799999999999998E-2</v>
      </c>
      <c r="J936" s="65">
        <v>1.740792815250503</v>
      </c>
      <c r="K936" s="65">
        <v>0.53204994890312218</v>
      </c>
      <c r="L936" s="65">
        <v>3.2718597545950958</v>
      </c>
    </row>
    <row r="937" spans="1:12" x14ac:dyDescent="0.35">
      <c r="B937" t="s">
        <v>304</v>
      </c>
      <c r="C937">
        <v>1</v>
      </c>
      <c r="D937" t="s">
        <v>1215</v>
      </c>
      <c r="E937">
        <v>2</v>
      </c>
      <c r="F937">
        <v>2</v>
      </c>
      <c r="G937">
        <v>-0.04</v>
      </c>
      <c r="H937">
        <v>9.7999999999999997E-3</v>
      </c>
      <c r="J937" s="65">
        <v>-2.0204102886728799</v>
      </c>
      <c r="K937" s="65">
        <v>0.50010415581823231</v>
      </c>
      <c r="L937" s="65">
        <v>-4.0399790027084226</v>
      </c>
    </row>
    <row r="938" spans="1:12" x14ac:dyDescent="0.3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3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3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3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35">
      <c r="B942" t="s">
        <v>304</v>
      </c>
      <c r="C942">
        <v>1</v>
      </c>
      <c r="D942" t="s">
        <v>1216</v>
      </c>
      <c r="E942">
        <v>6</v>
      </c>
      <c r="F942">
        <v>6</v>
      </c>
      <c r="G942">
        <v>3.95E-2</v>
      </c>
      <c r="H942">
        <v>3.5799999999999998E-2</v>
      </c>
      <c r="J942" s="65">
        <v>0.64775270735424328</v>
      </c>
      <c r="K942" s="65">
        <v>0.57771196840200101</v>
      </c>
      <c r="L942" s="65">
        <v>1.1212381650080421</v>
      </c>
    </row>
    <row r="943" spans="1:12" x14ac:dyDescent="0.35">
      <c r="B943" t="s">
        <v>304</v>
      </c>
      <c r="C943">
        <v>1</v>
      </c>
      <c r="D943" t="s">
        <v>1215</v>
      </c>
      <c r="E943">
        <v>2</v>
      </c>
      <c r="F943">
        <v>2</v>
      </c>
      <c r="G943">
        <v>-6.1499999999999999E-2</v>
      </c>
      <c r="H943">
        <v>1.01E-2</v>
      </c>
      <c r="J943" s="65">
        <v>-3.1237903301331689</v>
      </c>
      <c r="K943" s="65">
        <v>0.5212838133541049</v>
      </c>
      <c r="L943" s="65">
        <v>-5.9924943957759096</v>
      </c>
    </row>
    <row r="944" spans="1:12" x14ac:dyDescent="0.3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35">
      <c r="B945" t="s">
        <v>305</v>
      </c>
      <c r="C945">
        <v>4</v>
      </c>
      <c r="D945" t="s">
        <v>1216</v>
      </c>
      <c r="E945">
        <v>6</v>
      </c>
      <c r="F945">
        <v>6</v>
      </c>
      <c r="G945">
        <v>0.2712</v>
      </c>
      <c r="H945">
        <v>2.81E-2</v>
      </c>
      <c r="J945" s="65">
        <v>4.0804067271065447</v>
      </c>
      <c r="K945" s="65">
        <v>0.38345125721518952</v>
      </c>
      <c r="L945" s="65">
        <v>10.64126574193668</v>
      </c>
    </row>
    <row r="946" spans="1:12" x14ac:dyDescent="0.3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3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35">
      <c r="B948" t="s">
        <v>304</v>
      </c>
      <c r="C948">
        <v>1</v>
      </c>
      <c r="D948" t="s">
        <v>1215</v>
      </c>
      <c r="E948">
        <v>2</v>
      </c>
      <c r="F948">
        <v>2</v>
      </c>
      <c r="G948">
        <v>-6.0199999999999997E-2</v>
      </c>
      <c r="H948">
        <v>1.01E-2</v>
      </c>
      <c r="J948" s="65">
        <v>-3.0567176128227009</v>
      </c>
      <c r="K948" s="65">
        <v>0.52092314966508346</v>
      </c>
      <c r="L948" s="65">
        <v>-5.8678859152025664</v>
      </c>
    </row>
    <row r="949" spans="1:12" x14ac:dyDescent="0.3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3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3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35">
      <c r="B952" t="s">
        <v>304</v>
      </c>
      <c r="C952">
        <v>1</v>
      </c>
      <c r="D952" t="s">
        <v>1215</v>
      </c>
      <c r="E952">
        <v>2</v>
      </c>
      <c r="F952">
        <v>2</v>
      </c>
      <c r="G952">
        <v>-4.3999999999999997E-2</v>
      </c>
      <c r="H952">
        <v>1.04E-2</v>
      </c>
      <c r="J952" s="65">
        <v>-2.2247475073574718</v>
      </c>
      <c r="K952" s="65">
        <v>0.53183191732399704</v>
      </c>
      <c r="L952" s="65">
        <v>-4.1831778704664213</v>
      </c>
    </row>
    <row r="953" spans="1:12" x14ac:dyDescent="0.3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3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35">
      <c r="A957" s="67" t="s">
        <v>1249</v>
      </c>
      <c r="C957" t="s">
        <v>1253</v>
      </c>
      <c r="E957" t="s">
        <v>1254</v>
      </c>
    </row>
    <row r="959" spans="1:12" x14ac:dyDescent="0.35">
      <c r="C959" t="s">
        <v>1212</v>
      </c>
      <c r="D959" t="s">
        <v>278</v>
      </c>
      <c r="E959" t="s">
        <v>322</v>
      </c>
      <c r="F959" t="s">
        <v>1139</v>
      </c>
      <c r="G959" t="s">
        <v>143</v>
      </c>
      <c r="I959" t="s">
        <v>144</v>
      </c>
      <c r="J959" t="s">
        <v>143</v>
      </c>
      <c r="K959" t="s">
        <v>145</v>
      </c>
    </row>
    <row r="960" spans="1:12" x14ac:dyDescent="0.35">
      <c r="C960">
        <v>1</v>
      </c>
      <c r="D960">
        <v>1970</v>
      </c>
      <c r="E960">
        <v>5</v>
      </c>
      <c r="F960">
        <v>0.376</v>
      </c>
      <c r="G960">
        <v>0.01</v>
      </c>
      <c r="I960" s="65">
        <v>6.5917731595733553</v>
      </c>
      <c r="J960" s="65">
        <v>0.15492990284821709</v>
      </c>
      <c r="K960" s="65">
        <v>42.546810127617753</v>
      </c>
    </row>
    <row r="961" spans="3:11" x14ac:dyDescent="0.35">
      <c r="C961">
        <v>1</v>
      </c>
      <c r="D961">
        <v>1980</v>
      </c>
      <c r="E961">
        <v>5</v>
      </c>
      <c r="F961">
        <v>0.32900000000000001</v>
      </c>
      <c r="G961">
        <v>8.9999999999999993E-3</v>
      </c>
      <c r="I961" s="65">
        <v>5.8534448758668312</v>
      </c>
      <c r="J961" s="65">
        <v>0.14336809689733651</v>
      </c>
      <c r="K961" s="65">
        <v>40.828085205444161</v>
      </c>
    </row>
    <row r="962" spans="3:11" x14ac:dyDescent="0.35">
      <c r="C962">
        <v>1</v>
      </c>
      <c r="D962">
        <v>1990</v>
      </c>
      <c r="E962">
        <v>5</v>
      </c>
      <c r="F962">
        <v>0.48799999999999999</v>
      </c>
      <c r="G962">
        <v>0.01</v>
      </c>
      <c r="I962" s="65">
        <v>8.273103706617114</v>
      </c>
      <c r="J962" s="65">
        <v>0.145528365197066</v>
      </c>
      <c r="K962" s="65">
        <v>56.848736639171072</v>
      </c>
    </row>
    <row r="963" spans="3:11" x14ac:dyDescent="0.35">
      <c r="C963">
        <v>1</v>
      </c>
      <c r="D963">
        <v>2000</v>
      </c>
      <c r="E963">
        <v>5</v>
      </c>
      <c r="F963">
        <v>0.52700000000000002</v>
      </c>
      <c r="G963">
        <v>1.2E-2</v>
      </c>
      <c r="I963" s="65">
        <v>8.8348059874834295</v>
      </c>
      <c r="J963" s="65">
        <v>0.17105666952846121</v>
      </c>
      <c r="K963" s="65">
        <v>51.648415766761168</v>
      </c>
    </row>
    <row r="964" spans="3:11" x14ac:dyDescent="0.35">
      <c r="C964">
        <v>1</v>
      </c>
      <c r="D964">
        <v>2008</v>
      </c>
      <c r="E964">
        <v>5</v>
      </c>
      <c r="F964">
        <v>0.52600000000000002</v>
      </c>
      <c r="G964">
        <v>0.01</v>
      </c>
      <c r="I964" s="65">
        <v>8.8205475295083602</v>
      </c>
      <c r="J964" s="65">
        <v>0.1426219495799585</v>
      </c>
      <c r="K964" s="65">
        <v>61.845652478360442</v>
      </c>
    </row>
    <row r="965" spans="3:11" x14ac:dyDescent="0.35">
      <c r="C965">
        <v>2</v>
      </c>
      <c r="D965">
        <v>1970</v>
      </c>
      <c r="E965">
        <v>5</v>
      </c>
      <c r="F965">
        <v>0.378</v>
      </c>
      <c r="G965">
        <v>0.01</v>
      </c>
      <c r="I965" s="65">
        <v>6.6227411407328907</v>
      </c>
      <c r="J965" s="65">
        <v>0.1547499871418474</v>
      </c>
      <c r="K965" s="65">
        <v>42.796392187498753</v>
      </c>
    </row>
    <row r="966" spans="3:11" x14ac:dyDescent="0.35">
      <c r="C966">
        <v>2</v>
      </c>
      <c r="D966">
        <v>1980</v>
      </c>
      <c r="E966">
        <v>5</v>
      </c>
      <c r="F966">
        <v>0.34799999999999998</v>
      </c>
      <c r="G966">
        <v>0.01</v>
      </c>
      <c r="I966" s="65">
        <v>6.1543947367277196</v>
      </c>
      <c r="J966" s="65">
        <v>0.15749910198327549</v>
      </c>
      <c r="K966" s="65">
        <v>39.075744935874241</v>
      </c>
    </row>
    <row r="967" spans="3:11" x14ac:dyDescent="0.35">
      <c r="C967">
        <v>2</v>
      </c>
      <c r="D967">
        <v>1990</v>
      </c>
      <c r="E967">
        <v>5</v>
      </c>
      <c r="F967">
        <v>0.50600000000000001</v>
      </c>
      <c r="G967">
        <v>0.01</v>
      </c>
      <c r="I967" s="65">
        <v>8.5337963812986963</v>
      </c>
      <c r="J967" s="65">
        <v>0.1441351877573688</v>
      </c>
      <c r="K967" s="65">
        <v>59.206891211493307</v>
      </c>
    </row>
    <row r="968" spans="3:11" x14ac:dyDescent="0.35">
      <c r="C968">
        <v>2</v>
      </c>
      <c r="D968">
        <v>2000</v>
      </c>
      <c r="E968">
        <v>5</v>
      </c>
      <c r="F968">
        <v>0.59699999999999998</v>
      </c>
      <c r="G968">
        <v>1.4E-2</v>
      </c>
      <c r="I968" s="65">
        <v>9.8148273784176787</v>
      </c>
      <c r="J968" s="65">
        <v>0.19253695470229781</v>
      </c>
      <c r="K968" s="65">
        <v>50.976330199017873</v>
      </c>
    </row>
    <row r="969" spans="3:11" x14ac:dyDescent="0.35">
      <c r="C969">
        <v>2</v>
      </c>
      <c r="D969">
        <v>2008</v>
      </c>
      <c r="E969">
        <v>5</v>
      </c>
      <c r="F969">
        <v>0.65</v>
      </c>
      <c r="G969">
        <v>1.2E-2</v>
      </c>
      <c r="I969" s="65">
        <v>10.534229649286941</v>
      </c>
      <c r="J969" s="65">
        <v>0.1607770613080538</v>
      </c>
      <c r="K969" s="65">
        <v>65.520725180459891</v>
      </c>
    </row>
    <row r="970" spans="3:11" x14ac:dyDescent="0.35">
      <c r="C970">
        <v>3</v>
      </c>
      <c r="D970">
        <v>1970</v>
      </c>
      <c r="E970">
        <v>5</v>
      </c>
      <c r="F970">
        <v>0.376</v>
      </c>
      <c r="G970">
        <v>0.01</v>
      </c>
      <c r="I970" s="65">
        <v>6.5917731595733553</v>
      </c>
      <c r="J970" s="65">
        <v>0.15492990284821709</v>
      </c>
      <c r="K970" s="65">
        <v>42.546810127617753</v>
      </c>
    </row>
    <row r="971" spans="3:11" x14ac:dyDescent="0.35">
      <c r="C971">
        <v>3</v>
      </c>
      <c r="D971">
        <v>1980</v>
      </c>
      <c r="E971">
        <v>5</v>
      </c>
      <c r="F971">
        <v>0.34</v>
      </c>
      <c r="G971">
        <v>8.9999999999999993E-3</v>
      </c>
      <c r="I971" s="65">
        <v>6.0280952775362504</v>
      </c>
      <c r="J971" s="65">
        <v>0.1424257996265412</v>
      </c>
      <c r="K971" s="65">
        <v>42.324461532550217</v>
      </c>
    </row>
    <row r="972" spans="3:11" x14ac:dyDescent="0.35">
      <c r="C972">
        <v>3</v>
      </c>
      <c r="D972">
        <v>1990</v>
      </c>
      <c r="E972">
        <v>5</v>
      </c>
      <c r="F972">
        <v>0.497</v>
      </c>
      <c r="G972">
        <v>0.01</v>
      </c>
      <c r="I972" s="65">
        <v>8.4037635041231731</v>
      </c>
      <c r="J972" s="65">
        <v>0.14482800735353801</v>
      </c>
      <c r="K972" s="65">
        <v>58.025817365620753</v>
      </c>
    </row>
    <row r="973" spans="3:11" x14ac:dyDescent="0.35">
      <c r="C973">
        <v>3</v>
      </c>
      <c r="D973">
        <v>2000</v>
      </c>
      <c r="E973">
        <v>5</v>
      </c>
      <c r="F973">
        <v>0.58099999999999996</v>
      </c>
      <c r="G973">
        <v>1.2999999999999999E-2</v>
      </c>
      <c r="I973" s="65">
        <v>9.5938979837850944</v>
      </c>
      <c r="J973" s="65">
        <v>0.1802303192649217</v>
      </c>
      <c r="K973" s="65">
        <v>53.231321028083862</v>
      </c>
    </row>
    <row r="974" spans="3:11" x14ac:dyDescent="0.35">
      <c r="C974">
        <v>3</v>
      </c>
      <c r="D974">
        <v>2008</v>
      </c>
      <c r="E974">
        <v>5</v>
      </c>
      <c r="F974">
        <v>0.63800000000000001</v>
      </c>
      <c r="G974">
        <v>1.2E-2</v>
      </c>
      <c r="I974" s="65">
        <v>10.372982821504889</v>
      </c>
      <c r="J974" s="65">
        <v>0.1617186561487251</v>
      </c>
      <c r="K974" s="65">
        <v>64.142153221736805</v>
      </c>
    </row>
    <row r="975" spans="3:11" x14ac:dyDescent="0.35">
      <c r="C975">
        <v>4</v>
      </c>
      <c r="D975">
        <v>1970</v>
      </c>
      <c r="E975">
        <v>5</v>
      </c>
      <c r="F975">
        <v>0.38</v>
      </c>
      <c r="G975">
        <v>8.9999999999999993E-3</v>
      </c>
      <c r="I975" s="65">
        <v>6.6536731857242959</v>
      </c>
      <c r="J975" s="65">
        <v>0.13911348676398819</v>
      </c>
      <c r="K975" s="65">
        <v>47.829102271101362</v>
      </c>
    </row>
    <row r="976" spans="3:11" x14ac:dyDescent="0.35">
      <c r="C976">
        <v>4</v>
      </c>
      <c r="D976">
        <v>1980</v>
      </c>
      <c r="E976">
        <v>5</v>
      </c>
      <c r="F976">
        <v>0.32100000000000001</v>
      </c>
      <c r="G976">
        <v>8.9999999999999993E-3</v>
      </c>
      <c r="I976" s="65">
        <v>5.7256986053634051</v>
      </c>
      <c r="J976" s="65">
        <v>0.14406226910647549</v>
      </c>
      <c r="K976" s="65">
        <v>39.744609333701227</v>
      </c>
    </row>
    <row r="977" spans="1:15" x14ac:dyDescent="0.35">
      <c r="C977">
        <v>4</v>
      </c>
      <c r="D977">
        <v>1990</v>
      </c>
      <c r="E977">
        <v>5</v>
      </c>
      <c r="F977">
        <v>0.47099999999999997</v>
      </c>
      <c r="G977">
        <v>1.2E-2</v>
      </c>
      <c r="I977" s="65">
        <v>8.0245670900269026</v>
      </c>
      <c r="J977" s="65">
        <v>0.17624674440249119</v>
      </c>
      <c r="K977" s="65">
        <v>45.530299678621923</v>
      </c>
    </row>
    <row r="978" spans="1:15" x14ac:dyDescent="0.35">
      <c r="C978">
        <v>4</v>
      </c>
      <c r="D978">
        <v>2000</v>
      </c>
      <c r="E978">
        <v>5</v>
      </c>
      <c r="F978">
        <v>0.56999999999999995</v>
      </c>
      <c r="G978">
        <v>1.0999999999999999E-2</v>
      </c>
      <c r="I978" s="65">
        <v>9.4409692033879047</v>
      </c>
      <c r="J978" s="65">
        <v>0.15335677213213589</v>
      </c>
      <c r="K978" s="65">
        <v>61.562127789526883</v>
      </c>
    </row>
    <row r="979" spans="1:15" x14ac:dyDescent="0.35">
      <c r="C979">
        <v>4</v>
      </c>
      <c r="D979">
        <v>2008</v>
      </c>
      <c r="E979">
        <v>5</v>
      </c>
      <c r="F979">
        <v>0.61199999999999999</v>
      </c>
      <c r="G979">
        <v>1.0999999999999999E-2</v>
      </c>
      <c r="I979" s="65">
        <v>10.020346272835409</v>
      </c>
      <c r="J979" s="65">
        <v>0.15015183734506071</v>
      </c>
      <c r="K979" s="65">
        <v>66.73475629743956</v>
      </c>
    </row>
    <row r="982" spans="1:15" x14ac:dyDescent="0.35">
      <c r="A982" s="67" t="s">
        <v>1268</v>
      </c>
      <c r="D982" t="s">
        <v>1280</v>
      </c>
    </row>
    <row r="984" spans="1:15" x14ac:dyDescent="0.35">
      <c r="B984" t="s">
        <v>251</v>
      </c>
      <c r="C984" t="s">
        <v>1273</v>
      </c>
      <c r="D984" t="s">
        <v>1212</v>
      </c>
      <c r="E984" t="s">
        <v>409</v>
      </c>
      <c r="F984" t="s">
        <v>193</v>
      </c>
      <c r="G984" t="s">
        <v>322</v>
      </c>
      <c r="H984" t="s">
        <v>1139</v>
      </c>
      <c r="I984" t="s">
        <v>143</v>
      </c>
      <c r="M984" t="s">
        <v>144</v>
      </c>
      <c r="N984" t="s">
        <v>143</v>
      </c>
      <c r="O984" t="s">
        <v>145</v>
      </c>
    </row>
    <row r="985" spans="1:15" x14ac:dyDescent="0.3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3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3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3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3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3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3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3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3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3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3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3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3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3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35">
      <c r="B999" t="s">
        <v>305</v>
      </c>
      <c r="C999" t="s">
        <v>1278</v>
      </c>
      <c r="D999" t="s">
        <v>1275</v>
      </c>
      <c r="E999" t="s">
        <v>1279</v>
      </c>
      <c r="F999">
        <v>2</v>
      </c>
      <c r="G999">
        <v>2</v>
      </c>
      <c r="H999">
        <v>0.18770000000000001</v>
      </c>
      <c r="I999">
        <v>3.61E-2</v>
      </c>
      <c r="M999" s="65">
        <v>8.9816498315198103</v>
      </c>
      <c r="N999" s="65">
        <v>1.656242131395919</v>
      </c>
      <c r="O999" s="65">
        <v>5.4229086805984528</v>
      </c>
      <c r="S999" s="68" t="s">
        <v>1472</v>
      </c>
    </row>
    <row r="1000" spans="1:23" x14ac:dyDescent="0.3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1468</v>
      </c>
      <c r="U1000" t="s">
        <v>144</v>
      </c>
      <c r="V1000" t="s">
        <v>1470</v>
      </c>
    </row>
    <row r="1001" spans="1:23" x14ac:dyDescent="0.35">
      <c r="S1001">
        <v>10</v>
      </c>
      <c r="T1001">
        <v>0.9</v>
      </c>
      <c r="U1001">
        <f>(1+T1001)^(1/S1001)-1</f>
        <v>6.629005847852576E-2</v>
      </c>
      <c r="V1001">
        <f>U1001*100</f>
        <v>6.629005847852576</v>
      </c>
    </row>
    <row r="1003" spans="1:23" x14ac:dyDescent="0.35">
      <c r="A1003" s="67" t="s">
        <v>1281</v>
      </c>
      <c r="C1003" t="s">
        <v>1286</v>
      </c>
      <c r="E1003" t="s">
        <v>1287</v>
      </c>
      <c r="S1003" s="68" t="s">
        <v>1471</v>
      </c>
    </row>
    <row r="1004" spans="1:23" x14ac:dyDescent="0.35">
      <c r="S1004" t="s">
        <v>141</v>
      </c>
      <c r="T1004" t="s">
        <v>1468</v>
      </c>
      <c r="U1004" t="s">
        <v>1469</v>
      </c>
      <c r="V1004" t="s">
        <v>144</v>
      </c>
      <c r="W1004" t="s">
        <v>1470</v>
      </c>
    </row>
    <row r="1005" spans="1:23" x14ac:dyDescent="0.35">
      <c r="S1005">
        <v>8</v>
      </c>
      <c r="T1005">
        <v>0.9</v>
      </c>
      <c r="U1005">
        <v>0.2</v>
      </c>
      <c r="V1005">
        <f>(1+T1005-U1005)^(1/S1005)-1</f>
        <v>6.8577720821198174E-2</v>
      </c>
      <c r="W1005">
        <f>V1005*100</f>
        <v>6.8577720821198174</v>
      </c>
    </row>
    <row r="1006" spans="1:23" x14ac:dyDescent="0.35">
      <c r="B1006" t="s">
        <v>278</v>
      </c>
      <c r="C1006" t="s">
        <v>1212</v>
      </c>
      <c r="D1006" t="s">
        <v>409</v>
      </c>
      <c r="E1006" t="s">
        <v>193</v>
      </c>
      <c r="F1006" t="s">
        <v>322</v>
      </c>
      <c r="G1006" t="s">
        <v>1139</v>
      </c>
      <c r="H1006" t="s">
        <v>1202</v>
      </c>
      <c r="I1006" t="s">
        <v>143</v>
      </c>
      <c r="K1006" t="s">
        <v>144</v>
      </c>
      <c r="L1006" t="s">
        <v>143</v>
      </c>
      <c r="M1006" t="s">
        <v>145</v>
      </c>
    </row>
    <row r="1007" spans="1:23" x14ac:dyDescent="0.3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3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3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3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3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3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3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3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3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3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3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3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3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3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3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3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3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3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3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3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3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3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3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3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35">
      <c r="C1033" t="s">
        <v>1288</v>
      </c>
      <c r="D1033" t="s">
        <v>1289</v>
      </c>
      <c r="E1033" t="s">
        <v>1291</v>
      </c>
      <c r="F1033" t="s">
        <v>1290</v>
      </c>
      <c r="G1033" t="s">
        <v>1292</v>
      </c>
      <c r="I1033" t="s">
        <v>1293</v>
      </c>
      <c r="J1033" t="s">
        <v>1289</v>
      </c>
      <c r="K1033" t="s">
        <v>1291</v>
      </c>
      <c r="L1033" t="s">
        <v>1290</v>
      </c>
      <c r="M1033" t="s">
        <v>1292</v>
      </c>
    </row>
    <row r="1034" spans="2:13" x14ac:dyDescent="0.3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3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3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3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3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35">
      <c r="D1039" t="s">
        <v>234</v>
      </c>
      <c r="E1039" s="65">
        <f>SUMPRODUCT(C1034:C1038,E1034:E1038)</f>
        <v>25.259999999999998</v>
      </c>
      <c r="G1039" s="65">
        <f>SUMPRODUCT(C1034:C1038,G1034:G1038)</f>
        <v>24.265000000000001</v>
      </c>
    </row>
    <row r="1041" spans="1:12" x14ac:dyDescent="0.35">
      <c r="C1041" t="s">
        <v>1294</v>
      </c>
    </row>
    <row r="1044" spans="1:12" x14ac:dyDescent="0.35">
      <c r="A1044" s="67" t="s">
        <v>1310</v>
      </c>
    </row>
    <row r="1047" spans="1:12" x14ac:dyDescent="0.35">
      <c r="A1047" t="s">
        <v>187</v>
      </c>
      <c r="B1047" t="s">
        <v>1212</v>
      </c>
      <c r="C1047" t="s">
        <v>409</v>
      </c>
      <c r="D1047" t="s">
        <v>1316</v>
      </c>
      <c r="E1047" t="s">
        <v>1319</v>
      </c>
      <c r="F1047" t="s">
        <v>193</v>
      </c>
      <c r="G1047" t="s">
        <v>1139</v>
      </c>
      <c r="H1047" t="s">
        <v>143</v>
      </c>
      <c r="J1047" t="s">
        <v>144</v>
      </c>
      <c r="K1047" t="s">
        <v>143</v>
      </c>
      <c r="L1047" t="s">
        <v>145</v>
      </c>
    </row>
    <row r="1048" spans="1:12" x14ac:dyDescent="0.35">
      <c r="B1048">
        <v>1</v>
      </c>
      <c r="C1048" t="s">
        <v>1215</v>
      </c>
      <c r="D1048" t="s">
        <v>164</v>
      </c>
      <c r="E1048">
        <v>0</v>
      </c>
      <c r="F1048">
        <v>0</v>
      </c>
      <c r="G1048">
        <v>0.193</v>
      </c>
      <c r="H1048">
        <v>1.2999999999999999E-2</v>
      </c>
      <c r="J1048" t="s">
        <v>83</v>
      </c>
      <c r="K1048" t="s">
        <v>83</v>
      </c>
      <c r="L1048" t="s">
        <v>83</v>
      </c>
    </row>
    <row r="1049" spans="1:12" x14ac:dyDescent="0.35">
      <c r="B1049">
        <v>2</v>
      </c>
      <c r="C1049" t="s">
        <v>1215</v>
      </c>
      <c r="D1049" t="s">
        <v>1317</v>
      </c>
      <c r="E1049">
        <v>0</v>
      </c>
      <c r="F1049">
        <v>0</v>
      </c>
      <c r="G1049">
        <v>0.16700000000000001</v>
      </c>
      <c r="H1049">
        <v>1.4999999999999999E-2</v>
      </c>
      <c r="J1049" t="s">
        <v>83</v>
      </c>
      <c r="K1049" t="s">
        <v>83</v>
      </c>
      <c r="L1049" t="s">
        <v>83</v>
      </c>
    </row>
    <row r="1050" spans="1:12" x14ac:dyDescent="0.35">
      <c r="B1050">
        <v>3</v>
      </c>
      <c r="C1050" t="s">
        <v>1215</v>
      </c>
      <c r="D1050" t="s">
        <v>1317</v>
      </c>
      <c r="E1050">
        <v>0</v>
      </c>
      <c r="F1050">
        <v>0</v>
      </c>
      <c r="G1050">
        <v>0.158</v>
      </c>
      <c r="H1050">
        <v>1.6E-2</v>
      </c>
      <c r="J1050" t="s">
        <v>83</v>
      </c>
      <c r="K1050" t="s">
        <v>83</v>
      </c>
      <c r="L1050" t="s">
        <v>83</v>
      </c>
    </row>
    <row r="1051" spans="1:12" x14ac:dyDescent="0.35">
      <c r="B1051">
        <v>4</v>
      </c>
      <c r="C1051" t="s">
        <v>1215</v>
      </c>
      <c r="D1051" t="s">
        <v>1317</v>
      </c>
      <c r="E1051">
        <v>0</v>
      </c>
      <c r="F1051">
        <v>0</v>
      </c>
      <c r="G1051">
        <v>0.113</v>
      </c>
      <c r="H1051">
        <v>1.6E-2</v>
      </c>
      <c r="J1051" t="s">
        <v>83</v>
      </c>
      <c r="K1051" t="s">
        <v>83</v>
      </c>
      <c r="L1051" t="s">
        <v>83</v>
      </c>
    </row>
    <row r="1052" spans="1:12" x14ac:dyDescent="0.35">
      <c r="B1052">
        <v>5</v>
      </c>
      <c r="C1052" t="s">
        <v>1215</v>
      </c>
      <c r="D1052" t="s">
        <v>1317</v>
      </c>
      <c r="E1052">
        <v>0</v>
      </c>
      <c r="F1052">
        <v>0</v>
      </c>
      <c r="G1052">
        <v>8.7999999999999995E-2</v>
      </c>
      <c r="H1052">
        <v>1.9E-2</v>
      </c>
      <c r="J1052" t="s">
        <v>83</v>
      </c>
      <c r="K1052" t="s">
        <v>83</v>
      </c>
      <c r="L1052" t="s">
        <v>83</v>
      </c>
    </row>
    <row r="1053" spans="1:12" x14ac:dyDescent="0.35">
      <c r="B1053">
        <v>2</v>
      </c>
      <c r="C1053" t="s">
        <v>1215</v>
      </c>
      <c r="D1053" t="s">
        <v>1318</v>
      </c>
      <c r="E1053">
        <v>0</v>
      </c>
      <c r="F1053">
        <v>0</v>
      </c>
      <c r="G1053">
        <v>0.23699999999999999</v>
      </c>
      <c r="H1053">
        <v>1.9E-2</v>
      </c>
      <c r="J1053" t="s">
        <v>83</v>
      </c>
      <c r="K1053" t="s">
        <v>83</v>
      </c>
      <c r="L1053" t="s">
        <v>83</v>
      </c>
    </row>
    <row r="1054" spans="1:12" x14ac:dyDescent="0.35">
      <c r="B1054">
        <v>3</v>
      </c>
      <c r="C1054" t="s">
        <v>1215</v>
      </c>
      <c r="D1054" t="s">
        <v>1318</v>
      </c>
      <c r="E1054">
        <v>0</v>
      </c>
      <c r="F1054">
        <v>0</v>
      </c>
      <c r="G1054">
        <v>0.22600000000000001</v>
      </c>
      <c r="H1054">
        <v>0.02</v>
      </c>
      <c r="J1054" t="s">
        <v>83</v>
      </c>
      <c r="K1054" t="s">
        <v>83</v>
      </c>
      <c r="L1054" t="s">
        <v>83</v>
      </c>
    </row>
    <row r="1055" spans="1:12" x14ac:dyDescent="0.35">
      <c r="B1055">
        <v>4</v>
      </c>
      <c r="C1055" t="s">
        <v>1215</v>
      </c>
      <c r="D1055" t="s">
        <v>1318</v>
      </c>
      <c r="E1055">
        <v>0</v>
      </c>
      <c r="F1055">
        <v>0</v>
      </c>
      <c r="G1055">
        <v>0.16700000000000001</v>
      </c>
      <c r="H1055">
        <v>0.02</v>
      </c>
      <c r="J1055" t="s">
        <v>83</v>
      </c>
      <c r="K1055" t="s">
        <v>83</v>
      </c>
      <c r="L1055" t="s">
        <v>83</v>
      </c>
    </row>
    <row r="1056" spans="1:12" x14ac:dyDescent="0.35">
      <c r="B1056">
        <v>5</v>
      </c>
      <c r="C1056" t="s">
        <v>1215</v>
      </c>
      <c r="D1056" t="s">
        <v>1318</v>
      </c>
      <c r="E1056">
        <v>0</v>
      </c>
      <c r="F1056">
        <v>0</v>
      </c>
      <c r="G1056">
        <v>0.105</v>
      </c>
      <c r="H1056">
        <v>2.7E-2</v>
      </c>
      <c r="J1056" t="s">
        <v>83</v>
      </c>
      <c r="K1056" t="s">
        <v>83</v>
      </c>
      <c r="L1056" t="s">
        <v>83</v>
      </c>
    </row>
    <row r="1057" spans="1:12" x14ac:dyDescent="0.3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3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35">
      <c r="B1059">
        <v>3</v>
      </c>
      <c r="C1059" t="s">
        <v>1314</v>
      </c>
      <c r="D1059" t="s">
        <v>1317</v>
      </c>
      <c r="E1059">
        <v>1</v>
      </c>
      <c r="F1059">
        <v>1</v>
      </c>
      <c r="G1059">
        <v>0.27500000000000002</v>
      </c>
      <c r="H1059">
        <v>2.7E-2</v>
      </c>
      <c r="J1059" s="65">
        <v>11.7</v>
      </c>
      <c r="K1059" s="65">
        <v>3.1384709652950429</v>
      </c>
      <c r="L1059" s="65">
        <v>3.7279299790814209</v>
      </c>
    </row>
    <row r="1060" spans="1:12" x14ac:dyDescent="0.35">
      <c r="B1060">
        <v>4</v>
      </c>
      <c r="C1060" t="s">
        <v>1314</v>
      </c>
      <c r="D1060" t="s">
        <v>1317</v>
      </c>
      <c r="E1060">
        <v>1</v>
      </c>
      <c r="F1060">
        <v>1</v>
      </c>
      <c r="G1060">
        <v>0.21</v>
      </c>
      <c r="H1060">
        <v>2.7E-2</v>
      </c>
      <c r="J1060" s="65">
        <v>9.6999999999999975</v>
      </c>
      <c r="K1060" s="65">
        <v>3.1384709652950429</v>
      </c>
      <c r="L1060" s="65">
        <v>3.0906769912042549</v>
      </c>
    </row>
    <row r="1061" spans="1:12" x14ac:dyDescent="0.3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3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3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3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3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3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35">
      <c r="A1069" s="67" t="s">
        <v>1353</v>
      </c>
    </row>
    <row r="1071" spans="1:12" x14ac:dyDescent="0.35">
      <c r="C1071" t="s">
        <v>1212</v>
      </c>
      <c r="D1071" t="s">
        <v>409</v>
      </c>
      <c r="E1071" t="s">
        <v>193</v>
      </c>
      <c r="F1071" t="s">
        <v>322</v>
      </c>
      <c r="G1071" t="s">
        <v>1139</v>
      </c>
      <c r="H1071" t="s">
        <v>143</v>
      </c>
      <c r="J1071" t="s">
        <v>144</v>
      </c>
      <c r="K1071" t="s">
        <v>143</v>
      </c>
      <c r="L1071" t="s">
        <v>145</v>
      </c>
    </row>
    <row r="1072" spans="1:12" x14ac:dyDescent="0.35">
      <c r="C1072">
        <v>1</v>
      </c>
      <c r="D1072" t="s">
        <v>1357</v>
      </c>
      <c r="E1072">
        <v>2</v>
      </c>
      <c r="F1072">
        <v>11</v>
      </c>
      <c r="G1072">
        <v>0.15</v>
      </c>
      <c r="H1072">
        <v>2E-3</v>
      </c>
      <c r="J1072" s="65">
        <v>7.2380529476360866</v>
      </c>
      <c r="K1072" s="65">
        <v>9.3250480824031381E-2</v>
      </c>
      <c r="L1072" s="65">
        <v>77.619470523639208</v>
      </c>
    </row>
    <row r="1073" spans="3:12" x14ac:dyDescent="0.35">
      <c r="C1073">
        <v>1</v>
      </c>
      <c r="D1073" t="s">
        <v>1215</v>
      </c>
      <c r="E1073">
        <v>4</v>
      </c>
      <c r="F1073">
        <v>13</v>
      </c>
      <c r="G1073">
        <v>0.24</v>
      </c>
      <c r="H1073">
        <v>2E-3</v>
      </c>
      <c r="J1073" s="65">
        <v>5.5250146915888587</v>
      </c>
      <c r="K1073" s="65">
        <v>4.2550409149834219E-2</v>
      </c>
      <c r="L1073" s="65">
        <v>129.84633525222841</v>
      </c>
    </row>
    <row r="1074" spans="3:12" x14ac:dyDescent="0.35">
      <c r="C1074">
        <v>1</v>
      </c>
      <c r="D1074" t="s">
        <v>1223</v>
      </c>
      <c r="E1074">
        <v>6</v>
      </c>
      <c r="F1074">
        <v>15</v>
      </c>
      <c r="G1074">
        <v>0.48</v>
      </c>
      <c r="H1074">
        <v>2E-3</v>
      </c>
      <c r="J1074" s="65">
        <v>6.7522291599108941</v>
      </c>
      <c r="K1074" s="65">
        <v>2.4043294855835791E-2</v>
      </c>
      <c r="L1074" s="65">
        <v>280.83626642677018</v>
      </c>
    </row>
    <row r="1075" spans="3:12" x14ac:dyDescent="0.35">
      <c r="C1075">
        <v>1</v>
      </c>
      <c r="D1075" t="s">
        <v>161</v>
      </c>
      <c r="E1075">
        <v>8</v>
      </c>
      <c r="F1075">
        <v>17</v>
      </c>
      <c r="G1075">
        <v>0.64</v>
      </c>
      <c r="H1075">
        <v>3.0000000000000001E-3</v>
      </c>
      <c r="J1075" s="65">
        <v>6.3788965157105082</v>
      </c>
      <c r="K1075" s="65">
        <v>2.4324442800848441E-2</v>
      </c>
      <c r="L1075" s="65">
        <v>262.24224611994038</v>
      </c>
    </row>
    <row r="1076" spans="3:12" x14ac:dyDescent="0.35">
      <c r="C1076">
        <v>2</v>
      </c>
      <c r="D1076" t="s">
        <v>1357</v>
      </c>
      <c r="E1076">
        <v>2</v>
      </c>
      <c r="F1076">
        <v>11</v>
      </c>
      <c r="G1076">
        <v>0.11</v>
      </c>
      <c r="H1076">
        <v>5.0000000000000001E-3</v>
      </c>
      <c r="J1076" s="65">
        <v>5.3565375285273831</v>
      </c>
      <c r="K1076" s="65">
        <v>0.2372894989381247</v>
      </c>
      <c r="L1076" s="65">
        <v>22.573849885890429</v>
      </c>
    </row>
    <row r="1077" spans="3:12" x14ac:dyDescent="0.35">
      <c r="C1077">
        <v>2</v>
      </c>
      <c r="D1077" t="s">
        <v>1215</v>
      </c>
      <c r="E1077">
        <v>4</v>
      </c>
      <c r="F1077">
        <v>13</v>
      </c>
      <c r="G1077">
        <v>0.19</v>
      </c>
      <c r="H1077">
        <v>6.0000000000000001E-3</v>
      </c>
      <c r="J1077" s="65">
        <v>4.4447802172789874</v>
      </c>
      <c r="K1077" s="65">
        <v>0.13165308430749451</v>
      </c>
      <c r="L1077" s="65">
        <v>33.76130715553591</v>
      </c>
    </row>
    <row r="1078" spans="3:12" x14ac:dyDescent="0.35">
      <c r="C1078">
        <v>2</v>
      </c>
      <c r="D1078" t="s">
        <v>1223</v>
      </c>
      <c r="E1078">
        <v>6</v>
      </c>
      <c r="F1078">
        <v>15</v>
      </c>
      <c r="G1078">
        <v>0.39</v>
      </c>
      <c r="H1078">
        <v>8.9999999999999993E-3</v>
      </c>
      <c r="J1078" s="65">
        <v>5.6418018551802618</v>
      </c>
      <c r="K1078" s="65">
        <v>0.1140019444480362</v>
      </c>
      <c r="L1078" s="65">
        <v>49.488645851579129</v>
      </c>
    </row>
    <row r="1079" spans="3:12" x14ac:dyDescent="0.35">
      <c r="C1079">
        <v>2</v>
      </c>
      <c r="D1079" t="s">
        <v>161</v>
      </c>
      <c r="E1079">
        <v>8</v>
      </c>
      <c r="F1079">
        <v>17</v>
      </c>
      <c r="G1079">
        <v>0.55000000000000004</v>
      </c>
      <c r="H1079">
        <v>1.2E-2</v>
      </c>
      <c r="J1079" s="65">
        <v>5.6310172766642408</v>
      </c>
      <c r="K1079" s="65">
        <v>0.1022235651064493</v>
      </c>
      <c r="L1079" s="65">
        <v>55.085314925188229</v>
      </c>
    </row>
    <row r="1080" spans="3:12" x14ac:dyDescent="0.35">
      <c r="C1080">
        <v>4</v>
      </c>
      <c r="D1080" t="s">
        <v>1357</v>
      </c>
      <c r="E1080">
        <v>2</v>
      </c>
      <c r="F1080">
        <v>11</v>
      </c>
      <c r="G1080">
        <v>0.09</v>
      </c>
      <c r="H1080">
        <v>5.0000000000000001E-3</v>
      </c>
      <c r="J1080" s="65">
        <v>4.4030650891055068</v>
      </c>
      <c r="K1080" s="65">
        <v>0.23945657130528791</v>
      </c>
      <c r="L1080" s="65">
        <v>18.387739643578008</v>
      </c>
    </row>
    <row r="1081" spans="3:12" x14ac:dyDescent="0.35">
      <c r="C1081">
        <v>4</v>
      </c>
      <c r="D1081" t="s">
        <v>1215</v>
      </c>
      <c r="E1081">
        <v>4</v>
      </c>
      <c r="F1081">
        <v>13</v>
      </c>
      <c r="G1081">
        <v>0.16</v>
      </c>
      <c r="H1081">
        <v>6.0000000000000001E-3</v>
      </c>
      <c r="J1081" s="65">
        <v>3.7801985653766579</v>
      </c>
      <c r="K1081" s="65">
        <v>0.13419853262764231</v>
      </c>
      <c r="L1081" s="65">
        <v>28.168702677737119</v>
      </c>
    </row>
    <row r="1082" spans="3:12" x14ac:dyDescent="0.35">
      <c r="C1082">
        <v>4</v>
      </c>
      <c r="D1082" t="s">
        <v>1223</v>
      </c>
      <c r="E1082">
        <v>6</v>
      </c>
      <c r="F1082">
        <v>15</v>
      </c>
      <c r="G1082">
        <v>0.35</v>
      </c>
      <c r="H1082">
        <v>8.0000000000000002E-3</v>
      </c>
      <c r="J1082" s="65">
        <v>5.1289422372410298</v>
      </c>
      <c r="K1082" s="65">
        <v>0.1038310540614726</v>
      </c>
      <c r="L1082" s="65">
        <v>49.396996723200637</v>
      </c>
    </row>
    <row r="1083" spans="3:12" x14ac:dyDescent="0.3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4.5" x14ac:dyDescent="0.35"/>
  <cols>
    <col min="1" max="1" width="22.7265625" style="33" customWidth="1"/>
    <col min="2" max="2" width="6.81640625" customWidth="1"/>
    <col min="3" max="3" width="8.81640625" style="30"/>
  </cols>
  <sheetData>
    <row r="1" spans="1:8" s="31" customFormat="1" ht="15" thickBot="1" x14ac:dyDescent="0.4">
      <c r="A1" s="43" t="s">
        <v>90</v>
      </c>
      <c r="B1" s="44" t="s">
        <v>92</v>
      </c>
      <c r="C1" s="32" t="s">
        <v>91</v>
      </c>
    </row>
    <row r="2" spans="1:8" x14ac:dyDescent="0.35">
      <c r="A2" s="24"/>
      <c r="B2" t="s">
        <v>107</v>
      </c>
      <c r="C2" s="30" t="s">
        <v>100</v>
      </c>
    </row>
    <row r="3" spans="1:8" x14ac:dyDescent="0.35">
      <c r="A3" s="42"/>
      <c r="B3" t="s">
        <v>108</v>
      </c>
      <c r="C3" s="30" t="s">
        <v>101</v>
      </c>
    </row>
    <row r="4" spans="1:8" x14ac:dyDescent="0.35">
      <c r="A4" s="17"/>
      <c r="B4" t="s">
        <v>93</v>
      </c>
      <c r="C4" s="30" t="s">
        <v>102</v>
      </c>
    </row>
    <row r="5" spans="1:8" x14ac:dyDescent="0.35">
      <c r="A5" s="19"/>
      <c r="B5" t="s">
        <v>112</v>
      </c>
      <c r="C5" s="30" t="s">
        <v>103</v>
      </c>
      <c r="H5" s="68"/>
    </row>
    <row r="6" spans="1:8" x14ac:dyDescent="0.35">
      <c r="A6" s="21"/>
      <c r="B6" t="s">
        <v>109</v>
      </c>
      <c r="C6" s="30" t="s">
        <v>104</v>
      </c>
    </row>
    <row r="7" spans="1:8" x14ac:dyDescent="0.35">
      <c r="A7" s="23"/>
      <c r="B7" t="s">
        <v>111</v>
      </c>
      <c r="C7" s="30" t="s">
        <v>105</v>
      </c>
      <c r="H7" s="68"/>
    </row>
    <row r="8" spans="1:8" x14ac:dyDescent="0.35">
      <c r="A8" s="41"/>
      <c r="B8" t="s">
        <v>110</v>
      </c>
      <c r="C8" s="30" t="s">
        <v>106</v>
      </c>
    </row>
    <row r="21" spans="8:8" x14ac:dyDescent="0.3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2023-11-22T13:41:17Z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