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31A872FF-B5EA-489C-9EB0-903EF33E6D71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3" i="10"/>
  <c r="AM814" i="10"/>
  <c r="AM815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3" i="10"/>
  <c r="X814" i="10"/>
  <c r="X815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<sst xmlns="http://schemas.openxmlformats.org/spreadsheetml/2006/main" count="8777" uniqueCount="510">
  <si>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</si>
  <si>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</si>
  <si>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</si>
  <si>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</si>
  <si>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</si>
  <si>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</si>
  <si>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</si>
  <si>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</si>
  <si>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</si>
  <si>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</si>
  <si>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</si>
  <si>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</si>
  <si>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</si>
  <si>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</si>
  <si>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</si>
  <si>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</si>
  <si>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</si>
  <si>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</si>
  <si>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</si>
  <si>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</si>
  <si>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</si>
  <si>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</si>
  <si>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</si>
  <si>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</si>
  <si>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</si>
  <si>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</si>
  <si>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</si>
  <si>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</si>
  <si>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</si>
  <si>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</si>
  <si>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</si>
  <si>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</si>
  <si>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</si>
  <si>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</si>
  <si>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</si>
  <si>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</si>
  <si>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</si>
  <si>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</si>
  <si>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</si>
  <si>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</si>
  <si>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</si>
  <si>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</si>
  <si>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</si>
  <si>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</si>
  <si>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</si>
  <si>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</si>
  <si>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</si>
  <si>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</si>
  <si>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</si>
  <si>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</si>
  <si>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</si>
  <si>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</si>
  <si>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</si>
  <si>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</si>
  <si>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</si>
  <si>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</si>
  <si>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</si>
  <si>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</si>
  <si>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</si>
  <si>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</si>
  <si>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</si>
  <si>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</si>
  <si>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</si>
  <si>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</si>
  <si>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</si>
  <si>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</si>
  <si>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</si>
  <si>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</si>
  <si>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</si>
  <si>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</si>
  <si>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</si>
  <si>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</si>
  <si>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</si>
  <si>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</si>
  <si>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</si>
  <si>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</si>
  <si>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</si>
  <si>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</si>
  <si>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</si>
  <si>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</si>
  <si>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</si>
  <si>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</si>
  <si>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</si>
  <si>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</si>
  <si>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</si>
  <si>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</si>
  <si>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</si>
  <si>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</si>
  <si>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</si>
  <si>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</si>
  <si>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</si>
  <si>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</si>
  <si>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</si>
  <si>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</si>
  <si>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</si>
  <si>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</si>
  <si>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</si>
  <si>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</si>
  <si>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</si>
  <si>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</si>
  <si>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</si>
  <si>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</si>
  <si>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</si>
  <si>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</si>
  <si>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</si>
  <si>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</si>
  <si>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</si>
  <si>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</si>
  <si>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</si>
  <si>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</si>
  <si>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</si>
  <si>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</si>
  <si>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</si>
  <si>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</si>
  <si>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</si>
  <si>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</si>
  <si>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</si>
  <si>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</si>
  <si>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</si>
  <si>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</si>
  <si>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</si>
  <si>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</si>
  <si>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</si>
  <si>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</si>
  <si>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</si>
  <si>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</si>
  <si>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</si>
  <si>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</si>
  <si>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</si>
  <si>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</si>
  <si>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</si>
  <si>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</si>
  <si>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</si>
  <si>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</si>
  <si>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</si>
  <si>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</si>
  <si>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</si>
  <si>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</si>
  <si>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</si>
  <si>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</si>
  <si>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</si>
  <si>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</si>
  <si>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</si>
  <si>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</si>
  <si>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</si>
  <si>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</si>
  <si>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</si>
  <si>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</si>
  <si>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</si>
  <si>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</si>
  <si>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</si>
  <si>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</si>
  <si>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</si>
  <si>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</si>
  <si>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</si>
  <si>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</si>
  <si>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</si>
  <si>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</si>
  <si>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</si>
  <si>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</si>
  <si>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</si>
  <si>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</si>
  <si>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</si>
  <si>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</si>
  <si>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</si>
  <si>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</si>
  <si>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</si>
  <si>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</si>
  <si>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</si>
  <si>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</si>
  <si>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</si>
  <si>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</si>
  <si>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</si>
  <si>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</si>
  <si>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</si>
  <si>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</si>
  <si>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</si>
  <si>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</si>
  <si>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</si>
  <si>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</si>
  <si>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</si>
  <si>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</si>
  <si>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</si>
  <si>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</si>
  <si>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</si>
  <si>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</si>
  <si>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</si>
  <si>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</si>
  <si>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</si>
  <si>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</si>
  <si>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</si>
  <si>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</si>
  <si>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</si>
  <si>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</si>
  <si>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</si>
  <si>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</si>
  <si>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</si>
  <si>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</si>
  <si>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</si>
  <si>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</si>
  <si>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</si>
  <si>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</si>
  <si>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</si>
  <si>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</si>
  <si>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</si>
  <si>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</si>
  <si>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</si>
  <si>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</si>
  <si>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</si>
  <si>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</si>
  <si>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</si>
  <si>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</si>
  <si>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</si>
  <si>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</si>
  <si>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</si>
  <si>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</si>
  <si>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</si>
  <si>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</si>
  <si>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</si>
  <si>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</si>
  <si>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</si>
  <si>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</si>
  <si>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</si>
  <si>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</si>
  <si>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</si>
  <si>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</si>
  <si>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</si>
  <si>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</si>
  <si>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</si>
  <si>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</si>
  <si>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</si>
  <si>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</si>
  <si>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</si>
  <si>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</si>
  <si>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</si>
  <si>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</si>
  <si>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</si>
  <si>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</si>
  <si>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</si>
  <si>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</si>
  <si>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</si>
  <si>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</si>
  <si>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</si>
  <si>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</si>
  <si>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</si>
  <si>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</si>
  <si>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</si>
  <si>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</si>
  <si>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</si>
  <si>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</si>
  <si>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</si>
  <si>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</si>
  <si>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</si>
  <si>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</si>
  <si>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</si>
  <si>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</si>
  <si>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</si>
  <si>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</si>
  <si>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</si>
  <si>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</si>
  <si>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</si>
  <si>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</si>
  <si>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</si>
  <si>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</si>
  <si>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</si>
  <si>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</si>
  <si>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</si>
  <si>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</si>
  <si>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</si>
  <si>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</si>
  <si>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</si>
  <si>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</si>
  <si>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</si>
  <si>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</si>
  <si>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</si>
  <si>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</si>
  <si>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</si>
  <si>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</si>
  <si>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</si>
  <si>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</si>
  <si>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</si>
  <si>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</si>
  <si>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</si>
  <si>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</si>
  <si>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</si>
  <si>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</si>
  <si>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</si>
  <si>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</si>
  <si>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</si>
  <si>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</si>
  <si>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</si>
  <si>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</si>
  <si>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</si>
  <si>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</si>
  <si>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</si>
  <si>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</si>
  <si>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</si>
  <si>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</si>
  <si>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</si>
  <si>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</si>
  <si>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</si>
  <si>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</si>
  <si>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</si>
  <si>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</si>
  <si>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</si>
  <si>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</si>
  <si>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</si>
  <si>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</si>
  <si>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</si>
  <si>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</si>
  <si>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</si>
  <si>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</si>
  <si>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</si>
  <si>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</si>
  <si>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</si>
  <si>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</si>
  <si>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</si>
  <si>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</si>
  <si>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</si>
  <si>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</si>
  <si>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</si>
  <si>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</si>
  <si>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</si>
  <si>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</si>
  <si>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</si>
  <si>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</si>
  <si>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</si>
  <si>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</si>
  <si>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</si>
  <si>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</si>
  <si>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</si>
  <si>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</si>
  <si>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</si>
  <si>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</si>
  <si>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</si>
  <si>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</si>
  <si>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</si>
  <si>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</si>
  <si>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</si>
  <si>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</si>
  <si>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</si>
  <si>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</si>
  <si>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</si>
  <si>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</si>
  <si>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</si>
  <si>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</si>
  <si>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</si>
  <si>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</si>
  <si>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</si>
  <si>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</si>
  <si>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</si>
  <si>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</si>
  <si>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</si>
  <si>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</si>
  <si>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</si>
  <si>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</si>
  <si>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</si>
  <si>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</si>
  <si>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</si>
  <si>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</si>
  <si>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</si>
  <si>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</si>
  <si>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</si>
  <si>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</si>
  <si>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</si>
  <si>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</si>
  <si>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</si>
  <si>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</si>
  <si>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</si>
  <si>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</si>
  <si>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</si>
  <si>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</si>
  <si>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</si>
  <si>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</si>
  <si>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</si>
  <si>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</si>
  <si>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</si>
  <si>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</si>
  <si>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</si>
  <si>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</si>
  <si>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</si>
  <si>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</si>
  <si>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</si>
  <si>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</si>
  <si>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</si>
  <si>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</si>
  <si>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</si>
  <si>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</si>
  <si>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</si>
  <si>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</si>
  <si>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</si>
  <si>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</si>
  <si>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</si>
  <si>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</si>
  <si>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</si>
  <si>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</si>
  <si>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</si>
  <si>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</si>
  <si>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</si>
  <si>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</si>
  <si>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</si>
  <si>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</si>
  <si>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</si>
  <si>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</si>
  <si>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</si>
  <si>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</si>
  <si>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</si>
  <si>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</si>
  <si>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</si>
  <si>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</si>
  <si>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</si>
  <si>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</si>
  <si>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</si>
  <si>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</si>
  <si>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</si>
  <si>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</si>
  <si>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</si>
  <si>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</si>
  <si>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</si>
  <si>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</si>
  <si>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</si>
  <si>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</si>
  <si>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</si>
  <si>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</si>
  <si>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</si>
  <si>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</si>
  <si>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</si>
  <si>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</si>
  <si>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</si>
  <si>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</si>
  <si>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</si>
  <si>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</si>
  <si>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</si>
  <si>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</si>
  <si>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</si>
  <si>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</si>
  <si>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</si>
  <si>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</si>
  <si>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</si>
  <si>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</si>
  <si>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</si>
  <si>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</si>
  <si>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</si>
  <si>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</si>
  <si>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</si>
  <si>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</si>
  <si>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</si>
  <si>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</si>
  <si>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</si>
  <si>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</si>
  <si>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</si>
  <si>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</si>
  <si>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</si>
  <si>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</si>
  <si>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</si>
  <si>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</si>
  <si>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</si>
  <si>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</si>
  <si>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</si>
  <si>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</si>
  <si>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</si>
  <si>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</si>
  <si>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</si>
  <si>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Instumen - Other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</si>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</sst>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3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192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2" fontId="0" fillId="0" borderId="0" xfId="0" applyNumberFormat="1" applyBorder="1" applyAlignment="1">
      <alignment horizontal="center"/>
    </xf>
    <xf numFmtId="0" fontId="0" fillId="0" borderId="0" xfId="0" applyFill="1" applyBorder="1"/>
    <xf numFmtId="0" fontId="0" fillId="0" borderId="33" xfId="0" applyFill="1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tabSelected="1" workbookViewId="0">
      <pane xSplit="4" ySplit="1" topLeftCell="W758" activePane="bottomRight" state="frozen"/>
      <selection pane="topRight" activeCell="E1" sqref="E1"/>
      <selection pane="bottomLeft" activeCell="A2" sqref="A2"/>
      <selection pane="bottomRight" activeCell="AB765" sqref="AB765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53" width="8.7109375" hidden="1" customWidth="1"/>
    <col min="54" max="56" width="8.7109375" customWidth="1"/>
    <col min="57" max="68" width="8.7109375" hidden="1" customWidth="1"/>
    <col min="69" max="69" width="8.7109375" style="25" customWidth="1"/>
    <col min="70" max="77" width="8.7109375" customWidth="1"/>
    <col min="78" max="78" width="8.5703125" customWidth="1"/>
    <col min="79" max="97" width="8.7109375" customWidth="1"/>
    <col min="98" max="102" width="8.7109375" hidden="1" customWidth="1"/>
    <col min="103" max="103" width="0" style="34" hidden="1" customWidth="1"/>
    <col min="104" max="107" width="0" hidden="1" customWidth="1"/>
  </cols>
  <sheetData>
    <row r="1" spans="1:108" x14ac:dyDescent="0.25">
      <c r="A1" s="1" t="s">
        <v>0</v>
      </c>
      <c r="B1" s="1" t="s">
        <v>1</v>
      </c>
      <c r="C1" s="27" t="s">
        <v>340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326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366</v>
      </c>
      <c r="CX1" s="44" t="s">
        <v>85</v>
      </c>
      <c r="CY1" s="185" t="s">
        <v>483</v>
      </c>
      <c r="CZ1" s="186" t="s">
        <v>484</v>
      </c>
      <c r="DA1" s="186" t="s">
        <v>485</v>
      </c>
      <c r="DB1" s="186" t="s">
        <v>486</v>
      </c>
      <c r="DC1" s="186" t="s">
        <v>487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333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333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333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333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333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333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333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333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333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333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333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333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333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333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333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333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334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334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334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334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334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334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334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334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334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334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334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334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334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334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334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334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334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334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334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334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334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334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334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334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338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338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338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338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338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338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338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338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338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338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338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338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338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338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338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339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339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339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339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339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339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341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342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341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342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341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342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341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342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341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342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341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342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341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342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341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342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341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342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341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342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341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342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341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342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341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342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341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342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341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342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341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342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341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342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341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342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341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342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341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342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341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342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341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342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341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342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341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342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341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342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341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342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341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342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341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342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341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342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341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342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341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342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341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342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341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342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341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342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341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342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341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342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341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342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341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342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341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342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341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342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341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342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341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342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341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342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341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342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341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342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341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342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341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342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341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342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341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342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341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342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343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343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343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343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343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343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343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343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343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343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346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346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346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346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346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346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346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346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346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346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346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346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346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346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346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346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346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347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347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347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347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347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347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347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347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347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347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347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347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347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347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347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481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342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481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342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481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342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481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342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481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342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481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342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481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342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481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342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481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342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481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342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481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342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481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342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481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342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481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342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481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342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481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342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481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342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481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342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481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342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481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342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481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342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481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342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481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342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481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342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493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494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493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494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493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494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493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494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493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494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493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494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493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494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493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494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493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494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493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494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493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494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493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494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493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494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493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494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493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494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493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494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493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494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493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494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503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504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503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504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503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504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503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504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503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504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503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504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509</v>
      </c>
      <c r="D740" s="12">
        <v>6.4</v>
      </c>
      <c r="E740" s="14">
        <v>0.1</v>
      </c>
      <c r="F740" s="7">
        <v>9.8571428571428594</v>
      </c>
      <c r="G740" s="7">
        <f t="shared" ref="G740:G769" si="542">D740-E740</f>
        <v>6.3000000000000007</v>
      </c>
      <c r="H740" s="16">
        <f t="shared" ref="H740:H769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 s="190">
        <v>1</v>
      </c>
      <c r="BS740" s="190">
        <v>0</v>
      </c>
      <c r="BT740" s="190">
        <v>0</v>
      </c>
      <c r="BU740" s="190">
        <v>0</v>
      </c>
      <c r="BV740" s="190">
        <v>0</v>
      </c>
      <c r="BW740" s="190">
        <v>0</v>
      </c>
      <c r="BX740" s="190">
        <v>0</v>
      </c>
      <c r="BY740" s="18">
        <v>0</v>
      </c>
      <c r="BZ740" s="190">
        <v>0</v>
      </c>
      <c r="CA740" s="190">
        <v>0</v>
      </c>
      <c r="CB740" s="190">
        <v>1</v>
      </c>
      <c r="CC740" s="18">
        <v>0</v>
      </c>
      <c r="CD740" s="190">
        <v>0</v>
      </c>
      <c r="CE740" s="190">
        <v>0</v>
      </c>
      <c r="CF740" s="190">
        <v>0</v>
      </c>
      <c r="CG740" s="190">
        <v>0</v>
      </c>
      <c r="CH740" s="18">
        <v>0</v>
      </c>
      <c r="CI740" s="190">
        <v>0</v>
      </c>
      <c r="CJ740" s="190">
        <v>0</v>
      </c>
      <c r="CK740" s="190">
        <v>1</v>
      </c>
      <c r="CL740" s="190">
        <v>0</v>
      </c>
      <c r="CM740" s="190">
        <v>0</v>
      </c>
      <c r="CN740" s="190">
        <v>0</v>
      </c>
      <c r="CO740" s="190">
        <v>0</v>
      </c>
      <c r="CP740" s="190">
        <v>0</v>
      </c>
      <c r="CQ740" s="190">
        <v>0</v>
      </c>
      <c r="CR740" s="19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509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6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 s="190">
        <v>1</v>
      </c>
      <c r="BS741" s="190">
        <v>0</v>
      </c>
      <c r="BT741" s="190">
        <v>0</v>
      </c>
      <c r="BU741" s="190">
        <v>0</v>
      </c>
      <c r="BV741" s="190">
        <v>0</v>
      </c>
      <c r="BW741" s="190">
        <v>0</v>
      </c>
      <c r="BX741" s="190">
        <v>0</v>
      </c>
      <c r="BY741" s="18">
        <v>0</v>
      </c>
      <c r="BZ741" s="190">
        <v>0</v>
      </c>
      <c r="CA741" s="190">
        <v>0</v>
      </c>
      <c r="CB741" s="190">
        <v>1</v>
      </c>
      <c r="CC741" s="18">
        <v>0</v>
      </c>
      <c r="CD741" s="190">
        <v>0</v>
      </c>
      <c r="CE741" s="190">
        <v>0</v>
      </c>
      <c r="CF741" s="190">
        <v>0</v>
      </c>
      <c r="CG741" s="190">
        <v>0</v>
      </c>
      <c r="CH741" s="18">
        <v>0</v>
      </c>
      <c r="CI741" s="190">
        <v>0</v>
      </c>
      <c r="CJ741" s="190">
        <v>0</v>
      </c>
      <c r="CK741" s="190">
        <v>1</v>
      </c>
      <c r="CL741" s="190">
        <v>0</v>
      </c>
      <c r="CM741" s="190">
        <v>0</v>
      </c>
      <c r="CN741" s="190">
        <v>0</v>
      </c>
      <c r="CO741" s="190">
        <v>0</v>
      </c>
      <c r="CP741" s="190">
        <v>0</v>
      </c>
      <c r="CQ741" s="190">
        <v>0</v>
      </c>
      <c r="CR741" s="190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509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 s="190">
        <v>1</v>
      </c>
      <c r="BS742" s="190">
        <v>0</v>
      </c>
      <c r="BT742" s="190">
        <v>0</v>
      </c>
      <c r="BU742" s="190">
        <v>0</v>
      </c>
      <c r="BV742" s="190">
        <v>0</v>
      </c>
      <c r="BW742" s="190">
        <v>0</v>
      </c>
      <c r="BX742" s="190">
        <v>0</v>
      </c>
      <c r="BY742" s="18">
        <v>0</v>
      </c>
      <c r="BZ742" s="190">
        <v>0</v>
      </c>
      <c r="CA742" s="190">
        <v>0</v>
      </c>
      <c r="CB742" s="190">
        <v>1</v>
      </c>
      <c r="CC742" s="18">
        <v>0</v>
      </c>
      <c r="CD742" s="190">
        <v>0</v>
      </c>
      <c r="CE742" s="190">
        <v>0</v>
      </c>
      <c r="CF742" s="190">
        <v>0</v>
      </c>
      <c r="CG742" s="190">
        <v>0</v>
      </c>
      <c r="CH742" s="18">
        <v>0</v>
      </c>
      <c r="CI742" s="190">
        <v>0</v>
      </c>
      <c r="CJ742" s="190">
        <v>0</v>
      </c>
      <c r="CK742" s="190">
        <v>1</v>
      </c>
      <c r="CL742" s="190">
        <v>0</v>
      </c>
      <c r="CM742" s="190">
        <v>0</v>
      </c>
      <c r="CN742" s="190">
        <v>0</v>
      </c>
      <c r="CO742" s="190">
        <v>0</v>
      </c>
      <c r="CP742" s="190">
        <v>0</v>
      </c>
      <c r="CQ742" s="190">
        <v>0</v>
      </c>
      <c r="CR742" s="190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509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 s="190">
        <v>1</v>
      </c>
      <c r="BS743" s="190">
        <v>0</v>
      </c>
      <c r="BT743" s="190">
        <v>0</v>
      </c>
      <c r="BU743" s="190">
        <v>0</v>
      </c>
      <c r="BV743" s="190">
        <v>0</v>
      </c>
      <c r="BW743" s="190">
        <v>0</v>
      </c>
      <c r="BX743" s="190">
        <v>0</v>
      </c>
      <c r="BY743" s="18">
        <v>0</v>
      </c>
      <c r="BZ743" s="190">
        <v>0</v>
      </c>
      <c r="CA743" s="190">
        <v>0</v>
      </c>
      <c r="CB743" s="190">
        <v>1</v>
      </c>
      <c r="CC743" s="18">
        <v>0</v>
      </c>
      <c r="CD743" s="190">
        <v>0</v>
      </c>
      <c r="CE743" s="190">
        <v>0</v>
      </c>
      <c r="CF743" s="190">
        <v>0</v>
      </c>
      <c r="CG743" s="190">
        <v>0</v>
      </c>
      <c r="CH743" s="18">
        <v>0</v>
      </c>
      <c r="CI743" s="190">
        <v>0</v>
      </c>
      <c r="CJ743" s="190">
        <v>0</v>
      </c>
      <c r="CK743" s="190">
        <v>1</v>
      </c>
      <c r="CL743" s="190">
        <v>0</v>
      </c>
      <c r="CM743" s="190">
        <v>0</v>
      </c>
      <c r="CN743" s="190">
        <v>0</v>
      </c>
      <c r="CO743" s="190">
        <v>0</v>
      </c>
      <c r="CP743" s="190">
        <v>0</v>
      </c>
      <c r="CQ743" s="190">
        <v>0</v>
      </c>
      <c r="CR743" s="190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509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 s="190">
        <v>1</v>
      </c>
      <c r="BS744" s="190">
        <v>0</v>
      </c>
      <c r="BT744" s="190">
        <v>0</v>
      </c>
      <c r="BU744" s="190">
        <v>0</v>
      </c>
      <c r="BV744" s="190">
        <v>0</v>
      </c>
      <c r="BW744" s="190">
        <v>0</v>
      </c>
      <c r="BX744" s="190">
        <v>0</v>
      </c>
      <c r="BY744" s="18">
        <v>0</v>
      </c>
      <c r="BZ744" s="190">
        <v>0</v>
      </c>
      <c r="CA744" s="190">
        <v>0</v>
      </c>
      <c r="CB744" s="190">
        <v>1</v>
      </c>
      <c r="CC744" s="18">
        <v>0</v>
      </c>
      <c r="CD744" s="190">
        <v>0</v>
      </c>
      <c r="CE744" s="190">
        <v>0</v>
      </c>
      <c r="CF744" s="190">
        <v>0</v>
      </c>
      <c r="CG744" s="190">
        <v>0</v>
      </c>
      <c r="CH744" s="18">
        <v>0</v>
      </c>
      <c r="CI744" s="190">
        <v>0</v>
      </c>
      <c r="CJ744" s="190">
        <v>0</v>
      </c>
      <c r="CK744" s="190">
        <v>1</v>
      </c>
      <c r="CL744" s="190">
        <v>0</v>
      </c>
      <c r="CM744" s="190">
        <v>0</v>
      </c>
      <c r="CN744" s="190">
        <v>0</v>
      </c>
      <c r="CO744" s="190">
        <v>0</v>
      </c>
      <c r="CP744" s="190">
        <v>0</v>
      </c>
      <c r="CQ744" s="190">
        <v>0</v>
      </c>
      <c r="CR744" s="190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509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 s="190">
        <v>1</v>
      </c>
      <c r="BS745" s="190">
        <v>0</v>
      </c>
      <c r="BT745" s="190">
        <v>0</v>
      </c>
      <c r="BU745" s="190">
        <v>0</v>
      </c>
      <c r="BV745" s="190">
        <v>0</v>
      </c>
      <c r="BW745" s="190">
        <v>0</v>
      </c>
      <c r="BX745" s="190">
        <v>0</v>
      </c>
      <c r="BY745" s="18">
        <v>0</v>
      </c>
      <c r="BZ745" s="190">
        <v>0</v>
      </c>
      <c r="CA745" s="190">
        <v>0</v>
      </c>
      <c r="CB745" s="190">
        <v>1</v>
      </c>
      <c r="CC745" s="18">
        <v>0</v>
      </c>
      <c r="CD745" s="190">
        <v>0</v>
      </c>
      <c r="CE745" s="190">
        <v>0</v>
      </c>
      <c r="CF745" s="190">
        <v>0</v>
      </c>
      <c r="CG745" s="190">
        <v>0</v>
      </c>
      <c r="CH745" s="18">
        <v>0</v>
      </c>
      <c r="CI745" s="190">
        <v>0</v>
      </c>
      <c r="CJ745" s="190">
        <v>0</v>
      </c>
      <c r="CK745" s="190">
        <v>1</v>
      </c>
      <c r="CL745" s="190">
        <v>0</v>
      </c>
      <c r="CM745" s="190">
        <v>0</v>
      </c>
      <c r="CN745" s="190">
        <v>0</v>
      </c>
      <c r="CO745" s="190">
        <v>0</v>
      </c>
      <c r="CP745" s="190">
        <v>0</v>
      </c>
      <c r="CQ745" s="190">
        <v>0</v>
      </c>
      <c r="CR745" s="190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509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 s="190">
        <v>1</v>
      </c>
      <c r="BS746" s="190">
        <v>0</v>
      </c>
      <c r="BT746" s="190">
        <v>0</v>
      </c>
      <c r="BU746" s="190">
        <v>0</v>
      </c>
      <c r="BV746" s="190">
        <v>0</v>
      </c>
      <c r="BW746" s="190">
        <v>0</v>
      </c>
      <c r="BX746" s="190">
        <v>0</v>
      </c>
      <c r="BY746" s="18">
        <v>0</v>
      </c>
      <c r="BZ746" s="190">
        <v>0</v>
      </c>
      <c r="CA746" s="190">
        <v>0</v>
      </c>
      <c r="CB746" s="190">
        <v>1</v>
      </c>
      <c r="CC746" s="18">
        <v>0</v>
      </c>
      <c r="CD746" s="190">
        <v>0</v>
      </c>
      <c r="CE746" s="190">
        <v>0</v>
      </c>
      <c r="CF746" s="190">
        <v>0</v>
      </c>
      <c r="CG746" s="190">
        <v>0</v>
      </c>
      <c r="CH746" s="18">
        <v>0</v>
      </c>
      <c r="CI746" s="190">
        <v>0</v>
      </c>
      <c r="CJ746" s="190">
        <v>0</v>
      </c>
      <c r="CK746" s="190">
        <v>1</v>
      </c>
      <c r="CL746" s="190">
        <v>0</v>
      </c>
      <c r="CM746" s="190">
        <v>0</v>
      </c>
      <c r="CN746" s="190">
        <v>0</v>
      </c>
      <c r="CO746" s="190">
        <v>0</v>
      </c>
      <c r="CP746" s="190">
        <v>0</v>
      </c>
      <c r="CQ746" s="190">
        <v>0</v>
      </c>
      <c r="CR746" s="190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509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 s="190">
        <v>1</v>
      </c>
      <c r="BS747" s="190">
        <v>0</v>
      </c>
      <c r="BT747" s="190">
        <v>0</v>
      </c>
      <c r="BU747" s="190">
        <v>0</v>
      </c>
      <c r="BV747" s="190">
        <v>0</v>
      </c>
      <c r="BW747" s="190">
        <v>0</v>
      </c>
      <c r="BX747" s="190">
        <v>0</v>
      </c>
      <c r="BY747" s="18">
        <v>0</v>
      </c>
      <c r="BZ747" s="190">
        <v>0</v>
      </c>
      <c r="CA747" s="190">
        <v>0</v>
      </c>
      <c r="CB747" s="190">
        <v>1</v>
      </c>
      <c r="CC747" s="18">
        <v>0</v>
      </c>
      <c r="CD747" s="190">
        <v>0</v>
      </c>
      <c r="CE747" s="190">
        <v>0</v>
      </c>
      <c r="CF747" s="190">
        <v>0</v>
      </c>
      <c r="CG747" s="190">
        <v>0</v>
      </c>
      <c r="CH747" s="18">
        <v>0</v>
      </c>
      <c r="CI747" s="190">
        <v>0</v>
      </c>
      <c r="CJ747" s="190">
        <v>0</v>
      </c>
      <c r="CK747" s="190">
        <v>1</v>
      </c>
      <c r="CL747" s="190">
        <v>0</v>
      </c>
      <c r="CM747" s="190">
        <v>0</v>
      </c>
      <c r="CN747" s="190">
        <v>0</v>
      </c>
      <c r="CO747" s="190">
        <v>0</v>
      </c>
      <c r="CP747" s="190">
        <v>0</v>
      </c>
      <c r="CQ747" s="190">
        <v>0</v>
      </c>
      <c r="CR747" s="190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509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 s="190">
        <v>1</v>
      </c>
      <c r="BS748" s="190">
        <v>0</v>
      </c>
      <c r="BT748" s="190">
        <v>0</v>
      </c>
      <c r="BU748" s="190">
        <v>0</v>
      </c>
      <c r="BV748" s="190">
        <v>0</v>
      </c>
      <c r="BW748" s="190">
        <v>0</v>
      </c>
      <c r="BX748" s="190">
        <v>0</v>
      </c>
      <c r="BY748" s="18">
        <v>0</v>
      </c>
      <c r="BZ748" s="190">
        <v>0</v>
      </c>
      <c r="CA748" s="190">
        <v>0</v>
      </c>
      <c r="CB748" s="190">
        <v>1</v>
      </c>
      <c r="CC748" s="18">
        <v>0</v>
      </c>
      <c r="CD748" s="190">
        <v>0</v>
      </c>
      <c r="CE748" s="190">
        <v>0</v>
      </c>
      <c r="CF748" s="190">
        <v>0</v>
      </c>
      <c r="CG748" s="190">
        <v>0</v>
      </c>
      <c r="CH748" s="18">
        <v>0</v>
      </c>
      <c r="CI748" s="190">
        <v>0</v>
      </c>
      <c r="CJ748" s="190">
        <v>0</v>
      </c>
      <c r="CK748" s="190">
        <v>1</v>
      </c>
      <c r="CL748" s="190">
        <v>0</v>
      </c>
      <c r="CM748" s="190">
        <v>0</v>
      </c>
      <c r="CN748" s="190">
        <v>0</v>
      </c>
      <c r="CO748" s="190">
        <v>0</v>
      </c>
      <c r="CP748" s="190">
        <v>0</v>
      </c>
      <c r="CQ748" s="190">
        <v>0</v>
      </c>
      <c r="CR748" s="190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509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 s="190">
        <v>1</v>
      </c>
      <c r="BS749" s="190">
        <v>0</v>
      </c>
      <c r="BT749" s="190">
        <v>0</v>
      </c>
      <c r="BU749" s="190">
        <v>0</v>
      </c>
      <c r="BV749" s="190">
        <v>0</v>
      </c>
      <c r="BW749" s="190">
        <v>0</v>
      </c>
      <c r="BX749" s="190">
        <v>0</v>
      </c>
      <c r="BY749" s="18">
        <v>0</v>
      </c>
      <c r="BZ749" s="190">
        <v>0</v>
      </c>
      <c r="CA749" s="190">
        <v>0</v>
      </c>
      <c r="CB749" s="190">
        <v>1</v>
      </c>
      <c r="CC749" s="18">
        <v>0</v>
      </c>
      <c r="CD749" s="190">
        <v>0</v>
      </c>
      <c r="CE749" s="190">
        <v>0</v>
      </c>
      <c r="CF749" s="190">
        <v>0</v>
      </c>
      <c r="CG749" s="190">
        <v>0</v>
      </c>
      <c r="CH749" s="18">
        <v>0</v>
      </c>
      <c r="CI749" s="190">
        <v>0</v>
      </c>
      <c r="CJ749" s="190">
        <v>0</v>
      </c>
      <c r="CK749" s="190">
        <v>1</v>
      </c>
      <c r="CL749" s="190">
        <v>0</v>
      </c>
      <c r="CM749" s="190">
        <v>0</v>
      </c>
      <c r="CN749" s="190">
        <v>0</v>
      </c>
      <c r="CO749" s="190">
        <v>0</v>
      </c>
      <c r="CP749" s="190">
        <v>0</v>
      </c>
      <c r="CQ749" s="190">
        <v>0</v>
      </c>
      <c r="CR749" s="190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509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 s="190">
        <v>1</v>
      </c>
      <c r="BS750" s="190">
        <v>0</v>
      </c>
      <c r="BT750" s="190">
        <v>0</v>
      </c>
      <c r="BU750" s="190">
        <v>0</v>
      </c>
      <c r="BV750" s="190">
        <v>0</v>
      </c>
      <c r="BW750" s="190">
        <v>0</v>
      </c>
      <c r="BX750" s="190">
        <v>0</v>
      </c>
      <c r="BY750" s="18">
        <v>0</v>
      </c>
      <c r="BZ750" s="190">
        <v>0</v>
      </c>
      <c r="CA750" s="190">
        <v>0</v>
      </c>
      <c r="CB750" s="190">
        <v>1</v>
      </c>
      <c r="CC750" s="18">
        <v>0</v>
      </c>
      <c r="CD750" s="190">
        <v>0</v>
      </c>
      <c r="CE750" s="190">
        <v>0</v>
      </c>
      <c r="CF750" s="190">
        <v>0</v>
      </c>
      <c r="CG750" s="190">
        <v>0</v>
      </c>
      <c r="CH750" s="18">
        <v>0</v>
      </c>
      <c r="CI750" s="190">
        <v>0</v>
      </c>
      <c r="CJ750" s="190">
        <v>0</v>
      </c>
      <c r="CK750" s="190">
        <v>1</v>
      </c>
      <c r="CL750" s="190">
        <v>0</v>
      </c>
      <c r="CM750" s="190">
        <v>0</v>
      </c>
      <c r="CN750" s="190">
        <v>0</v>
      </c>
      <c r="CO750" s="190">
        <v>0</v>
      </c>
      <c r="CP750" s="190">
        <v>0</v>
      </c>
      <c r="CQ750" s="190">
        <v>0</v>
      </c>
      <c r="CR750" s="19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509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 s="190">
        <v>1</v>
      </c>
      <c r="BS751" s="190">
        <v>0</v>
      </c>
      <c r="BT751" s="190">
        <v>0</v>
      </c>
      <c r="BU751" s="190">
        <v>0</v>
      </c>
      <c r="BV751" s="190">
        <v>0</v>
      </c>
      <c r="BW751" s="190">
        <v>0</v>
      </c>
      <c r="BX751" s="190">
        <v>0</v>
      </c>
      <c r="BY751" s="18">
        <v>0</v>
      </c>
      <c r="BZ751" s="190">
        <v>0</v>
      </c>
      <c r="CA751" s="190">
        <v>0</v>
      </c>
      <c r="CB751" s="190">
        <v>1</v>
      </c>
      <c r="CC751" s="18">
        <v>0</v>
      </c>
      <c r="CD751" s="190">
        <v>0</v>
      </c>
      <c r="CE751" s="190">
        <v>0</v>
      </c>
      <c r="CF751" s="190">
        <v>0</v>
      </c>
      <c r="CG751" s="190">
        <v>0</v>
      </c>
      <c r="CH751" s="18">
        <v>0</v>
      </c>
      <c r="CI751" s="190">
        <v>0</v>
      </c>
      <c r="CJ751" s="190">
        <v>0</v>
      </c>
      <c r="CK751" s="190">
        <v>1</v>
      </c>
      <c r="CL751" s="190">
        <v>0</v>
      </c>
      <c r="CM751" s="190">
        <v>0</v>
      </c>
      <c r="CN751" s="190">
        <v>0</v>
      </c>
      <c r="CO751" s="190">
        <v>0</v>
      </c>
      <c r="CP751" s="190">
        <v>0</v>
      </c>
      <c r="CQ751" s="190">
        <v>0</v>
      </c>
      <c r="CR751" s="190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509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 s="190">
        <v>1</v>
      </c>
      <c r="BS752" s="190">
        <v>0</v>
      </c>
      <c r="BT752" s="190">
        <v>0</v>
      </c>
      <c r="BU752" s="190">
        <v>0</v>
      </c>
      <c r="BV752" s="190">
        <v>0</v>
      </c>
      <c r="BW752" s="190">
        <v>0</v>
      </c>
      <c r="BX752" s="190">
        <v>0</v>
      </c>
      <c r="BY752" s="18">
        <v>0</v>
      </c>
      <c r="BZ752" s="190">
        <v>0</v>
      </c>
      <c r="CA752" s="190">
        <v>0</v>
      </c>
      <c r="CB752" s="190">
        <v>1</v>
      </c>
      <c r="CC752" s="18">
        <v>0</v>
      </c>
      <c r="CD752" s="190">
        <v>0</v>
      </c>
      <c r="CE752" s="190">
        <v>0</v>
      </c>
      <c r="CF752" s="190">
        <v>0</v>
      </c>
      <c r="CG752" s="190">
        <v>0</v>
      </c>
      <c r="CH752" s="18">
        <v>0</v>
      </c>
      <c r="CI752" s="190">
        <v>0</v>
      </c>
      <c r="CJ752" s="190">
        <v>0</v>
      </c>
      <c r="CK752" s="190">
        <v>1</v>
      </c>
      <c r="CL752" s="190">
        <v>0</v>
      </c>
      <c r="CM752" s="190">
        <v>0</v>
      </c>
      <c r="CN752" s="190">
        <v>0</v>
      </c>
      <c r="CO752" s="190">
        <v>0</v>
      </c>
      <c r="CP752" s="190">
        <v>0</v>
      </c>
      <c r="CQ752" s="190">
        <v>0</v>
      </c>
      <c r="CR752" s="190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509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 s="190">
        <v>1</v>
      </c>
      <c r="BS753" s="190">
        <v>0</v>
      </c>
      <c r="BT753" s="190">
        <v>0</v>
      </c>
      <c r="BU753" s="190">
        <v>0</v>
      </c>
      <c r="BV753" s="190">
        <v>0</v>
      </c>
      <c r="BW753" s="190">
        <v>0</v>
      </c>
      <c r="BX753" s="190">
        <v>0</v>
      </c>
      <c r="BY753" s="18">
        <v>0</v>
      </c>
      <c r="BZ753" s="190">
        <v>0</v>
      </c>
      <c r="CA753" s="190">
        <v>0</v>
      </c>
      <c r="CB753" s="190">
        <v>1</v>
      </c>
      <c r="CC753" s="18">
        <v>0</v>
      </c>
      <c r="CD753" s="190">
        <v>0</v>
      </c>
      <c r="CE753" s="190">
        <v>0</v>
      </c>
      <c r="CF753" s="190">
        <v>0</v>
      </c>
      <c r="CG753" s="190">
        <v>0</v>
      </c>
      <c r="CH753" s="18">
        <v>0</v>
      </c>
      <c r="CI753" s="190">
        <v>0</v>
      </c>
      <c r="CJ753" s="190">
        <v>0</v>
      </c>
      <c r="CK753" s="190">
        <v>1</v>
      </c>
      <c r="CL753" s="190">
        <v>0</v>
      </c>
      <c r="CM753" s="190">
        <v>0</v>
      </c>
      <c r="CN753" s="190">
        <v>0</v>
      </c>
      <c r="CO753" s="190">
        <v>0</v>
      </c>
      <c r="CP753" s="190">
        <v>0</v>
      </c>
      <c r="CQ753" s="190">
        <v>0</v>
      </c>
      <c r="CR753" s="190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509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 s="190">
        <v>1</v>
      </c>
      <c r="BS754" s="190">
        <v>0</v>
      </c>
      <c r="BT754" s="190">
        <v>0</v>
      </c>
      <c r="BU754" s="190">
        <v>0</v>
      </c>
      <c r="BV754" s="190">
        <v>0</v>
      </c>
      <c r="BW754" s="190">
        <v>0</v>
      </c>
      <c r="BX754" s="190">
        <v>0</v>
      </c>
      <c r="BY754" s="18">
        <v>0</v>
      </c>
      <c r="BZ754" s="190">
        <v>0</v>
      </c>
      <c r="CA754" s="190">
        <v>0</v>
      </c>
      <c r="CB754" s="190">
        <v>1</v>
      </c>
      <c r="CC754" s="18">
        <v>0</v>
      </c>
      <c r="CD754" s="190">
        <v>0</v>
      </c>
      <c r="CE754" s="190">
        <v>0</v>
      </c>
      <c r="CF754" s="190">
        <v>0</v>
      </c>
      <c r="CG754" s="190">
        <v>0</v>
      </c>
      <c r="CH754" s="18">
        <v>0</v>
      </c>
      <c r="CI754" s="190">
        <v>0</v>
      </c>
      <c r="CJ754" s="190">
        <v>0</v>
      </c>
      <c r="CK754" s="190">
        <v>1</v>
      </c>
      <c r="CL754" s="190">
        <v>0</v>
      </c>
      <c r="CM754" s="190">
        <v>0</v>
      </c>
      <c r="CN754" s="190">
        <v>0</v>
      </c>
      <c r="CO754" s="190">
        <v>0</v>
      </c>
      <c r="CP754" s="190">
        <v>0</v>
      </c>
      <c r="CQ754" s="190">
        <v>0</v>
      </c>
      <c r="CR754" s="190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509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 s="190">
        <v>1</v>
      </c>
      <c r="BS755" s="190">
        <v>0</v>
      </c>
      <c r="BT755" s="190">
        <v>0</v>
      </c>
      <c r="BU755" s="190">
        <v>0</v>
      </c>
      <c r="BV755" s="190">
        <v>0</v>
      </c>
      <c r="BW755" s="190">
        <v>0</v>
      </c>
      <c r="BX755" s="190">
        <v>0</v>
      </c>
      <c r="BY755" s="18">
        <v>0</v>
      </c>
      <c r="BZ755" s="190">
        <v>0</v>
      </c>
      <c r="CA755" s="190">
        <v>0</v>
      </c>
      <c r="CB755" s="190">
        <v>1</v>
      </c>
      <c r="CC755" s="18">
        <v>0</v>
      </c>
      <c r="CD755" s="190">
        <v>0</v>
      </c>
      <c r="CE755" s="190">
        <v>0</v>
      </c>
      <c r="CF755" s="190">
        <v>0</v>
      </c>
      <c r="CG755" s="190">
        <v>0</v>
      </c>
      <c r="CH755" s="18">
        <v>0</v>
      </c>
      <c r="CI755" s="190">
        <v>0</v>
      </c>
      <c r="CJ755" s="190">
        <v>0</v>
      </c>
      <c r="CK755" s="190">
        <v>1</v>
      </c>
      <c r="CL755" s="190">
        <v>0</v>
      </c>
      <c r="CM755" s="190">
        <v>0</v>
      </c>
      <c r="CN755" s="190">
        <v>0</v>
      </c>
      <c r="CO755" s="190">
        <v>0</v>
      </c>
      <c r="CP755" s="190">
        <v>0</v>
      </c>
      <c r="CQ755" s="190">
        <v>0</v>
      </c>
      <c r="CR755" s="190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509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 s="190">
        <v>1</v>
      </c>
      <c r="BS756" s="190">
        <v>0</v>
      </c>
      <c r="BT756" s="190">
        <v>0</v>
      </c>
      <c r="BU756" s="190">
        <v>0</v>
      </c>
      <c r="BV756" s="190">
        <v>0</v>
      </c>
      <c r="BW756" s="190">
        <v>0</v>
      </c>
      <c r="BX756" s="190">
        <v>0</v>
      </c>
      <c r="BY756" s="18">
        <v>0</v>
      </c>
      <c r="BZ756" s="190">
        <v>0</v>
      </c>
      <c r="CA756" s="190">
        <v>0</v>
      </c>
      <c r="CB756" s="190">
        <v>1</v>
      </c>
      <c r="CC756" s="18">
        <v>0</v>
      </c>
      <c r="CD756" s="190">
        <v>0</v>
      </c>
      <c r="CE756" s="190">
        <v>0</v>
      </c>
      <c r="CF756" s="190">
        <v>0</v>
      </c>
      <c r="CG756" s="190">
        <v>0</v>
      </c>
      <c r="CH756" s="18">
        <v>0</v>
      </c>
      <c r="CI756" s="190">
        <v>0</v>
      </c>
      <c r="CJ756" s="190">
        <v>0</v>
      </c>
      <c r="CK756" s="190">
        <v>1</v>
      </c>
      <c r="CL756" s="190">
        <v>0</v>
      </c>
      <c r="CM756" s="190">
        <v>0</v>
      </c>
      <c r="CN756" s="190">
        <v>0</v>
      </c>
      <c r="CO756" s="190">
        <v>1</v>
      </c>
      <c r="CP756" s="190">
        <v>0</v>
      </c>
      <c r="CQ756" s="190">
        <v>0</v>
      </c>
      <c r="CR756" s="190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509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 s="190">
        <v>1</v>
      </c>
      <c r="BS757" s="190">
        <v>0</v>
      </c>
      <c r="BT757" s="190">
        <v>0</v>
      </c>
      <c r="BU757" s="190">
        <v>0</v>
      </c>
      <c r="BV757" s="190">
        <v>0</v>
      </c>
      <c r="BW757" s="190">
        <v>0</v>
      </c>
      <c r="BX757" s="190">
        <v>0</v>
      </c>
      <c r="BY757" s="18">
        <v>0</v>
      </c>
      <c r="BZ757" s="190">
        <v>0</v>
      </c>
      <c r="CA757" s="190">
        <v>0</v>
      </c>
      <c r="CB757" s="190">
        <v>1</v>
      </c>
      <c r="CC757" s="18">
        <v>0</v>
      </c>
      <c r="CD757" s="190">
        <v>0</v>
      </c>
      <c r="CE757" s="190">
        <v>0</v>
      </c>
      <c r="CF757" s="190">
        <v>0</v>
      </c>
      <c r="CG757" s="190">
        <v>0</v>
      </c>
      <c r="CH757" s="18">
        <v>0</v>
      </c>
      <c r="CI757" s="190">
        <v>0</v>
      </c>
      <c r="CJ757" s="190">
        <v>0</v>
      </c>
      <c r="CK757" s="190">
        <v>1</v>
      </c>
      <c r="CL757" s="190">
        <v>0</v>
      </c>
      <c r="CM757" s="190">
        <v>0</v>
      </c>
      <c r="CN757" s="190">
        <v>0</v>
      </c>
      <c r="CO757" s="190">
        <v>1</v>
      </c>
      <c r="CP757" s="190">
        <v>1</v>
      </c>
      <c r="CQ757" s="190">
        <v>0</v>
      </c>
      <c r="CR757" s="190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509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 s="190">
        <v>1</v>
      </c>
      <c r="BS758" s="190">
        <v>0</v>
      </c>
      <c r="BT758" s="190">
        <v>0</v>
      </c>
      <c r="BU758" s="190">
        <v>0</v>
      </c>
      <c r="BV758" s="190">
        <v>0</v>
      </c>
      <c r="BW758" s="190">
        <v>0</v>
      </c>
      <c r="BX758" s="190">
        <v>0</v>
      </c>
      <c r="BY758" s="18">
        <v>0</v>
      </c>
      <c r="BZ758" s="190">
        <v>0</v>
      </c>
      <c r="CA758" s="190">
        <v>0</v>
      </c>
      <c r="CB758" s="190">
        <v>1</v>
      </c>
      <c r="CC758" s="18">
        <v>0</v>
      </c>
      <c r="CD758" s="190">
        <v>0</v>
      </c>
      <c r="CE758" s="190">
        <v>0</v>
      </c>
      <c r="CF758" s="190">
        <v>0</v>
      </c>
      <c r="CG758" s="190">
        <v>0</v>
      </c>
      <c r="CH758" s="18">
        <v>0</v>
      </c>
      <c r="CI758" s="190">
        <v>0</v>
      </c>
      <c r="CJ758" s="190">
        <v>0</v>
      </c>
      <c r="CK758" s="190">
        <v>1</v>
      </c>
      <c r="CL758" s="190">
        <v>0</v>
      </c>
      <c r="CM758" s="190">
        <v>0</v>
      </c>
      <c r="CN758" s="190">
        <v>0</v>
      </c>
      <c r="CO758" s="190">
        <v>1</v>
      </c>
      <c r="CP758" s="190">
        <v>1</v>
      </c>
      <c r="CQ758">
        <v>1</v>
      </c>
      <c r="CR758" s="190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509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 s="190">
        <v>1</v>
      </c>
      <c r="BS759" s="190">
        <v>0</v>
      </c>
      <c r="BT759" s="190">
        <v>0</v>
      </c>
      <c r="BU759" s="190">
        <v>0</v>
      </c>
      <c r="BV759" s="190">
        <v>0</v>
      </c>
      <c r="BW759" s="190">
        <v>0</v>
      </c>
      <c r="BX759" s="190">
        <v>0</v>
      </c>
      <c r="BY759" s="18">
        <v>0</v>
      </c>
      <c r="BZ759" s="190">
        <v>0</v>
      </c>
      <c r="CA759" s="190">
        <v>0</v>
      </c>
      <c r="CB759" s="190">
        <v>1</v>
      </c>
      <c r="CC759" s="18">
        <v>0</v>
      </c>
      <c r="CD759" s="190">
        <v>0</v>
      </c>
      <c r="CE759" s="190">
        <v>0</v>
      </c>
      <c r="CF759" s="190">
        <v>0</v>
      </c>
      <c r="CG759" s="190">
        <v>0</v>
      </c>
      <c r="CH759" s="18">
        <v>0</v>
      </c>
      <c r="CI759" s="190">
        <v>0</v>
      </c>
      <c r="CJ759" s="190">
        <v>0</v>
      </c>
      <c r="CK759" s="190">
        <v>1</v>
      </c>
      <c r="CL759" s="190">
        <v>0</v>
      </c>
      <c r="CM759" s="190">
        <v>0</v>
      </c>
      <c r="CN759" s="190">
        <v>0</v>
      </c>
      <c r="CO759" s="190">
        <v>1</v>
      </c>
      <c r="CP759" s="190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509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 s="190">
        <v>1</v>
      </c>
      <c r="BS760" s="190">
        <v>0</v>
      </c>
      <c r="BT760" s="190">
        <v>0</v>
      </c>
      <c r="BU760" s="190">
        <v>0</v>
      </c>
      <c r="BV760" s="190">
        <v>0</v>
      </c>
      <c r="BW760" s="190">
        <v>0</v>
      </c>
      <c r="BX760" s="190">
        <v>0</v>
      </c>
      <c r="BY760" s="18">
        <v>0</v>
      </c>
      <c r="BZ760" s="190">
        <v>0</v>
      </c>
      <c r="CA760" s="190">
        <v>0</v>
      </c>
      <c r="CB760" s="190">
        <v>1</v>
      </c>
      <c r="CC760" s="18">
        <v>0</v>
      </c>
      <c r="CD760" s="190">
        <v>0</v>
      </c>
      <c r="CE760" s="190">
        <v>0</v>
      </c>
      <c r="CF760" s="190">
        <v>0</v>
      </c>
      <c r="CG760" s="190">
        <v>0</v>
      </c>
      <c r="CH760" s="18">
        <v>0</v>
      </c>
      <c r="CI760" s="190">
        <v>0</v>
      </c>
      <c r="CJ760" s="190">
        <v>0</v>
      </c>
      <c r="CK760" s="190">
        <v>1</v>
      </c>
      <c r="CL760" s="190">
        <v>0</v>
      </c>
      <c r="CM760" s="190">
        <v>0</v>
      </c>
      <c r="CN760" s="190">
        <v>0</v>
      </c>
      <c r="CO760" s="190">
        <v>1</v>
      </c>
      <c r="CP760" s="190">
        <v>1</v>
      </c>
      <c r="CQ760">
        <v>1</v>
      </c>
      <c r="CR760" s="19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509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 s="190">
        <v>1</v>
      </c>
      <c r="BS761" s="190">
        <v>0</v>
      </c>
      <c r="BT761" s="190">
        <v>0</v>
      </c>
      <c r="BU761" s="190">
        <v>0</v>
      </c>
      <c r="BV761" s="190">
        <v>0</v>
      </c>
      <c r="BW761" s="190">
        <v>0</v>
      </c>
      <c r="BX761" s="190">
        <v>0</v>
      </c>
      <c r="BY761" s="18">
        <v>0</v>
      </c>
      <c r="BZ761" s="190">
        <v>0</v>
      </c>
      <c r="CA761" s="190">
        <v>0</v>
      </c>
      <c r="CB761" s="190">
        <v>1</v>
      </c>
      <c r="CC761" s="18">
        <v>0</v>
      </c>
      <c r="CD761" s="190">
        <v>0</v>
      </c>
      <c r="CE761" s="190">
        <v>0</v>
      </c>
      <c r="CF761" s="190">
        <v>0</v>
      </c>
      <c r="CG761" s="190">
        <v>0</v>
      </c>
      <c r="CH761" s="18">
        <v>0</v>
      </c>
      <c r="CI761" s="190">
        <v>0</v>
      </c>
      <c r="CJ761" s="190">
        <v>0</v>
      </c>
      <c r="CK761" s="190">
        <v>1</v>
      </c>
      <c r="CL761" s="190">
        <v>0</v>
      </c>
      <c r="CM761" s="190">
        <v>0</v>
      </c>
      <c r="CN761" s="190">
        <v>0</v>
      </c>
      <c r="CO761" s="190">
        <v>1</v>
      </c>
      <c r="CP761" s="190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509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 s="190">
        <v>1</v>
      </c>
      <c r="BS762" s="190">
        <v>0</v>
      </c>
      <c r="BT762" s="190">
        <v>0</v>
      </c>
      <c r="BU762" s="190">
        <v>0</v>
      </c>
      <c r="BV762" s="190">
        <v>0</v>
      </c>
      <c r="BW762" s="190">
        <v>0</v>
      </c>
      <c r="BX762" s="190">
        <v>0</v>
      </c>
      <c r="BY762" s="18">
        <v>0</v>
      </c>
      <c r="BZ762" s="190">
        <v>0</v>
      </c>
      <c r="CA762" s="190">
        <v>0</v>
      </c>
      <c r="CB762" s="190">
        <v>1</v>
      </c>
      <c r="CC762" s="18">
        <v>0</v>
      </c>
      <c r="CD762" s="190">
        <v>0</v>
      </c>
      <c r="CE762" s="190">
        <v>0</v>
      </c>
      <c r="CF762" s="190">
        <v>0</v>
      </c>
      <c r="CG762" s="190">
        <v>0</v>
      </c>
      <c r="CH762" s="18">
        <v>0</v>
      </c>
      <c r="CI762" s="190">
        <v>0</v>
      </c>
      <c r="CJ762" s="190">
        <v>0</v>
      </c>
      <c r="CK762" s="190">
        <v>1</v>
      </c>
      <c r="CL762" s="190">
        <v>0</v>
      </c>
      <c r="CM762" s="190">
        <v>0</v>
      </c>
      <c r="CN762" s="190">
        <v>0</v>
      </c>
      <c r="CO762" s="190">
        <v>1</v>
      </c>
      <c r="CP762" s="190">
        <v>1</v>
      </c>
      <c r="CQ762">
        <v>1</v>
      </c>
      <c r="CR762" s="190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509</v>
      </c>
      <c r="D763" s="12">
        <v>7.79</v>
      </c>
      <c r="E763" s="14">
        <v>0.03</v>
      </c>
      <c r="F763" s="189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 s="190">
        <v>1</v>
      </c>
      <c r="BS763" s="190">
        <v>0</v>
      </c>
      <c r="BT763" s="190">
        <v>0</v>
      </c>
      <c r="BU763" s="190">
        <v>0</v>
      </c>
      <c r="BV763" s="190">
        <v>0</v>
      </c>
      <c r="BW763" s="190">
        <v>0</v>
      </c>
      <c r="BX763" s="190">
        <v>0</v>
      </c>
      <c r="BY763" s="18">
        <v>0</v>
      </c>
      <c r="BZ763" s="190">
        <v>0</v>
      </c>
      <c r="CA763" s="190">
        <v>0</v>
      </c>
      <c r="CB763" s="190">
        <v>1</v>
      </c>
      <c r="CC763" s="18">
        <v>0</v>
      </c>
      <c r="CD763" s="190">
        <v>0</v>
      </c>
      <c r="CE763" s="190">
        <v>0</v>
      </c>
      <c r="CF763" s="190">
        <v>0</v>
      </c>
      <c r="CG763" s="190">
        <v>0</v>
      </c>
      <c r="CH763" s="18">
        <v>0</v>
      </c>
      <c r="CI763" s="190">
        <v>0</v>
      </c>
      <c r="CJ763" s="190">
        <v>0</v>
      </c>
      <c r="CK763" s="190">
        <v>1</v>
      </c>
      <c r="CL763" s="190">
        <v>0</v>
      </c>
      <c r="CM763" s="190">
        <v>0</v>
      </c>
      <c r="CN763" s="190">
        <v>0</v>
      </c>
      <c r="CO763" s="190">
        <v>1</v>
      </c>
      <c r="CP763" s="190">
        <v>0</v>
      </c>
      <c r="CQ763" s="190">
        <v>0</v>
      </c>
      <c r="CR763" s="190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509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 s="190">
        <v>1</v>
      </c>
      <c r="BS764" s="190">
        <v>0</v>
      </c>
      <c r="BT764" s="190">
        <v>0</v>
      </c>
      <c r="BU764" s="190">
        <v>0</v>
      </c>
      <c r="BV764" s="190">
        <v>0</v>
      </c>
      <c r="BW764" s="190">
        <v>0</v>
      </c>
      <c r="BX764" s="190">
        <v>0</v>
      </c>
      <c r="BY764" s="18">
        <v>0</v>
      </c>
      <c r="BZ764" s="190">
        <v>0</v>
      </c>
      <c r="CA764" s="190">
        <v>0</v>
      </c>
      <c r="CB764" s="190">
        <v>1</v>
      </c>
      <c r="CC764" s="18">
        <v>0</v>
      </c>
      <c r="CD764" s="190">
        <v>0</v>
      </c>
      <c r="CE764" s="190">
        <v>0</v>
      </c>
      <c r="CF764" s="190">
        <v>0</v>
      </c>
      <c r="CG764" s="190">
        <v>0</v>
      </c>
      <c r="CH764" s="18">
        <v>0</v>
      </c>
      <c r="CI764" s="190">
        <v>0</v>
      </c>
      <c r="CJ764" s="190">
        <v>0</v>
      </c>
      <c r="CK764" s="190">
        <v>1</v>
      </c>
      <c r="CL764" s="190">
        <v>0</v>
      </c>
      <c r="CM764" s="190">
        <v>0</v>
      </c>
      <c r="CN764" s="190">
        <v>0</v>
      </c>
      <c r="CO764" s="190">
        <v>1</v>
      </c>
      <c r="CP764" s="190">
        <v>1</v>
      </c>
      <c r="CQ764" s="190">
        <v>0</v>
      </c>
      <c r="CR764" s="190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509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 s="190">
        <v>1</v>
      </c>
      <c r="BS765" s="190">
        <v>0</v>
      </c>
      <c r="BT765" s="190">
        <v>0</v>
      </c>
      <c r="BU765" s="190">
        <v>0</v>
      </c>
      <c r="BV765" s="190">
        <v>0</v>
      </c>
      <c r="BW765" s="190">
        <v>0</v>
      </c>
      <c r="BX765" s="190">
        <v>0</v>
      </c>
      <c r="BY765" s="18">
        <v>0</v>
      </c>
      <c r="BZ765" s="190">
        <v>0</v>
      </c>
      <c r="CA765" s="190">
        <v>0</v>
      </c>
      <c r="CB765" s="190">
        <v>1</v>
      </c>
      <c r="CC765" s="18">
        <v>0</v>
      </c>
      <c r="CD765" s="190">
        <v>0</v>
      </c>
      <c r="CE765" s="190">
        <v>0</v>
      </c>
      <c r="CF765" s="190">
        <v>0</v>
      </c>
      <c r="CG765" s="190">
        <v>0</v>
      </c>
      <c r="CH765" s="18">
        <v>0</v>
      </c>
      <c r="CI765" s="190">
        <v>0</v>
      </c>
      <c r="CJ765" s="190">
        <v>0</v>
      </c>
      <c r="CK765" s="190">
        <v>1</v>
      </c>
      <c r="CL765" s="190">
        <v>0</v>
      </c>
      <c r="CM765" s="190">
        <v>0</v>
      </c>
      <c r="CN765" s="190">
        <v>0</v>
      </c>
      <c r="CO765" s="190">
        <v>1</v>
      </c>
      <c r="CP765" s="190">
        <v>1</v>
      </c>
      <c r="CQ765">
        <v>1</v>
      </c>
      <c r="CR765" s="190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509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 s="190">
        <v>1</v>
      </c>
      <c r="BS766" s="190">
        <v>0</v>
      </c>
      <c r="BT766" s="190">
        <v>0</v>
      </c>
      <c r="BU766" s="190">
        <v>0</v>
      </c>
      <c r="BV766" s="190">
        <v>0</v>
      </c>
      <c r="BW766" s="190">
        <v>0</v>
      </c>
      <c r="BX766" s="190">
        <v>0</v>
      </c>
      <c r="BY766" s="18">
        <v>0</v>
      </c>
      <c r="BZ766" s="190">
        <v>0</v>
      </c>
      <c r="CA766" s="190">
        <v>0</v>
      </c>
      <c r="CB766" s="190">
        <v>1</v>
      </c>
      <c r="CC766" s="18">
        <v>0</v>
      </c>
      <c r="CD766" s="190">
        <v>0</v>
      </c>
      <c r="CE766" s="190">
        <v>0</v>
      </c>
      <c r="CF766" s="190">
        <v>0</v>
      </c>
      <c r="CG766" s="190">
        <v>0</v>
      </c>
      <c r="CH766" s="18">
        <v>0</v>
      </c>
      <c r="CI766" s="190">
        <v>0</v>
      </c>
      <c r="CJ766" s="190">
        <v>0</v>
      </c>
      <c r="CK766" s="190">
        <v>1</v>
      </c>
      <c r="CL766" s="190">
        <v>0</v>
      </c>
      <c r="CM766" s="190">
        <v>0</v>
      </c>
      <c r="CN766" s="190">
        <v>0</v>
      </c>
      <c r="CO766" s="190">
        <v>1</v>
      </c>
      <c r="CP766" s="190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509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 s="190">
        <v>1</v>
      </c>
      <c r="BS767" s="190">
        <v>0</v>
      </c>
      <c r="BT767" s="190">
        <v>0</v>
      </c>
      <c r="BU767" s="190">
        <v>0</v>
      </c>
      <c r="BV767" s="190">
        <v>0</v>
      </c>
      <c r="BW767" s="190">
        <v>0</v>
      </c>
      <c r="BX767" s="190">
        <v>0</v>
      </c>
      <c r="BY767" s="18">
        <v>0</v>
      </c>
      <c r="BZ767" s="190">
        <v>0</v>
      </c>
      <c r="CA767" s="190">
        <v>0</v>
      </c>
      <c r="CB767" s="190">
        <v>1</v>
      </c>
      <c r="CC767" s="18">
        <v>0</v>
      </c>
      <c r="CD767" s="190">
        <v>0</v>
      </c>
      <c r="CE767" s="190">
        <v>0</v>
      </c>
      <c r="CF767" s="190">
        <v>0</v>
      </c>
      <c r="CG767" s="190">
        <v>0</v>
      </c>
      <c r="CH767" s="18">
        <v>0</v>
      </c>
      <c r="CI767" s="190">
        <v>0</v>
      </c>
      <c r="CJ767" s="190">
        <v>0</v>
      </c>
      <c r="CK767" s="190">
        <v>1</v>
      </c>
      <c r="CL767" s="190">
        <v>0</v>
      </c>
      <c r="CM767" s="190">
        <v>0</v>
      </c>
      <c r="CN767" s="190">
        <v>0</v>
      </c>
      <c r="CO767" s="190">
        <v>1</v>
      </c>
      <c r="CP767" s="190">
        <v>1</v>
      </c>
      <c r="CQ767">
        <v>1</v>
      </c>
      <c r="CR767" s="190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509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 s="190">
        <v>1</v>
      </c>
      <c r="BS768" s="190">
        <v>0</v>
      </c>
      <c r="BT768" s="190">
        <v>0</v>
      </c>
      <c r="BU768" s="190">
        <v>0</v>
      </c>
      <c r="BV768" s="190">
        <v>0</v>
      </c>
      <c r="BW768" s="190">
        <v>0</v>
      </c>
      <c r="BX768" s="190">
        <v>0</v>
      </c>
      <c r="BY768" s="18">
        <v>0</v>
      </c>
      <c r="BZ768" s="190">
        <v>0</v>
      </c>
      <c r="CA768" s="190">
        <v>0</v>
      </c>
      <c r="CB768" s="190">
        <v>1</v>
      </c>
      <c r="CC768" s="18">
        <v>0</v>
      </c>
      <c r="CD768" s="190">
        <v>0</v>
      </c>
      <c r="CE768" s="190">
        <v>0</v>
      </c>
      <c r="CF768" s="190">
        <v>0</v>
      </c>
      <c r="CG768" s="190">
        <v>0</v>
      </c>
      <c r="CH768" s="18">
        <v>0</v>
      </c>
      <c r="CI768" s="190">
        <v>0</v>
      </c>
      <c r="CJ768" s="190">
        <v>0</v>
      </c>
      <c r="CK768" s="190">
        <v>1</v>
      </c>
      <c r="CL768" s="190">
        <v>0</v>
      </c>
      <c r="CM768" s="190">
        <v>0</v>
      </c>
      <c r="CN768" s="190">
        <v>0</v>
      </c>
      <c r="CO768" s="190">
        <v>1</v>
      </c>
      <c r="CP768" s="190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509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91">
        <v>1</v>
      </c>
      <c r="BS769" s="191">
        <v>0</v>
      </c>
      <c r="BT769" s="191">
        <v>0</v>
      </c>
      <c r="BU769" s="191">
        <v>0</v>
      </c>
      <c r="BV769" s="191">
        <v>0</v>
      </c>
      <c r="BW769" s="191">
        <v>0</v>
      </c>
      <c r="BX769" s="191">
        <v>0</v>
      </c>
      <c r="BY769" s="168">
        <v>0</v>
      </c>
      <c r="BZ769" s="191">
        <v>0</v>
      </c>
      <c r="CA769" s="191">
        <v>0</v>
      </c>
      <c r="CB769" s="191">
        <v>1</v>
      </c>
      <c r="CC769" s="168">
        <v>0</v>
      </c>
      <c r="CD769" s="191">
        <v>0</v>
      </c>
      <c r="CE769" s="191">
        <v>0</v>
      </c>
      <c r="CF769" s="191">
        <v>0</v>
      </c>
      <c r="CG769" s="191">
        <v>0</v>
      </c>
      <c r="CH769" s="168">
        <v>0</v>
      </c>
      <c r="CI769" s="191">
        <v>0</v>
      </c>
      <c r="CJ769" s="191">
        <v>0</v>
      </c>
      <c r="CK769" s="191">
        <v>1</v>
      </c>
      <c r="CL769" s="191">
        <v>0</v>
      </c>
      <c r="CM769" s="191">
        <v>0</v>
      </c>
      <c r="CN769" s="191">
        <v>0</v>
      </c>
      <c r="CO769" s="191">
        <v>1</v>
      </c>
      <c r="CP769" s="191">
        <v>1</v>
      </c>
      <c r="CQ769" s="153">
        <v>1</v>
      </c>
      <c r="CR769" s="191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 s="190">
        <v>47</v>
      </c>
      <c r="D770" s="12"/>
      <c r="E770" s="14"/>
      <c r="H770" s="16"/>
      <c r="I770" s="11"/>
      <c r="J770" s="33"/>
      <c r="K770" s="33"/>
      <c r="L770" s="33"/>
      <c r="M770" s="33"/>
      <c r="N770" s="8"/>
      <c r="X770" s="9">
        <f t="shared" si="527"/>
        <v>2</v>
      </c>
      <c r="AG770" s="8"/>
      <c r="AI770" s="30"/>
      <c r="AK770" s="30"/>
      <c r="AL770" s="21"/>
      <c r="AM770" s="23" t="e">
        <f t="shared" si="528"/>
        <v>#NUM!</v>
      </c>
      <c r="AW770" s="40"/>
      <c r="AY770" s="40"/>
      <c r="BA770" s="18"/>
      <c r="BC770" s="18"/>
      <c r="BD770" s="18"/>
      <c r="BK770" s="18"/>
      <c r="BN770" s="18"/>
      <c r="BY770" s="18"/>
      <c r="CC770" s="18"/>
      <c r="CH770" s="18"/>
      <c r="CS770" s="18"/>
      <c r="DD770" s="34" t="s">
        <v>86</v>
      </c>
    </row>
    <row r="771" spans="1:108" x14ac:dyDescent="0.25">
      <c r="A771">
        <v>770</v>
      </c>
      <c r="B771" s="190">
        <v>47</v>
      </c>
      <c r="D771" s="12"/>
      <c r="E771" s="14"/>
      <c r="H771" s="16"/>
      <c r="I771" s="11"/>
      <c r="J771" s="33"/>
      <c r="K771" s="33"/>
      <c r="L771" s="33"/>
      <c r="M771" s="33"/>
      <c r="N771" s="8"/>
      <c r="X771" s="9">
        <f t="shared" ref="X771:X834" si="553">COUNTIF(B:B,B771)</f>
        <v>2</v>
      </c>
      <c r="AG771" s="8"/>
      <c r="AI771" s="30"/>
      <c r="AK771" s="30"/>
      <c r="AL771" s="21"/>
      <c r="AM771" s="23" t="e">
        <f t="shared" ref="AM771:AM834" si="554">LN(AL771)</f>
        <v>#NUM!</v>
      </c>
      <c r="AW771" s="40"/>
      <c r="AY771" s="40"/>
      <c r="BA771" s="18"/>
      <c r="BC771" s="18"/>
      <c r="BD771" s="18"/>
      <c r="BK771" s="18"/>
      <c r="BN771" s="18"/>
      <c r="BY771" s="18"/>
      <c r="CC771" s="18"/>
      <c r="CH771" s="18"/>
      <c r="CS771" s="18"/>
      <c r="DD771" s="34" t="s">
        <v>86</v>
      </c>
    </row>
    <row r="772" spans="1:108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X772" s="9">
        <f t="shared" si="553"/>
        <v>0</v>
      </c>
      <c r="AG772" s="8"/>
      <c r="AI772" s="30"/>
      <c r="AK772" s="30"/>
      <c r="AL772" s="21"/>
      <c r="AM772" s="23" t="e">
        <f t="shared" si="554"/>
        <v>#NUM!</v>
      </c>
      <c r="AW772" s="40"/>
      <c r="AY772" s="40"/>
      <c r="BA772" s="18"/>
      <c r="BC772" s="18"/>
      <c r="BD772" s="18"/>
      <c r="BK772" s="18"/>
      <c r="BN772" s="18"/>
      <c r="BY772" s="18"/>
      <c r="CC772" s="18"/>
      <c r="CH772" s="18"/>
      <c r="CS772" s="18"/>
      <c r="DD772" s="34" t="s">
        <v>86</v>
      </c>
    </row>
    <row r="773" spans="1:108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X773" s="9">
        <f t="shared" si="553"/>
        <v>0</v>
      </c>
      <c r="AG773" s="8"/>
      <c r="AI773" s="30"/>
      <c r="AK773" s="30"/>
      <c r="AL773" s="21"/>
      <c r="AM773" s="23" t="e">
        <f t="shared" si="554"/>
        <v>#NUM!</v>
      </c>
      <c r="AW773" s="40"/>
      <c r="AY773" s="40"/>
      <c r="BA773" s="18"/>
      <c r="BC773" s="18"/>
      <c r="BD773" s="18"/>
      <c r="BK773" s="18"/>
      <c r="BN773" s="18"/>
      <c r="BY773" s="18"/>
      <c r="CC773" s="18"/>
      <c r="CH773" s="18"/>
      <c r="CS773" s="18"/>
      <c r="DD773" s="34" t="s">
        <v>86</v>
      </c>
    </row>
    <row r="774" spans="1:108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X774" s="9">
        <f t="shared" si="553"/>
        <v>0</v>
      </c>
      <c r="AG774" s="8"/>
      <c r="AI774" s="30"/>
      <c r="AK774" s="30"/>
      <c r="AL774" s="21"/>
      <c r="AM774" s="23" t="e">
        <f t="shared" si="554"/>
        <v>#NUM!</v>
      </c>
      <c r="AW774" s="40"/>
      <c r="AY774" s="40"/>
      <c r="BA774" s="18"/>
      <c r="BC774" s="18"/>
      <c r="BD774" s="18"/>
      <c r="BK774" s="18"/>
      <c r="BN774" s="18"/>
      <c r="BY774" s="18"/>
      <c r="CC774" s="18"/>
      <c r="CH774" s="18"/>
      <c r="CS774" s="18"/>
      <c r="DD774" s="34" t="s">
        <v>86</v>
      </c>
    </row>
    <row r="775" spans="1:108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X775" s="9">
        <f t="shared" si="553"/>
        <v>0</v>
      </c>
      <c r="AG775" s="8"/>
      <c r="AI775" s="30"/>
      <c r="AK775" s="30"/>
      <c r="AL775" s="21"/>
      <c r="AM775" s="23" t="e">
        <f t="shared" si="554"/>
        <v>#NUM!</v>
      </c>
      <c r="AW775" s="40"/>
      <c r="AY775" s="40"/>
      <c r="BA775" s="18"/>
      <c r="BC775" s="18"/>
      <c r="BD775" s="18"/>
      <c r="BK775" s="18"/>
      <c r="BN775" s="18"/>
      <c r="BY775" s="18"/>
      <c r="CC775" s="18"/>
      <c r="CH775" s="18"/>
      <c r="CS775" s="18"/>
      <c r="DD775" s="34" t="s">
        <v>86</v>
      </c>
    </row>
    <row r="776" spans="1:108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X776" s="9">
        <f t="shared" si="553"/>
        <v>0</v>
      </c>
      <c r="AG776" s="8"/>
      <c r="AI776" s="30"/>
      <c r="AK776" s="30"/>
      <c r="AL776" s="21"/>
      <c r="AM776" s="23" t="e">
        <f t="shared" si="554"/>
        <v>#NUM!</v>
      </c>
      <c r="AW776" s="40"/>
      <c r="AY776" s="40"/>
      <c r="BA776" s="18"/>
      <c r="BC776" s="18"/>
      <c r="BD776" s="18"/>
      <c r="BK776" s="18"/>
      <c r="BN776" s="18"/>
      <c r="BY776" s="18"/>
      <c r="CC776" s="18"/>
      <c r="CH776" s="18"/>
      <c r="CS776" s="18"/>
      <c r="DD776" s="34" t="s">
        <v>86</v>
      </c>
    </row>
    <row r="777" spans="1:108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X777" s="9">
        <f t="shared" si="553"/>
        <v>0</v>
      </c>
      <c r="AG777" s="8"/>
      <c r="AI777" s="30"/>
      <c r="AK777" s="30"/>
      <c r="AL777" s="21"/>
      <c r="AM777" s="23" t="e">
        <f t="shared" si="554"/>
        <v>#NUM!</v>
      </c>
      <c r="AW777" s="40"/>
      <c r="AY777" s="40"/>
      <c r="BA777" s="18"/>
      <c r="BC777" s="18"/>
      <c r="BD777" s="18"/>
      <c r="BK777" s="18"/>
      <c r="BN777" s="18"/>
      <c r="BY777" s="18"/>
      <c r="CC777" s="18"/>
      <c r="CH777" s="18"/>
      <c r="CS777" s="18"/>
      <c r="DD777" s="34" t="s">
        <v>86</v>
      </c>
    </row>
    <row r="778" spans="1:108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X778" s="9">
        <f t="shared" si="553"/>
        <v>0</v>
      </c>
      <c r="AG778" s="8"/>
      <c r="AI778" s="30"/>
      <c r="AK778" s="30"/>
      <c r="AL778" s="21"/>
      <c r="AM778" s="23" t="e">
        <f t="shared" si="554"/>
        <v>#NUM!</v>
      </c>
      <c r="AW778" s="40"/>
      <c r="AY778" s="40"/>
      <c r="BA778" s="18"/>
      <c r="BC778" s="18"/>
      <c r="BD778" s="18"/>
      <c r="BK778" s="18"/>
      <c r="BN778" s="18"/>
      <c r="BY778" s="18"/>
      <c r="CC778" s="18"/>
      <c r="CH778" s="18"/>
      <c r="CS778" s="18"/>
      <c r="DD778" s="34" t="s">
        <v>86</v>
      </c>
    </row>
    <row r="779" spans="1:108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X779" s="9">
        <f t="shared" si="553"/>
        <v>0</v>
      </c>
      <c r="AG779" s="8"/>
      <c r="AI779" s="30"/>
      <c r="AK779" s="30"/>
      <c r="AL779" s="21"/>
      <c r="AM779" s="23" t="e">
        <f t="shared" si="554"/>
        <v>#NUM!</v>
      </c>
      <c r="AW779" s="40"/>
      <c r="AY779" s="40"/>
      <c r="BA779" s="18"/>
      <c r="BC779" s="18"/>
      <c r="BD779" s="18"/>
      <c r="BK779" s="18"/>
      <c r="BN779" s="18"/>
      <c r="BY779" s="18"/>
      <c r="CC779" s="18"/>
      <c r="CH779" s="18"/>
      <c r="CS779" s="18"/>
      <c r="DD779" s="34" t="s">
        <v>86</v>
      </c>
    </row>
    <row r="780" spans="1:108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X780" s="9">
        <f t="shared" si="553"/>
        <v>0</v>
      </c>
      <c r="AG780" s="8"/>
      <c r="AI780" s="30"/>
      <c r="AK780" s="30"/>
      <c r="AL780" s="21"/>
      <c r="AM780" s="23" t="e">
        <f t="shared" si="554"/>
        <v>#NUM!</v>
      </c>
      <c r="AW780" s="40"/>
      <c r="AY780" s="40"/>
      <c r="BA780" s="18"/>
      <c r="BC780" s="18"/>
      <c r="BD780" s="18"/>
      <c r="BK780" s="18"/>
      <c r="BN780" s="18"/>
      <c r="BY780" s="18"/>
      <c r="CC780" s="18"/>
      <c r="CH780" s="18"/>
      <c r="CS780" s="18"/>
      <c r="DD780" s="34" t="s">
        <v>86</v>
      </c>
    </row>
    <row r="781" spans="1:108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X781" s="9">
        <f t="shared" si="553"/>
        <v>0</v>
      </c>
      <c r="AG781" s="8"/>
      <c r="AI781" s="30"/>
      <c r="AK781" s="30"/>
      <c r="AL781" s="21"/>
      <c r="AM781" s="23" t="e">
        <f t="shared" si="554"/>
        <v>#NUM!</v>
      </c>
      <c r="AW781" s="40"/>
      <c r="AY781" s="40"/>
      <c r="BA781" s="18"/>
      <c r="BC781" s="18"/>
      <c r="BD781" s="18"/>
      <c r="BK781" s="18"/>
      <c r="BN781" s="18"/>
      <c r="BY781" s="18"/>
      <c r="CC781" s="18"/>
      <c r="CH781" s="18"/>
      <c r="CS781" s="18"/>
      <c r="DD781" s="34" t="s">
        <v>86</v>
      </c>
    </row>
    <row r="782" spans="1:108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X782" s="9">
        <f t="shared" si="553"/>
        <v>0</v>
      </c>
      <c r="AG782" s="8"/>
      <c r="AI782" s="30"/>
      <c r="AK782" s="30"/>
      <c r="AL782" s="21"/>
      <c r="AM782" s="23" t="e">
        <f t="shared" si="554"/>
        <v>#NUM!</v>
      </c>
      <c r="AW782" s="40"/>
      <c r="AY782" s="40"/>
      <c r="BA782" s="18"/>
      <c r="BC782" s="18"/>
      <c r="BD782" s="18"/>
      <c r="BK782" s="18"/>
      <c r="BN782" s="18"/>
      <c r="BY782" s="18"/>
      <c r="CC782" s="18"/>
      <c r="CH782" s="18"/>
      <c r="CS782" s="18"/>
      <c r="DD782" s="34" t="s">
        <v>86</v>
      </c>
    </row>
    <row r="783" spans="1:108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X783" s="9">
        <f t="shared" si="553"/>
        <v>0</v>
      </c>
      <c r="AG783" s="8"/>
      <c r="AI783" s="30"/>
      <c r="AK783" s="30"/>
      <c r="AL783" s="21"/>
      <c r="AM783" s="23" t="e">
        <f t="shared" si="554"/>
        <v>#NUM!</v>
      </c>
      <c r="AW783" s="40"/>
      <c r="AY783" s="40"/>
      <c r="BA783" s="18"/>
      <c r="BC783" s="18"/>
      <c r="BD783" s="18"/>
      <c r="BK783" s="18"/>
      <c r="BN783" s="18"/>
      <c r="BY783" s="18"/>
      <c r="CC783" s="18"/>
      <c r="CH783" s="18"/>
      <c r="CS783" s="18"/>
      <c r="DD783" s="34" t="s">
        <v>86</v>
      </c>
    </row>
    <row r="784" spans="1:108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X784" s="9">
        <f t="shared" si="553"/>
        <v>0</v>
      </c>
      <c r="AG784" s="8"/>
      <c r="AI784" s="30"/>
      <c r="AK784" s="30"/>
      <c r="AL784" s="21"/>
      <c r="AM784" s="23" t="e">
        <f t="shared" si="554"/>
        <v>#NUM!</v>
      </c>
      <c r="AW784" s="40"/>
      <c r="AY784" s="40"/>
      <c r="BA784" s="18"/>
      <c r="BC784" s="18"/>
      <c r="BD784" s="18"/>
      <c r="BK784" s="18"/>
      <c r="BN784" s="18"/>
      <c r="BY784" s="18"/>
      <c r="CC784" s="18"/>
      <c r="CH784" s="18"/>
      <c r="CS784" s="18"/>
      <c r="DD784" s="34" t="s">
        <v>86</v>
      </c>
    </row>
    <row r="785" spans="1:108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X785" s="9">
        <f t="shared" si="553"/>
        <v>0</v>
      </c>
      <c r="AG785" s="8"/>
      <c r="AI785" s="30"/>
      <c r="AK785" s="30"/>
      <c r="AL785" s="21"/>
      <c r="AM785" s="23" t="e">
        <f t="shared" si="554"/>
        <v>#NUM!</v>
      </c>
      <c r="AW785" s="40"/>
      <c r="AY785" s="40"/>
      <c r="BA785" s="18"/>
      <c r="BC785" s="18"/>
      <c r="BD785" s="18"/>
      <c r="BK785" s="18"/>
      <c r="BN785" s="18"/>
      <c r="BY785" s="18"/>
      <c r="CC785" s="18"/>
      <c r="CH785" s="18"/>
      <c r="CS785" s="18"/>
      <c r="DD785" s="34" t="s">
        <v>86</v>
      </c>
    </row>
    <row r="786" spans="1:108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X786" s="9">
        <f t="shared" si="553"/>
        <v>0</v>
      </c>
      <c r="AG786" s="8"/>
      <c r="AI786" s="30"/>
      <c r="AK786" s="30"/>
      <c r="AL786" s="21"/>
      <c r="AM786" s="23" t="e">
        <f t="shared" si="554"/>
        <v>#NUM!</v>
      </c>
      <c r="AW786" s="40"/>
      <c r="AY786" s="40"/>
      <c r="BA786" s="18"/>
      <c r="BC786" s="18"/>
      <c r="BD786" s="18"/>
      <c r="BK786" s="18"/>
      <c r="BN786" s="18"/>
      <c r="BY786" s="18"/>
      <c r="CC786" s="18"/>
      <c r="CH786" s="18"/>
      <c r="CS786" s="18"/>
      <c r="DD786" s="34" t="s">
        <v>86</v>
      </c>
    </row>
    <row r="787" spans="1:108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X787" s="9">
        <f t="shared" si="553"/>
        <v>0</v>
      </c>
      <c r="AG787" s="8"/>
      <c r="AI787" s="30"/>
      <c r="AK787" s="30"/>
      <c r="AL787" s="21"/>
      <c r="AM787" s="23" t="e">
        <f t="shared" si="554"/>
        <v>#NUM!</v>
      </c>
      <c r="AW787" s="40"/>
      <c r="AY787" s="40"/>
      <c r="BA787" s="18"/>
      <c r="BC787" s="18"/>
      <c r="BD787" s="18"/>
      <c r="BK787" s="18"/>
      <c r="BN787" s="18"/>
      <c r="BY787" s="18"/>
      <c r="CC787" s="18"/>
      <c r="CH787" s="18"/>
      <c r="CS787" s="18"/>
      <c r="DD787" s="34" t="s">
        <v>86</v>
      </c>
    </row>
    <row r="788" spans="1:108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X788" s="9">
        <f t="shared" si="553"/>
        <v>0</v>
      </c>
      <c r="AG788" s="8"/>
      <c r="AI788" s="30"/>
      <c r="AK788" s="30"/>
      <c r="AL788" s="21"/>
      <c r="AM788" s="23" t="e">
        <f t="shared" si="554"/>
        <v>#NUM!</v>
      </c>
      <c r="AW788" s="40"/>
      <c r="AY788" s="40"/>
      <c r="BA788" s="18"/>
      <c r="BC788" s="18"/>
      <c r="BD788" s="18"/>
      <c r="BK788" s="18"/>
      <c r="BN788" s="18"/>
      <c r="BY788" s="18"/>
      <c r="CC788" s="18"/>
      <c r="CH788" s="18"/>
      <c r="CS788" s="18"/>
      <c r="DD788" s="34" t="s">
        <v>86</v>
      </c>
    </row>
    <row r="789" spans="1:108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X789" s="9">
        <f t="shared" si="553"/>
        <v>0</v>
      </c>
      <c r="AG789" s="8"/>
      <c r="AI789" s="30"/>
      <c r="AK789" s="30"/>
      <c r="AL789" s="21"/>
      <c r="AM789" s="23" t="e">
        <f t="shared" si="554"/>
        <v>#NUM!</v>
      </c>
      <c r="AW789" s="40"/>
      <c r="AY789" s="40"/>
      <c r="BA789" s="18"/>
      <c r="BC789" s="18"/>
      <c r="BD789" s="18"/>
      <c r="BK789" s="18"/>
      <c r="BN789" s="18"/>
      <c r="BY789" s="18"/>
      <c r="CC789" s="18"/>
      <c r="CH789" s="18"/>
      <c r="CS789" s="18"/>
      <c r="DD789" s="34" t="s">
        <v>86</v>
      </c>
    </row>
    <row r="790" spans="1:108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X790" s="9">
        <f t="shared" si="553"/>
        <v>0</v>
      </c>
      <c r="AG790" s="8"/>
      <c r="AI790" s="30"/>
      <c r="AK790" s="30"/>
      <c r="AL790" s="21"/>
      <c r="AM790" s="23" t="e">
        <f t="shared" si="554"/>
        <v>#NUM!</v>
      </c>
      <c r="AW790" s="40"/>
      <c r="AY790" s="40"/>
      <c r="BA790" s="18"/>
      <c r="BC790" s="18"/>
      <c r="BD790" s="18"/>
      <c r="BK790" s="18"/>
      <c r="BN790" s="18"/>
      <c r="BY790" s="18"/>
      <c r="CC790" s="18"/>
      <c r="CH790" s="18"/>
      <c r="CS790" s="18"/>
      <c r="DD790" s="34" t="s">
        <v>86</v>
      </c>
    </row>
    <row r="791" spans="1:108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X791" s="9">
        <f t="shared" si="553"/>
        <v>0</v>
      </c>
      <c r="AG791" s="8"/>
      <c r="AI791" s="30"/>
      <c r="AK791" s="30"/>
      <c r="AL791" s="21"/>
      <c r="AM791" s="23" t="e">
        <f t="shared" si="554"/>
        <v>#NUM!</v>
      </c>
      <c r="AW791" s="40"/>
      <c r="AY791" s="40"/>
      <c r="BA791" s="18"/>
      <c r="BC791" s="18"/>
      <c r="BD791" s="18"/>
      <c r="BK791" s="18"/>
      <c r="BN791" s="18"/>
      <c r="BY791" s="18"/>
      <c r="CC791" s="18"/>
      <c r="CH791" s="18"/>
      <c r="CS791" s="18"/>
      <c r="DD791" s="34" t="s">
        <v>86</v>
      </c>
    </row>
    <row r="792" spans="1:108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X792" s="9">
        <f t="shared" si="553"/>
        <v>0</v>
      </c>
      <c r="AG792" s="8"/>
      <c r="AI792" s="30"/>
      <c r="AK792" s="30"/>
      <c r="AL792" s="21"/>
      <c r="AM792" s="23" t="e">
        <f t="shared" si="554"/>
        <v>#NUM!</v>
      </c>
      <c r="AW792" s="40"/>
      <c r="AY792" s="40"/>
      <c r="BA792" s="18"/>
      <c r="BC792" s="18"/>
      <c r="BD792" s="18"/>
      <c r="BK792" s="18"/>
      <c r="BN792" s="18"/>
      <c r="BY792" s="18"/>
      <c r="CC792" s="18"/>
      <c r="CH792" s="18"/>
      <c r="CS792" s="18"/>
      <c r="DD792" s="34" t="s">
        <v>86</v>
      </c>
    </row>
    <row r="793" spans="1:108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X793" s="9">
        <f t="shared" si="553"/>
        <v>0</v>
      </c>
      <c r="AG793" s="8"/>
      <c r="AI793" s="30"/>
      <c r="AK793" s="30"/>
      <c r="AL793" s="21"/>
      <c r="AM793" s="23" t="e">
        <f t="shared" si="554"/>
        <v>#NUM!</v>
      </c>
      <c r="AW793" s="40"/>
      <c r="AY793" s="40"/>
      <c r="BA793" s="18"/>
      <c r="BC793" s="18"/>
      <c r="BD793" s="18"/>
      <c r="BK793" s="18"/>
      <c r="BN793" s="18"/>
      <c r="BY793" s="18"/>
      <c r="CC793" s="18"/>
      <c r="CH793" s="18"/>
      <c r="CS793" s="18"/>
      <c r="DD793" s="34" t="s">
        <v>86</v>
      </c>
    </row>
    <row r="794" spans="1:108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X794" s="9">
        <f t="shared" si="553"/>
        <v>0</v>
      </c>
      <c r="AG794" s="8"/>
      <c r="AI794" s="30"/>
      <c r="AK794" s="30"/>
      <c r="AL794" s="21"/>
      <c r="AM794" s="23" t="e">
        <f t="shared" si="554"/>
        <v>#NUM!</v>
      </c>
      <c r="AW794" s="40"/>
      <c r="AY794" s="40"/>
      <c r="BA794" s="18"/>
      <c r="BC794" s="18"/>
      <c r="BD794" s="18"/>
      <c r="BK794" s="18"/>
      <c r="BN794" s="18"/>
      <c r="BY794" s="18"/>
      <c r="CC794" s="18"/>
      <c r="CH794" s="18"/>
      <c r="CS794" s="18"/>
      <c r="DD794" s="34" t="s">
        <v>86</v>
      </c>
    </row>
    <row r="795" spans="1:108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X795" s="9">
        <f t="shared" si="553"/>
        <v>0</v>
      </c>
      <c r="AG795" s="8"/>
      <c r="AI795" s="30"/>
      <c r="AK795" s="30"/>
      <c r="AL795" s="21"/>
      <c r="AM795" s="23" t="e">
        <f t="shared" si="554"/>
        <v>#NUM!</v>
      </c>
      <c r="AW795" s="40"/>
      <c r="AY795" s="40"/>
      <c r="BA795" s="18"/>
      <c r="BC795" s="18"/>
      <c r="BD795" s="18"/>
      <c r="BK795" s="18"/>
      <c r="BN795" s="18"/>
      <c r="BY795" s="18"/>
      <c r="CC795" s="18"/>
      <c r="CH795" s="18"/>
      <c r="CS795" s="18"/>
      <c r="DD795" s="34" t="s">
        <v>86</v>
      </c>
    </row>
    <row r="796" spans="1:108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X796" s="9">
        <f t="shared" si="553"/>
        <v>0</v>
      </c>
      <c r="AG796" s="8"/>
      <c r="AI796" s="30"/>
      <c r="AK796" s="30"/>
      <c r="AL796" s="21"/>
      <c r="AM796" s="23" t="e">
        <f t="shared" si="554"/>
        <v>#NUM!</v>
      </c>
      <c r="AW796" s="40"/>
      <c r="AY796" s="40"/>
      <c r="BA796" s="18"/>
      <c r="BC796" s="18"/>
      <c r="BD796" s="18"/>
      <c r="BK796" s="18"/>
      <c r="BN796" s="18"/>
      <c r="BY796" s="18"/>
      <c r="CC796" s="18"/>
      <c r="CH796" s="18"/>
      <c r="CS796" s="18"/>
      <c r="DD796" s="34" t="s">
        <v>86</v>
      </c>
    </row>
    <row r="797" spans="1:108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X797" s="9">
        <f t="shared" si="553"/>
        <v>0</v>
      </c>
      <c r="AG797" s="8"/>
      <c r="AI797" s="30"/>
      <c r="AK797" s="30"/>
      <c r="AL797" s="21"/>
      <c r="AM797" s="23" t="e">
        <f t="shared" si="554"/>
        <v>#NUM!</v>
      </c>
      <c r="AW797" s="40"/>
      <c r="AY797" s="40"/>
      <c r="BA797" s="18"/>
      <c r="BC797" s="18"/>
      <c r="BD797" s="18"/>
      <c r="BK797" s="18"/>
      <c r="BN797" s="18"/>
      <c r="BY797" s="18"/>
      <c r="CC797" s="18"/>
      <c r="CH797" s="18"/>
      <c r="CS797" s="18"/>
      <c r="DD797" s="34" t="s">
        <v>86</v>
      </c>
    </row>
    <row r="798" spans="1:108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X798" s="9">
        <f t="shared" si="553"/>
        <v>0</v>
      </c>
      <c r="AG798" s="8"/>
      <c r="AI798" s="30"/>
      <c r="AK798" s="30"/>
      <c r="AL798" s="21"/>
      <c r="AM798" s="23" t="e">
        <f t="shared" si="554"/>
        <v>#NUM!</v>
      </c>
      <c r="AW798" s="40"/>
      <c r="AY798" s="40"/>
      <c r="BA798" s="18"/>
      <c r="BC798" s="18"/>
      <c r="BD798" s="18"/>
      <c r="BK798" s="18"/>
      <c r="BN798" s="18"/>
      <c r="BY798" s="18"/>
      <c r="CC798" s="18"/>
      <c r="CH798" s="18"/>
      <c r="CS798" s="18"/>
      <c r="DD798" s="34" t="s">
        <v>86</v>
      </c>
    </row>
    <row r="799" spans="1:108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X799" s="9">
        <f t="shared" si="553"/>
        <v>0</v>
      </c>
      <c r="AG799" s="8"/>
      <c r="AI799" s="30"/>
      <c r="AK799" s="30"/>
      <c r="AL799" s="21"/>
      <c r="AM799" s="23" t="e">
        <f t="shared" si="554"/>
        <v>#NUM!</v>
      </c>
      <c r="AW799" s="40"/>
      <c r="AY799" s="40"/>
      <c r="BA799" s="18"/>
      <c r="BC799" s="18"/>
      <c r="BD799" s="18"/>
      <c r="BK799" s="18"/>
      <c r="BN799" s="18"/>
      <c r="BY799" s="18"/>
      <c r="CC799" s="18"/>
      <c r="CH799" s="18"/>
      <c r="CS799" s="18"/>
      <c r="DD799" s="34" t="s">
        <v>86</v>
      </c>
    </row>
    <row r="800" spans="1:108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X800" s="9">
        <f t="shared" si="553"/>
        <v>0</v>
      </c>
      <c r="AG800" s="8"/>
      <c r="AI800" s="30"/>
      <c r="AK800" s="30"/>
      <c r="AL800" s="21"/>
      <c r="AM800" s="23" t="e">
        <f t="shared" si="554"/>
        <v>#NUM!</v>
      </c>
      <c r="AW800" s="40"/>
      <c r="AY800" s="40"/>
      <c r="BA800" s="18"/>
      <c r="BC800" s="18"/>
      <c r="BD800" s="18"/>
      <c r="BK800" s="18"/>
      <c r="BN800" s="18"/>
      <c r="BY800" s="18"/>
      <c r="CC800" s="18"/>
      <c r="CH800" s="18"/>
      <c r="CS800" s="18"/>
      <c r="DD800" s="34" t="s">
        <v>86</v>
      </c>
    </row>
    <row r="801" spans="1:108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X801" s="9">
        <f t="shared" si="553"/>
        <v>0</v>
      </c>
      <c r="AG801" s="8"/>
      <c r="AI801" s="30"/>
      <c r="AK801" s="30"/>
      <c r="AL801" s="21"/>
      <c r="AM801" s="23" t="e">
        <f t="shared" si="554"/>
        <v>#NUM!</v>
      </c>
      <c r="AW801" s="40"/>
      <c r="AY801" s="40"/>
      <c r="BA801" s="18"/>
      <c r="BC801" s="18"/>
      <c r="BD801" s="18"/>
      <c r="BK801" s="18"/>
      <c r="BN801" s="18"/>
      <c r="BY801" s="18"/>
      <c r="CC801" s="18"/>
      <c r="CH801" s="18"/>
      <c r="CS801" s="18"/>
      <c r="DD801" s="34" t="s">
        <v>86</v>
      </c>
    </row>
    <row r="802" spans="1:108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X802" s="9">
        <f t="shared" si="553"/>
        <v>0</v>
      </c>
      <c r="AG802" s="8"/>
      <c r="AI802" s="30"/>
      <c r="AK802" s="30"/>
      <c r="AL802" s="21"/>
      <c r="AM802" s="23" t="e">
        <f t="shared" si="554"/>
        <v>#NUM!</v>
      </c>
      <c r="AW802" s="40"/>
      <c r="AY802" s="40"/>
      <c r="BA802" s="18"/>
      <c r="BC802" s="18"/>
      <c r="BD802" s="18"/>
      <c r="BK802" s="18"/>
      <c r="BN802" s="18"/>
      <c r="BY802" s="18"/>
      <c r="CC802" s="18"/>
      <c r="CH802" s="18"/>
      <c r="CS802" s="18"/>
      <c r="DD802" s="34" t="s">
        <v>86</v>
      </c>
    </row>
    <row r="803" spans="1:108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X803" s="9">
        <f t="shared" si="553"/>
        <v>0</v>
      </c>
      <c r="AG803" s="8"/>
      <c r="AI803" s="30"/>
      <c r="AK803" s="30"/>
      <c r="AL803" s="21"/>
      <c r="AM803" s="23" t="e">
        <f t="shared" si="554"/>
        <v>#NUM!</v>
      </c>
      <c r="AW803" s="40"/>
      <c r="AY803" s="40"/>
      <c r="BA803" s="18"/>
      <c r="BC803" s="18"/>
      <c r="BD803" s="18"/>
      <c r="BK803" s="18"/>
      <c r="BN803" s="18"/>
      <c r="BY803" s="18"/>
      <c r="CC803" s="18"/>
      <c r="CH803" s="18"/>
      <c r="CS803" s="18"/>
      <c r="DD803" s="34" t="s">
        <v>86</v>
      </c>
    </row>
    <row r="804" spans="1:108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X804" s="9">
        <f t="shared" si="553"/>
        <v>0</v>
      </c>
      <c r="AG804" s="8"/>
      <c r="AI804" s="30"/>
      <c r="AK804" s="30"/>
      <c r="AL804" s="21"/>
      <c r="AM804" s="23" t="e">
        <f t="shared" si="554"/>
        <v>#NUM!</v>
      </c>
      <c r="AW804" s="40"/>
      <c r="AY804" s="40"/>
      <c r="BA804" s="18"/>
      <c r="BC804" s="18"/>
      <c r="BD804" s="18"/>
      <c r="BK804" s="18"/>
      <c r="BN804" s="18"/>
      <c r="BY804" s="18"/>
      <c r="CC804" s="18"/>
      <c r="CH804" s="18"/>
      <c r="CS804" s="18"/>
      <c r="DD804" s="34" t="s">
        <v>86</v>
      </c>
    </row>
    <row r="805" spans="1:108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X805" s="9">
        <f t="shared" si="553"/>
        <v>0</v>
      </c>
      <c r="AG805" s="8"/>
      <c r="AI805" s="30"/>
      <c r="AK805" s="30"/>
      <c r="AL805" s="21"/>
      <c r="AM805" s="23" t="e">
        <f t="shared" si="554"/>
        <v>#NUM!</v>
      </c>
      <c r="AW805" s="40"/>
      <c r="AY805" s="40"/>
      <c r="BA805" s="18"/>
      <c r="BC805" s="18"/>
      <c r="BD805" s="18"/>
      <c r="BK805" s="18"/>
      <c r="BN805" s="18"/>
      <c r="BY805" s="18"/>
      <c r="CC805" s="18"/>
      <c r="CH805" s="18"/>
      <c r="CS805" s="18"/>
      <c r="DD805" s="34" t="s">
        <v>86</v>
      </c>
    </row>
    <row r="806" spans="1:108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X806" s="9">
        <f t="shared" si="553"/>
        <v>0</v>
      </c>
      <c r="AG806" s="8"/>
      <c r="AI806" s="30"/>
      <c r="AK806" s="30"/>
      <c r="AL806" s="21"/>
      <c r="AM806" s="23" t="e">
        <f t="shared" si="554"/>
        <v>#NUM!</v>
      </c>
      <c r="AW806" s="40"/>
      <c r="AY806" s="40"/>
      <c r="BA806" s="18"/>
      <c r="BC806" s="18"/>
      <c r="BD806" s="18"/>
      <c r="BK806" s="18"/>
      <c r="BN806" s="18"/>
      <c r="BY806" s="18"/>
      <c r="CC806" s="18"/>
      <c r="CH806" s="18"/>
      <c r="CS806" s="18"/>
      <c r="DD806" s="34" t="s">
        <v>86</v>
      </c>
    </row>
    <row r="807" spans="1:108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X807" s="9">
        <f t="shared" si="553"/>
        <v>0</v>
      </c>
      <c r="AG807" s="8"/>
      <c r="AI807" s="30"/>
      <c r="AK807" s="30"/>
      <c r="AL807" s="21"/>
      <c r="AM807" s="23" t="e">
        <f t="shared" si="554"/>
        <v>#NUM!</v>
      </c>
      <c r="AW807" s="40"/>
      <c r="AY807" s="40"/>
      <c r="BA807" s="18"/>
      <c r="BC807" s="18"/>
      <c r="BD807" s="18"/>
      <c r="BK807" s="18"/>
      <c r="BN807" s="18"/>
      <c r="BY807" s="18"/>
      <c r="CC807" s="18"/>
      <c r="CH807" s="18"/>
      <c r="CS807" s="18"/>
      <c r="DD807" s="34" t="s">
        <v>86</v>
      </c>
    </row>
    <row r="808" spans="1:108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X808" s="9">
        <f t="shared" si="553"/>
        <v>0</v>
      </c>
      <c r="AG808" s="8"/>
      <c r="AI808" s="30"/>
      <c r="AK808" s="30"/>
      <c r="AL808" s="21"/>
      <c r="AM808" s="23" t="e">
        <f t="shared" si="554"/>
        <v>#NUM!</v>
      </c>
      <c r="AW808" s="40"/>
      <c r="AY808" s="40"/>
      <c r="BA808" s="18"/>
      <c r="BC808" s="18"/>
      <c r="BD808" s="18"/>
      <c r="BK808" s="18"/>
      <c r="BN808" s="18"/>
      <c r="BY808" s="18"/>
      <c r="CC808" s="18"/>
      <c r="CH808" s="18"/>
      <c r="CS808" s="18"/>
      <c r="DD808" s="34" t="s">
        <v>86</v>
      </c>
    </row>
    <row r="809" spans="1:108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X809" s="9">
        <f t="shared" si="553"/>
        <v>0</v>
      </c>
      <c r="AG809" s="8"/>
      <c r="AI809" s="30"/>
      <c r="AK809" s="30"/>
      <c r="AL809" s="21"/>
      <c r="AM809" s="23" t="e">
        <f t="shared" si="554"/>
        <v>#NUM!</v>
      </c>
      <c r="AW809" s="40"/>
      <c r="AY809" s="40"/>
      <c r="BA809" s="18"/>
      <c r="BC809" s="18"/>
      <c r="BD809" s="18"/>
      <c r="BK809" s="18"/>
      <c r="BN809" s="18"/>
      <c r="BY809" s="18"/>
      <c r="CC809" s="18"/>
      <c r="CH809" s="18"/>
      <c r="CS809" s="18"/>
      <c r="DD809" s="34" t="s">
        <v>86</v>
      </c>
    </row>
    <row r="810" spans="1:108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X810" s="9">
        <f t="shared" si="553"/>
        <v>0</v>
      </c>
      <c r="AG810" s="8"/>
      <c r="AI810" s="30"/>
      <c r="AK810" s="30"/>
      <c r="AL810" s="21"/>
      <c r="AM810" s="23" t="e">
        <f t="shared" si="554"/>
        <v>#NUM!</v>
      </c>
      <c r="AW810" s="40"/>
      <c r="AY810" s="40"/>
      <c r="BA810" s="18"/>
      <c r="BC810" s="18"/>
      <c r="BD810" s="18"/>
      <c r="BK810" s="18"/>
      <c r="BN810" s="18"/>
      <c r="BY810" s="18"/>
      <c r="CC810" s="18"/>
      <c r="CH810" s="18"/>
      <c r="CS810" s="18"/>
      <c r="DD810" s="34" t="s">
        <v>86</v>
      </c>
    </row>
    <row r="811" spans="1:108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X811" s="9">
        <f t="shared" si="553"/>
        <v>0</v>
      </c>
      <c r="AG811" s="8"/>
      <c r="AI811" s="30"/>
      <c r="AK811" s="30"/>
      <c r="AL811" s="21"/>
      <c r="AM811" s="23" t="e">
        <f t="shared" si="554"/>
        <v>#NUM!</v>
      </c>
      <c r="AW811" s="40"/>
      <c r="AY811" s="40"/>
      <c r="BA811" s="18"/>
      <c r="BC811" s="18"/>
      <c r="BD811" s="18"/>
      <c r="BK811" s="18"/>
      <c r="BN811" s="18"/>
      <c r="BY811" s="18"/>
      <c r="CC811" s="18"/>
      <c r="CH811" s="18"/>
      <c r="CS811" s="18"/>
      <c r="DD811" s="34" t="s">
        <v>86</v>
      </c>
    </row>
    <row r="812" spans="1:108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X812" s="9">
        <f t="shared" si="553"/>
        <v>0</v>
      </c>
      <c r="AG812" s="8"/>
      <c r="AI812" s="30"/>
      <c r="AK812" s="30"/>
      <c r="AL812" s="21"/>
      <c r="AM812" s="23" t="e">
        <f t="shared" si="554"/>
        <v>#NUM!</v>
      </c>
      <c r="AW812" s="40"/>
      <c r="AY812" s="40"/>
      <c r="BA812" s="18"/>
      <c r="BC812" s="18"/>
      <c r="BD812" s="18"/>
      <c r="BK812" s="18"/>
      <c r="BN812" s="18"/>
      <c r="BY812" s="18"/>
      <c r="CC812" s="18"/>
      <c r="CH812" s="18"/>
      <c r="CS812" s="18"/>
      <c r="DD812" s="34" t="s">
        <v>86</v>
      </c>
    </row>
    <row r="813" spans="1:108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X813" s="9">
        <f t="shared" si="553"/>
        <v>0</v>
      </c>
      <c r="AG813" s="8"/>
      <c r="AI813" s="30"/>
      <c r="AK813" s="30"/>
      <c r="AL813" s="21"/>
      <c r="AM813" s="23" t="e">
        <f t="shared" si="554"/>
        <v>#NUM!</v>
      </c>
      <c r="AW813" s="40"/>
      <c r="AY813" s="40"/>
      <c r="BA813" s="18"/>
      <c r="BC813" s="18"/>
      <c r="BD813" s="18"/>
      <c r="BK813" s="18"/>
      <c r="BN813" s="18"/>
      <c r="BY813" s="18"/>
      <c r="CC813" s="18"/>
      <c r="CH813" s="18"/>
      <c r="CS813" s="18"/>
      <c r="DD813" s="34" t="s">
        <v>86</v>
      </c>
    </row>
    <row r="814" spans="1:108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X814" s="9">
        <f t="shared" si="553"/>
        <v>0</v>
      </c>
      <c r="AG814" s="8"/>
      <c r="AI814" s="30"/>
      <c r="AK814" s="30"/>
      <c r="AL814" s="21"/>
      <c r="AM814" s="23" t="e">
        <f t="shared" si="554"/>
        <v>#NUM!</v>
      </c>
      <c r="AW814" s="40"/>
      <c r="AY814" s="40"/>
      <c r="BA814" s="18"/>
      <c r="BC814" s="18"/>
      <c r="BD814" s="18"/>
      <c r="BK814" s="18"/>
      <c r="BN814" s="18"/>
      <c r="BY814" s="18"/>
      <c r="CC814" s="18"/>
      <c r="CH814" s="18"/>
      <c r="CS814" s="18"/>
      <c r="DD814" s="34" t="s">
        <v>86</v>
      </c>
    </row>
    <row r="815" spans="1:108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X815" s="9">
        <f t="shared" si="553"/>
        <v>0</v>
      </c>
      <c r="AG815" s="8"/>
      <c r="AI815" s="30"/>
      <c r="AK815" s="30"/>
      <c r="AL815" s="21"/>
      <c r="AM815" s="23" t="e">
        <f t="shared" si="554"/>
        <v>#NUM!</v>
      </c>
      <c r="AW815" s="40"/>
      <c r="AY815" s="40"/>
      <c r="BA815" s="18"/>
      <c r="BC815" s="18"/>
      <c r="BD815" s="18"/>
      <c r="BK815" s="18"/>
      <c r="BN815" s="18"/>
      <c r="BY815" s="18"/>
      <c r="CC815" s="18"/>
      <c r="CH815" s="18"/>
      <c r="CS815" s="18"/>
      <c r="DD815" s="34" t="s">
        <v>86</v>
      </c>
    </row>
    <row r="816" spans="1:108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X816" s="9">
        <f t="shared" si="553"/>
        <v>0</v>
      </c>
      <c r="AG816" s="8"/>
      <c r="AI816" s="30"/>
      <c r="AK816" s="30"/>
      <c r="AL816" s="21"/>
      <c r="AM816" s="23" t="e">
        <f t="shared" si="554"/>
        <v>#NUM!</v>
      </c>
      <c r="AW816" s="40"/>
      <c r="AY816" s="40"/>
      <c r="BA816" s="18"/>
      <c r="BC816" s="18"/>
      <c r="BD816" s="18"/>
      <c r="BK816" s="18"/>
      <c r="BN816" s="18"/>
      <c r="BY816" s="18"/>
      <c r="CC816" s="18"/>
      <c r="CH816" s="18"/>
      <c r="CS816" s="18"/>
      <c r="DD816" s="34" t="s">
        <v>86</v>
      </c>
    </row>
    <row r="817" spans="1:108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X817" s="9">
        <f t="shared" si="553"/>
        <v>0</v>
      </c>
      <c r="AG817" s="8"/>
      <c r="AI817" s="30"/>
      <c r="AK817" s="30"/>
      <c r="AL817" s="21"/>
      <c r="AM817" s="23" t="e">
        <f t="shared" si="554"/>
        <v>#NUM!</v>
      </c>
      <c r="AW817" s="40"/>
      <c r="AY817" s="40"/>
      <c r="BA817" s="18"/>
      <c r="BC817" s="18"/>
      <c r="BD817" s="18"/>
      <c r="BK817" s="18"/>
      <c r="BN817" s="18"/>
      <c r="BY817" s="18"/>
      <c r="CC817" s="18"/>
      <c r="CH817" s="18"/>
      <c r="CS817" s="18"/>
      <c r="DD817" s="34" t="s">
        <v>86</v>
      </c>
    </row>
    <row r="818" spans="1:108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X818" s="9">
        <f t="shared" si="553"/>
        <v>0</v>
      </c>
      <c r="AG818" s="8"/>
      <c r="AI818" s="30"/>
      <c r="AK818" s="30"/>
      <c r="AL818" s="21"/>
      <c r="AM818" s="23" t="e">
        <f t="shared" si="554"/>
        <v>#NUM!</v>
      </c>
      <c r="AW818" s="40"/>
      <c r="AY818" s="40"/>
      <c r="BA818" s="18"/>
      <c r="BC818" s="18"/>
      <c r="BD818" s="18"/>
      <c r="BK818" s="18"/>
      <c r="BN818" s="18"/>
      <c r="BY818" s="18"/>
      <c r="CC818" s="18"/>
      <c r="CH818" s="18"/>
      <c r="CS818" s="18"/>
      <c r="DD818" s="34" t="s">
        <v>86</v>
      </c>
    </row>
    <row r="819" spans="1:108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X819" s="9">
        <f t="shared" si="553"/>
        <v>0</v>
      </c>
      <c r="AG819" s="8"/>
      <c r="AI819" s="30"/>
      <c r="AK819" s="30"/>
      <c r="AL819" s="21"/>
      <c r="AM819" s="23" t="e">
        <f t="shared" si="554"/>
        <v>#NUM!</v>
      </c>
      <c r="AW819" s="40"/>
      <c r="AY819" s="40"/>
      <c r="BA819" s="18"/>
      <c r="BC819" s="18"/>
      <c r="BD819" s="18"/>
      <c r="BK819" s="18"/>
      <c r="BN819" s="18"/>
      <c r="BY819" s="18"/>
      <c r="CC819" s="18"/>
      <c r="CH819" s="18"/>
      <c r="CS819" s="18"/>
      <c r="DD819" s="34" t="s">
        <v>86</v>
      </c>
    </row>
    <row r="820" spans="1:108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X820" s="9">
        <f t="shared" si="553"/>
        <v>0</v>
      </c>
      <c r="AG820" s="8"/>
      <c r="AI820" s="30"/>
      <c r="AK820" s="30"/>
      <c r="AL820" s="21"/>
      <c r="AM820" s="23" t="e">
        <f t="shared" si="554"/>
        <v>#NUM!</v>
      </c>
      <c r="AW820" s="40"/>
      <c r="AY820" s="40"/>
      <c r="BA820" s="18"/>
      <c r="BC820" s="18"/>
      <c r="BD820" s="18"/>
      <c r="BK820" s="18"/>
      <c r="BN820" s="18"/>
      <c r="BY820" s="18"/>
      <c r="CC820" s="18"/>
      <c r="CH820" s="18"/>
      <c r="CS820" s="18"/>
      <c r="DD820" s="34" t="s">
        <v>86</v>
      </c>
    </row>
    <row r="821" spans="1:108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X821" s="9">
        <f t="shared" si="553"/>
        <v>0</v>
      </c>
      <c r="AG821" s="8"/>
      <c r="AI821" s="30"/>
      <c r="AK821" s="30"/>
      <c r="AL821" s="21"/>
      <c r="AM821" s="23" t="e">
        <f t="shared" si="554"/>
        <v>#NUM!</v>
      </c>
      <c r="AW821" s="40"/>
      <c r="AY821" s="40"/>
      <c r="BA821" s="18"/>
      <c r="BC821" s="18"/>
      <c r="BD821" s="18"/>
      <c r="BK821" s="18"/>
      <c r="BN821" s="18"/>
      <c r="BY821" s="18"/>
      <c r="CC821" s="18"/>
      <c r="CH821" s="18"/>
      <c r="CS821" s="18"/>
      <c r="DD821" s="34" t="s">
        <v>86</v>
      </c>
    </row>
    <row r="822" spans="1:108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X822" s="9">
        <f t="shared" si="553"/>
        <v>0</v>
      </c>
      <c r="AG822" s="8"/>
      <c r="AI822" s="30"/>
      <c r="AK822" s="30"/>
      <c r="AL822" s="21"/>
      <c r="AM822" s="23" t="e">
        <f t="shared" si="554"/>
        <v>#NUM!</v>
      </c>
      <c r="AW822" s="40"/>
      <c r="AY822" s="40"/>
      <c r="BA822" s="18"/>
      <c r="BC822" s="18"/>
      <c r="BD822" s="18"/>
      <c r="BK822" s="18"/>
      <c r="BN822" s="18"/>
      <c r="BY822" s="18"/>
      <c r="CC822" s="18"/>
      <c r="CH822" s="18"/>
      <c r="CS822" s="18"/>
      <c r="DD822" s="34" t="s">
        <v>86</v>
      </c>
    </row>
    <row r="823" spans="1:108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X823" s="9">
        <f t="shared" si="553"/>
        <v>0</v>
      </c>
      <c r="AG823" s="8"/>
      <c r="AI823" s="30"/>
      <c r="AK823" s="30"/>
      <c r="AL823" s="21"/>
      <c r="AM823" s="23" t="e">
        <f t="shared" si="554"/>
        <v>#NUM!</v>
      </c>
      <c r="AW823" s="40"/>
      <c r="AY823" s="40"/>
      <c r="BA823" s="18"/>
      <c r="BC823" s="18"/>
      <c r="BD823" s="18"/>
      <c r="BK823" s="18"/>
      <c r="BN823" s="18"/>
      <c r="BY823" s="18"/>
      <c r="CC823" s="18"/>
      <c r="CH823" s="18"/>
      <c r="CS823" s="18"/>
      <c r="DD823" s="34" t="s">
        <v>86</v>
      </c>
    </row>
    <row r="824" spans="1:108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X824" s="9">
        <f t="shared" si="553"/>
        <v>0</v>
      </c>
      <c r="AG824" s="8"/>
      <c r="AI824" s="30"/>
      <c r="AK824" s="30"/>
      <c r="AL824" s="21"/>
      <c r="AM824" s="23" t="e">
        <f t="shared" si="554"/>
        <v>#NUM!</v>
      </c>
      <c r="AW824" s="40"/>
      <c r="AY824" s="40"/>
      <c r="BA824" s="18"/>
      <c r="BC824" s="18"/>
      <c r="BD824" s="18"/>
      <c r="BK824" s="18"/>
      <c r="BN824" s="18"/>
      <c r="BY824" s="18"/>
      <c r="CC824" s="18"/>
      <c r="CH824" s="18"/>
      <c r="CS824" s="18"/>
      <c r="DD824" s="34" t="s">
        <v>86</v>
      </c>
    </row>
    <row r="825" spans="1:108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X825" s="9">
        <f t="shared" si="553"/>
        <v>0</v>
      </c>
      <c r="AG825" s="8"/>
      <c r="AI825" s="30"/>
      <c r="AK825" s="30"/>
      <c r="AL825" s="21"/>
      <c r="AM825" s="23" t="e">
        <f t="shared" si="554"/>
        <v>#NUM!</v>
      </c>
      <c r="AW825" s="40"/>
      <c r="AY825" s="40"/>
      <c r="BA825" s="18"/>
      <c r="BC825" s="18"/>
      <c r="BD825" s="18"/>
      <c r="BK825" s="18"/>
      <c r="BN825" s="18"/>
      <c r="BY825" s="18"/>
      <c r="CC825" s="18"/>
      <c r="CH825" s="18"/>
      <c r="CS825" s="18"/>
      <c r="DD825" s="34" t="s">
        <v>86</v>
      </c>
    </row>
    <row r="826" spans="1:108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X826" s="9">
        <f t="shared" si="553"/>
        <v>0</v>
      </c>
      <c r="AG826" s="8"/>
      <c r="AI826" s="30"/>
      <c r="AK826" s="30"/>
      <c r="AL826" s="21"/>
      <c r="AM826" s="23" t="e">
        <f t="shared" si="554"/>
        <v>#NUM!</v>
      </c>
      <c r="AW826" s="40"/>
      <c r="AY826" s="40"/>
      <c r="BA826" s="18"/>
      <c r="BC826" s="18"/>
      <c r="BD826" s="18"/>
      <c r="BK826" s="18"/>
      <c r="BN826" s="18"/>
      <c r="BY826" s="18"/>
      <c r="CC826" s="18"/>
      <c r="CH826" s="18"/>
      <c r="CS826" s="18"/>
      <c r="DD826" s="34" t="s">
        <v>86</v>
      </c>
    </row>
    <row r="827" spans="1:108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X827" s="9">
        <f t="shared" si="553"/>
        <v>0</v>
      </c>
      <c r="AG827" s="8"/>
      <c r="AI827" s="30"/>
      <c r="AK827" s="30"/>
      <c r="AL827" s="21"/>
      <c r="AM827" s="23" t="e">
        <f t="shared" si="554"/>
        <v>#NUM!</v>
      </c>
      <c r="AW827" s="40"/>
      <c r="AY827" s="40"/>
      <c r="BA827" s="18"/>
      <c r="BC827" s="18"/>
      <c r="BD827" s="18"/>
      <c r="BK827" s="18"/>
      <c r="BN827" s="18"/>
      <c r="BY827" s="18"/>
      <c r="CC827" s="18"/>
      <c r="CH827" s="18"/>
      <c r="CS827" s="18"/>
      <c r="DD827" s="34" t="s">
        <v>86</v>
      </c>
    </row>
    <row r="828" spans="1:108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X828" s="9">
        <f t="shared" si="553"/>
        <v>0</v>
      </c>
      <c r="AG828" s="8"/>
      <c r="AI828" s="30"/>
      <c r="AK828" s="30"/>
      <c r="AL828" s="21"/>
      <c r="AM828" s="23" t="e">
        <f t="shared" si="554"/>
        <v>#NUM!</v>
      </c>
      <c r="AW828" s="40"/>
      <c r="AY828" s="40"/>
      <c r="BA828" s="18"/>
      <c r="BC828" s="18"/>
      <c r="BD828" s="18"/>
      <c r="BK828" s="18"/>
      <c r="BN828" s="18"/>
      <c r="BY828" s="18"/>
      <c r="CC828" s="18"/>
      <c r="CH828" s="18"/>
      <c r="CS828" s="18"/>
      <c r="DD828" s="34" t="s">
        <v>86</v>
      </c>
    </row>
    <row r="829" spans="1:108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X829" s="9">
        <f t="shared" si="553"/>
        <v>0</v>
      </c>
      <c r="AG829" s="8"/>
      <c r="AI829" s="30"/>
      <c r="AK829" s="30"/>
      <c r="AL829" s="21"/>
      <c r="AM829" s="23" t="e">
        <f t="shared" si="554"/>
        <v>#NUM!</v>
      </c>
      <c r="AW829" s="40"/>
      <c r="AY829" s="40"/>
      <c r="BA829" s="18"/>
      <c r="BC829" s="18"/>
      <c r="BD829" s="18"/>
      <c r="BK829" s="18"/>
      <c r="BN829" s="18"/>
      <c r="BY829" s="18"/>
      <c r="CC829" s="18"/>
      <c r="CH829" s="18"/>
      <c r="CS829" s="18"/>
      <c r="DD829" s="34" t="s">
        <v>86</v>
      </c>
    </row>
    <row r="830" spans="1:108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X830" s="9">
        <f t="shared" si="553"/>
        <v>0</v>
      </c>
      <c r="AG830" s="8"/>
      <c r="AI830" s="30"/>
      <c r="AK830" s="30"/>
      <c r="AL830" s="21"/>
      <c r="AM830" s="23" t="e">
        <f t="shared" si="554"/>
        <v>#NUM!</v>
      </c>
      <c r="AW830" s="40"/>
      <c r="AY830" s="40"/>
      <c r="BA830" s="18"/>
      <c r="BC830" s="18"/>
      <c r="BD830" s="18"/>
      <c r="BK830" s="18"/>
      <c r="BN830" s="18"/>
      <c r="BY830" s="18"/>
      <c r="CC830" s="18"/>
      <c r="CH830" s="18"/>
      <c r="CS830" s="18"/>
      <c r="DD830" s="34" t="s">
        <v>86</v>
      </c>
    </row>
    <row r="831" spans="1:108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X831" s="9">
        <f t="shared" si="553"/>
        <v>0</v>
      </c>
      <c r="AG831" s="8"/>
      <c r="AI831" s="30"/>
      <c r="AK831" s="30"/>
      <c r="AL831" s="21"/>
      <c r="AM831" s="23" t="e">
        <f t="shared" si="554"/>
        <v>#NUM!</v>
      </c>
      <c r="AW831" s="40"/>
      <c r="AY831" s="40"/>
      <c r="BA831" s="18"/>
      <c r="BC831" s="18"/>
      <c r="BD831" s="18"/>
      <c r="BK831" s="18"/>
      <c r="BN831" s="18"/>
      <c r="BY831" s="18"/>
      <c r="CC831" s="18"/>
      <c r="CH831" s="18"/>
      <c r="CS831" s="18"/>
      <c r="DD831" s="34" t="s">
        <v>86</v>
      </c>
    </row>
    <row r="832" spans="1:108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X832" s="9">
        <f t="shared" si="553"/>
        <v>0</v>
      </c>
      <c r="AG832" s="8"/>
      <c r="AI832" s="30"/>
      <c r="AK832" s="30"/>
      <c r="AL832" s="21"/>
      <c r="AM832" s="23" t="e">
        <f t="shared" si="554"/>
        <v>#NUM!</v>
      </c>
      <c r="AW832" s="40"/>
      <c r="AY832" s="40"/>
      <c r="BA832" s="18"/>
      <c r="BC832" s="18"/>
      <c r="BD832" s="18"/>
      <c r="BK832" s="18"/>
      <c r="BN832" s="18"/>
      <c r="BY832" s="18"/>
      <c r="CC832" s="18"/>
      <c r="CH832" s="18"/>
      <c r="CS832" s="18"/>
      <c r="DD832" s="34" t="s">
        <v>86</v>
      </c>
    </row>
    <row r="833" spans="1:108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X833" s="9">
        <f t="shared" si="553"/>
        <v>0</v>
      </c>
      <c r="AG833" s="8"/>
      <c r="AI833" s="30"/>
      <c r="AK833" s="30"/>
      <c r="AL833" s="21"/>
      <c r="AM833" s="23" t="e">
        <f t="shared" si="554"/>
        <v>#NUM!</v>
      </c>
      <c r="AW833" s="40"/>
      <c r="AY833" s="40"/>
      <c r="BA833" s="18"/>
      <c r="BC833" s="18"/>
      <c r="BD833" s="18"/>
      <c r="BK833" s="18"/>
      <c r="BN833" s="18"/>
      <c r="BY833" s="18"/>
      <c r="CC833" s="18"/>
      <c r="CH833" s="18"/>
      <c r="CS833" s="18"/>
      <c r="DD833" s="34" t="s">
        <v>86</v>
      </c>
    </row>
    <row r="834" spans="1:108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X834" s="9">
        <f t="shared" si="553"/>
        <v>0</v>
      </c>
      <c r="AG834" s="8"/>
      <c r="AI834" s="30"/>
      <c r="AK834" s="30"/>
      <c r="AL834" s="21"/>
      <c r="AM834" s="23" t="e">
        <f t="shared" si="554"/>
        <v>#NUM!</v>
      </c>
      <c r="AW834" s="40"/>
      <c r="AY834" s="40"/>
      <c r="BA834" s="18"/>
      <c r="BC834" s="18"/>
      <c r="BD834" s="18"/>
      <c r="BK834" s="18"/>
      <c r="BN834" s="18"/>
      <c r="BY834" s="18"/>
      <c r="CC834" s="18"/>
      <c r="CH834" s="18"/>
      <c r="CS834" s="18"/>
      <c r="DD834" s="34" t="s">
        <v>86</v>
      </c>
    </row>
    <row r="835" spans="1:108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X835" s="9">
        <f t="shared" ref="X835:X898" si="555">COUNTIF(B:B,B835)</f>
        <v>0</v>
      </c>
      <c r="AG835" s="8"/>
      <c r="AI835" s="30"/>
      <c r="AK835" s="30"/>
      <c r="AL835" s="21"/>
      <c r="AM835" s="23" t="e">
        <f t="shared" ref="AM835:AM898" si="556">LN(AL835)</f>
        <v>#NUM!</v>
      </c>
      <c r="AW835" s="40"/>
      <c r="AY835" s="40"/>
      <c r="BA835" s="18"/>
      <c r="BC835" s="18"/>
      <c r="BD835" s="18"/>
      <c r="BK835" s="18"/>
      <c r="BN835" s="18"/>
      <c r="BY835" s="18"/>
      <c r="CC835" s="18"/>
      <c r="CH835" s="18"/>
      <c r="CS835" s="18"/>
      <c r="DD835" s="34" t="s">
        <v>86</v>
      </c>
    </row>
    <row r="836" spans="1:108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X836" s="9">
        <f t="shared" si="555"/>
        <v>0</v>
      </c>
      <c r="AG836" s="8"/>
      <c r="AI836" s="30"/>
      <c r="AK836" s="30"/>
      <c r="AL836" s="21"/>
      <c r="AM836" s="23" t="e">
        <f t="shared" si="556"/>
        <v>#NUM!</v>
      </c>
      <c r="AW836" s="40"/>
      <c r="AY836" s="40"/>
      <c r="BA836" s="18"/>
      <c r="BC836" s="18"/>
      <c r="BD836" s="18"/>
      <c r="BK836" s="18"/>
      <c r="BN836" s="18"/>
      <c r="BY836" s="18"/>
      <c r="CC836" s="18"/>
      <c r="CH836" s="18"/>
      <c r="CS836" s="18"/>
      <c r="DD836" s="34" t="s">
        <v>86</v>
      </c>
    </row>
    <row r="837" spans="1:108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555"/>
        <v>0</v>
      </c>
      <c r="AG837" s="8"/>
      <c r="AI837" s="30"/>
      <c r="AK837" s="30"/>
      <c r="AL837" s="21"/>
      <c r="AM837" s="23" t="e">
        <f t="shared" si="556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555"/>
        <v>0</v>
      </c>
      <c r="AG838" s="8"/>
      <c r="AI838" s="30"/>
      <c r="AK838" s="30"/>
      <c r="AL838" s="21"/>
      <c r="AM838" s="23" t="e">
        <f t="shared" si="556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555"/>
        <v>0</v>
      </c>
      <c r="AG839" s="8"/>
      <c r="AI839" s="30"/>
      <c r="AK839" s="30"/>
      <c r="AL839" s="21"/>
      <c r="AM839" s="23" t="e">
        <f t="shared" si="556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555"/>
        <v>0</v>
      </c>
      <c r="AG840" s="8"/>
      <c r="AI840" s="30"/>
      <c r="AK840" s="30"/>
      <c r="AL840" s="21"/>
      <c r="AM840" s="23" t="e">
        <f t="shared" si="556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555"/>
        <v>0</v>
      </c>
      <c r="AG841" s="8"/>
      <c r="AI841" s="30"/>
      <c r="AK841" s="30"/>
      <c r="AL841" s="21"/>
      <c r="AM841" s="23" t="e">
        <f t="shared" si="556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555"/>
        <v>0</v>
      </c>
      <c r="AG842" s="8"/>
      <c r="AI842" s="30"/>
      <c r="AK842" s="30"/>
      <c r="AL842" s="21"/>
      <c r="AM842" s="23" t="e">
        <f t="shared" si="556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555"/>
        <v>0</v>
      </c>
      <c r="AG843" s="8"/>
      <c r="AI843" s="30"/>
      <c r="AK843" s="30"/>
      <c r="AL843" s="21"/>
      <c r="AM843" s="23" t="e">
        <f t="shared" si="556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555"/>
        <v>0</v>
      </c>
      <c r="AG844" s="8"/>
      <c r="AI844" s="30"/>
      <c r="AK844" s="30"/>
      <c r="AL844" s="21"/>
      <c r="AM844" s="23" t="e">
        <f t="shared" si="556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555"/>
        <v>0</v>
      </c>
      <c r="AG845" s="8"/>
      <c r="AI845" s="30"/>
      <c r="AK845" s="30"/>
      <c r="AL845" s="21"/>
      <c r="AM845" s="23" t="e">
        <f t="shared" si="556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555"/>
        <v>0</v>
      </c>
      <c r="AG846" s="8"/>
      <c r="AI846" s="30"/>
      <c r="AK846" s="30"/>
      <c r="AL846" s="21"/>
      <c r="AM846" s="23" t="e">
        <f t="shared" si="556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555"/>
        <v>0</v>
      </c>
      <c r="AG847" s="8"/>
      <c r="AI847" s="30"/>
      <c r="AK847" s="30"/>
      <c r="AL847" s="21"/>
      <c r="AM847" s="23" t="e">
        <f t="shared" si="556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555"/>
        <v>0</v>
      </c>
      <c r="AG848" s="8"/>
      <c r="AI848" s="30"/>
      <c r="AK848" s="30"/>
      <c r="AL848" s="21"/>
      <c r="AM848" s="23" t="e">
        <f t="shared" si="556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555"/>
        <v>0</v>
      </c>
      <c r="AG849" s="8"/>
      <c r="AI849" s="30"/>
      <c r="AK849" s="30"/>
      <c r="AL849" s="21"/>
      <c r="AM849" s="23" t="e">
        <f t="shared" si="556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555"/>
        <v>0</v>
      </c>
      <c r="AG850" s="8"/>
      <c r="AI850" s="30"/>
      <c r="AK850" s="30"/>
      <c r="AL850" s="21"/>
      <c r="AM850" s="23" t="e">
        <f t="shared" si="556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555"/>
        <v>0</v>
      </c>
      <c r="AG851" s="8"/>
      <c r="AI851" s="30"/>
      <c r="AK851" s="30"/>
      <c r="AL851" s="21"/>
      <c r="AM851" s="23" t="e">
        <f t="shared" si="556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555"/>
        <v>0</v>
      </c>
      <c r="AG852" s="8"/>
      <c r="AI852" s="30"/>
      <c r="AK852" s="30"/>
      <c r="AL852" s="21"/>
      <c r="AM852" s="23" t="e">
        <f t="shared" si="556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555"/>
        <v>0</v>
      </c>
      <c r="AG853" s="8"/>
      <c r="AI853" s="30"/>
      <c r="AK853" s="30"/>
      <c r="AL853" s="21"/>
      <c r="AM853" s="23" t="e">
        <f t="shared" si="556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555"/>
        <v>0</v>
      </c>
      <c r="AG854" s="8"/>
      <c r="AI854" s="30"/>
      <c r="AK854" s="30"/>
      <c r="AL854" s="21"/>
      <c r="AM854" s="23" t="e">
        <f t="shared" si="556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555"/>
        <v>0</v>
      </c>
      <c r="AG855" s="8"/>
      <c r="AI855" s="30"/>
      <c r="AK855" s="30"/>
      <c r="AL855" s="21"/>
      <c r="AM855" s="23" t="e">
        <f t="shared" si="556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555"/>
        <v>0</v>
      </c>
      <c r="AG856" s="8"/>
      <c r="AI856" s="30"/>
      <c r="AK856" s="30"/>
      <c r="AL856" s="21"/>
      <c r="AM856" s="23" t="e">
        <f t="shared" si="556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555"/>
        <v>0</v>
      </c>
      <c r="AG857" s="8"/>
      <c r="AI857" s="30"/>
      <c r="AK857" s="30"/>
      <c r="AL857" s="21"/>
      <c r="AM857" s="23" t="e">
        <f t="shared" si="556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555"/>
        <v>0</v>
      </c>
      <c r="AG858" s="8"/>
      <c r="AI858" s="30"/>
      <c r="AK858" s="30"/>
      <c r="AL858" s="21"/>
      <c r="AM858" s="23" t="e">
        <f t="shared" si="556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555"/>
        <v>0</v>
      </c>
      <c r="AG859" s="8"/>
      <c r="AI859" s="30"/>
      <c r="AK859" s="30"/>
      <c r="AL859" s="21"/>
      <c r="AM859" s="23" t="e">
        <f t="shared" si="556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555"/>
        <v>0</v>
      </c>
      <c r="AG860" s="8"/>
      <c r="AI860" s="30"/>
      <c r="AK860" s="30"/>
      <c r="AL860" s="21"/>
      <c r="AM860" s="23" t="e">
        <f t="shared" si="556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555"/>
        <v>0</v>
      </c>
      <c r="AG861" s="8"/>
      <c r="AI861" s="30"/>
      <c r="AK861" s="30"/>
      <c r="AL861" s="21"/>
      <c r="AM861" s="23" t="e">
        <f t="shared" si="556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555"/>
        <v>0</v>
      </c>
      <c r="AG862" s="8"/>
      <c r="AI862" s="30"/>
      <c r="AK862" s="30"/>
      <c r="AL862" s="21"/>
      <c r="AM862" s="23" t="e">
        <f t="shared" si="556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555"/>
        <v>0</v>
      </c>
      <c r="AG863" s="8"/>
      <c r="AI863" s="30"/>
      <c r="AK863" s="30"/>
      <c r="AL863" s="21"/>
      <c r="AM863" s="23" t="e">
        <f t="shared" si="556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555"/>
        <v>0</v>
      </c>
      <c r="AG864" s="8"/>
      <c r="AI864" s="30"/>
      <c r="AK864" s="30"/>
      <c r="AL864" s="21"/>
      <c r="AM864" s="23" t="e">
        <f t="shared" si="556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555"/>
        <v>0</v>
      </c>
      <c r="AG865" s="8"/>
      <c r="AI865" s="30"/>
      <c r="AK865" s="30"/>
      <c r="AL865" s="21"/>
      <c r="AM865" s="23" t="e">
        <f t="shared" si="556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555"/>
        <v>0</v>
      </c>
      <c r="AG866" s="8"/>
      <c r="AI866" s="30"/>
      <c r="AK866" s="30"/>
      <c r="AL866" s="21"/>
      <c r="AM866" s="23" t="e">
        <f t="shared" si="556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555"/>
        <v>0</v>
      </c>
      <c r="AG867" s="8"/>
      <c r="AI867" s="30"/>
      <c r="AK867" s="30"/>
      <c r="AL867" s="21"/>
      <c r="AM867" s="23" t="e">
        <f t="shared" si="556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555"/>
        <v>0</v>
      </c>
      <c r="AG868" s="8"/>
      <c r="AI868" s="30"/>
      <c r="AK868" s="30"/>
      <c r="AL868" s="21"/>
      <c r="AM868" s="23" t="e">
        <f t="shared" si="556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555"/>
        <v>0</v>
      </c>
      <c r="AG869" s="8"/>
      <c r="AI869" s="30"/>
      <c r="AK869" s="30"/>
      <c r="AL869" s="21"/>
      <c r="AM869" s="23" t="e">
        <f t="shared" si="556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555"/>
        <v>0</v>
      </c>
      <c r="AG870" s="8"/>
      <c r="AI870" s="30"/>
      <c r="AK870" s="30"/>
      <c r="AL870" s="21"/>
      <c r="AM870" s="23" t="e">
        <f t="shared" si="556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555"/>
        <v>0</v>
      </c>
      <c r="AG871" s="8"/>
      <c r="AI871" s="30"/>
      <c r="AK871" s="30"/>
      <c r="AL871" s="21"/>
      <c r="AM871" s="23" t="e">
        <f t="shared" si="556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555"/>
        <v>0</v>
      </c>
      <c r="AG872" s="8"/>
      <c r="AI872" s="30"/>
      <c r="AK872" s="30"/>
      <c r="AL872" s="21"/>
      <c r="AM872" s="23" t="e">
        <f t="shared" si="556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555"/>
        <v>0</v>
      </c>
      <c r="AG873" s="8"/>
      <c r="AI873" s="30"/>
      <c r="AK873" s="30"/>
      <c r="AL873" s="21"/>
      <c r="AM873" s="23" t="e">
        <f t="shared" si="556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555"/>
        <v>0</v>
      </c>
      <c r="AG874" s="8"/>
      <c r="AI874" s="30"/>
      <c r="AK874" s="30"/>
      <c r="AL874" s="21"/>
      <c r="AM874" s="23" t="e">
        <f t="shared" si="556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555"/>
        <v>0</v>
      </c>
      <c r="AG875" s="8"/>
      <c r="AI875" s="30"/>
      <c r="AK875" s="30"/>
      <c r="AL875" s="21"/>
      <c r="AM875" s="23" t="e">
        <f t="shared" si="556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555"/>
        <v>0</v>
      </c>
      <c r="AG876" s="8"/>
      <c r="AI876" s="30"/>
      <c r="AK876" s="30"/>
      <c r="AL876" s="21"/>
      <c r="AM876" s="23" t="e">
        <f t="shared" si="556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555"/>
        <v>0</v>
      </c>
      <c r="AG877" s="8"/>
      <c r="AI877" s="30"/>
      <c r="AK877" s="30"/>
      <c r="AL877" s="21"/>
      <c r="AM877" s="23" t="e">
        <f t="shared" si="556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555"/>
        <v>0</v>
      </c>
      <c r="AG878" s="8"/>
      <c r="AI878" s="30"/>
      <c r="AK878" s="30"/>
      <c r="AL878" s="21"/>
      <c r="AM878" s="23" t="e">
        <f t="shared" si="556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555"/>
        <v>0</v>
      </c>
      <c r="AG879" s="8"/>
      <c r="AI879" s="30"/>
      <c r="AK879" s="30"/>
      <c r="AL879" s="21"/>
      <c r="AM879" s="23" t="e">
        <f t="shared" si="556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555"/>
        <v>0</v>
      </c>
      <c r="AG880" s="8"/>
      <c r="AI880" s="30"/>
      <c r="AK880" s="30"/>
      <c r="AL880" s="21"/>
      <c r="AM880" s="23" t="e">
        <f t="shared" si="556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555"/>
        <v>0</v>
      </c>
      <c r="AG881" s="8"/>
      <c r="AI881" s="30"/>
      <c r="AK881" s="30"/>
      <c r="AL881" s="21"/>
      <c r="AM881" s="23" t="e">
        <f t="shared" si="556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555"/>
        <v>0</v>
      </c>
      <c r="AG882" s="8"/>
      <c r="AI882" s="30"/>
      <c r="AK882" s="30"/>
      <c r="AL882" s="21"/>
      <c r="AM882" s="23" t="e">
        <f t="shared" si="556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555"/>
        <v>0</v>
      </c>
      <c r="AG883" s="8"/>
      <c r="AI883" s="30"/>
      <c r="AK883" s="30"/>
      <c r="AL883" s="21"/>
      <c r="AM883" s="23" t="e">
        <f t="shared" si="556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555"/>
        <v>0</v>
      </c>
      <c r="AG884" s="8"/>
      <c r="AI884" s="30"/>
      <c r="AK884" s="30"/>
      <c r="AL884" s="21"/>
      <c r="AM884" s="23" t="e">
        <f t="shared" si="556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555"/>
        <v>0</v>
      </c>
      <c r="AG885" s="8"/>
      <c r="AI885" s="30"/>
      <c r="AK885" s="30"/>
      <c r="AL885" s="21"/>
      <c r="AM885" s="23" t="e">
        <f t="shared" si="556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555"/>
        <v>0</v>
      </c>
      <c r="AG886" s="8"/>
      <c r="AI886" s="30"/>
      <c r="AK886" s="30"/>
      <c r="AL886" s="21"/>
      <c r="AM886" s="23" t="e">
        <f t="shared" si="556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555"/>
        <v>0</v>
      </c>
      <c r="AG887" s="8"/>
      <c r="AI887" s="30"/>
      <c r="AK887" s="30"/>
      <c r="AL887" s="21"/>
      <c r="AM887" s="23" t="e">
        <f t="shared" si="556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555"/>
        <v>0</v>
      </c>
      <c r="AG888" s="8"/>
      <c r="AI888" s="30"/>
      <c r="AK888" s="30"/>
      <c r="AL888" s="21"/>
      <c r="AM888" s="23" t="e">
        <f t="shared" si="556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555"/>
        <v>0</v>
      </c>
      <c r="AG889" s="8"/>
      <c r="AI889" s="30"/>
      <c r="AK889" s="30"/>
      <c r="AL889" s="21"/>
      <c r="AM889" s="23" t="e">
        <f t="shared" si="556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555"/>
        <v>0</v>
      </c>
      <c r="AG890" s="8"/>
      <c r="AI890" s="30"/>
      <c r="AK890" s="30"/>
      <c r="AL890" s="21"/>
      <c r="AM890" s="23" t="e">
        <f t="shared" si="556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555"/>
        <v>0</v>
      </c>
      <c r="AG891" s="8"/>
      <c r="AI891" s="30"/>
      <c r="AK891" s="30"/>
      <c r="AL891" s="21"/>
      <c r="AM891" s="23" t="e">
        <f t="shared" si="556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555"/>
        <v>0</v>
      </c>
      <c r="AG892" s="8"/>
      <c r="AI892" s="30"/>
      <c r="AK892" s="30"/>
      <c r="AL892" s="21"/>
      <c r="AM892" s="23" t="e">
        <f t="shared" si="556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555"/>
        <v>0</v>
      </c>
      <c r="AG893" s="8"/>
      <c r="AI893" s="30"/>
      <c r="AK893" s="30"/>
      <c r="AL893" s="21"/>
      <c r="AM893" s="23" t="e">
        <f t="shared" si="556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555"/>
        <v>0</v>
      </c>
      <c r="AG894" s="8"/>
      <c r="AI894" s="30"/>
      <c r="AK894" s="30"/>
      <c r="AL894" s="21"/>
      <c r="AM894" s="23" t="e">
        <f t="shared" si="556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555"/>
        <v>0</v>
      </c>
      <c r="AG895" s="8"/>
      <c r="AI895" s="30"/>
      <c r="AK895" s="30"/>
      <c r="AL895" s="21"/>
      <c r="AM895" s="23" t="e">
        <f t="shared" si="556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555"/>
        <v>0</v>
      </c>
      <c r="AG896" s="8"/>
      <c r="AI896" s="30"/>
      <c r="AK896" s="30"/>
      <c r="AL896" s="21"/>
      <c r="AM896" s="23" t="e">
        <f t="shared" si="556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555"/>
        <v>0</v>
      </c>
      <c r="AG897" s="8"/>
      <c r="AI897" s="30"/>
      <c r="AK897" s="30"/>
      <c r="AL897" s="21"/>
      <c r="AM897" s="23" t="e">
        <f t="shared" si="556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555"/>
        <v>0</v>
      </c>
      <c r="AG898" s="8"/>
      <c r="AI898" s="30"/>
      <c r="AK898" s="30"/>
      <c r="AL898" s="21"/>
      <c r="AM898" s="23" t="e">
        <f t="shared" si="556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557">COUNTIF(B:B,B899)</f>
        <v>0</v>
      </c>
      <c r="AG899" s="8"/>
      <c r="AI899" s="30"/>
      <c r="AK899" s="30"/>
      <c r="AL899" s="21"/>
      <c r="AM899" s="23" t="e">
        <f t="shared" ref="AM899:AM962" si="558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557"/>
        <v>0</v>
      </c>
      <c r="AG900" s="8"/>
      <c r="AI900" s="30"/>
      <c r="AK900" s="30"/>
      <c r="AL900" s="21"/>
      <c r="AM900" s="23" t="e">
        <f t="shared" si="558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557"/>
        <v>0</v>
      </c>
      <c r="AG901" s="8"/>
      <c r="AI901" s="30"/>
      <c r="AK901" s="30"/>
      <c r="AL901" s="21"/>
      <c r="AM901" s="23" t="e">
        <f t="shared" si="558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557"/>
        <v>0</v>
      </c>
      <c r="AG902" s="8"/>
      <c r="AI902" s="30"/>
      <c r="AK902" s="30"/>
      <c r="AL902" s="21"/>
      <c r="AM902" s="23" t="e">
        <f t="shared" si="558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557"/>
        <v>0</v>
      </c>
      <c r="AG903" s="8"/>
      <c r="AI903" s="30"/>
      <c r="AK903" s="30"/>
      <c r="AL903" s="21"/>
      <c r="AM903" s="23" t="e">
        <f t="shared" si="558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557"/>
        <v>0</v>
      </c>
      <c r="AG904" s="8"/>
      <c r="AI904" s="30"/>
      <c r="AK904" s="30"/>
      <c r="AL904" s="21"/>
      <c r="AM904" s="23" t="e">
        <f t="shared" si="558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557"/>
        <v>0</v>
      </c>
      <c r="AG905" s="8"/>
      <c r="AI905" s="30"/>
      <c r="AK905" s="30"/>
      <c r="AL905" s="21"/>
      <c r="AM905" s="23" t="e">
        <f t="shared" si="558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557"/>
        <v>0</v>
      </c>
      <c r="AG906" s="8"/>
      <c r="AI906" s="30"/>
      <c r="AK906" s="30"/>
      <c r="AL906" s="21"/>
      <c r="AM906" s="23" t="e">
        <f t="shared" si="558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557"/>
        <v>0</v>
      </c>
      <c r="AG907" s="8"/>
      <c r="AI907" s="30"/>
      <c r="AK907" s="30"/>
      <c r="AL907" s="21"/>
      <c r="AM907" s="23" t="e">
        <f t="shared" si="558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557"/>
        <v>0</v>
      </c>
      <c r="AG908" s="8"/>
      <c r="AI908" s="30"/>
      <c r="AK908" s="30"/>
      <c r="AL908" s="21"/>
      <c r="AM908" s="23" t="e">
        <f t="shared" si="558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557"/>
        <v>0</v>
      </c>
      <c r="AG909" s="8"/>
      <c r="AI909" s="30"/>
      <c r="AK909" s="30"/>
      <c r="AL909" s="21"/>
      <c r="AM909" s="23" t="e">
        <f t="shared" si="558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557"/>
        <v>0</v>
      </c>
      <c r="AG910" s="8"/>
      <c r="AI910" s="30"/>
      <c r="AK910" s="30"/>
      <c r="AL910" s="21"/>
      <c r="AM910" s="23" t="e">
        <f t="shared" si="558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557"/>
        <v>0</v>
      </c>
      <c r="AG911" s="8"/>
      <c r="AI911" s="30"/>
      <c r="AK911" s="30"/>
      <c r="AL911" s="21"/>
      <c r="AM911" s="23" t="e">
        <f t="shared" si="558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557"/>
        <v>0</v>
      </c>
      <c r="AG912" s="8"/>
      <c r="AI912" s="30"/>
      <c r="AK912" s="30"/>
      <c r="AL912" s="21"/>
      <c r="AM912" s="23" t="e">
        <f t="shared" si="558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557"/>
        <v>0</v>
      </c>
      <c r="AG913" s="8"/>
      <c r="AI913" s="30"/>
      <c r="AK913" s="30"/>
      <c r="AL913" s="21"/>
      <c r="AM913" s="23" t="e">
        <f t="shared" si="558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557"/>
        <v>0</v>
      </c>
      <c r="AG914" s="8"/>
      <c r="AI914" s="30"/>
      <c r="AK914" s="30"/>
      <c r="AL914" s="21"/>
      <c r="AM914" s="23" t="e">
        <f t="shared" si="558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557"/>
        <v>0</v>
      </c>
      <c r="AG915" s="8"/>
      <c r="AI915" s="30"/>
      <c r="AK915" s="30"/>
      <c r="AL915" s="21"/>
      <c r="AM915" s="23" t="e">
        <f t="shared" si="558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557"/>
        <v>0</v>
      </c>
      <c r="AG916" s="8"/>
      <c r="AI916" s="30"/>
      <c r="AK916" s="30"/>
      <c r="AL916" s="21"/>
      <c r="AM916" s="23" t="e">
        <f t="shared" si="558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557"/>
        <v>0</v>
      </c>
      <c r="AG917" s="8"/>
      <c r="AI917" s="30"/>
      <c r="AK917" s="30"/>
      <c r="AL917" s="21"/>
      <c r="AM917" s="23" t="e">
        <f t="shared" si="558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557"/>
        <v>0</v>
      </c>
      <c r="AG918" s="8"/>
      <c r="AI918" s="30"/>
      <c r="AK918" s="30"/>
      <c r="AL918" s="21"/>
      <c r="AM918" s="23" t="e">
        <f t="shared" si="558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557"/>
        <v>0</v>
      </c>
      <c r="AG919" s="8"/>
      <c r="AI919" s="30"/>
      <c r="AK919" s="30"/>
      <c r="AL919" s="21"/>
      <c r="AM919" s="23" t="e">
        <f t="shared" si="558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557"/>
        <v>0</v>
      </c>
      <c r="AG920" s="8"/>
      <c r="AI920" s="30"/>
      <c r="AK920" s="30"/>
      <c r="AL920" s="21"/>
      <c r="AM920" s="23" t="e">
        <f t="shared" si="558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557"/>
        <v>0</v>
      </c>
      <c r="AG921" s="8"/>
      <c r="AI921" s="30"/>
      <c r="AK921" s="30"/>
      <c r="AL921" s="21"/>
      <c r="AM921" s="23" t="e">
        <f t="shared" si="558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557"/>
        <v>0</v>
      </c>
      <c r="AG922" s="8"/>
      <c r="AI922" s="30"/>
      <c r="AK922" s="30"/>
      <c r="AL922" s="21"/>
      <c r="AM922" s="23" t="e">
        <f t="shared" si="558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557"/>
        <v>0</v>
      </c>
      <c r="AG923" s="8"/>
      <c r="AI923" s="30"/>
      <c r="AK923" s="30"/>
      <c r="AL923" s="21"/>
      <c r="AM923" s="23" t="e">
        <f t="shared" si="558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557"/>
        <v>0</v>
      </c>
      <c r="AG924" s="8"/>
      <c r="AI924" s="30"/>
      <c r="AK924" s="30"/>
      <c r="AL924" s="21"/>
      <c r="AM924" s="23" t="e">
        <f t="shared" si="558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557"/>
        <v>0</v>
      </c>
      <c r="AG925" s="8"/>
      <c r="AI925" s="30"/>
      <c r="AK925" s="30"/>
      <c r="AL925" s="21"/>
      <c r="AM925" s="23" t="e">
        <f t="shared" si="558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557"/>
        <v>0</v>
      </c>
      <c r="AG926" s="8"/>
      <c r="AI926" s="30"/>
      <c r="AK926" s="30"/>
      <c r="AL926" s="21"/>
      <c r="AM926" s="23" t="e">
        <f t="shared" si="558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557"/>
        <v>0</v>
      </c>
      <c r="AG927" s="8"/>
      <c r="AI927" s="30"/>
      <c r="AK927" s="30"/>
      <c r="AL927" s="21"/>
      <c r="AM927" s="23" t="e">
        <f t="shared" si="558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557"/>
        <v>0</v>
      </c>
      <c r="AG928" s="8"/>
      <c r="AI928" s="30"/>
      <c r="AK928" s="30"/>
      <c r="AL928" s="21"/>
      <c r="AM928" s="23" t="e">
        <f t="shared" si="558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557"/>
        <v>0</v>
      </c>
      <c r="AG929" s="8"/>
      <c r="AI929" s="30"/>
      <c r="AK929" s="30"/>
      <c r="AL929" s="21"/>
      <c r="AM929" s="23" t="e">
        <f t="shared" si="558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557"/>
        <v>0</v>
      </c>
      <c r="AG930" s="8"/>
      <c r="AI930" s="30"/>
      <c r="AK930" s="30"/>
      <c r="AL930" s="21"/>
      <c r="AM930" s="23" t="e">
        <f t="shared" si="558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557"/>
        <v>0</v>
      </c>
      <c r="AG931" s="8"/>
      <c r="AI931" s="30"/>
      <c r="AK931" s="30"/>
      <c r="AL931" s="21"/>
      <c r="AM931" s="23" t="e">
        <f t="shared" si="558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557"/>
        <v>0</v>
      </c>
      <c r="AG932" s="8"/>
      <c r="AI932" s="30"/>
      <c r="AK932" s="30"/>
      <c r="AL932" s="21"/>
      <c r="AM932" s="23" t="e">
        <f t="shared" si="558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557"/>
        <v>0</v>
      </c>
      <c r="AG933" s="8"/>
      <c r="AI933" s="30"/>
      <c r="AK933" s="30"/>
      <c r="AL933" s="21"/>
      <c r="AM933" s="23" t="e">
        <f t="shared" si="558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557"/>
        <v>0</v>
      </c>
      <c r="AG934" s="8"/>
      <c r="AI934" s="30"/>
      <c r="AK934" s="30"/>
      <c r="AL934" s="21"/>
      <c r="AM934" s="23" t="e">
        <f t="shared" si="558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557"/>
        <v>0</v>
      </c>
      <c r="AG935" s="8"/>
      <c r="AI935" s="30"/>
      <c r="AK935" s="30"/>
      <c r="AL935" s="21"/>
      <c r="AM935" s="23" t="e">
        <f t="shared" si="558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557"/>
        <v>0</v>
      </c>
      <c r="AG936" s="8"/>
      <c r="AI936" s="30"/>
      <c r="AK936" s="30"/>
      <c r="AL936" s="21"/>
      <c r="AM936" s="23" t="e">
        <f t="shared" si="558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557"/>
        <v>0</v>
      </c>
      <c r="AG937" s="8"/>
      <c r="AI937" s="30"/>
      <c r="AK937" s="30"/>
      <c r="AL937" s="21"/>
      <c r="AM937" s="23" t="e">
        <f t="shared" si="558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557"/>
        <v>0</v>
      </c>
      <c r="AG938" s="8"/>
      <c r="AI938" s="30"/>
      <c r="AK938" s="30"/>
      <c r="AL938" s="21"/>
      <c r="AM938" s="23" t="e">
        <f t="shared" si="558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557"/>
        <v>0</v>
      </c>
      <c r="AG939" s="8"/>
      <c r="AI939" s="30"/>
      <c r="AK939" s="30"/>
      <c r="AL939" s="21"/>
      <c r="AM939" s="23" t="e">
        <f t="shared" si="558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557"/>
        <v>0</v>
      </c>
      <c r="AG940" s="8"/>
      <c r="AI940" s="30"/>
      <c r="AK940" s="30"/>
      <c r="AL940" s="21"/>
      <c r="AM940" s="23" t="e">
        <f t="shared" si="558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557"/>
        <v>0</v>
      </c>
      <c r="AG941" s="8"/>
      <c r="AI941" s="30"/>
      <c r="AK941" s="30"/>
      <c r="AL941" s="21"/>
      <c r="AM941" s="23" t="e">
        <f t="shared" si="558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557"/>
        <v>0</v>
      </c>
      <c r="AG942" s="8"/>
      <c r="AI942" s="30"/>
      <c r="AK942" s="30"/>
      <c r="AL942" s="21"/>
      <c r="AM942" s="23" t="e">
        <f t="shared" si="558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557"/>
        <v>0</v>
      </c>
      <c r="AG943" s="8"/>
      <c r="AI943" s="30"/>
      <c r="AK943" s="30"/>
      <c r="AL943" s="21"/>
      <c r="AM943" s="23" t="e">
        <f t="shared" si="558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557"/>
        <v>0</v>
      </c>
      <c r="AG944" s="8"/>
      <c r="AI944" s="30"/>
      <c r="AK944" s="30"/>
      <c r="AL944" s="21"/>
      <c r="AM944" s="23" t="e">
        <f t="shared" si="558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557"/>
        <v>0</v>
      </c>
      <c r="AG945" s="8"/>
      <c r="AI945" s="30"/>
      <c r="AK945" s="30"/>
      <c r="AL945" s="21"/>
      <c r="AM945" s="23" t="e">
        <f t="shared" si="558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557"/>
        <v>0</v>
      </c>
      <c r="AG946" s="8"/>
      <c r="AI946" s="30"/>
      <c r="AK946" s="30"/>
      <c r="AL946" s="21"/>
      <c r="AM946" s="23" t="e">
        <f t="shared" si="558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557"/>
        <v>0</v>
      </c>
      <c r="AG947" s="8"/>
      <c r="AI947" s="30"/>
      <c r="AK947" s="30"/>
      <c r="AL947" s="21"/>
      <c r="AM947" s="23" t="e">
        <f t="shared" si="558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557"/>
        <v>0</v>
      </c>
      <c r="AG948" s="8"/>
      <c r="AI948" s="30"/>
      <c r="AK948" s="30"/>
      <c r="AL948" s="21"/>
      <c r="AM948" s="23" t="e">
        <f t="shared" si="558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557"/>
        <v>0</v>
      </c>
      <c r="AG949" s="8"/>
      <c r="AI949" s="30"/>
      <c r="AK949" s="30"/>
      <c r="AL949" s="21"/>
      <c r="AM949" s="23" t="e">
        <f t="shared" si="558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557"/>
        <v>0</v>
      </c>
      <c r="AG950" s="8"/>
      <c r="AI950" s="30"/>
      <c r="AK950" s="30"/>
      <c r="AL950" s="21"/>
      <c r="AM950" s="23" t="e">
        <f t="shared" si="558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557"/>
        <v>0</v>
      </c>
      <c r="AG951" s="8"/>
      <c r="AI951" s="30"/>
      <c r="AK951" s="30"/>
      <c r="AL951" s="21"/>
      <c r="AM951" s="23" t="e">
        <f t="shared" si="558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557"/>
        <v>0</v>
      </c>
      <c r="AG952" s="8"/>
      <c r="AI952" s="30"/>
      <c r="AK952" s="30"/>
      <c r="AL952" s="21"/>
      <c r="AM952" s="23" t="e">
        <f t="shared" si="558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557"/>
        <v>0</v>
      </c>
      <c r="AG953" s="8"/>
      <c r="AI953" s="30"/>
      <c r="AK953" s="30"/>
      <c r="AL953" s="21"/>
      <c r="AM953" s="23" t="e">
        <f t="shared" si="558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557"/>
        <v>0</v>
      </c>
      <c r="AG954" s="8"/>
      <c r="AI954" s="30"/>
      <c r="AK954" s="30"/>
      <c r="AL954" s="21"/>
      <c r="AM954" s="23" t="e">
        <f t="shared" si="558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557"/>
        <v>0</v>
      </c>
      <c r="AG955" s="8"/>
      <c r="AI955" s="30"/>
      <c r="AK955" s="30"/>
      <c r="AL955" s="21"/>
      <c r="AM955" s="23" t="e">
        <f t="shared" si="558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557"/>
        <v>0</v>
      </c>
      <c r="AG956" s="8"/>
      <c r="AI956" s="30"/>
      <c r="AK956" s="30"/>
      <c r="AL956" s="21"/>
      <c r="AM956" s="23" t="e">
        <f t="shared" si="558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557"/>
        <v>0</v>
      </c>
      <c r="AG957" s="8"/>
      <c r="AI957" s="30"/>
      <c r="AK957" s="30"/>
      <c r="AL957" s="21"/>
      <c r="AM957" s="23" t="e">
        <f t="shared" si="558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557"/>
        <v>0</v>
      </c>
      <c r="AG958" s="8"/>
      <c r="AI958" s="30"/>
      <c r="AK958" s="30"/>
      <c r="AL958" s="21"/>
      <c r="AM958" s="23" t="e">
        <f t="shared" si="558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557"/>
        <v>0</v>
      </c>
      <c r="AG959" s="8"/>
      <c r="AI959" s="30"/>
      <c r="AK959" s="30"/>
      <c r="AL959" s="21"/>
      <c r="AM959" s="23" t="e">
        <f t="shared" si="558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557"/>
        <v>0</v>
      </c>
      <c r="AG960" s="8"/>
      <c r="AI960" s="30"/>
      <c r="AK960" s="30"/>
      <c r="AL960" s="21"/>
      <c r="AM960" s="23" t="e">
        <f t="shared" si="558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557"/>
        <v>0</v>
      </c>
      <c r="AG961" s="8"/>
      <c r="AI961" s="30"/>
      <c r="AK961" s="30"/>
      <c r="AL961" s="21"/>
      <c r="AM961" s="23" t="e">
        <f t="shared" si="558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557"/>
        <v>0</v>
      </c>
      <c r="AG962" s="8"/>
      <c r="AI962" s="30"/>
      <c r="AK962" s="30"/>
      <c r="AL962" s="21"/>
      <c r="AM962" s="23" t="e">
        <f t="shared" si="558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559">COUNTIF(B:B,B963)</f>
        <v>0</v>
      </c>
      <c r="AG963" s="8"/>
      <c r="AI963" s="30"/>
      <c r="AK963" s="30"/>
      <c r="AL963" s="21"/>
      <c r="AM963" s="23" t="e">
        <f t="shared" ref="AM963:AM1026" si="560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559"/>
        <v>0</v>
      </c>
      <c r="AG964" s="8"/>
      <c r="AI964" s="30"/>
      <c r="AK964" s="30"/>
      <c r="AL964" s="21"/>
      <c r="AM964" s="23" t="e">
        <f t="shared" si="560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559"/>
        <v>0</v>
      </c>
      <c r="AG965" s="8"/>
      <c r="AI965" s="30"/>
      <c r="AK965" s="30"/>
      <c r="AL965" s="21"/>
      <c r="AM965" s="23" t="e">
        <f t="shared" si="560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559"/>
        <v>0</v>
      </c>
      <c r="AG966" s="8"/>
      <c r="AI966" s="30"/>
      <c r="AK966" s="30"/>
      <c r="AL966" s="21"/>
      <c r="AM966" s="23" t="e">
        <f t="shared" si="560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559"/>
        <v>0</v>
      </c>
      <c r="AG967" s="8"/>
      <c r="AI967" s="30"/>
      <c r="AK967" s="30"/>
      <c r="AL967" s="21"/>
      <c r="AM967" s="23" t="e">
        <f t="shared" si="560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559"/>
        <v>0</v>
      </c>
      <c r="AG968" s="8"/>
      <c r="AI968" s="30"/>
      <c r="AK968" s="30"/>
      <c r="AL968" s="21"/>
      <c r="AM968" s="23" t="e">
        <f t="shared" si="560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559"/>
        <v>0</v>
      </c>
      <c r="AG969" s="8"/>
      <c r="AI969" s="30"/>
      <c r="AK969" s="30"/>
      <c r="AL969" s="21"/>
      <c r="AM969" s="23" t="e">
        <f t="shared" si="560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559"/>
        <v>0</v>
      </c>
      <c r="AG970" s="8"/>
      <c r="AI970" s="30"/>
      <c r="AK970" s="30"/>
      <c r="AL970" s="21"/>
      <c r="AM970" s="23" t="e">
        <f t="shared" si="560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559"/>
        <v>0</v>
      </c>
      <c r="AG971" s="8"/>
      <c r="AI971" s="30"/>
      <c r="AK971" s="30"/>
      <c r="AL971" s="21"/>
      <c r="AM971" s="23" t="e">
        <f t="shared" si="560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559"/>
        <v>0</v>
      </c>
      <c r="AG972" s="8"/>
      <c r="AI972" s="30"/>
      <c r="AK972" s="30"/>
      <c r="AL972" s="21"/>
      <c r="AM972" s="23" t="e">
        <f t="shared" si="560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559"/>
        <v>0</v>
      </c>
      <c r="AG973" s="8"/>
      <c r="AI973" s="30"/>
      <c r="AK973" s="30"/>
      <c r="AL973" s="21"/>
      <c r="AM973" s="23" t="e">
        <f t="shared" si="560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559"/>
        <v>0</v>
      </c>
      <c r="AG974" s="8"/>
      <c r="AI974" s="30"/>
      <c r="AK974" s="30"/>
      <c r="AL974" s="21"/>
      <c r="AM974" s="23" t="e">
        <f t="shared" si="560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559"/>
        <v>0</v>
      </c>
      <c r="AG975" s="8"/>
      <c r="AI975" s="30"/>
      <c r="AK975" s="30"/>
      <c r="AL975" s="21"/>
      <c r="AM975" s="23" t="e">
        <f t="shared" si="560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559"/>
        <v>0</v>
      </c>
      <c r="AG976" s="8"/>
      <c r="AI976" s="30"/>
      <c r="AK976" s="30"/>
      <c r="AL976" s="21"/>
      <c r="AM976" s="23" t="e">
        <f t="shared" si="560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559"/>
        <v>0</v>
      </c>
      <c r="AG977" s="8"/>
      <c r="AI977" s="30"/>
      <c r="AK977" s="30"/>
      <c r="AL977" s="21"/>
      <c r="AM977" s="23" t="e">
        <f t="shared" si="560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559"/>
        <v>0</v>
      </c>
      <c r="AG978" s="8"/>
      <c r="AI978" s="30"/>
      <c r="AK978" s="30"/>
      <c r="AL978" s="21"/>
      <c r="AM978" s="23" t="e">
        <f t="shared" si="560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559"/>
        <v>0</v>
      </c>
      <c r="AG979" s="8"/>
      <c r="AI979" s="30"/>
      <c r="AK979" s="30"/>
      <c r="AL979" s="21"/>
      <c r="AM979" s="23" t="e">
        <f t="shared" si="560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559"/>
        <v>0</v>
      </c>
      <c r="AG980" s="8"/>
      <c r="AI980" s="30"/>
      <c r="AK980" s="30"/>
      <c r="AL980" s="21"/>
      <c r="AM980" s="23" t="e">
        <f t="shared" si="560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559"/>
        <v>0</v>
      </c>
      <c r="AG981" s="8"/>
      <c r="AI981" s="30"/>
      <c r="AK981" s="30"/>
      <c r="AL981" s="21"/>
      <c r="AM981" s="23" t="e">
        <f t="shared" si="560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559"/>
        <v>0</v>
      </c>
      <c r="AG982" s="8"/>
      <c r="AI982" s="30"/>
      <c r="AK982" s="30"/>
      <c r="AL982" s="21"/>
      <c r="AM982" s="23" t="e">
        <f t="shared" si="560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559"/>
        <v>0</v>
      </c>
      <c r="AG983" s="8"/>
      <c r="AI983" s="30"/>
      <c r="AK983" s="30"/>
      <c r="AL983" s="21"/>
      <c r="AM983" s="23" t="e">
        <f t="shared" si="560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559"/>
        <v>0</v>
      </c>
      <c r="AG984" s="8"/>
      <c r="AI984" s="30"/>
      <c r="AK984" s="30"/>
      <c r="AL984" s="21"/>
      <c r="AM984" s="23" t="e">
        <f t="shared" si="560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559"/>
        <v>0</v>
      </c>
      <c r="AG985" s="8"/>
      <c r="AI985" s="30"/>
      <c r="AK985" s="30"/>
      <c r="AL985" s="21"/>
      <c r="AM985" s="23" t="e">
        <f t="shared" si="560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559"/>
        <v>0</v>
      </c>
      <c r="AG986" s="8"/>
      <c r="AI986" s="30"/>
      <c r="AK986" s="30"/>
      <c r="AL986" s="21"/>
      <c r="AM986" s="23" t="e">
        <f t="shared" si="560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559"/>
        <v>0</v>
      </c>
      <c r="AG987" s="8"/>
      <c r="AI987" s="30"/>
      <c r="AK987" s="30"/>
      <c r="AL987" s="21"/>
      <c r="AM987" s="23" t="e">
        <f t="shared" si="560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559"/>
        <v>0</v>
      </c>
      <c r="AG988" s="8"/>
      <c r="AI988" s="30"/>
      <c r="AK988" s="30"/>
      <c r="AL988" s="21"/>
      <c r="AM988" s="23" t="e">
        <f t="shared" si="560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559"/>
        <v>0</v>
      </c>
      <c r="AG989" s="8"/>
      <c r="AI989" s="30"/>
      <c r="AK989" s="30"/>
      <c r="AL989" s="21"/>
      <c r="AM989" s="23" t="e">
        <f t="shared" si="560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559"/>
        <v>0</v>
      </c>
      <c r="AG990" s="8"/>
      <c r="AI990" s="30"/>
      <c r="AK990" s="30"/>
      <c r="AL990" s="21"/>
      <c r="AM990" s="23" t="e">
        <f t="shared" si="560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559"/>
        <v>0</v>
      </c>
      <c r="AG991" s="8"/>
      <c r="AI991" s="30"/>
      <c r="AK991" s="30"/>
      <c r="AL991" s="21"/>
      <c r="AM991" s="23" t="e">
        <f t="shared" si="560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559"/>
        <v>0</v>
      </c>
      <c r="AG992" s="8"/>
      <c r="AI992" s="30"/>
      <c r="AK992" s="30"/>
      <c r="AL992" s="21"/>
      <c r="AM992" s="23" t="e">
        <f t="shared" si="560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559"/>
        <v>0</v>
      </c>
      <c r="AG993" s="8"/>
      <c r="AI993" s="30"/>
      <c r="AK993" s="30"/>
      <c r="AL993" s="21"/>
      <c r="AM993" s="23" t="e">
        <f t="shared" si="560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559"/>
        <v>0</v>
      </c>
      <c r="AG994" s="8"/>
      <c r="AI994" s="30"/>
      <c r="AK994" s="30"/>
      <c r="AL994" s="21"/>
      <c r="AM994" s="23" t="e">
        <f t="shared" si="560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559"/>
        <v>0</v>
      </c>
      <c r="AG995" s="8"/>
      <c r="AI995" s="30"/>
      <c r="AK995" s="30"/>
      <c r="AL995" s="21"/>
      <c r="AM995" s="23" t="e">
        <f t="shared" si="560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559"/>
        <v>0</v>
      </c>
      <c r="AG996" s="8"/>
      <c r="AI996" s="30"/>
      <c r="AK996" s="30"/>
      <c r="AL996" s="21"/>
      <c r="AM996" s="23" t="e">
        <f t="shared" si="560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559"/>
        <v>0</v>
      </c>
      <c r="AG997" s="8"/>
      <c r="AI997" s="30"/>
      <c r="AK997" s="30"/>
      <c r="AL997" s="21"/>
      <c r="AM997" s="23" t="e">
        <f t="shared" si="560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559"/>
        <v>0</v>
      </c>
      <c r="AG998" s="8"/>
      <c r="AI998" s="30"/>
      <c r="AK998" s="30"/>
      <c r="AL998" s="21"/>
      <c r="AM998" s="23" t="e">
        <f t="shared" si="560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559"/>
        <v>0</v>
      </c>
      <c r="AG999" s="8"/>
      <c r="AI999" s="30"/>
      <c r="AK999" s="30"/>
      <c r="AL999" s="21"/>
      <c r="AM999" s="23" t="e">
        <f t="shared" si="560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559"/>
        <v>0</v>
      </c>
      <c r="AG1000" s="8"/>
      <c r="AI1000" s="30"/>
      <c r="AK1000" s="30"/>
      <c r="AL1000" s="21"/>
      <c r="AM1000" s="23" t="e">
        <f t="shared" si="560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559"/>
        <v>0</v>
      </c>
      <c r="AG1001" s="8"/>
      <c r="AI1001" s="30"/>
      <c r="AK1001" s="30"/>
      <c r="AL1001" s="21"/>
      <c r="AM1001" s="23" t="e">
        <f t="shared" si="560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559"/>
        <v>0</v>
      </c>
      <c r="AG1002" s="8"/>
      <c r="AI1002" s="30"/>
      <c r="AK1002" s="30"/>
      <c r="AL1002" s="21"/>
      <c r="AM1002" s="23" t="e">
        <f t="shared" si="560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559"/>
        <v>0</v>
      </c>
      <c r="AG1003" s="8"/>
      <c r="AI1003" s="30"/>
      <c r="AK1003" s="30"/>
      <c r="AL1003" s="21"/>
      <c r="AM1003" s="23" t="e">
        <f t="shared" si="560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559"/>
        <v>0</v>
      </c>
      <c r="AG1004" s="8"/>
      <c r="AI1004" s="30"/>
      <c r="AK1004" s="30"/>
      <c r="AL1004" s="21"/>
      <c r="AM1004" s="23" t="e">
        <f t="shared" si="560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559"/>
        <v>0</v>
      </c>
      <c r="AG1005" s="8"/>
      <c r="AI1005" s="30"/>
      <c r="AK1005" s="30"/>
      <c r="AL1005" s="21"/>
      <c r="AM1005" s="23" t="e">
        <f t="shared" si="560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559"/>
        <v>0</v>
      </c>
      <c r="AG1006" s="8"/>
      <c r="AI1006" s="30"/>
      <c r="AK1006" s="30"/>
      <c r="AL1006" s="21"/>
      <c r="AM1006" s="23" t="e">
        <f t="shared" si="560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559"/>
        <v>0</v>
      </c>
      <c r="AG1007" s="8"/>
      <c r="AI1007" s="30"/>
      <c r="AK1007" s="30"/>
      <c r="AL1007" s="21"/>
      <c r="AM1007" s="23" t="e">
        <f t="shared" si="560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559"/>
        <v>0</v>
      </c>
      <c r="AG1008" s="8"/>
      <c r="AI1008" s="30"/>
      <c r="AK1008" s="30"/>
      <c r="AL1008" s="21"/>
      <c r="AM1008" s="23" t="e">
        <f t="shared" si="560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559"/>
        <v>0</v>
      </c>
      <c r="AG1009" s="8"/>
      <c r="AI1009" s="30"/>
      <c r="AK1009" s="30"/>
      <c r="AL1009" s="21"/>
      <c r="AM1009" s="23" t="e">
        <f t="shared" si="560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559"/>
        <v>0</v>
      </c>
      <c r="AG1010" s="8"/>
      <c r="AI1010" s="30"/>
      <c r="AK1010" s="30"/>
      <c r="AL1010" s="21"/>
      <c r="AM1010" s="23" t="e">
        <f t="shared" si="560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559"/>
        <v>0</v>
      </c>
      <c r="AG1011" s="8"/>
      <c r="AI1011" s="30"/>
      <c r="AK1011" s="30"/>
      <c r="AL1011" s="21"/>
      <c r="AM1011" s="23" t="e">
        <f t="shared" si="560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559"/>
        <v>0</v>
      </c>
      <c r="AG1012" s="8"/>
      <c r="AI1012" s="30"/>
      <c r="AK1012" s="30"/>
      <c r="AL1012" s="21"/>
      <c r="AM1012" s="23" t="e">
        <f t="shared" si="560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559"/>
        <v>0</v>
      </c>
      <c r="AG1013" s="8"/>
      <c r="AI1013" s="30"/>
      <c r="AK1013" s="30"/>
      <c r="AL1013" s="21"/>
      <c r="AM1013" s="23" t="e">
        <f t="shared" si="560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559"/>
        <v>0</v>
      </c>
      <c r="AG1014" s="8"/>
      <c r="AI1014" s="30"/>
      <c r="AK1014" s="30"/>
      <c r="AL1014" s="21"/>
      <c r="AM1014" s="23" t="e">
        <f t="shared" si="560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559"/>
        <v>0</v>
      </c>
      <c r="AG1015" s="8"/>
      <c r="AI1015" s="30"/>
      <c r="AK1015" s="30"/>
      <c r="AL1015" s="21"/>
      <c r="AM1015" s="23" t="e">
        <f t="shared" si="560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559"/>
        <v>0</v>
      </c>
      <c r="AG1016" s="8"/>
      <c r="AI1016" s="30"/>
      <c r="AK1016" s="30"/>
      <c r="AL1016" s="21"/>
      <c r="AM1016" s="23" t="e">
        <f t="shared" si="560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559"/>
        <v>0</v>
      </c>
      <c r="AG1017" s="8"/>
      <c r="AI1017" s="30"/>
      <c r="AK1017" s="30"/>
      <c r="AL1017" s="21"/>
      <c r="AM1017" s="23" t="e">
        <f t="shared" si="560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559"/>
        <v>0</v>
      </c>
      <c r="AG1018" s="8"/>
      <c r="AI1018" s="30"/>
      <c r="AK1018" s="30"/>
      <c r="AL1018" s="21"/>
      <c r="AM1018" s="23" t="e">
        <f t="shared" si="560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559"/>
        <v>0</v>
      </c>
      <c r="AG1019" s="8"/>
      <c r="AI1019" s="30"/>
      <c r="AK1019" s="30"/>
      <c r="AL1019" s="21"/>
      <c r="AM1019" s="23" t="e">
        <f t="shared" si="560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559"/>
        <v>0</v>
      </c>
      <c r="AG1020" s="8"/>
      <c r="AI1020" s="30"/>
      <c r="AK1020" s="30"/>
      <c r="AL1020" s="21"/>
      <c r="AM1020" s="23" t="e">
        <f t="shared" si="560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559"/>
        <v>0</v>
      </c>
      <c r="AG1021" s="8"/>
      <c r="AI1021" s="30"/>
      <c r="AK1021" s="30"/>
      <c r="AL1021" s="21"/>
      <c r="AM1021" s="23" t="e">
        <f t="shared" si="560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559"/>
        <v>0</v>
      </c>
      <c r="AG1022" s="8"/>
      <c r="AI1022" s="30"/>
      <c r="AK1022" s="30"/>
      <c r="AL1022" s="21"/>
      <c r="AM1022" s="23" t="e">
        <f t="shared" si="560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559"/>
        <v>0</v>
      </c>
      <c r="AG1023" s="8"/>
      <c r="AI1023" s="30"/>
      <c r="AK1023" s="30"/>
      <c r="AL1023" s="21"/>
      <c r="AM1023" s="23" t="e">
        <f t="shared" si="560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559"/>
        <v>0</v>
      </c>
      <c r="AG1024" s="8"/>
      <c r="AI1024" s="30"/>
      <c r="AK1024" s="30"/>
      <c r="AL1024" s="21"/>
      <c r="AM1024" s="23" t="e">
        <f t="shared" si="560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559"/>
        <v>0</v>
      </c>
      <c r="AG1025" s="8"/>
      <c r="AI1025" s="30"/>
      <c r="AK1025" s="30"/>
      <c r="AL1025" s="21"/>
      <c r="AM1025" s="23" t="e">
        <f t="shared" si="560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559"/>
        <v>0</v>
      </c>
      <c r="AG1026" s="8"/>
      <c r="AI1026" s="30"/>
      <c r="AK1026" s="30"/>
      <c r="AL1026" s="21"/>
      <c r="AM1026" s="23" t="e">
        <f t="shared" si="560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561">COUNTIF(B:B,B1027)</f>
        <v>0</v>
      </c>
      <c r="AG1027" s="8"/>
      <c r="AI1027" s="30"/>
      <c r="AK1027" s="30"/>
      <c r="AL1027" s="21"/>
      <c r="AM1027" s="23" t="e">
        <f t="shared" ref="AM1027:AM1090" si="562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561"/>
        <v>0</v>
      </c>
      <c r="AG1028" s="8"/>
      <c r="AI1028" s="30"/>
      <c r="AK1028" s="30"/>
      <c r="AL1028" s="21"/>
      <c r="AM1028" s="23" t="e">
        <f t="shared" si="562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561"/>
        <v>0</v>
      </c>
      <c r="AG1029" s="8"/>
      <c r="AI1029" s="30"/>
      <c r="AK1029" s="30"/>
      <c r="AL1029" s="21"/>
      <c r="AM1029" s="23" t="e">
        <f t="shared" si="562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561"/>
        <v>0</v>
      </c>
      <c r="AG1030" s="8"/>
      <c r="AI1030" s="30"/>
      <c r="AK1030" s="30"/>
      <c r="AL1030" s="21"/>
      <c r="AM1030" s="23" t="e">
        <f t="shared" si="562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561"/>
        <v>0</v>
      </c>
      <c r="AG1031" s="8"/>
      <c r="AI1031" s="30"/>
      <c r="AK1031" s="30"/>
      <c r="AL1031" s="21"/>
      <c r="AM1031" s="23" t="e">
        <f t="shared" si="562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561"/>
        <v>0</v>
      </c>
      <c r="AG1032" s="8"/>
      <c r="AI1032" s="30"/>
      <c r="AK1032" s="30"/>
      <c r="AL1032" s="21"/>
      <c r="AM1032" s="23" t="e">
        <f t="shared" si="562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561"/>
        <v>0</v>
      </c>
      <c r="AG1033" s="8"/>
      <c r="AI1033" s="30"/>
      <c r="AK1033" s="30"/>
      <c r="AL1033" s="21"/>
      <c r="AM1033" s="23" t="e">
        <f t="shared" si="562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561"/>
        <v>0</v>
      </c>
      <c r="AG1034" s="8"/>
      <c r="AI1034" s="30"/>
      <c r="AK1034" s="30"/>
      <c r="AL1034" s="21"/>
      <c r="AM1034" s="23" t="e">
        <f t="shared" si="562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562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562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562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562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562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562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562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562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562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562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562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562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562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562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562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562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562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562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562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562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562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562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562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562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562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562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562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562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562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562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562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562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562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562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562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562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562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562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562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562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562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562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562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562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562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562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562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562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562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562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562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562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562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562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562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562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563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563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563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563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563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563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563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563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563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563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563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563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563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563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563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563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563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563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563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563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563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563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563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563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563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563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563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563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563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563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563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563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563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563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563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563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563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563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563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563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563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563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563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563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563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563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563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563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563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563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563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563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563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563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563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563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563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563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563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563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563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563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563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563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564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564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564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564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564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564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564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564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564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564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564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564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564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564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564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564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564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564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564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564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564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564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564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564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564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564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564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564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564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564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564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564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564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564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564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564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564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564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564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564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564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564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564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564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564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564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564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564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564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564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564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564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564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564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564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564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564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564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564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564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564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564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564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564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565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565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565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565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565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565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565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565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565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565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565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565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565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565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565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565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565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565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565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565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565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565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565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565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565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565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565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565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565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565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565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565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565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565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565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565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565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565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565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565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565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565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565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565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565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565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565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565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565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565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39 V762:V769 U763:U768 U756:V761 A741:T769 A770:CX1048576 U741:AM755 W756:AM769 A740:AW740 AN741:AW769 AX740:CX769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/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335</v>
      </c>
      <c r="B1" s="172" t="s">
        <v>379</v>
      </c>
      <c r="C1" s="95" t="s">
        <v>344</v>
      </c>
      <c r="D1" s="95" t="s">
        <v>364</v>
      </c>
      <c r="E1" s="179" t="s">
        <v>367</v>
      </c>
      <c r="F1" s="180" t="s">
        <v>368</v>
      </c>
      <c r="G1" s="180" t="s">
        <v>369</v>
      </c>
      <c r="H1" s="180" t="s">
        <v>372</v>
      </c>
      <c r="I1" s="94" t="s">
        <v>336</v>
      </c>
      <c r="J1" s="93" t="s">
        <v>337</v>
      </c>
    </row>
    <row r="2" spans="1:10" x14ac:dyDescent="0.25">
      <c r="A2" s="28" t="s">
        <v>0</v>
      </c>
      <c r="B2" s="183" t="s">
        <v>382</v>
      </c>
      <c r="C2" t="s">
        <v>362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380</v>
      </c>
      <c r="C3" t="s">
        <v>362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340</v>
      </c>
      <c r="B4" s="183" t="s">
        <v>381</v>
      </c>
      <c r="C4" t="s">
        <v>378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383</v>
      </c>
      <c r="C5" t="s">
        <v>363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384</v>
      </c>
      <c r="C6" t="s">
        <v>363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480</v>
      </c>
      <c r="C7" t="s">
        <v>363</v>
      </c>
      <c r="D7">
        <v>6</v>
      </c>
      <c r="E7" s="42" t="b">
        <v>1</v>
      </c>
      <c r="F7" t="b">
        <v>1</v>
      </c>
      <c r="H7" t="s">
        <v>373</v>
      </c>
      <c r="I7" t="b">
        <v>0</v>
      </c>
    </row>
    <row r="8" spans="1:10" x14ac:dyDescent="0.25">
      <c r="A8" s="28" t="s">
        <v>88</v>
      </c>
      <c r="B8" s="183" t="s">
        <v>385</v>
      </c>
      <c r="C8" t="s">
        <v>363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386</v>
      </c>
      <c r="C9" t="s">
        <v>363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387</v>
      </c>
      <c r="C10" t="s">
        <v>363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388</v>
      </c>
      <c r="C11" t="s">
        <v>363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389</v>
      </c>
      <c r="C12" t="s">
        <v>363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390</v>
      </c>
      <c r="C13" t="s">
        <v>363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391</v>
      </c>
      <c r="C14" t="s">
        <v>363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392</v>
      </c>
      <c r="C15" t="s">
        <v>345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393</v>
      </c>
      <c r="C16" t="s">
        <v>345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394</v>
      </c>
      <c r="C17" t="s">
        <v>345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395</v>
      </c>
      <c r="C18" t="s">
        <v>345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396</v>
      </c>
      <c r="C19" t="s">
        <v>345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397</v>
      </c>
      <c r="C20" t="s">
        <v>345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398</v>
      </c>
      <c r="C21" t="s">
        <v>345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399</v>
      </c>
      <c r="C22" t="s">
        <v>362</v>
      </c>
      <c r="D22">
        <v>13</v>
      </c>
      <c r="E22" s="42" t="b">
        <v>1</v>
      </c>
      <c r="F22" t="b">
        <v>1</v>
      </c>
      <c r="H22" t="s">
        <v>373</v>
      </c>
      <c r="I22" t="b">
        <v>0</v>
      </c>
    </row>
    <row r="23" spans="1:9" x14ac:dyDescent="0.25">
      <c r="A23" s="6" t="s">
        <v>99</v>
      </c>
      <c r="B23" s="175" t="s">
        <v>400</v>
      </c>
      <c r="C23" t="s">
        <v>362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401</v>
      </c>
      <c r="C24" t="s">
        <v>362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402</v>
      </c>
      <c r="C25" t="s">
        <v>362</v>
      </c>
      <c r="D25">
        <v>14</v>
      </c>
      <c r="E25" s="42" t="b">
        <v>1</v>
      </c>
      <c r="F25" t="b">
        <v>1</v>
      </c>
      <c r="H25" t="s">
        <v>373</v>
      </c>
      <c r="I25" t="b">
        <v>1</v>
      </c>
    </row>
    <row r="26" spans="1:9" x14ac:dyDescent="0.25">
      <c r="A26" s="2" t="s">
        <v>31</v>
      </c>
      <c r="B26" s="176" t="s">
        <v>403</v>
      </c>
      <c r="C26" t="s">
        <v>363</v>
      </c>
      <c r="D26">
        <v>15</v>
      </c>
      <c r="E26" s="42" t="b">
        <v>1</v>
      </c>
      <c r="F26" t="b">
        <v>1</v>
      </c>
      <c r="H26" t="s">
        <v>373</v>
      </c>
      <c r="I26" t="b">
        <v>1</v>
      </c>
    </row>
    <row r="27" spans="1:9" x14ac:dyDescent="0.25">
      <c r="A27" s="2" t="s">
        <v>46</v>
      </c>
      <c r="B27" s="176" t="s">
        <v>404</v>
      </c>
      <c r="C27" t="s">
        <v>363</v>
      </c>
      <c r="D27">
        <v>16</v>
      </c>
      <c r="E27" s="42" t="b">
        <v>1</v>
      </c>
      <c r="F27" t="b">
        <v>1</v>
      </c>
      <c r="H27" t="s">
        <v>373</v>
      </c>
      <c r="I27" t="b">
        <v>1</v>
      </c>
    </row>
    <row r="28" spans="1:9" x14ac:dyDescent="0.25">
      <c r="A28" s="2" t="s">
        <v>205</v>
      </c>
      <c r="B28" s="176" t="s">
        <v>405</v>
      </c>
      <c r="C28" t="s">
        <v>345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406</v>
      </c>
      <c r="C29" t="s">
        <v>345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407</v>
      </c>
      <c r="C30" t="s">
        <v>345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408</v>
      </c>
      <c r="C31" t="s">
        <v>345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409</v>
      </c>
      <c r="C32" t="s">
        <v>345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410</v>
      </c>
      <c r="C33" t="s">
        <v>345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411</v>
      </c>
      <c r="C34" t="s">
        <v>345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412</v>
      </c>
      <c r="C35" t="s">
        <v>345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413</v>
      </c>
      <c r="C36" t="s">
        <v>345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414</v>
      </c>
      <c r="C37" t="s">
        <v>345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415</v>
      </c>
      <c r="C38" t="s">
        <v>345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416</v>
      </c>
      <c r="C39" t="s">
        <v>363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417</v>
      </c>
      <c r="C40" t="s">
        <v>363</v>
      </c>
      <c r="D40">
        <v>21</v>
      </c>
      <c r="E40" s="42" t="b">
        <v>1</v>
      </c>
      <c r="F40" t="b">
        <v>1</v>
      </c>
      <c r="H40" t="s">
        <v>373</v>
      </c>
      <c r="I40" t="b">
        <v>1</v>
      </c>
    </row>
    <row r="41" spans="1:9" x14ac:dyDescent="0.25">
      <c r="A41" s="38" t="s">
        <v>111</v>
      </c>
      <c r="B41" s="184" t="s">
        <v>418</v>
      </c>
      <c r="C41" t="s">
        <v>365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419</v>
      </c>
      <c r="C42" t="s">
        <v>365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420</v>
      </c>
      <c r="C43" t="s">
        <v>365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421</v>
      </c>
      <c r="C44" t="s">
        <v>365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422</v>
      </c>
      <c r="C45" t="s">
        <v>365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423</v>
      </c>
      <c r="C46" t="s">
        <v>365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424</v>
      </c>
      <c r="C47" t="s">
        <v>365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425</v>
      </c>
      <c r="C48" t="s">
        <v>365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426</v>
      </c>
      <c r="C49" t="s">
        <v>365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427</v>
      </c>
      <c r="C50" t="s">
        <v>365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428</v>
      </c>
      <c r="C51" t="s">
        <v>365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429</v>
      </c>
      <c r="C52" t="s">
        <v>365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430</v>
      </c>
      <c r="C53" t="s">
        <v>365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431</v>
      </c>
      <c r="C54" t="s">
        <v>365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432</v>
      </c>
      <c r="C55" t="s">
        <v>365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433</v>
      </c>
      <c r="C56" t="s">
        <v>365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378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434</v>
      </c>
      <c r="C58" t="s">
        <v>345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435</v>
      </c>
      <c r="C59" t="s">
        <v>345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436</v>
      </c>
      <c r="C60" t="s">
        <v>345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437</v>
      </c>
      <c r="C61" t="s">
        <v>345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438</v>
      </c>
      <c r="C62" t="s">
        <v>345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439</v>
      </c>
      <c r="C63" t="s">
        <v>345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440</v>
      </c>
      <c r="C64" t="s">
        <v>345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441</v>
      </c>
      <c r="C65" t="s">
        <v>345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442</v>
      </c>
      <c r="C66" t="s">
        <v>345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443</v>
      </c>
      <c r="C67" t="s">
        <v>345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444</v>
      </c>
      <c r="C68" t="s">
        <v>363</v>
      </c>
      <c r="D68">
        <v>32</v>
      </c>
      <c r="E68" s="42" t="b">
        <v>1</v>
      </c>
      <c r="F68" t="b">
        <v>1</v>
      </c>
      <c r="H68" t="s">
        <v>373</v>
      </c>
      <c r="I68" t="b">
        <v>1</v>
      </c>
    </row>
    <row r="69" spans="1:9" x14ac:dyDescent="0.25">
      <c r="A69" s="38" t="s">
        <v>67</v>
      </c>
      <c r="B69" s="184" t="s">
        <v>445</v>
      </c>
      <c r="C69" t="s">
        <v>363</v>
      </c>
      <c r="D69">
        <v>33</v>
      </c>
      <c r="E69" s="42" t="b">
        <v>1</v>
      </c>
      <c r="F69" t="b">
        <v>1</v>
      </c>
      <c r="H69" t="s">
        <v>373</v>
      </c>
      <c r="I69" t="b">
        <v>1</v>
      </c>
    </row>
    <row r="70" spans="1:9" x14ac:dyDescent="0.25">
      <c r="A70" s="38" t="s">
        <v>68</v>
      </c>
      <c r="B70" s="184" t="s">
        <v>446</v>
      </c>
      <c r="C70" t="s">
        <v>363</v>
      </c>
      <c r="D70">
        <v>34</v>
      </c>
      <c r="E70" s="42" t="b">
        <v>1</v>
      </c>
      <c r="F70" t="b">
        <v>1</v>
      </c>
      <c r="H70" t="s">
        <v>373</v>
      </c>
      <c r="I70" t="b">
        <v>1</v>
      </c>
    </row>
    <row r="71" spans="1:9" x14ac:dyDescent="0.25">
      <c r="A71" s="4" t="s">
        <v>69</v>
      </c>
      <c r="B71" s="177" t="s">
        <v>447</v>
      </c>
      <c r="C71" t="s">
        <v>345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448</v>
      </c>
      <c r="C72" t="s">
        <v>345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449</v>
      </c>
      <c r="C73" t="s">
        <v>345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450</v>
      </c>
      <c r="C74" t="s">
        <v>345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451</v>
      </c>
      <c r="C75" t="s">
        <v>345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452</v>
      </c>
      <c r="C76" t="s">
        <v>345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453</v>
      </c>
      <c r="C77" t="s">
        <v>345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454</v>
      </c>
      <c r="C78" t="s">
        <v>345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455</v>
      </c>
      <c r="C79" t="s">
        <v>345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456</v>
      </c>
      <c r="C80" t="s">
        <v>345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457</v>
      </c>
      <c r="C81" t="s">
        <v>345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458</v>
      </c>
      <c r="C82" t="s">
        <v>345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459</v>
      </c>
      <c r="C83" t="s">
        <v>345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460</v>
      </c>
      <c r="C84" t="s">
        <v>345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461</v>
      </c>
      <c r="C85" t="s">
        <v>345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326</v>
      </c>
      <c r="B86" s="177" t="s">
        <v>462</v>
      </c>
      <c r="C86" t="s">
        <v>345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463</v>
      </c>
      <c r="C87" t="s">
        <v>345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464</v>
      </c>
      <c r="C88" t="s">
        <v>345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465</v>
      </c>
      <c r="C89" t="s">
        <v>345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466</v>
      </c>
      <c r="C90" t="s">
        <v>345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467</v>
      </c>
      <c r="C91" t="s">
        <v>345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468</v>
      </c>
      <c r="C92" t="s">
        <v>345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469</v>
      </c>
      <c r="C93" t="s">
        <v>345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470</v>
      </c>
      <c r="C94" t="s">
        <v>345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471</v>
      </c>
      <c r="C95" t="s">
        <v>345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472</v>
      </c>
      <c r="C96" t="s">
        <v>345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473</v>
      </c>
      <c r="C97" t="s">
        <v>345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474</v>
      </c>
      <c r="C98" t="s">
        <v>345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475</v>
      </c>
      <c r="C99" t="s">
        <v>363</v>
      </c>
      <c r="D99">
        <v>39</v>
      </c>
      <c r="E99" s="42" t="b">
        <v>1</v>
      </c>
      <c r="F99" t="b">
        <v>1</v>
      </c>
      <c r="H99" t="s">
        <v>373</v>
      </c>
      <c r="I99" t="b">
        <v>0</v>
      </c>
    </row>
    <row r="100" spans="1:9" x14ac:dyDescent="0.25">
      <c r="A100" s="44" t="s">
        <v>83</v>
      </c>
      <c r="B100" s="178" t="s">
        <v>476</v>
      </c>
      <c r="C100" t="s">
        <v>362</v>
      </c>
      <c r="D100">
        <v>40</v>
      </c>
      <c r="E100" s="42" t="b">
        <v>1</v>
      </c>
      <c r="F100" t="b">
        <v>1</v>
      </c>
      <c r="H100" t="s">
        <v>373</v>
      </c>
      <c r="I100" t="b">
        <v>1</v>
      </c>
    </row>
    <row r="101" spans="1:9" x14ac:dyDescent="0.25">
      <c r="A101" s="44" t="s">
        <v>84</v>
      </c>
      <c r="B101" s="178" t="s">
        <v>477</v>
      </c>
      <c r="C101" t="s">
        <v>345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366</v>
      </c>
      <c r="B102" s="178" t="s">
        <v>478</v>
      </c>
      <c r="C102" t="s">
        <v>345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479</v>
      </c>
      <c r="C103" t="s">
        <v>362</v>
      </c>
      <c r="D103">
        <v>42</v>
      </c>
      <c r="E103" s="42" t="b">
        <v>1</v>
      </c>
      <c r="F103" t="b">
        <v>1</v>
      </c>
      <c r="H103" t="s">
        <v>373</v>
      </c>
      <c r="I103" t="b">
        <v>0</v>
      </c>
    </row>
    <row r="104" spans="1:9" x14ac:dyDescent="0.25">
      <c r="A104" s="185" t="s">
        <v>483</v>
      </c>
      <c r="B104" s="187" t="s">
        <v>488</v>
      </c>
      <c r="C104" t="s">
        <v>363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484</v>
      </c>
      <c r="B105" s="187" t="s">
        <v>489</v>
      </c>
      <c r="C105" t="s">
        <v>363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485</v>
      </c>
      <c r="B106" s="187" t="s">
        <v>490</v>
      </c>
      <c r="C106" t="s">
        <v>363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486</v>
      </c>
      <c r="B107" s="187" t="s">
        <v>491</v>
      </c>
      <c r="C107" t="s">
        <v>363</v>
      </c>
      <c r="D107">
        <v>46</v>
      </c>
      <c r="E107" s="42" t="b">
        <v>1</v>
      </c>
      <c r="F107" t="b">
        <v>1</v>
      </c>
      <c r="H107" t="s">
        <v>373</v>
      </c>
      <c r="I107" t="b">
        <v>0</v>
      </c>
    </row>
    <row r="108" spans="1:9" x14ac:dyDescent="0.25">
      <c r="A108" s="186" t="s">
        <v>487</v>
      </c>
      <c r="B108" s="187" t="s">
        <v>492</v>
      </c>
      <c r="C108" t="s">
        <v>362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12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377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370</v>
      </c>
    </row>
    <row r="8" spans="1:8" x14ac:dyDescent="0.25">
      <c r="A8" s="45"/>
      <c r="B8" t="s">
        <v>124</v>
      </c>
      <c r="C8" s="34" t="s">
        <v>120</v>
      </c>
      <c r="H8" t="s">
        <v>376</v>
      </c>
    </row>
    <row r="21" spans="8:8" x14ac:dyDescent="0.25">
      <c r="H21" s="76" t="s">
        <v>371</v>
      </c>
    </row>
    <row r="22" spans="8:8" x14ac:dyDescent="0.25">
      <c r="H22" t="s">
        <v>374</v>
      </c>
    </row>
    <row r="23" spans="8:8" x14ac:dyDescent="0.25">
      <c r="H23" t="s">
        <v>375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88"/>
  <sheetViews>
    <sheetView topLeftCell="A486" workbookViewId="0">
      <selection activeCell="C492" sqref="C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333</v>
      </c>
    </row>
    <row r="387" spans="1:17" x14ac:dyDescent="0.25">
      <c r="D387" t="s">
        <v>215</v>
      </c>
      <c r="E387" t="s">
        <v>328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329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327</v>
      </c>
      <c r="D389">
        <v>2</v>
      </c>
      <c r="E389" t="s">
        <v>329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329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327</v>
      </c>
      <c r="D391" s="92">
        <v>2</v>
      </c>
      <c r="E391" s="92" t="s">
        <v>329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329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327</v>
      </c>
      <c r="D393">
        <v>2</v>
      </c>
      <c r="E393" t="s">
        <v>329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329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327</v>
      </c>
      <c r="D395" s="92">
        <v>2</v>
      </c>
      <c r="E395" s="92" t="s">
        <v>329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330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327</v>
      </c>
      <c r="D397">
        <v>2</v>
      </c>
      <c r="E397" s="92" t="s">
        <v>330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330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327</v>
      </c>
      <c r="D399" s="92">
        <v>2</v>
      </c>
      <c r="E399" s="92" t="s">
        <v>330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331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327</v>
      </c>
      <c r="D401">
        <v>2</v>
      </c>
      <c r="E401" s="92" t="s">
        <v>331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332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327</v>
      </c>
      <c r="D403" s="92">
        <v>2</v>
      </c>
      <c r="E403" s="92" t="s">
        <v>332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347</v>
      </c>
    </row>
    <row r="407" spans="1:20" x14ac:dyDescent="0.25">
      <c r="A407" s="76"/>
      <c r="C407" s="76" t="s">
        <v>348</v>
      </c>
    </row>
    <row r="408" spans="1:20" x14ac:dyDescent="0.25">
      <c r="D408" t="s">
        <v>215</v>
      </c>
      <c r="E408" t="s">
        <v>349</v>
      </c>
    </row>
    <row r="409" spans="1:20" x14ac:dyDescent="0.25">
      <c r="C409" t="s">
        <v>350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351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352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353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354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355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356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349</v>
      </c>
      <c r="F418" t="s">
        <v>360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357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358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359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361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357</v>
      </c>
      <c r="D425">
        <v>3</v>
      </c>
      <c r="E425">
        <v>9</v>
      </c>
      <c r="F425" s="70" t="s">
        <v>361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358</v>
      </c>
      <c r="D426">
        <v>3</v>
      </c>
      <c r="E426">
        <v>12</v>
      </c>
      <c r="F426" s="70" t="s">
        <v>361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359</v>
      </c>
      <c r="D427">
        <v>3</v>
      </c>
      <c r="E427">
        <v>12</v>
      </c>
      <c r="F427" s="70" t="s">
        <v>361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361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481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482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482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482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482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482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482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482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482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482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482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482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482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482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482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482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482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482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482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482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482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482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482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482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482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493</v>
      </c>
      <c r="C460" s="70"/>
    </row>
    <row r="461" spans="1:19" x14ac:dyDescent="0.25">
      <c r="C461" s="70"/>
      <c r="D461" t="s">
        <v>215</v>
      </c>
      <c r="E461" t="s">
        <v>498</v>
      </c>
      <c r="F461" t="s">
        <v>499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495</v>
      </c>
      <c r="D462">
        <v>7</v>
      </c>
      <c r="E462">
        <v>7</v>
      </c>
      <c r="F462" t="s">
        <v>500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496</v>
      </c>
      <c r="D463">
        <v>4</v>
      </c>
      <c r="E463">
        <v>11</v>
      </c>
      <c r="F463" t="s">
        <v>500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497</v>
      </c>
      <c r="D464">
        <v>3</v>
      </c>
      <c r="E464">
        <v>14</v>
      </c>
      <c r="F464" t="s">
        <v>500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495</v>
      </c>
      <c r="D465">
        <v>7</v>
      </c>
      <c r="E465">
        <v>7</v>
      </c>
      <c r="F465" t="s">
        <v>501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496</v>
      </c>
      <c r="D466">
        <v>4</v>
      </c>
      <c r="E466">
        <v>11</v>
      </c>
      <c r="F466" t="s">
        <v>501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497</v>
      </c>
      <c r="D467">
        <v>3</v>
      </c>
      <c r="E467">
        <v>14</v>
      </c>
      <c r="F467" t="s">
        <v>501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495</v>
      </c>
      <c r="D468">
        <v>7</v>
      </c>
      <c r="E468">
        <v>7</v>
      </c>
      <c r="F468" t="s">
        <v>502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496</v>
      </c>
      <c r="D469">
        <v>4</v>
      </c>
      <c r="E469">
        <v>11</v>
      </c>
      <c r="F469" t="s">
        <v>502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497</v>
      </c>
      <c r="D470">
        <v>3</v>
      </c>
      <c r="E470">
        <v>14</v>
      </c>
      <c r="F470" t="s">
        <v>502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495</v>
      </c>
      <c r="D471">
        <v>7</v>
      </c>
      <c r="E471">
        <v>7</v>
      </c>
      <c r="F471" t="s">
        <v>500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496</v>
      </c>
      <c r="D472">
        <v>4</v>
      </c>
      <c r="E472">
        <v>11</v>
      </c>
      <c r="F472" t="s">
        <v>500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497</v>
      </c>
      <c r="D473">
        <v>3</v>
      </c>
      <c r="E473">
        <v>14</v>
      </c>
      <c r="F473" t="s">
        <v>500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495</v>
      </c>
      <c r="D474">
        <v>7</v>
      </c>
      <c r="E474">
        <v>7</v>
      </c>
      <c r="F474" t="s">
        <v>501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496</v>
      </c>
      <c r="D475">
        <v>4</v>
      </c>
      <c r="E475">
        <v>11</v>
      </c>
      <c r="F475" t="s">
        <v>501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497</v>
      </c>
      <c r="D476">
        <v>3</v>
      </c>
      <c r="E476">
        <v>14</v>
      </c>
      <c r="F476" t="s">
        <v>501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495</v>
      </c>
      <c r="D477">
        <v>7</v>
      </c>
      <c r="E477">
        <v>7</v>
      </c>
      <c r="F477" t="s">
        <v>502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496</v>
      </c>
      <c r="D478">
        <v>4</v>
      </c>
      <c r="E478">
        <v>11</v>
      </c>
      <c r="F478" t="s">
        <v>502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497</v>
      </c>
      <c r="D479">
        <v>3</v>
      </c>
      <c r="E479">
        <v>14</v>
      </c>
      <c r="F479" t="s">
        <v>502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3" x14ac:dyDescent="0.25">
      <c r="A482" s="75" t="s">
        <v>503</v>
      </c>
      <c r="C482" t="s">
        <v>505</v>
      </c>
      <c r="D482" t="s">
        <v>506</v>
      </c>
      <c r="E482" t="s">
        <v>507</v>
      </c>
      <c r="F482" t="s">
        <v>508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3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3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3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3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3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3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</sheetData>
  <conditionalFormatting sqref="A3">
    <cfRule type="containsBlanks" dxfId="11" priority="19">
      <formula>LEN(TRIM(A3))=0</formula>
    </cfRule>
  </conditionalFormatting>
  <conditionalFormatting sqref="F64">
    <cfRule type="containsBlanks" dxfId="10" priority="18">
      <formula>LEN(TRIM(F64))=0</formula>
    </cfRule>
  </conditionalFormatting>
  <conditionalFormatting sqref="F89:F92">
    <cfRule type="containsBlanks" dxfId="9" priority="15">
      <formula>LEN(TRIM(F89))=0</formula>
    </cfRule>
  </conditionalFormatting>
  <conditionalFormatting sqref="G100">
    <cfRule type="containsBlanks" dxfId="8" priority="14">
      <formula>LEN(TRIM(G100))=0</formula>
    </cfRule>
  </conditionalFormatting>
  <conditionalFormatting sqref="H120">
    <cfRule type="containsBlanks" dxfId="7" priority="13">
      <formula>LEN(TRIM(H120))=0</formula>
    </cfRule>
  </conditionalFormatting>
  <conditionalFormatting sqref="E183">
    <cfRule type="containsBlanks" dxfId="6" priority="11">
      <formula>LEN(TRIM(E183))=0</formula>
    </cfRule>
  </conditionalFormatting>
  <conditionalFormatting sqref="E200">
    <cfRule type="containsBlanks" dxfId="5" priority="10">
      <formula>LEN(TRIM(E200))=0</formula>
    </cfRule>
  </conditionalFormatting>
  <conditionalFormatting sqref="G219">
    <cfRule type="containsBlanks" dxfId="4" priority="8">
      <formula>LEN(TRIM(G219))=0</formula>
    </cfRule>
  </conditionalFormatting>
  <conditionalFormatting sqref="H257">
    <cfRule type="containsBlanks" dxfId="3" priority="7">
      <formula>LEN(TRIM(H257))=0</formula>
    </cfRule>
  </conditionalFormatting>
  <conditionalFormatting sqref="H275">
    <cfRule type="containsBlanks" dxfId="2" priority="6">
      <formula>LEN(TRIM(H275))=0</formula>
    </cfRule>
  </conditionalFormatting>
  <conditionalFormatting sqref="H306">
    <cfRule type="containsBlanks" dxfId="1" priority="5">
      <formula>LEN(TRIM(H306))=0</formula>
    </cfRule>
  </conditionalFormatting>
  <conditionalFormatting sqref="G387">
    <cfRule type="containsBlanks" dxfId="0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2023-03-21T12:49:45Z</dcterms:modified>
</cp:coreProperties>
</file>