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U451FE\Various\IES\Diploma-Thesis\Data\"/>
    </mc:Choice>
  </mc:AlternateContent>
  <xr:revisionPtr revIDLastSave="0" documentId="13_ncr:1_{42C51633-A4F1-489E-A52D-E20B6850E462}" xr6:coauthVersionLast="47" xr6:coauthVersionMax="47" xr10:uidLastSave="{00000000-0000-0000-0000-000000000000}"/>
  <bookViews>
    <workbookView xWindow="22930" yWindow="-110" windowWidth="30940" windowHeight="16900" activeTab="1"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Petr Cala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O1" authorId="1" shapeId="0" xr:uid="{3413E997-C57E-4177-A3DB-87A0C7FAFE30}">
      <text>
        <r>
          <rPr>
            <b/>
            <sz val="9"/>
            <color indexed="81"/>
            <rFont val="Tahoma"/>
            <charset val="1"/>
          </rPr>
          <t>Petr Cala:</t>
        </r>
        <r>
          <rPr>
            <sz val="9"/>
            <color indexed="81"/>
            <rFont val="Tahoma"/>
            <charset val="1"/>
          </rPr>
          <t xml:space="preserve">
If TRUE, print out information about this variable in the BPE summary stats table</t>
        </r>
      </text>
    </comment>
    <comment ref="P1" authorId="1" shapeId="0" xr:uid="{CF6BB4BC-E8EF-4E83-9FED-A5C80B787272}">
      <text>
        <r>
          <rPr>
            <b/>
            <sz val="9"/>
            <color indexed="81"/>
            <rFont val="Tahoma"/>
            <charset val="1"/>
          </rPr>
          <t>Petr Cala:</t>
        </r>
        <r>
          <rPr>
            <sz val="9"/>
            <color indexed="81"/>
            <rFont val="Tahoma"/>
            <charset val="1"/>
          </rPr>
          <t xml:space="preserve">
Print out the summary statistics for BPE only for those studies, where this variable is equal to the given value - can NOT be used in conjunction with GTLT</t>
        </r>
      </text>
    </comment>
    <comment ref="Q1" authorId="1" shapeId="0" xr:uid="{E8505B83-CFA5-4085-B1AE-3CB7BEC1344F}">
      <text>
        <r>
          <rPr>
            <b/>
            <sz val="9"/>
            <color indexed="81"/>
            <rFont val="Tahoma"/>
            <charset val="1"/>
          </rPr>
          <t>Petr Cala:</t>
        </r>
        <r>
          <rPr>
            <sz val="9"/>
            <color indexed="81"/>
            <rFont val="Tahoma"/>
            <charset val="1"/>
          </rPr>
          <t xml:space="preserve">
Print out two summary statistics for BPE summary stats - one for those studies when this variable is above and one below given value. Can NOT be used in conjunction with EQUAL.
median = Median
mean = mean </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<sst xmlns="http://schemas.openxmlformats.org/spreadsheetml/2006/main" count="16421" uniqueCount="1482">
  <si>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</si>
  <si>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</si>
  <si>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</si>
  <si>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</si>
  <si>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</si>
  <si>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</si>
  <si>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</si>
  <si>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</si>
  <si>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</si>
  <si>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</si>
  <si>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</si>
  <si>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</si>
  <si>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</si>
  <si>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</si>
  <si>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</si>
  <si>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</si>
  <si>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</si>
  <si>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</si>
  <si>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</si>
  <si>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</si>
  <si>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</si>
  <si>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</si>
  <si>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</si>
  <si>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</si>
  <si>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</si>
  <si>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</si>
  <si>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</si>
  <si>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</si>
  <si>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</si>
  <si>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</si>
  <si>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</si>
  <si>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</si>
  <si>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</si>
  <si>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</si>
  <si>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</si>
  <si>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</si>
  <si>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</si>
  <si>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</si>
  <si>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</si>
  <si>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</si>
  <si>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</si>
  <si>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</si>
  <si>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</si>
  <si>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</si>
  <si>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</si>
  <si>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</si>
  <si>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</si>
  <si>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</si>
  <si>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</si>
  <si>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</si>
  <si>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</si>
  <si>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</si>
  <si>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</si>
  <si>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</si>
  <si>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</si>
  <si>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</si>
  <si>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</si>
  <si>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</si>
  <si>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</si>
  <si>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</si>
  <si>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</si>
  <si>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</si>
  <si>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</si>
  <si>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</si>
  <si>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</si>
  <si>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</si>
  <si>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</si>
  <si>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</si>
  <si>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</si>
  <si>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</si>
  <si>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</si>
  <si>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</si>
  <si>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</si>
  <si>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</si>
  <si>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</si>
  <si>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</si>
  <si>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</si>
  <si>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</si>
  <si>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</si>
  <si>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</si>
  <si>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</si>
  <si>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</si>
  <si>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</si>
  <si>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</si>
  <si>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</si>
  <si>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</si>
  <si>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</si>
  <si>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</si>
  <si>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</si>
  <si>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</si>
  <si>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</si>
  <si>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</si>
  <si>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</si>
  <si>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</si>
  <si>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</si>
  <si>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</si>
  <si>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</si>
  <si>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</si>
  <si>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</si>
  <si>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</si>
  <si>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</si>
  <si>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</si>
  <si>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</si>
  <si>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</si>
  <si>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</si>
  <si>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</si>
  <si>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</si>
  <si>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</si>
  <si>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</si>
  <si>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</si>
  <si>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</si>
  <si>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</si>
  <si>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</si>
  <si>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</si>
  <si>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</si>
  <si>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</si>
  <si>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</si>
  <si>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</si>
  <si>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</si>
  <si>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</si>
  <si>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</si>
  <si>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</si>
  <si>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</si>
  <si>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</si>
  <si>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</si>
  <si>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</si>
  <si>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</si>
  <si>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</si>
  <si>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</si>
  <si>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</si>
  <si>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</si>
  <si>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</si>
  <si>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</si>
  <si>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</si>
  <si>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</si>
  <si>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</si>
  <si>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</si>
  <si>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</si>
  <si>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</si>
  <si>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</si>
  <si>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</si>
  <si>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</si>
  <si>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</si>
  <si>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</si>
  <si>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</si>
  <si>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</si>
  <si>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</si>
  <si>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</si>
  <si>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</si>
  <si>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</si>
  <si>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</si>
  <si>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</si>
  <si>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</si>
  <si>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</si>
  <si>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</si>
  <si>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</si>
  <si>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</si>
  <si>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</si>
  <si>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</si>
  <si>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</si>
  <si>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</si>
  <si>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</si>
  <si>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</si>
  <si>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</si>
  <si>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</si>
  <si>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</si>
  <si>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</si>
  <si>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</si>
  <si>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</si>
  <si>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</si>
  <si>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</si>
  <si>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</si>
  <si>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</si>
  <si>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</si>
  <si>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</si>
  <si>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</si>
  <si>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</si>
  <si>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</si>
  <si>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</si>
  <si>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</si>
  <si>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</si>
  <si>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</si>
  <si>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</si>
  <si>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</si>
  <si>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</si>
  <si>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</si>
  <si>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</si>
  <si>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</si>
  <si>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</si>
  <si>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</si>
  <si>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</si>
  <si>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</si>
  <si>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</si>
  <si>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</si>
  <si>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</si>
  <si>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</si>
  <si>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</si>
  <si>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</si>
  <si>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</si>
  <si>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</si>
  <si>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</si>
  <si>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</si>
  <si>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</si>
  <si>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</si>
  <si>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</si>
  <si>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</si>
  <si>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</si>
  <si>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</si>
  <si>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</si>
  <si>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</si>
  <si>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</si>
  <si>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</si>
  <si>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</si>
  <si>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</si>
  <si>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</si>
  <si>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</si>
  <si>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</si>
  <si>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</si>
  <si>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</si>
  <si>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</si>
  <si>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</si>
  <si>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</si>
  <si>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</si>
  <si>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</si>
  <si>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</si>
  <si>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</si>
  <si>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</si>
  <si>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</si>
  <si>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</si>
  <si>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</si>
  <si>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</si>
  <si>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</si>
  <si>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</si>
  <si>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</si>
  <si>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</si>
  <si>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</si>
  <si>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</si>
  <si>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</si>
  <si>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</si>
  <si>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</si>
  <si>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</si>
  <si>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</si>
  <si>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</si>
  <si>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</si>
  <si>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</si>
  <si>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</si>
  <si>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</si>
  <si>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</si>
  <si>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</si>
  <si>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</si>
  <si>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</si>
  <si>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</si>
  <si>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</si>
  <si>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</si>
  <si>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</si>
  <si>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</si>
  <si>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</si>
  <si>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</si>
  <si>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</si>
  <si>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</si>
  <si>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</si>
  <si>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</si>
  <si>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</si>
  <si>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</si>
  <si>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</si>
  <si>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</si>
  <si>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</si>
  <si>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</si>
  <si>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</si>
  <si>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</si>
  <si>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</si>
  <si>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</si>
  <si>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</si>
  <si>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</si>
  <si>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</si>
  <si>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</si>
  <si>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</si>
  <si>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</si>
  <si>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</si>
  <si>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</si>
  <si>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</si>
  <si>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</si>
  <si>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</si>
  <si>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</si>
  <si>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</si>
  <si>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</si>
  <si>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</si>
  <si>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</si>
  <si>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</si>
  <si>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</si>
  <si>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</si>
  <si>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</si>
  <si>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</si>
  <si>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</si>
  <si>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</si>
  <si>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</si>
  <si>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</si>
  <si>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</si>
  <si>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</si>
  <si>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</si>
  <si>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</si>
  <si>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</si>
  <si>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</si>
  <si>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</si>
  <si>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</si>
  <si>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</si>
  <si>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</si>
  <si>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</si>
  <si>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</si>
  <si>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</si>
  <si>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</si>
  <si>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</si>
  <si>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</si>
  <si>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</si>
  <si>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</si>
  <si>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</si>
  <si>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</si>
  <si>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</si>
  <si>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</si>
  <si>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</si>
  <si>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</si>
  <si>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</si>
  <si>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</si>
  <si>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</si>
  <si>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</si>
  <si>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</si>
  <si>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</si>
  <si>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</si>
  <si>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</si>
  <si>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</si>
  <si>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</si>
  <si>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</si>
  <si>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</si>
  <si>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</si>
  <si>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</si>
  <si>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</si>
  <si>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</si>
  <si>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</si>
  <si>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</si>
  <si>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</si>
  <si>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</si>
  <si>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</si>
  <si>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</si>
  <si>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</si>
  <si>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</si>
  <si>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</si>
  <si>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</si>
  <si>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</si>
  <si>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</si>
  <si>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</si>
  <si>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</si>
  <si>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</si>
  <si>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</si>
  <si>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</si>
  <si>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</si>
  <si>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</si>
  <si>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</si>
  <si>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</si>
  <si>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</si>
  <si>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</si>
  <si>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</si>
  <si>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</si>
  <si>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</si>
  <si>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</si>
  <si>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</si>
  <si>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</si>
  <si>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</si>
  <si>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</si>
  <si>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</si>
  <si>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</si>
  <si>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</si>
  <si>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</si>
  <si>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</si>
  <si>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</si>
  <si>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</si>
  <si>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</si>
  <si>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</si>
  <si>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</si>
  <si>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</si>
  <si>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</si>
  <si>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</si>
  <si>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</si>
  <si>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</si>
  <si>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</si>
  <si>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</si>
  <si>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</si>
  <si>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</si>
  <si>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</si>
  <si>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</si>
  <si>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</si>
  <si>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</si>
  <si>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</si>
  <si>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</si>
  <si>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</si>
  <si>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</si>
  <si>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</si>
  <si>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</si>
  <si>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</si>
  <si>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</si>
  <si>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</si>
  <si>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</si>
  <si>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</si>
  <si>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</si>
  <si>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</si>
  <si>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</si>
  <si>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</si>
  <si>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</si>
  <si>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</si>
  <si>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</si>
  <si>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</si>
  <si>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</si>
  <si>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</si>
  <si>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</si>
  <si>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</si>
  <si>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</si>
  <si>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</si>
  <si>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</si>
  <si>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</si>
  <si>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</si>
  <si>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</si>
  <si>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</si>
  <si>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</si>
  <si>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</si>
  <si>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</si>
  <si>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</si>
  <si>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</si>
  <si>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</si>
  <si>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</si>
  <si>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</si>
  <si>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</si>
  <si>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</si>
  <si>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</si>
  <si>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</si>
  <si>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</si>
  <si>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</si>
  <si>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</si>
  <si>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</si>
  <si>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</si>
  <si>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</si>
  <si>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</si>
  <si>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</si>
  <si>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</si>
  <si>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</si>
  <si>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</si>
  <si>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</si>
  <si>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</si>
  <si>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</si>
  <si>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</si>
  <si>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</si>
  <si>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</si>
  <si>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</si>
  <si>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</si>
  <si>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</si>
  <si>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</si>
  <si>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</si>
  <si>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</si>
  <si>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</si>
  <si>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</si>
  <si>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</si>
  <si>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</si>
  <si>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</si>
  <si>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</si>
  <si>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</si>
  <si>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</si>
  <si>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</si>
  <si>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</si>
  <si>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</si>
  <si>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</si>
  <si>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</si>
  <si>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</si>
  <si>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</si>
  <si>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</si>
  <si>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</si>
  <si>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</si>
  <si>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</si>
  <si>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</si>
  <si>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</si>
  <si>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</si>
  <si>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</si>
  <si>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</si>
  <si>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</si>
  <si>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</si>
  <si>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</si>
  <si>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</si>
  <si>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</si>
  <si>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</si>
  <si>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</si>
  <si>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</si>
  <si>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</si>
  <si>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</si>
  <si>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</si>
  <si>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</si>
  <si>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</si>
  <si>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</si>
  <si>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</si>
  <si>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</si>
  <si>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</si>
  <si>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</si>
  <si>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</si>
  <si>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</si>
  <si>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</si>
  <si>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</si>
  <si>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</si>
  <si>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</si>
  <si>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</si>
  <si>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</si>
  <si>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</si>
  <si>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</si>
  <si>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</si>
  <si>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</si>
  <si>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</si>
  <si>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</si>
  <si>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</si>
  <si>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</si>
  <si>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</si>
  <si>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</si>
  <si>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</si>
  <si>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</si>
  <si>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</si>
  <si>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</si>
  <si>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</si>
  <si>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</si>
  <si>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</si>
  <si>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</si>
  <si>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</si>
  <si>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</si>
  <si>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</si>
  <si>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</si>
  <si>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</si>
  <si>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</si>
  <si>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</si>
  <si>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</si>
  <si>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</si>
  <si>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</si>
  <si>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</si>
  <si>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</si>
  <si>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</si>
  <si>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</si>
  <si>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</si>
  <si>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</si>
  <si>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</si>
  <si>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</si>
  <si>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</si>
  <si>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</si>
  <si>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</si>
  <si>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</si>
  <si>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</si>
  <si>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</si>
  <si>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</si>
  <si>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</si>
  <si>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</si>
  <si>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</si>
  <si>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</si>
  <si>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</si>
  <si>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</si>
  <si>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</si>
  <si>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</si>
  <si>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</si>
  <si>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</si>
  <si>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</si>
  <si>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</si>
  <si>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</si>
  <si>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</si>
  <si>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</si>
  <si>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</si>
  <si>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</si>
  <si>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</si>
  <si>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</si>
  <si>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</si>
  <si>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</si>
  <si>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</si>
  <si>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</si>
  <si>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</si>
  <si>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</si>
  <si>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</si>
  <si>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</si>
  <si>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</si>
  <si>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</si>
  <si>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</si>
  <si>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</si>
  <si>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</si>
  <si>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</si>
  <si>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</si>
  <si>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</si>
  <si>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</si>
  <si>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</si>
  <si>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</si>
  <si>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</si>
  <si>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</si>
  <si>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</si>
  <si>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</si>
  <si>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</si>
  <si>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</si>
  <si>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</si>
  <si>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</si>
  <si>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</si>
  <si>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</si>
  <si>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</si>
  <si>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</si>
  <si>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</si>
  <si>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</si>
  <si>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</si>
  <si>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</si>
  <si>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</si>
  <si>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</si>
  <si>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</si>
  <si>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</si>
  <si>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</si>
  <si>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</si>
  <si>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</si>
  <si>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</si>
  <si>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</si>
  <si>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</si>
  <si>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</si>
  <si>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</si>
  <si>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</si>
  <si>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</si>
  <si>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</si>
  <si>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</si>
  <si>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</si>
  <si>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</si>
  <si>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</si>
  <si>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</si>
  <si>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</si>
  <si>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</si>
  <si>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</si>
  <si>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</si>
  <si>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</si>
  <si>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</si>
  <si>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</si>
  <si>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</si>
  <si>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</si>
  <si>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</si>
  <si>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</si>
  <si>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</si>
  <si>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</si>
  <si>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</si>
  <si>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</si>
  <si>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</si>
  <si>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</si>
  <si>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</si>
  <si>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</si>
  <si>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</si>
  <si>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</si>
  <si>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</si>
  <si>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</si>
  <si>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</si>
  <si>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</si>
  <si>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</si>
  <si>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</si>
  <si>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</si>
  <si>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</si>
  <si>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</si>
  <si>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</si>
  <si>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</si>
  <si>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</si>
  <si>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</si>
  <si>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</si>
  <si>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</si>
  <si>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</si>
  <si>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</si>
  <si>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</si>
  <si>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</si>
  <si>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</si>
  <si>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</si>
  <si>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</si>
  <si>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</si>
  <si>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</si>
  <si>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</si>
  <si>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</si>
  <si>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</si>
  <si>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</si>
  <si>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</si>
  <si>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</si>
  <si>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</si>
  <si>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</si>
  <si>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</si>
  <si>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</si>
  <si>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</si>
  <si>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</si>
  <si>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</si>
  <si>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</si>
  <si>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</si>
  <si>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</si>
  <si>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</si>
  <si>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</si>
  <si>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</si>
  <si>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</si>
  <si>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</si>
  <si>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</si>
  <si>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</si>
  <si>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</si>
  <si>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</si>
  <si>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</si>
  <si>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</si>
  <si>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</si>
  <si>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</si>
  <si>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</si>
  <si>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</si>
  <si>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</si>
  <si>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</si>
  <si>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</si>
  <si>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</si>
  <si>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</si>
  <si>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</si>
  <si>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</si>
  <si>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</si>
  <si>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</si>
  <si>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</si>
  <si>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</si>
  <si>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</si>
  <si>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</si>
  <si>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</si>
  <si>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</si>
  <si>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</si>
  <si>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</si>
  <si>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</si>
  <si>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</si>
  <si>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</si>
  <si>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</si>
  <si>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</si>
  <si>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</si>
  <si>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</si>
  <si>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</si>
  <si>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</si>
  <si>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</si>
  <si>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</si>
  <si>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</si>
  <si>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</si>
  <si>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</si>
  <si>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</si>
  <si>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</si>
  <si>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</si>
  <si>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</si>
  <si>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</si>
  <si>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</si>
  <si>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</si>
  <si>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</si>
  <si>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</si>
  <si>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</si>
  <si>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</si>
  <si>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</si>
  <si>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</si>
  <si>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</si>
  <si>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</si>
  <si>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</si>
  <si>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</si>
  <si>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</si>
  <si>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</si>
  <si>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</si>
  <si>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</si>
  <si>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</si>
  <si>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</si>
  <si>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</si>
  <si>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</si>
  <si>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</si>
  <si>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</si>
  <si>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</si>
  <si>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</si>
  <si>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</si>
  <si>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</si>
  <si>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</si>
  <si>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</si>
  <si>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</si>
  <si>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</si>
  <si>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</si>
  <si>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</si>
  <si>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</si>
  <si>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</si>
  <si>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</si>
  <si>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</si>
  <si>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</si>
  <si>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</si>
  <si>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</si>
  <si>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</si>
  <si>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</si>
  <si>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</si>
  <si>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</si>
  <si>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</si>
  <si>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</si>
  <si>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</si>
  <si>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</si>
  <si>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</si>
  <si>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</si>
  <si>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</si>
  <si>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</si>
  <si>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</si>
  <si>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</si>
  <si>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</si>
  <si>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</si>
  <si>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</si>
  <si>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</si>
  <si>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</si>
  <si>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</si>
  <si>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</si>
  <si>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</si>
  <si>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</si>
  <si>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</si>
  <si>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</si>
  <si>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</si>
  <si>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</si>
  <si>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</si>
  <si>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</si>
  <si>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</si>
  <si>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</si>
  <si>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</si>
  <si>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</si>
  <si>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</si>
  <si>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</si>
  <si>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</si>
  <si>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</si>
  <si>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</si>
  <si>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</si>
  <si>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</si>
  <si>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</si>
  <si>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</si>
  <si>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</si>
  <si>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</si>
  <si>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</si>
  <si>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</si>
  <si>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</si>
  <si>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</si>
  <si>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</si>
  <si>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</si>
  <si>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</si>
  <si>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</si>
  <si>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</si>
  <si>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</si>
  <si>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</si>
  <si>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</si>
  <si>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</si>
  <si>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</si>
  <si>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</si>
  <si>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</si>
  <si>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</si>
  <si>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</si>
  <si>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</si>
  <si>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</si>
  <si>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</si>
  <si>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</si>
  <si>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</si>
  <si>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</si>
  <si>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</si>
  <si>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</si>
  <si>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</si>
  <si>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</si>
  <si>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</si>
  <si>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</si>
  <si>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</si>
  <si>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</si>
  <si>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</si>
  <si>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</si>
  <si>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</si>
  <si>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</si>
  <si>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</si>
  <si>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</si>
  <si>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</si>
  <si>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</si>
  <si>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</si>
  <si>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</si>
  <si>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</si>
  <si>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</si>
  <si>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</si>
  <si>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</si>
  <si>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</si>
  <si>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</si>
  <si>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</si>
  <si>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</si>
  <si>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</si>
  <si>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</si>
  <si>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</si>
  <si>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</si>
  <si>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</si>
  <si>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</si>
  <si>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</si>
  <si>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</si>
  <si>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</si>
  <si>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</si>
  <si>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</si>
  <si>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</si>
  <si>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</si>
  <si>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</si>
  <si>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</si>
  <si>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</si>
  <si>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</si>
  <si>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</si>
  <si>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</si>
  <si>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</si>
  <si>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</si>
  <si>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</si>
  <si>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</si>
  <si>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</si>
  <si>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</si>
  <si>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</si>
  <si>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</si>
  <si>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</si>
  <si>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</si>
  <si>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</si>
  <si>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</si>
  <si>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</si>
  <si>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</si>
  <si>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</si>
  <si>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</si>
  <si>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</si>
  <si>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</si>
  <si>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</si>
  <si>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</si>
  <si>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</si>
  <si>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</si>
  <si>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</si>
  <si>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</si>
  <si>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</si>
  <si>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</si>
  <si>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</si>
  <si>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</si>
  <si>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</si>
  <si>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</si>
  <si>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</si>
  <si>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</si>
  <si>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</si>
  <si>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</si>
  <si>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</si>
  <si>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</si>
  <si>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</si>
  <si>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</si>
  <si>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</si>
  <si>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</si>
  <si>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</si>
  <si>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</si>
  <si>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</si>
  <si>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</si>
  <si>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</si>
  <si>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</si>
  <si>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</si>
  <si>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</si>
  <si>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</si>
  <si>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</si>
  <si>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</si>
  <si>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</si>
  <si>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</si>
  <si>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</si>
  <si>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</si>
  <si>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</si>
  <si>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</si>
  <si>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</si>
  <si>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</si>
  <si>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</si>
  <si>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</si>
  <si>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</si>
  <si>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</si>
  <si>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</si>
  <si>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</si>
  <si>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</si>
  <si>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</si>
  <si>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</si>
  <si>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</si>
  <si>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</si>
  <si>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</si>
  <si>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</si>
  <si>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</si>
  <si>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</si>
  <si>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</si>
  <si>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</si>
  <si>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</si>
  <si>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</si>
  <si>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</si>
  <si>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</si>
  <si>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</si>
  <si>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</si>
  <si>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</si>
  <si>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</si>
  <si>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</si>
  <si>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</si>
  <si>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</si>
  <si>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</si>
  <si>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</si>
  <si>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</si>
  <si>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</si>
  <si>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</si>
  <si>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</si>
  <si>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</si>
  <si>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</si>
  <si>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</si>
  <si>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</si>
  <si>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</si>
  <si>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</si>
  <si>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</si>
  <si>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</si>
  <si>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</si>
  <si>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</si>
  <si>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</si>
  <si>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</si>
  <si>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</si>
  <si>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</si>
  <si>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</si>
  <si>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</si>
  <si>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</si>
  <si>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</si>
  <si>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</si>
  <si>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</si>
  <si>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</si>
  <si>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</si>
  <si>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</si>
  <si>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</si>
  <si>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</si>
  <si>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</si>
  <si>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</si>
  <si>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</si>
  <si>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</si>
  <si>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</si>
  <si>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</si>
  <si>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</si>
  <si>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</si>
  <si>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</si>
  <si>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</si>
  <si>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</si>
  <si>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</si>
  <si>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</si>
  <si>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</si>
  <si>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</si>
  <si>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</si>
  <si>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</si>
  <si>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</si>
  <si>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</si>
  <si>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</si>
  <si>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</si>
  <si>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</si>
  <si>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</si>
  <si>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</si>
  <si>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</si>
  <si>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</si>
  <si>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</si>
  <si>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</si>
  <si>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</si>
  <si>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</si>
  <si>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</si>
  <si>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</si>
  <si>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</si>
  <si>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</si>
  <si>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</si>
  <si>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</si>
  <si>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</si>
  <si>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</si>
  <si>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</si>
  <si>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</si>
  <si>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</si>
  <si>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</si>
  <si>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</si>
  <si>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</si>
  <si>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</si>
  <si>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</si>
  <si>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</si>
  <si>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</si>
  <si>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</si>
  <si>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</si>
  <si>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</si>
  <si>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</si>
  <si>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</si>
  <si>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</si>
  <si>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</si>
  <si>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</si>
  <si>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</si>
  <si>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</si>
  <si>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</si>
  <si>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</si>
  <si>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</si>
  <si>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</si>
  <si>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</si>
  <si>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</si>
  <si>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</si>
  <si>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</si>
  <si>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</si>
  <si>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</si>
  <si>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</si>
  <si>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</si>
  <si>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</si>
  <si>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</si>
  <si>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</si>
  <si>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</si>
  <si>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</si>
  <si>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</si>
  <si>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</si>
  <si>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</si>
  <si>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</si>
  <si>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</si>
  <si>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</si>
  <si>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</si>
  <si>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</si>
  <si>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</si>
  <si>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</si>
  <si>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</si>
  <si>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</si>
  <si>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</si>
  <si>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</si>
  <si>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</si>
  <si>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</si>
  <si>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</si>
  <si>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</si>
  <si>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</si>
  <si>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</si>
  <si>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</si>
  <si>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</si>
  <si>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</si>
  <si>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</si>
  <si>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</si>
  <si>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</si>
  <si>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</si>
  <si>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</si>
  <si>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</si>
  <si>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</si>
  <si>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</si>
  <si>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</si>
  <si>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</si>
  <si>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</si>
  <si>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</si>
  <si>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</si>
  <si>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</si>
  <si>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</si>
  <si>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</si>
  <si>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</si>
  <si>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</si>
  <si>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</si>
  <si>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</si>
  <si>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</si>
  <si>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</si>
  <si>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</si>
  <si>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</si>
  <si>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</si>
  <si>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</si>
  <si>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</si>
  <si>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</si>
  <si>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</si>
  <si>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</si>
  <si>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</si>
  <si>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</si>
  <si>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</si>
  <si>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</si>
  <si>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</si>
  <si>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</si>
  <si>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</si>
  <si>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</si>
  <si>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</si>
  <si>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</si>
  <si>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</si>
  <si>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</si>
  <si>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</si>
  <si>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</si>
  <si>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</si>
  <si>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</si>
  <si>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</si>
  <si>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</si>
  <si>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</si>
  <si>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</si>
  <si>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</si>
  <si>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</si>
  <si>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</si>
  <si>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</si>
  <si>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</si>
  <si>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</si>
  <si>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</si>
  <si>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</si>
  <si>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</si>
  <si>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</si>
  <si>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</si>
  <si>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</si>
  <si>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</si>
  <si>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</si>
  <si>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</si>
  <si>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</si>
  <si>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</si>
  <si>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</si>
  <si>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</si>
  <si>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</si>
  <si>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</si>
  <si>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</si>
  <si>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</si>
  <si>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</si>
  <si>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</si>
  <si>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</si>
  <si>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</si>
  <si>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</si>
  <si>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</si>
  <si>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</si>
  <si>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</si>
  <si>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</si>
  <si>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</si>
  <si>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</si>
  <si>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</si>
  <si>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</si>
  <si>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</si>
  <si>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</si>
  <si>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</si>
  <si>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</si>
  <si>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</si>
  <si>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</si>
  <si>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</si>
  <si>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</si>
  <si>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</si>
  <si>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</si>
  <si>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</si>
  <si>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</si>
  <si>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</si>
  <si>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</si>
  <si>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</si>
  <si>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</si>
  <si>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</si>
  <si>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</si>
  <si>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</si>
  <si>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</si>
  <si>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</si>
  <si>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</si>
  <si>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</si>
  <si>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</si>
  <si>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</si>
  <si>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</si>
  <si>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</si>
  <si>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</si>
  <si>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</si>
  <si>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</si>
  <si>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</si>
  <si>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</si>
  <si>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</si>
  <si>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</si>
  <si>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</si>
  <si>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</si>
  <si>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</si>
  <si>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</si>
  <si>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</si>
  <si>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</si>
  <si>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</si>
  <si>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</si>
  <si>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</si>
  <si>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</si>
  <si>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</si>
  <si>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</si>
  <si>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</si>
  <si>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</si>
  <si>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</si>
  <si>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</si>
  <si>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</si>
  <si>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</si>
  <si>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</si>
  <si>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</si>
  <si>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</si>
  <si>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</si>
  <si>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</si>
  <si>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</si>
  <si>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</si>
  <si>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</si>
  <si>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</si>
  <si>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</si>
  <si>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</si>
  <si>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</si>
  <si>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</si>
  <si>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</si>
  <si>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</si>
  <si>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</si>
  <si>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</si>
  <si>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</si>
  <si>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</si>
  <si>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</si>
  <si>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</si>
  <si>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</si>
  <si>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</si>
  <si>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</si>
  <si>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</si>
  <si>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</si>
  <si>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</si>
  <si>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</si>
  <si>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</si>
  <si>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</si>
  <si>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</si>
  <si>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</si>
  <si>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</si>
  <si>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</si>
  <si>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</si>
  <si>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</si>
  <si>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</si>
  <si>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</si>
  <si>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</si>
  <si>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</si>
  <si>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</si>
  <si>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</si>
  <si>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</si>
  <si>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</si>
  <si>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</si>
  <si>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</si>
  <si>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</si>
  <si>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</si>
  <si>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</si>
  <si>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</si>
  <si>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</si>
  <si>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</si>
  <si>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</si>
  <si>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</si>
  <si>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</si>
  <si>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</si>
  <si>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</si>
  <si>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</si>
  <si>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</si>
  <si>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</si>
  <si>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</si>
  <si>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</si>
  <si>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</si>
  <si>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</si>
  <si>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</si>
  <si>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</si>
  <si>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</si>
  <si>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</si>
  <si>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</si>
  <si>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</si>
  <si>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</si>
  <si>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</si>
  <si>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</si>
  <si>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</si>
  <si>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</si>
  <si>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</si>
  <si>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</si>
  <si>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</si>
  <si>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</si>
  <si>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</si>
  <si>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</si>
  <si>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</si>
  <si>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</si>
  <si>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</si>
  <si>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</si>
  <si>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</si>
  <si>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</si>
  <si>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</si>
  <si>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</si>
  <si>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</si>
  <si>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</si>
  <si>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</si>
  <si>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</si>
  <si>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</si>
  <si>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</si>
  <si>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</si>
  <si>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</si>
  <si>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</si>
  <si>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</si>
  <si>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</si>
  <si>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</si>
  <si>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</si>
  <si>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</si>
  <si>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</si>
  <si>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</si>
  <si>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</si>
  <si>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</si>
  <si>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</si>
  <si>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</si>
  <si>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</si>
  <si>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</si>
  <si>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</si>
  <si>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</si>
  <si>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</si>
  <si>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</si>
  <si>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</si>
  <si>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</si>
  <si>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</si>
  <si>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</si>
  <si>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</si>
  <si>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</si>
  <si>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</si>
  <si>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</si>
  <si>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</si>
  <si>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</si>
  <si>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</si>
  <si>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</si>
  <si>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</si>
  <si>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</si>
  <si>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</si>
  <si>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</si>
  <si>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</si>
  <si>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</si>
  <si>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</si>
  <si>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</si>
  <si>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</si>
  <si>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Ethnicity: Caucasian</t>
  </si>
  <si>
    <t>Ethnicity: Other</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</si>
  <si>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</si>
  <si>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</si>
  <si>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</si>
  <si>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</si>
  <si>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</si>
  <si>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</si>
  <si>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</si>
  <si>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</si>
  <si>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</si>
  <si>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</si>
  <si>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</si>
  <si>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</si>
  <si>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</si>
  <si>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</si>
  <si>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</si>
  <si>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</si>
  <si>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</si>
  <si>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</si>
  <si>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</si>
  <si>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</si>
  <si>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</si>
  <si>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</si>
  <si>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</si>
  <si>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</si>
  <si>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</si>
  <si>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</si>
  <si>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</si>
  <si>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</si>
  <si>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</si>
  <si>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</si>
  <si>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</si>
  <si>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</si>
  <si>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</si>
  <si>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</si>
  <si>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</si>
  <si>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</si>
  <si>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</si>
  <si>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</si>
  <si>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</si>
  <si>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</si>
  <si>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</si>
  <si>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</si>
  <si>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</si>
  <si>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</si>
  <si>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</si>
  <si>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</si>
  <si>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</si>
  <si>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</si>
  <si>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</si>
  <si>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</si>
  <si>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</si>
  <si>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</si>
  <si>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</si>
  <si>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</si>
  <si>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</si>
  <si>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</si>
  <si>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</si>
  <si>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</si>
  <si>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</si>
  <si>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</si>
  <si>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</si>
  <si>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</si>
  <si>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</si>
  <si>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</si>
  <si>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</si>
  <si>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</si>
  <si>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</si>
  <si>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</si>
  <si>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</si>
  <si>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</si>
  <si>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</si>
  <si>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</si>
  <si>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</si>
  <si>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</si>
  <si>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</si>
  <si>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</si>
  <si>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</si>
  <si>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</si>
  <si>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</si>
  <si>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</si>
  <si>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</si>
  <si>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</si>
  <si>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</si>
  <si>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</si>
  <si>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</si>
  <si>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</si>
  <si>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</si>
  <si>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</si>
  <si>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</si>
  <si>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</si>
  <si>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</si>
  <si>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</si>
  <si>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</si>
  <si>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</si>
  <si>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</si>
  <si>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Private Sector</t>
  </si>
  <si>
    <t>Public Sector</t>
  </si>
  <si>
    <t>High Income Countries</t>
  </si>
  <si>
    <t>Middle Income Countries</t>
  </si>
  <si>
    <t>Low Income Countries</t>
  </si>
  <si>
    <t>bpe_sum_stats</t>
  </si>
  <si>
    <t>bpe_equal</t>
  </si>
  <si>
    <t>bpe_gtlt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</si>
</sst>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0.000"/>
    <numFmt numFmtId="166" formatCode="0.0000"/>
    <numFmt numFmtId="167" formatCode="&quot;Kč&quot;#,##0.00"/>
  </numFmts>
  <fonts count="15"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164" fontId="8" fillId="0" borderId="0" applyFont="0" applyFill="0" applyBorder="0" applyAlignment="0" applyProtection="0"/>
  </cellStyleXfs>
  <cellXfs count="184">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5"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5" fontId="0" fillId="0" borderId="0" xfId="0" applyNumberFormat="1"/>
    <xf numFmtId="165" fontId="0" fillId="0" borderId="3" xfId="0" applyNumberFormat="1" applyBorder="1"/>
    <xf numFmtId="0" fontId="0" fillId="8" borderId="2" xfId="0" applyFill="1" applyBorder="1"/>
    <xf numFmtId="0" fontId="0" fillId="0" borderId="2" xfId="0" applyBorder="1"/>
    <xf numFmtId="165"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5"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5" fontId="0" fillId="0" borderId="11" xfId="0" applyNumberFormat="1" applyBorder="1" applyAlignment="1">
      <alignment horizontal="center"/>
    </xf>
    <xf numFmtId="0" fontId="0" fillId="0" borderId="10" xfId="0" applyBorder="1"/>
    <xf numFmtId="0" fontId="0" fillId="0" borderId="11" xfId="0" applyBorder="1"/>
    <xf numFmtId="165" fontId="0" fillId="0" borderId="11" xfId="0" applyNumberFormat="1" applyBorder="1"/>
    <xf numFmtId="165" fontId="0" fillId="0" borderId="8" xfId="0" applyNumberFormat="1" applyBorder="1"/>
    <xf numFmtId="0" fontId="0" fillId="0" borderId="0" xfId="0" applyAlignment="1">
      <alignment horizontal="right"/>
    </xf>
    <xf numFmtId="49" fontId="0" fillId="0" borderId="0" xfId="0" applyNumberFormat="1" applyAlignment="1">
      <alignment horizontal="right"/>
    </xf>
    <xf numFmtId="166"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5"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5" fontId="0" fillId="0" borderId="20" xfId="0" applyNumberFormat="1" applyBorder="1" applyAlignment="1">
      <alignment horizontal="center"/>
    </xf>
    <xf numFmtId="0" fontId="0" fillId="0" borderId="19" xfId="0" applyBorder="1"/>
    <xf numFmtId="0" fontId="0" fillId="0" borderId="20" xfId="0" applyBorder="1"/>
    <xf numFmtId="165" fontId="0" fillId="0" borderId="20" xfId="0" applyNumberFormat="1" applyBorder="1"/>
    <xf numFmtId="165"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5"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5" fontId="0" fillId="0" borderId="25" xfId="0" applyNumberFormat="1" applyBorder="1" applyAlignment="1">
      <alignment horizontal="center"/>
    </xf>
    <xf numFmtId="0" fontId="0" fillId="0" borderId="24" xfId="0" applyBorder="1"/>
    <xf numFmtId="0" fontId="0" fillId="0" borderId="25" xfId="0" applyBorder="1"/>
    <xf numFmtId="165"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5"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5" fontId="0" fillId="0" borderId="29" xfId="0" applyNumberFormat="1" applyBorder="1" applyAlignment="1">
      <alignment horizontal="center"/>
    </xf>
    <xf numFmtId="0" fontId="0" fillId="0" borderId="28" xfId="0" applyBorder="1"/>
    <xf numFmtId="0" fontId="0" fillId="0" borderId="29" xfId="0" applyBorder="1"/>
    <xf numFmtId="165" fontId="0" fillId="0" borderId="29" xfId="0" applyNumberFormat="1" applyBorder="1"/>
    <xf numFmtId="0" fontId="9" fillId="0" borderId="30" xfId="0" applyFont="1" applyBorder="1" applyAlignment="1">
      <alignment horizontal="center" vertical="top"/>
    </xf>
    <xf numFmtId="167"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5"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5" fontId="0" fillId="0" borderId="2" xfId="0" applyNumberFormat="1" applyBorder="1"/>
    <xf numFmtId="4" fontId="0" fillId="0" borderId="0" xfId="0" applyNumberFormat="1"/>
    <xf numFmtId="166"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5"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5" fontId="0" fillId="0" borderId="41" xfId="0" applyNumberFormat="1" applyBorder="1" applyAlignment="1">
      <alignment horizontal="center"/>
    </xf>
    <xf numFmtId="0" fontId="0" fillId="0" borderId="40" xfId="0" applyBorder="1"/>
    <xf numFmtId="0" fontId="0" fillId="0" borderId="41" xfId="0" applyBorder="1"/>
    <xf numFmtId="165"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xf numFmtId="0" fontId="4" fillId="13" borderId="0" xfId="0" applyFont="1" applyFill="1" applyBorder="1"/>
    <xf numFmtId="0" fontId="0" fillId="0" borderId="0" xfId="0"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zoomScaleNormal="100" workbookViewId="0">
      <pane xSplit="4" ySplit="1" topLeftCell="E44" activePane="bottomRight" state="frozen"/>
      <selection activeCell="D526" sqref="D526"/>
      <selection pane="topRight" activeCell="D526" sqref="D526"/>
      <selection pane="bottomLeft" activeCell="D526" sqref="D526"/>
      <selection pane="bottomRight" activeCell="L19" sqref="L19"/>
    </sheetView>
  </sheetViews>
  <sheetFormatPr defaultRowHeight="14.5" x14ac:dyDescent="0.35"/>
  <cols>
    <col min="1" max="1" width="5.26953125" customWidth="1"/>
    <col min="2" max="2" width="4" customWidth="1"/>
    <col min="3" max="3" width="15" style="22" customWidth="1"/>
    <col min="4" max="4" width="8.7265625" style="28" customWidth="1"/>
    <col min="5" max="6" width="8.7265625" style="7" customWidth="1"/>
    <col min="7" max="7" width="8.7265625" style="8" customWidth="1"/>
    <col min="8" max="11" width="8.7265625" style="9" customWidth="1"/>
    <col min="12" max="12" width="9.26953125" style="8" bestFit="1" customWidth="1"/>
    <col min="13" max="13" width="8.7265625" style="9" customWidth="1"/>
    <col min="14" max="14" width="9.26953125" style="9" bestFit="1" customWidth="1"/>
    <col min="15" max="15" width="8.7265625" style="9" customWidth="1"/>
    <col min="16" max="17" width="8.7265625" style="7" customWidth="1"/>
    <col min="18" max="22" width="8.7265625" style="9" customWidth="1"/>
    <col min="23" max="23" width="8.7265625" style="27" customWidth="1"/>
    <col min="24" max="25" width="8.7265625" style="9" customWidth="1"/>
    <col min="26" max="26" width="8.7265625" style="27" customWidth="1"/>
    <col min="27" max="27" width="8.7265625" style="9" customWidth="1"/>
    <col min="28" max="28" width="8.7265625" style="27" customWidth="1"/>
    <col min="29" max="29" width="8.7265625" style="20" customWidth="1"/>
    <col min="30" max="32" width="8.7265625" style="29" customWidth="1"/>
    <col min="33" max="33" width="8.7265625" style="39" customWidth="1"/>
    <col min="34" max="34" width="8.7265625" style="38" customWidth="1"/>
    <col min="35" max="35" width="8.7265625" style="15" customWidth="1"/>
    <col min="36" max="36" width="8.7265625" customWidth="1"/>
    <col min="37" max="37" width="8.7265625" style="36" customWidth="1"/>
    <col min="38" max="38" width="8.7265625" customWidth="1"/>
    <col min="39" max="39" width="8.7265625" style="36" customWidth="1"/>
    <col min="40" max="42" width="8.7265625" customWidth="1"/>
    <col min="43" max="44" width="8.7265625" style="15" customWidth="1"/>
    <col min="45" max="56" width="8.7265625" customWidth="1"/>
    <col min="57" max="58" width="8.7265625" style="22" customWidth="1"/>
    <col min="59" max="63" width="8.7265625" customWidth="1"/>
    <col min="64" max="64" width="8.7265625" style="15" customWidth="1"/>
    <col min="65" max="65" width="8.54296875" customWidth="1"/>
    <col min="66" max="67" width="8.7265625" customWidth="1"/>
    <col min="68" max="68" width="8.7265625" style="15" customWidth="1"/>
    <col min="69" max="70" width="8.7265625" customWidth="1"/>
    <col min="71" max="71" width="8.7265625" style="15" customWidth="1"/>
    <col min="72" max="88" width="8.7265625" customWidth="1"/>
  </cols>
  <sheetData>
    <row r="1" spans="1:89" x14ac:dyDescent="0.3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1466</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5" customHeight="1" x14ac:dyDescent="0.3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 t="shared" ref="O2:O65" si="1">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5" customHeight="1" x14ac:dyDescent="0.3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 t="shared" si="1"/>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5" customHeight="1" x14ac:dyDescent="0.3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 t="shared" si="1"/>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5" customHeight="1" x14ac:dyDescent="0.3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 t="shared" si="1"/>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5" customHeight="1" x14ac:dyDescent="0.35">
      <c r="A6">
        <v>5</v>
      </c>
      <c r="B6">
        <v>2</v>
      </c>
      <c r="C6" s="22" t="s">
        <v>118</v>
      </c>
      <c r="D6" s="11">
        <v>10.08258261360147</v>
      </c>
      <c r="E6" s="12">
        <v>1.5953997480232089</v>
      </c>
      <c r="F6" s="7">
        <v>6.3197845092393647</v>
      </c>
      <c r="G6" s="8">
        <v>0</v>
      </c>
      <c r="H6" s="9">
        <v>0</v>
      </c>
      <c r="I6" s="9">
        <v>0</v>
      </c>
      <c r="J6" s="9">
        <v>1</v>
      </c>
      <c r="K6" s="9">
        <v>0</v>
      </c>
      <c r="L6" s="8">
        <f t="shared" ref="L6:L17" si="2">ROUND(174751*AJ6,0)</f>
        <v>89504</v>
      </c>
      <c r="M6" s="9">
        <v>6</v>
      </c>
      <c r="N6" s="9">
        <f t="shared" si="0"/>
        <v>89497</v>
      </c>
      <c r="O6" s="9">
        <f t="shared" si="1"/>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3">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5" customHeight="1" x14ac:dyDescent="0.35">
      <c r="A7">
        <v>6</v>
      </c>
      <c r="B7">
        <v>2</v>
      </c>
      <c r="C7" s="22" t="s">
        <v>118</v>
      </c>
      <c r="D7" s="11">
        <v>9.4270241253097353</v>
      </c>
      <c r="E7" s="12">
        <v>0.29292128828954811</v>
      </c>
      <c r="F7" s="7">
        <v>32.182789377845673</v>
      </c>
      <c r="G7" s="8">
        <v>0</v>
      </c>
      <c r="H7" s="9">
        <v>0</v>
      </c>
      <c r="I7" s="9">
        <v>0</v>
      </c>
      <c r="J7" s="9">
        <v>1</v>
      </c>
      <c r="K7" s="9">
        <v>0</v>
      </c>
      <c r="L7" s="8">
        <f t="shared" si="2"/>
        <v>89504</v>
      </c>
      <c r="M7" s="9">
        <v>6</v>
      </c>
      <c r="N7" s="9">
        <f t="shared" si="0"/>
        <v>89497</v>
      </c>
      <c r="O7" s="9">
        <f t="shared" si="1"/>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3"/>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5" customHeight="1" x14ac:dyDescent="0.35">
      <c r="A8">
        <v>7</v>
      </c>
      <c r="B8">
        <v>2</v>
      </c>
      <c r="C8" s="22" t="s">
        <v>118</v>
      </c>
      <c r="D8" s="11">
        <v>10.853077874552721</v>
      </c>
      <c r="E8" s="12">
        <v>0.67748252329749559</v>
      </c>
      <c r="F8" s="7">
        <v>16.019716378406009</v>
      </c>
      <c r="G8" s="8">
        <v>0</v>
      </c>
      <c r="H8" s="9">
        <v>0</v>
      </c>
      <c r="I8" s="9">
        <v>0</v>
      </c>
      <c r="J8" s="9">
        <v>1</v>
      </c>
      <c r="K8" s="9">
        <v>0</v>
      </c>
      <c r="L8" s="8">
        <f t="shared" si="2"/>
        <v>89504</v>
      </c>
      <c r="M8" s="9">
        <v>6</v>
      </c>
      <c r="N8" s="9">
        <f t="shared" si="0"/>
        <v>89497</v>
      </c>
      <c r="O8" s="9">
        <f t="shared" si="1"/>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3"/>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5" customHeight="1" x14ac:dyDescent="0.35">
      <c r="A9">
        <v>8</v>
      </c>
      <c r="B9">
        <v>2</v>
      </c>
      <c r="C9" s="22" t="s">
        <v>118</v>
      </c>
      <c r="D9" s="11">
        <v>9.4395415604737742</v>
      </c>
      <c r="E9" s="12">
        <v>1.522693443855023</v>
      </c>
      <c r="F9" s="7">
        <v>6.1992396424690472</v>
      </c>
      <c r="G9" s="8">
        <v>0</v>
      </c>
      <c r="H9" s="9">
        <v>0</v>
      </c>
      <c r="I9" s="9">
        <v>0</v>
      </c>
      <c r="J9" s="9">
        <v>1</v>
      </c>
      <c r="K9" s="9">
        <v>0</v>
      </c>
      <c r="L9" s="8">
        <f t="shared" si="2"/>
        <v>89504</v>
      </c>
      <c r="M9" s="9">
        <v>6</v>
      </c>
      <c r="N9" s="9">
        <f t="shared" si="0"/>
        <v>89497</v>
      </c>
      <c r="O9" s="9">
        <f t="shared" si="1"/>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3"/>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35">
      <c r="A10">
        <v>9</v>
      </c>
      <c r="B10">
        <v>2</v>
      </c>
      <c r="C10" s="22" t="s">
        <v>118</v>
      </c>
      <c r="D10" s="11">
        <v>10.055068845243881</v>
      </c>
      <c r="E10" s="12">
        <v>1.155867189672479</v>
      </c>
      <c r="F10" s="7">
        <v>8.6991558676330545</v>
      </c>
      <c r="G10" s="8">
        <v>0</v>
      </c>
      <c r="H10" s="9">
        <v>0</v>
      </c>
      <c r="I10" s="9">
        <v>0</v>
      </c>
      <c r="J10" s="9">
        <v>1</v>
      </c>
      <c r="K10" s="9">
        <v>0</v>
      </c>
      <c r="L10" s="8">
        <f t="shared" si="2"/>
        <v>89504</v>
      </c>
      <c r="M10" s="9">
        <v>6</v>
      </c>
      <c r="N10" s="9">
        <f t="shared" si="0"/>
        <v>89497</v>
      </c>
      <c r="O10" s="9">
        <f t="shared" si="1"/>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3"/>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35">
      <c r="A11">
        <v>10</v>
      </c>
      <c r="B11">
        <v>2</v>
      </c>
      <c r="C11" s="22" t="s">
        <v>118</v>
      </c>
      <c r="D11" s="11">
        <v>9.3011973943858628</v>
      </c>
      <c r="E11" s="12">
        <v>0.19618163634889771</v>
      </c>
      <c r="F11" s="7">
        <v>47.411152070544567</v>
      </c>
      <c r="G11" s="8">
        <v>0</v>
      </c>
      <c r="H11" s="9">
        <v>0</v>
      </c>
      <c r="I11" s="9">
        <v>0</v>
      </c>
      <c r="J11" s="9">
        <v>1</v>
      </c>
      <c r="K11" s="9">
        <v>0</v>
      </c>
      <c r="L11" s="8">
        <f t="shared" si="2"/>
        <v>89504</v>
      </c>
      <c r="M11" s="9">
        <v>6</v>
      </c>
      <c r="N11" s="9">
        <f t="shared" si="0"/>
        <v>89497</v>
      </c>
      <c r="O11" s="9">
        <f t="shared" si="1"/>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3"/>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35">
      <c r="A12">
        <v>11</v>
      </c>
      <c r="B12">
        <v>2</v>
      </c>
      <c r="C12" s="22" t="s">
        <v>118</v>
      </c>
      <c r="D12" s="11">
        <v>9.6522522827120927</v>
      </c>
      <c r="E12" s="12">
        <v>0.37805453492765367</v>
      </c>
      <c r="F12" s="7">
        <v>25.531375478829251</v>
      </c>
      <c r="G12" s="8">
        <v>0</v>
      </c>
      <c r="H12" s="9">
        <v>0</v>
      </c>
      <c r="I12" s="9">
        <v>0</v>
      </c>
      <c r="J12" s="9">
        <v>1</v>
      </c>
      <c r="K12" s="9">
        <v>0</v>
      </c>
      <c r="L12" s="8">
        <f t="shared" si="2"/>
        <v>89504</v>
      </c>
      <c r="M12" s="9">
        <v>6</v>
      </c>
      <c r="N12" s="9">
        <f t="shared" si="0"/>
        <v>89497</v>
      </c>
      <c r="O12" s="9">
        <f t="shared" si="1"/>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3"/>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35">
      <c r="A13">
        <v>12</v>
      </c>
      <c r="B13">
        <v>2</v>
      </c>
      <c r="C13" s="22" t="s">
        <v>118</v>
      </c>
      <c r="D13" s="11">
        <v>8.0179692227235311</v>
      </c>
      <c r="E13" s="12">
        <v>0.51557028267034199</v>
      </c>
      <c r="F13" s="7">
        <v>15.551651234037969</v>
      </c>
      <c r="G13" s="8">
        <v>0</v>
      </c>
      <c r="H13" s="9">
        <v>0</v>
      </c>
      <c r="I13" s="9">
        <v>0</v>
      </c>
      <c r="J13" s="9">
        <v>1</v>
      </c>
      <c r="K13" s="9">
        <v>0</v>
      </c>
      <c r="L13" s="8">
        <f t="shared" si="2"/>
        <v>89504</v>
      </c>
      <c r="M13" s="9">
        <v>6</v>
      </c>
      <c r="N13" s="9">
        <f t="shared" si="0"/>
        <v>89497</v>
      </c>
      <c r="O13" s="9">
        <f t="shared" si="1"/>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3"/>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35">
      <c r="A14">
        <v>13</v>
      </c>
      <c r="B14">
        <v>2</v>
      </c>
      <c r="C14" s="22" t="s">
        <v>118</v>
      </c>
      <c r="D14" s="11">
        <v>6.0884511510989503</v>
      </c>
      <c r="E14" s="12">
        <v>0.9477471906295829</v>
      </c>
      <c r="F14" s="7">
        <v>6.4241299908833573</v>
      </c>
      <c r="G14" s="8">
        <v>0</v>
      </c>
      <c r="H14" s="9">
        <v>0</v>
      </c>
      <c r="I14" s="9">
        <v>0</v>
      </c>
      <c r="J14" s="9">
        <v>1</v>
      </c>
      <c r="K14" s="9">
        <v>0</v>
      </c>
      <c r="L14" s="8">
        <f t="shared" si="2"/>
        <v>89504</v>
      </c>
      <c r="M14" s="9">
        <v>6</v>
      </c>
      <c r="N14" s="9">
        <f t="shared" si="0"/>
        <v>89497</v>
      </c>
      <c r="O14" s="9">
        <f t="shared" si="1"/>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3"/>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35">
      <c r="A15">
        <v>14</v>
      </c>
      <c r="B15">
        <v>2</v>
      </c>
      <c r="C15" s="22" t="s">
        <v>118</v>
      </c>
      <c r="D15" s="11">
        <v>8.8490569773641781</v>
      </c>
      <c r="E15" s="12">
        <v>0.14247258766670709</v>
      </c>
      <c r="F15" s="7">
        <v>62.110593499327749</v>
      </c>
      <c r="G15" s="8">
        <v>0</v>
      </c>
      <c r="H15" s="9">
        <v>0</v>
      </c>
      <c r="I15" s="9">
        <v>0</v>
      </c>
      <c r="J15" s="9">
        <v>1</v>
      </c>
      <c r="K15" s="9">
        <v>0</v>
      </c>
      <c r="L15" s="8">
        <f t="shared" si="2"/>
        <v>89504</v>
      </c>
      <c r="M15" s="9">
        <v>6</v>
      </c>
      <c r="N15" s="9">
        <f t="shared" si="0"/>
        <v>89497</v>
      </c>
      <c r="O15" s="9">
        <f t="shared" si="1"/>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3"/>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35">
      <c r="A16">
        <v>15</v>
      </c>
      <c r="B16">
        <v>2</v>
      </c>
      <c r="C16" s="22" t="s">
        <v>118</v>
      </c>
      <c r="D16" s="11">
        <v>9.3372444707743529</v>
      </c>
      <c r="E16" s="12">
        <v>0.25921188273126372</v>
      </c>
      <c r="F16" s="7">
        <v>36.021668344790669</v>
      </c>
      <c r="G16" s="8">
        <v>0</v>
      </c>
      <c r="H16" s="9">
        <v>0</v>
      </c>
      <c r="I16" s="9">
        <v>0</v>
      </c>
      <c r="J16" s="9">
        <v>1</v>
      </c>
      <c r="K16" s="9">
        <v>0</v>
      </c>
      <c r="L16" s="8">
        <f t="shared" si="2"/>
        <v>89504</v>
      </c>
      <c r="M16" s="9">
        <v>6</v>
      </c>
      <c r="N16" s="9">
        <f t="shared" si="0"/>
        <v>89497</v>
      </c>
      <c r="O16" s="9">
        <f t="shared" si="1"/>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3"/>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35">
      <c r="A17">
        <v>16</v>
      </c>
      <c r="B17">
        <v>2</v>
      </c>
      <c r="C17" s="22" t="s">
        <v>118</v>
      </c>
      <c r="D17" s="11">
        <v>7.7699075768273174</v>
      </c>
      <c r="E17" s="12">
        <v>0.26867674844922668</v>
      </c>
      <c r="F17" s="7">
        <v>28.91916632784336</v>
      </c>
      <c r="G17" s="8">
        <v>0</v>
      </c>
      <c r="H17" s="9">
        <v>0</v>
      </c>
      <c r="I17" s="9">
        <v>0</v>
      </c>
      <c r="J17" s="9">
        <v>1</v>
      </c>
      <c r="K17" s="9">
        <v>0</v>
      </c>
      <c r="L17" s="8">
        <f t="shared" si="2"/>
        <v>89504</v>
      </c>
      <c r="M17" s="9">
        <v>6</v>
      </c>
      <c r="N17" s="9">
        <f t="shared" si="0"/>
        <v>89497</v>
      </c>
      <c r="O17" s="9">
        <f t="shared" si="1"/>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3"/>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35">
      <c r="A18">
        <v>17</v>
      </c>
      <c r="B18">
        <v>2</v>
      </c>
      <c r="C18" s="22" t="s">
        <v>118</v>
      </c>
      <c r="D18" s="11">
        <v>4.9811001507905184</v>
      </c>
      <c r="E18" s="12">
        <v>1.6937313766765401</v>
      </c>
      <c r="F18" s="7">
        <v>2.940903273909051</v>
      </c>
      <c r="G18" s="8">
        <v>0</v>
      </c>
      <c r="H18" s="9">
        <v>0</v>
      </c>
      <c r="I18" s="9">
        <v>0</v>
      </c>
      <c r="J18" s="9">
        <v>1</v>
      </c>
      <c r="K18" s="9">
        <v>0</v>
      </c>
      <c r="L18" s="8">
        <f t="shared" ref="L18:L29" si="4">ROUND(174751*AK18,0)</f>
        <v>85247</v>
      </c>
      <c r="M18" s="9">
        <v>6</v>
      </c>
      <c r="N18" s="9">
        <f t="shared" si="0"/>
        <v>85240</v>
      </c>
      <c r="O18" s="9">
        <f t="shared" si="1"/>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3"/>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35">
      <c r="A19">
        <v>18</v>
      </c>
      <c r="B19">
        <v>2</v>
      </c>
      <c r="C19" s="22" t="s">
        <v>118</v>
      </c>
      <c r="D19" s="11">
        <v>8.3312525606173082</v>
      </c>
      <c r="E19" s="12">
        <v>0.29043231249495249</v>
      </c>
      <c r="F19" s="7">
        <v>28.685694401727758</v>
      </c>
      <c r="G19" s="8">
        <v>0</v>
      </c>
      <c r="H19" s="9">
        <v>0</v>
      </c>
      <c r="I19" s="9">
        <v>0</v>
      </c>
      <c r="J19" s="9">
        <v>1</v>
      </c>
      <c r="K19" s="9">
        <v>0</v>
      </c>
      <c r="L19" s="8">
        <f t="shared" si="4"/>
        <v>85247</v>
      </c>
      <c r="M19" s="9">
        <v>6</v>
      </c>
      <c r="N19" s="9">
        <f t="shared" si="0"/>
        <v>85240</v>
      </c>
      <c r="O19" s="9">
        <f t="shared" si="1"/>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3"/>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35">
      <c r="A20">
        <v>19</v>
      </c>
      <c r="B20">
        <v>2</v>
      </c>
      <c r="C20" s="22" t="s">
        <v>118</v>
      </c>
      <c r="D20" s="11">
        <v>10.448340952671259</v>
      </c>
      <c r="E20" s="12">
        <v>0.75547137381235774</v>
      </c>
      <c r="F20" s="7">
        <v>13.830227477641531</v>
      </c>
      <c r="G20" s="8">
        <v>0</v>
      </c>
      <c r="H20" s="9">
        <v>0</v>
      </c>
      <c r="I20" s="9">
        <v>0</v>
      </c>
      <c r="J20" s="9">
        <v>1</v>
      </c>
      <c r="K20" s="9">
        <v>0</v>
      </c>
      <c r="L20" s="8">
        <f t="shared" si="4"/>
        <v>85247</v>
      </c>
      <c r="M20" s="9">
        <v>6</v>
      </c>
      <c r="N20" s="9">
        <f t="shared" si="0"/>
        <v>85240</v>
      </c>
      <c r="O20" s="9">
        <f t="shared" si="1"/>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3"/>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35">
      <c r="A21">
        <v>20</v>
      </c>
      <c r="B21">
        <v>2</v>
      </c>
      <c r="C21" s="22" t="s">
        <v>118</v>
      </c>
      <c r="D21" s="11">
        <v>7.7025703391261358</v>
      </c>
      <c r="E21" s="12">
        <v>4.2896921177805796</v>
      </c>
      <c r="F21" s="7">
        <v>1.7955998070815691</v>
      </c>
      <c r="G21" s="8">
        <v>0</v>
      </c>
      <c r="H21" s="9">
        <v>0</v>
      </c>
      <c r="I21" s="9">
        <v>0</v>
      </c>
      <c r="J21" s="9">
        <v>1</v>
      </c>
      <c r="K21" s="9">
        <v>0</v>
      </c>
      <c r="L21" s="8">
        <f t="shared" si="4"/>
        <v>85247</v>
      </c>
      <c r="M21" s="9">
        <v>6</v>
      </c>
      <c r="N21" s="9">
        <f t="shared" si="0"/>
        <v>85240</v>
      </c>
      <c r="O21" s="9">
        <f t="shared" si="1"/>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3"/>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35">
      <c r="A22">
        <v>21</v>
      </c>
      <c r="B22">
        <v>2</v>
      </c>
      <c r="C22" s="22" t="s">
        <v>118</v>
      </c>
      <c r="D22" s="11">
        <v>5.8807249810217446</v>
      </c>
      <c r="E22" s="12">
        <v>1.2488038329690849</v>
      </c>
      <c r="F22" s="7">
        <v>4.709086267808825</v>
      </c>
      <c r="G22" s="8">
        <v>0</v>
      </c>
      <c r="H22" s="9">
        <v>0</v>
      </c>
      <c r="I22" s="9">
        <v>0</v>
      </c>
      <c r="J22" s="9">
        <v>1</v>
      </c>
      <c r="K22" s="9">
        <v>0</v>
      </c>
      <c r="L22" s="8">
        <f t="shared" si="4"/>
        <v>85247</v>
      </c>
      <c r="M22" s="9">
        <v>6</v>
      </c>
      <c r="N22" s="9">
        <f t="shared" si="0"/>
        <v>85240</v>
      </c>
      <c r="O22" s="9">
        <f t="shared" si="1"/>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3"/>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35">
      <c r="A23">
        <v>22</v>
      </c>
      <c r="B23">
        <v>2</v>
      </c>
      <c r="C23" s="22" t="s">
        <v>118</v>
      </c>
      <c r="D23" s="11">
        <v>7.4305815657685006</v>
      </c>
      <c r="E23" s="12">
        <v>0.22522134500161109</v>
      </c>
      <c r="F23" s="7">
        <v>32.992350550589897</v>
      </c>
      <c r="G23" s="8">
        <v>0</v>
      </c>
      <c r="H23" s="9">
        <v>0</v>
      </c>
      <c r="I23" s="9">
        <v>0</v>
      </c>
      <c r="J23" s="9">
        <v>1</v>
      </c>
      <c r="K23" s="9">
        <v>0</v>
      </c>
      <c r="L23" s="8">
        <f t="shared" si="4"/>
        <v>85247</v>
      </c>
      <c r="M23" s="9">
        <v>6</v>
      </c>
      <c r="N23" s="9">
        <f t="shared" si="0"/>
        <v>85240</v>
      </c>
      <c r="O23" s="9">
        <f t="shared" si="1"/>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3"/>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35">
      <c r="A24">
        <v>23</v>
      </c>
      <c r="B24">
        <v>2</v>
      </c>
      <c r="C24" s="22" t="s">
        <v>118</v>
      </c>
      <c r="D24" s="11">
        <v>7.6928921298799144</v>
      </c>
      <c r="E24" s="12">
        <v>0.46703550158366269</v>
      </c>
      <c r="F24" s="7">
        <v>16.471750228396381</v>
      </c>
      <c r="G24" s="8">
        <v>0</v>
      </c>
      <c r="H24" s="9">
        <v>0</v>
      </c>
      <c r="I24" s="9">
        <v>0</v>
      </c>
      <c r="J24" s="9">
        <v>1</v>
      </c>
      <c r="K24" s="9">
        <v>0</v>
      </c>
      <c r="L24" s="8">
        <f t="shared" si="4"/>
        <v>85247</v>
      </c>
      <c r="M24" s="9">
        <v>6</v>
      </c>
      <c r="N24" s="9">
        <f t="shared" si="0"/>
        <v>85240</v>
      </c>
      <c r="O24" s="9">
        <f t="shared" si="1"/>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3"/>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35">
      <c r="A25">
        <v>24</v>
      </c>
      <c r="B25">
        <v>2</v>
      </c>
      <c r="C25" s="22" t="s">
        <v>118</v>
      </c>
      <c r="D25" s="11">
        <v>7.6595433562077098</v>
      </c>
      <c r="E25" s="12">
        <v>0.86807317511438697</v>
      </c>
      <c r="F25" s="7">
        <v>8.8236148469838422</v>
      </c>
      <c r="G25" s="8">
        <v>0</v>
      </c>
      <c r="H25" s="9">
        <v>0</v>
      </c>
      <c r="I25" s="9">
        <v>0</v>
      </c>
      <c r="J25" s="9">
        <v>1</v>
      </c>
      <c r="K25" s="9">
        <v>0</v>
      </c>
      <c r="L25" s="8">
        <f t="shared" si="4"/>
        <v>85247</v>
      </c>
      <c r="M25" s="9">
        <v>6</v>
      </c>
      <c r="N25" s="9">
        <f t="shared" si="0"/>
        <v>85240</v>
      </c>
      <c r="O25" s="9">
        <f t="shared" si="1"/>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3"/>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35">
      <c r="A26">
        <v>25</v>
      </c>
      <c r="B26">
        <v>2</v>
      </c>
      <c r="C26" s="22" t="s">
        <v>118</v>
      </c>
      <c r="D26" s="11">
        <v>4.3114431330610206</v>
      </c>
      <c r="E26" s="12">
        <v>1.0109479070164511</v>
      </c>
      <c r="F26" s="7">
        <v>4.2647530136197842</v>
      </c>
      <c r="G26" s="8">
        <v>0</v>
      </c>
      <c r="H26" s="9">
        <v>0</v>
      </c>
      <c r="I26" s="9">
        <v>0</v>
      </c>
      <c r="J26" s="9">
        <v>1</v>
      </c>
      <c r="K26" s="9">
        <v>0</v>
      </c>
      <c r="L26" s="8">
        <f t="shared" si="4"/>
        <v>85247</v>
      </c>
      <c r="M26" s="9">
        <v>6</v>
      </c>
      <c r="N26" s="9">
        <f t="shared" si="0"/>
        <v>85240</v>
      </c>
      <c r="O26" s="9">
        <f t="shared" si="1"/>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3"/>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35">
      <c r="A27">
        <v>26</v>
      </c>
      <c r="B27">
        <v>2</v>
      </c>
      <c r="C27" s="22" t="s">
        <v>118</v>
      </c>
      <c r="D27" s="11">
        <v>6.8385160164647019</v>
      </c>
      <c r="E27" s="12">
        <v>0.1688539764628034</v>
      </c>
      <c r="F27" s="7">
        <v>40.499585261299117</v>
      </c>
      <c r="G27" s="8">
        <v>0</v>
      </c>
      <c r="H27" s="9">
        <v>0</v>
      </c>
      <c r="I27" s="9">
        <v>0</v>
      </c>
      <c r="J27" s="9">
        <v>1</v>
      </c>
      <c r="K27" s="9">
        <v>0</v>
      </c>
      <c r="L27" s="8">
        <f t="shared" si="4"/>
        <v>85247</v>
      </c>
      <c r="M27" s="9">
        <v>6</v>
      </c>
      <c r="N27" s="9">
        <f t="shared" si="0"/>
        <v>85240</v>
      </c>
      <c r="O27" s="9">
        <f t="shared" si="1"/>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3"/>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35">
      <c r="A28">
        <v>27</v>
      </c>
      <c r="B28">
        <v>2</v>
      </c>
      <c r="C28" s="22" t="s">
        <v>118</v>
      </c>
      <c r="D28" s="11">
        <v>7.2947279110531893</v>
      </c>
      <c r="E28" s="12">
        <v>0.29962747998548761</v>
      </c>
      <c r="F28" s="7">
        <v>24.345990933163101</v>
      </c>
      <c r="G28" s="8">
        <v>0</v>
      </c>
      <c r="H28" s="9">
        <v>0</v>
      </c>
      <c r="I28" s="9">
        <v>0</v>
      </c>
      <c r="J28" s="9">
        <v>1</v>
      </c>
      <c r="K28" s="9">
        <v>0</v>
      </c>
      <c r="L28" s="8">
        <f t="shared" si="4"/>
        <v>85247</v>
      </c>
      <c r="M28" s="9">
        <v>6</v>
      </c>
      <c r="N28" s="9">
        <f t="shared" si="0"/>
        <v>85240</v>
      </c>
      <c r="O28" s="9">
        <f t="shared" si="1"/>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3"/>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35">
      <c r="A29">
        <v>28</v>
      </c>
      <c r="B29">
        <v>2</v>
      </c>
      <c r="C29" s="22" t="s">
        <v>118</v>
      </c>
      <c r="D29" s="11">
        <v>6.1836074743851999</v>
      </c>
      <c r="E29" s="12">
        <v>0.4675268912366094</v>
      </c>
      <c r="F29" s="7">
        <v>13.22620707020627</v>
      </c>
      <c r="G29" s="8">
        <v>0</v>
      </c>
      <c r="H29" s="9">
        <v>0</v>
      </c>
      <c r="I29" s="9">
        <v>0</v>
      </c>
      <c r="J29" s="9">
        <v>1</v>
      </c>
      <c r="K29" s="9">
        <v>0</v>
      </c>
      <c r="L29" s="53">
        <f t="shared" si="4"/>
        <v>85247</v>
      </c>
      <c r="M29" s="9">
        <v>6</v>
      </c>
      <c r="N29" s="9">
        <f t="shared" si="0"/>
        <v>85240</v>
      </c>
      <c r="O29" s="9">
        <f t="shared" si="1"/>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3"/>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35">
      <c r="A30">
        <v>29</v>
      </c>
      <c r="B30">
        <v>2</v>
      </c>
      <c r="C30" s="22" t="s">
        <v>118</v>
      </c>
      <c r="D30" s="11">
        <v>10.52094495921161</v>
      </c>
      <c r="E30" s="12">
        <v>1.801082066001966</v>
      </c>
      <c r="F30" s="7">
        <v>5.8414578423769177</v>
      </c>
      <c r="G30" s="8">
        <v>0</v>
      </c>
      <c r="H30" s="9">
        <v>0</v>
      </c>
      <c r="I30" s="9">
        <v>0</v>
      </c>
      <c r="J30" s="9">
        <v>1</v>
      </c>
      <c r="K30" s="9">
        <v>0</v>
      </c>
      <c r="L30" s="8">
        <f t="shared" ref="L30:L41" si="5">ROUND(174751*AJ30,0)</f>
        <v>80686</v>
      </c>
      <c r="M30" s="9">
        <v>7</v>
      </c>
      <c r="N30" s="9">
        <f t="shared" si="0"/>
        <v>80678</v>
      </c>
      <c r="O30" s="9">
        <f t="shared" si="1"/>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3"/>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35">
      <c r="A31">
        <v>30</v>
      </c>
      <c r="B31">
        <v>2</v>
      </c>
      <c r="C31" s="22" t="s">
        <v>118</v>
      </c>
      <c r="D31" s="11">
        <v>8.8775365880074055</v>
      </c>
      <c r="E31" s="12">
        <v>0.34157658537414087</v>
      </c>
      <c r="F31" s="7">
        <v>25.989886216244962</v>
      </c>
      <c r="G31" s="8">
        <v>0</v>
      </c>
      <c r="H31" s="9">
        <v>0</v>
      </c>
      <c r="I31" s="9">
        <v>0</v>
      </c>
      <c r="J31" s="9">
        <v>1</v>
      </c>
      <c r="K31" s="9">
        <v>0</v>
      </c>
      <c r="L31" s="8">
        <f t="shared" si="5"/>
        <v>80686</v>
      </c>
      <c r="M31" s="9">
        <v>7</v>
      </c>
      <c r="N31" s="9">
        <f t="shared" si="0"/>
        <v>80678</v>
      </c>
      <c r="O31" s="9">
        <f t="shared" si="1"/>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3"/>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35">
      <c r="A32">
        <v>31</v>
      </c>
      <c r="B32">
        <v>2</v>
      </c>
      <c r="C32" s="22" t="s">
        <v>118</v>
      </c>
      <c r="D32" s="11">
        <v>10.17082554157072</v>
      </c>
      <c r="E32" s="12">
        <v>0.73500478243832523</v>
      </c>
      <c r="F32" s="7">
        <v>13.83776784122375</v>
      </c>
      <c r="G32" s="8">
        <v>0</v>
      </c>
      <c r="H32" s="9">
        <v>0</v>
      </c>
      <c r="I32" s="9">
        <v>0</v>
      </c>
      <c r="J32" s="9">
        <v>1</v>
      </c>
      <c r="K32" s="9">
        <v>0</v>
      </c>
      <c r="L32" s="8">
        <f t="shared" si="5"/>
        <v>80686</v>
      </c>
      <c r="M32" s="9">
        <v>7</v>
      </c>
      <c r="N32" s="9">
        <f t="shared" si="0"/>
        <v>80678</v>
      </c>
      <c r="O32" s="9">
        <f t="shared" si="1"/>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3"/>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35">
      <c r="A33">
        <v>32</v>
      </c>
      <c r="B33">
        <v>2</v>
      </c>
      <c r="C33" s="22" t="s">
        <v>118</v>
      </c>
      <c r="D33" s="11">
        <v>8.866108106197057</v>
      </c>
      <c r="E33" s="12">
        <v>1.610578673617441</v>
      </c>
      <c r="F33" s="7">
        <v>5.5049208408325274</v>
      </c>
      <c r="G33" s="8">
        <v>0</v>
      </c>
      <c r="H33" s="9">
        <v>0</v>
      </c>
      <c r="I33" s="9">
        <v>0</v>
      </c>
      <c r="J33" s="9">
        <v>1</v>
      </c>
      <c r="K33" s="9">
        <v>0</v>
      </c>
      <c r="L33" s="8">
        <f t="shared" si="5"/>
        <v>80686</v>
      </c>
      <c r="M33" s="9">
        <v>7</v>
      </c>
      <c r="N33" s="9">
        <f t="shared" si="0"/>
        <v>80678</v>
      </c>
      <c r="O33" s="9">
        <f t="shared" si="1"/>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3"/>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35">
      <c r="A34">
        <v>33</v>
      </c>
      <c r="B34">
        <v>2</v>
      </c>
      <c r="C34" s="22" t="s">
        <v>118</v>
      </c>
      <c r="D34" s="11">
        <v>10.3021993206643</v>
      </c>
      <c r="E34" s="12">
        <v>1.2602834497641719</v>
      </c>
      <c r="F34" s="7">
        <v>8.1745097284202792</v>
      </c>
      <c r="G34" s="8">
        <v>0</v>
      </c>
      <c r="H34" s="9">
        <v>0</v>
      </c>
      <c r="I34" s="9">
        <v>0</v>
      </c>
      <c r="J34" s="9">
        <v>1</v>
      </c>
      <c r="K34" s="9">
        <v>0</v>
      </c>
      <c r="L34" s="8">
        <f t="shared" si="5"/>
        <v>80686</v>
      </c>
      <c r="M34" s="9">
        <v>7</v>
      </c>
      <c r="N34" s="9">
        <f t="shared" si="0"/>
        <v>80678</v>
      </c>
      <c r="O34" s="9">
        <f t="shared" si="1"/>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3"/>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35">
      <c r="A35">
        <v>34</v>
      </c>
      <c r="B35">
        <v>2</v>
      </c>
      <c r="C35" s="22" t="s">
        <v>118</v>
      </c>
      <c r="D35" s="11">
        <v>8.7920081740137324</v>
      </c>
      <c r="E35" s="12">
        <v>0.21415749640553891</v>
      </c>
      <c r="F35" s="7">
        <v>41.053936105812348</v>
      </c>
      <c r="G35" s="8">
        <v>0</v>
      </c>
      <c r="H35" s="9">
        <v>0</v>
      </c>
      <c r="I35" s="9">
        <v>0</v>
      </c>
      <c r="J35" s="9">
        <v>1</v>
      </c>
      <c r="K35" s="9">
        <v>0</v>
      </c>
      <c r="L35" s="8">
        <f t="shared" si="5"/>
        <v>80686</v>
      </c>
      <c r="M35" s="9">
        <v>7</v>
      </c>
      <c r="N35" s="9">
        <f t="shared" si="0"/>
        <v>80678</v>
      </c>
      <c r="O35" s="9">
        <f t="shared" si="1"/>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3"/>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35">
      <c r="A36">
        <v>35</v>
      </c>
      <c r="B36">
        <v>2</v>
      </c>
      <c r="C36" s="22" t="s">
        <v>118</v>
      </c>
      <c r="D36" s="11">
        <v>9.1776757361151198</v>
      </c>
      <c r="E36" s="12">
        <v>0.39645760330660668</v>
      </c>
      <c r="F36" s="7">
        <v>23.149198450401311</v>
      </c>
      <c r="G36" s="8">
        <v>0</v>
      </c>
      <c r="H36" s="9">
        <v>0</v>
      </c>
      <c r="I36" s="9">
        <v>0</v>
      </c>
      <c r="J36" s="9">
        <v>1</v>
      </c>
      <c r="K36" s="9">
        <v>0</v>
      </c>
      <c r="L36" s="8">
        <f t="shared" si="5"/>
        <v>80686</v>
      </c>
      <c r="M36" s="9">
        <v>7</v>
      </c>
      <c r="N36" s="9">
        <f t="shared" si="0"/>
        <v>80678</v>
      </c>
      <c r="O36" s="9">
        <f t="shared" si="1"/>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3"/>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35">
      <c r="A37">
        <v>36</v>
      </c>
      <c r="B37">
        <v>2</v>
      </c>
      <c r="C37" s="22" t="s">
        <v>118</v>
      </c>
      <c r="D37" s="11">
        <v>7.5358454284737642</v>
      </c>
      <c r="E37" s="12">
        <v>0.53435504170848458</v>
      </c>
      <c r="F37" s="7">
        <v>14.102693603076199</v>
      </c>
      <c r="G37" s="8">
        <v>0</v>
      </c>
      <c r="H37" s="9">
        <v>0</v>
      </c>
      <c r="I37" s="9">
        <v>0</v>
      </c>
      <c r="J37" s="9">
        <v>1</v>
      </c>
      <c r="K37" s="9">
        <v>0</v>
      </c>
      <c r="L37" s="8">
        <f t="shared" si="5"/>
        <v>80686</v>
      </c>
      <c r="M37" s="9">
        <v>7</v>
      </c>
      <c r="N37" s="9">
        <f t="shared" si="0"/>
        <v>80678</v>
      </c>
      <c r="O37" s="9">
        <f t="shared" si="1"/>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3"/>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35">
      <c r="A38">
        <v>37</v>
      </c>
      <c r="B38">
        <v>2</v>
      </c>
      <c r="C38" s="22" t="s">
        <v>118</v>
      </c>
      <c r="D38" s="11">
        <v>5.9401584624788173</v>
      </c>
      <c r="E38" s="12">
        <v>1.0098024636176841</v>
      </c>
      <c r="F38" s="7">
        <v>5.8824955142194897</v>
      </c>
      <c r="G38" s="8">
        <v>0</v>
      </c>
      <c r="H38" s="9">
        <v>0</v>
      </c>
      <c r="I38" s="9">
        <v>0</v>
      </c>
      <c r="J38" s="9">
        <v>1</v>
      </c>
      <c r="K38" s="9">
        <v>0</v>
      </c>
      <c r="L38" s="8">
        <f t="shared" si="5"/>
        <v>80686</v>
      </c>
      <c r="M38" s="9">
        <v>7</v>
      </c>
      <c r="N38" s="9">
        <f t="shared" si="0"/>
        <v>80678</v>
      </c>
      <c r="O38" s="9">
        <f t="shared" si="1"/>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3"/>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35">
      <c r="A39">
        <v>38</v>
      </c>
      <c r="B39">
        <v>2</v>
      </c>
      <c r="C39" s="22" t="s">
        <v>118</v>
      </c>
      <c r="D39" s="11">
        <v>8.476080955730648</v>
      </c>
      <c r="E39" s="12">
        <v>0.15888640353036451</v>
      </c>
      <c r="F39" s="7">
        <v>53.34679851388794</v>
      </c>
      <c r="G39" s="8">
        <v>0</v>
      </c>
      <c r="H39" s="9">
        <v>0</v>
      </c>
      <c r="I39" s="9">
        <v>0</v>
      </c>
      <c r="J39" s="9">
        <v>1</v>
      </c>
      <c r="K39" s="9">
        <v>0</v>
      </c>
      <c r="L39" s="8">
        <f t="shared" si="5"/>
        <v>80686</v>
      </c>
      <c r="M39" s="9">
        <v>7</v>
      </c>
      <c r="N39" s="9">
        <f t="shared" si="0"/>
        <v>80678</v>
      </c>
      <c r="O39" s="9">
        <f t="shared" si="1"/>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3"/>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35">
      <c r="A40">
        <v>39</v>
      </c>
      <c r="B40">
        <v>2</v>
      </c>
      <c r="C40" s="22" t="s">
        <v>118</v>
      </c>
      <c r="D40" s="11">
        <v>8.9911465030419571</v>
      </c>
      <c r="E40" s="12">
        <v>0.2641899711935492</v>
      </c>
      <c r="F40" s="7">
        <v>34.032883467990992</v>
      </c>
      <c r="G40" s="8">
        <v>0</v>
      </c>
      <c r="H40" s="9">
        <v>0</v>
      </c>
      <c r="I40" s="9">
        <v>0</v>
      </c>
      <c r="J40" s="9">
        <v>1</v>
      </c>
      <c r="K40" s="9">
        <v>0</v>
      </c>
      <c r="L40" s="8">
        <f t="shared" si="5"/>
        <v>80686</v>
      </c>
      <c r="M40" s="9">
        <v>7</v>
      </c>
      <c r="N40" s="9">
        <f t="shared" si="0"/>
        <v>80678</v>
      </c>
      <c r="O40" s="9">
        <f t="shared" si="1"/>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3"/>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35">
      <c r="A41">
        <v>40</v>
      </c>
      <c r="B41">
        <v>2</v>
      </c>
      <c r="C41" s="22" t="s">
        <v>118</v>
      </c>
      <c r="D41" s="11">
        <v>7.3481372216716689</v>
      </c>
      <c r="E41" s="12">
        <v>0.27723883534387228</v>
      </c>
      <c r="F41" s="7">
        <v>26.504718260547548</v>
      </c>
      <c r="G41" s="8">
        <v>0</v>
      </c>
      <c r="H41" s="9">
        <v>0</v>
      </c>
      <c r="I41" s="9">
        <v>0</v>
      </c>
      <c r="J41" s="9">
        <v>1</v>
      </c>
      <c r="K41" s="9">
        <v>0</v>
      </c>
      <c r="L41" s="8">
        <f t="shared" si="5"/>
        <v>80686</v>
      </c>
      <c r="M41" s="9">
        <v>7</v>
      </c>
      <c r="N41" s="9">
        <f t="shared" si="0"/>
        <v>80678</v>
      </c>
      <c r="O41" s="9">
        <f t="shared" si="1"/>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3"/>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35">
      <c r="A42">
        <v>41</v>
      </c>
      <c r="B42">
        <v>2</v>
      </c>
      <c r="C42" s="22" t="s">
        <v>118</v>
      </c>
      <c r="D42" s="11">
        <v>4.5254472798147649</v>
      </c>
      <c r="E42" s="12">
        <v>1.861077724480064</v>
      </c>
      <c r="F42" s="7">
        <v>2.431627234203265</v>
      </c>
      <c r="G42" s="8">
        <v>0</v>
      </c>
      <c r="H42" s="9">
        <v>0</v>
      </c>
      <c r="I42" s="9">
        <v>0</v>
      </c>
      <c r="J42" s="9">
        <v>1</v>
      </c>
      <c r="K42" s="9">
        <v>0</v>
      </c>
      <c r="L42" s="8">
        <f t="shared" ref="L42:L53" si="6">ROUND(174751*AK42,0)</f>
        <v>94065</v>
      </c>
      <c r="M42" s="9">
        <v>7</v>
      </c>
      <c r="N42" s="9">
        <f t="shared" si="0"/>
        <v>94057</v>
      </c>
      <c r="O42" s="9">
        <f t="shared" si="1"/>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3"/>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35">
      <c r="A43">
        <v>42</v>
      </c>
      <c r="B43">
        <v>2</v>
      </c>
      <c r="C43" s="22" t="s">
        <v>118</v>
      </c>
      <c r="D43" s="11">
        <v>7.4005352510223332</v>
      </c>
      <c r="E43" s="12">
        <v>0.33069444024107653</v>
      </c>
      <c r="F43" s="7">
        <v>22.378771308121589</v>
      </c>
      <c r="G43" s="8">
        <v>0</v>
      </c>
      <c r="H43" s="9">
        <v>0</v>
      </c>
      <c r="I43" s="9">
        <v>0</v>
      </c>
      <c r="J43" s="9">
        <v>1</v>
      </c>
      <c r="K43" s="9">
        <v>0</v>
      </c>
      <c r="L43" s="8">
        <f t="shared" si="6"/>
        <v>94065</v>
      </c>
      <c r="M43" s="9">
        <v>7</v>
      </c>
      <c r="N43" s="9">
        <f t="shared" si="0"/>
        <v>94057</v>
      </c>
      <c r="O43" s="9">
        <f t="shared" si="1"/>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3"/>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35">
      <c r="A44">
        <v>43</v>
      </c>
      <c r="B44">
        <v>2</v>
      </c>
      <c r="C44" s="22" t="s">
        <v>118</v>
      </c>
      <c r="D44" s="11">
        <v>9.7096919750153212</v>
      </c>
      <c r="E44" s="12">
        <v>0.77831534147012582</v>
      </c>
      <c r="F44" s="7">
        <v>12.4752673597248</v>
      </c>
      <c r="G44" s="8">
        <v>0</v>
      </c>
      <c r="H44" s="9">
        <v>0</v>
      </c>
      <c r="I44" s="9">
        <v>0</v>
      </c>
      <c r="J44" s="9">
        <v>1</v>
      </c>
      <c r="K44" s="9">
        <v>0</v>
      </c>
      <c r="L44" s="8">
        <f t="shared" si="6"/>
        <v>94065</v>
      </c>
      <c r="M44" s="9">
        <v>7</v>
      </c>
      <c r="N44" s="9">
        <f t="shared" si="0"/>
        <v>94057</v>
      </c>
      <c r="O44" s="9">
        <f t="shared" si="1"/>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3"/>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35">
      <c r="A45">
        <v>44</v>
      </c>
      <c r="B45">
        <v>2</v>
      </c>
      <c r="C45" s="22" t="s">
        <v>118</v>
      </c>
      <c r="D45" s="11">
        <v>7.2913090915323719</v>
      </c>
      <c r="E45" s="12">
        <v>4.3154442557457582</v>
      </c>
      <c r="F45" s="7">
        <v>1.6895848166325931</v>
      </c>
      <c r="G45" s="8">
        <v>0</v>
      </c>
      <c r="H45" s="9">
        <v>0</v>
      </c>
      <c r="I45" s="9">
        <v>0</v>
      </c>
      <c r="J45" s="9">
        <v>1</v>
      </c>
      <c r="K45" s="9">
        <v>0</v>
      </c>
      <c r="L45" s="8">
        <f t="shared" si="6"/>
        <v>94065</v>
      </c>
      <c r="M45" s="9">
        <v>7</v>
      </c>
      <c r="N45" s="9">
        <f t="shared" si="0"/>
        <v>94057</v>
      </c>
      <c r="O45" s="9">
        <f t="shared" si="1"/>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3"/>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35">
      <c r="A46">
        <v>45</v>
      </c>
      <c r="B46">
        <v>2</v>
      </c>
      <c r="C46" s="22" t="s">
        <v>118</v>
      </c>
      <c r="D46" s="11">
        <v>5.7318486246754397</v>
      </c>
      <c r="E46" s="12">
        <v>1.3417747287395361</v>
      </c>
      <c r="F46" s="7">
        <v>4.2718412427248067</v>
      </c>
      <c r="G46" s="8">
        <v>0</v>
      </c>
      <c r="H46" s="9">
        <v>0</v>
      </c>
      <c r="I46" s="9">
        <v>0</v>
      </c>
      <c r="J46" s="9">
        <v>1</v>
      </c>
      <c r="K46" s="9">
        <v>0</v>
      </c>
      <c r="L46" s="8">
        <f t="shared" si="6"/>
        <v>94065</v>
      </c>
      <c r="M46" s="9">
        <v>7</v>
      </c>
      <c r="N46" s="9">
        <f t="shared" si="0"/>
        <v>94057</v>
      </c>
      <c r="O46" s="9">
        <f t="shared" si="1"/>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3"/>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35">
      <c r="A47">
        <v>46</v>
      </c>
      <c r="B47">
        <v>2</v>
      </c>
      <c r="C47" s="22" t="s">
        <v>118</v>
      </c>
      <c r="D47" s="11">
        <v>6.498652656427617</v>
      </c>
      <c r="E47" s="12">
        <v>0.2487559770077141</v>
      </c>
      <c r="F47" s="7">
        <v>26.12460908316622</v>
      </c>
      <c r="G47" s="8">
        <v>0</v>
      </c>
      <c r="H47" s="9">
        <v>0</v>
      </c>
      <c r="I47" s="9">
        <v>0</v>
      </c>
      <c r="J47" s="9">
        <v>1</v>
      </c>
      <c r="K47" s="9">
        <v>0</v>
      </c>
      <c r="L47" s="8">
        <f t="shared" si="6"/>
        <v>94065</v>
      </c>
      <c r="M47" s="9">
        <v>7</v>
      </c>
      <c r="N47" s="9">
        <f t="shared" si="0"/>
        <v>94057</v>
      </c>
      <c r="O47" s="9">
        <f t="shared" si="1"/>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3"/>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35">
      <c r="A48">
        <v>47</v>
      </c>
      <c r="B48">
        <v>2</v>
      </c>
      <c r="C48" s="22" t="s">
        <v>118</v>
      </c>
      <c r="D48" s="11">
        <v>6.7528759477039513</v>
      </c>
      <c r="E48" s="12">
        <v>0.4922600970463743</v>
      </c>
      <c r="F48" s="7">
        <v>13.71810550605686</v>
      </c>
      <c r="G48" s="8">
        <v>0</v>
      </c>
      <c r="H48" s="9">
        <v>0</v>
      </c>
      <c r="I48" s="9">
        <v>0</v>
      </c>
      <c r="J48" s="9">
        <v>1</v>
      </c>
      <c r="K48" s="9">
        <v>0</v>
      </c>
      <c r="L48" s="8">
        <f t="shared" si="6"/>
        <v>94065</v>
      </c>
      <c r="M48" s="9">
        <v>7</v>
      </c>
      <c r="N48" s="9">
        <f t="shared" si="0"/>
        <v>94057</v>
      </c>
      <c r="O48" s="9">
        <f t="shared" si="1"/>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3"/>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35">
      <c r="A49">
        <v>48</v>
      </c>
      <c r="B49">
        <v>2</v>
      </c>
      <c r="C49" s="22" t="s">
        <v>118</v>
      </c>
      <c r="D49" s="11">
        <v>6.9646498615203436</v>
      </c>
      <c r="E49" s="12">
        <v>8.8829223683265374E-2</v>
      </c>
      <c r="F49" s="7">
        <v>78.404938968665348</v>
      </c>
      <c r="G49" s="8">
        <v>0</v>
      </c>
      <c r="H49" s="9">
        <v>0</v>
      </c>
      <c r="I49" s="9">
        <v>0</v>
      </c>
      <c r="J49" s="9">
        <v>1</v>
      </c>
      <c r="K49" s="9">
        <v>0</v>
      </c>
      <c r="L49" s="8">
        <f t="shared" si="6"/>
        <v>94065</v>
      </c>
      <c r="M49" s="9">
        <v>7</v>
      </c>
      <c r="N49" s="9">
        <f t="shared" si="0"/>
        <v>94057</v>
      </c>
      <c r="O49" s="9">
        <f t="shared" si="1"/>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3"/>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35">
      <c r="A50">
        <v>49</v>
      </c>
      <c r="B50">
        <v>2</v>
      </c>
      <c r="C50" s="22" t="s">
        <v>118</v>
      </c>
      <c r="D50" s="11">
        <v>4.5254472798147649</v>
      </c>
      <c r="E50" s="12">
        <v>1.098340952152169</v>
      </c>
      <c r="F50" s="7">
        <v>4.120257257955533</v>
      </c>
      <c r="G50" s="8">
        <v>0</v>
      </c>
      <c r="H50" s="9">
        <v>0</v>
      </c>
      <c r="I50" s="9">
        <v>0</v>
      </c>
      <c r="J50" s="9">
        <v>1</v>
      </c>
      <c r="K50" s="9">
        <v>0</v>
      </c>
      <c r="L50" s="8">
        <f t="shared" si="6"/>
        <v>94065</v>
      </c>
      <c r="M50" s="9">
        <v>7</v>
      </c>
      <c r="N50" s="9">
        <f t="shared" si="0"/>
        <v>94057</v>
      </c>
      <c r="O50" s="9">
        <f t="shared" si="1"/>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3"/>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35">
      <c r="A51">
        <v>50</v>
      </c>
      <c r="B51">
        <v>2</v>
      </c>
      <c r="C51" s="22" t="s">
        <v>118</v>
      </c>
      <c r="D51" s="11">
        <v>6.3895988043532581</v>
      </c>
      <c r="E51" s="12">
        <v>0.20294420901784191</v>
      </c>
      <c r="F51" s="7">
        <v>31.484509143059679</v>
      </c>
      <c r="G51" s="8">
        <v>0</v>
      </c>
      <c r="H51" s="9">
        <v>0</v>
      </c>
      <c r="I51" s="9">
        <v>0</v>
      </c>
      <c r="J51" s="9">
        <v>1</v>
      </c>
      <c r="K51" s="9">
        <v>0</v>
      </c>
      <c r="L51" s="8">
        <f t="shared" si="6"/>
        <v>94065</v>
      </c>
      <c r="M51" s="9">
        <v>7</v>
      </c>
      <c r="N51" s="9">
        <f t="shared" si="0"/>
        <v>94057</v>
      </c>
      <c r="O51" s="9">
        <f t="shared" si="1"/>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3"/>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35">
      <c r="A52">
        <v>51</v>
      </c>
      <c r="B52">
        <v>2</v>
      </c>
      <c r="C52" s="22" t="s">
        <v>118</v>
      </c>
      <c r="D52" s="11">
        <v>6.7721698009290954</v>
      </c>
      <c r="E52" s="12">
        <v>0.31817605232351998</v>
      </c>
      <c r="F52" s="7">
        <v>21.284347930884451</v>
      </c>
      <c r="G52" s="8">
        <v>0</v>
      </c>
      <c r="H52" s="9">
        <v>0</v>
      </c>
      <c r="I52" s="9">
        <v>0</v>
      </c>
      <c r="J52" s="9">
        <v>1</v>
      </c>
      <c r="K52" s="9">
        <v>0</v>
      </c>
      <c r="L52" s="8">
        <f t="shared" si="6"/>
        <v>94065</v>
      </c>
      <c r="M52" s="9">
        <v>7</v>
      </c>
      <c r="N52" s="9">
        <f t="shared" si="0"/>
        <v>94057</v>
      </c>
      <c r="O52" s="9">
        <f t="shared" si="1"/>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3"/>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35">
      <c r="A53" s="47">
        <v>52</v>
      </c>
      <c r="B53" s="47">
        <v>2</v>
      </c>
      <c r="C53" s="48" t="s">
        <v>118</v>
      </c>
      <c r="D53" s="49">
        <v>5.6790961885834426</v>
      </c>
      <c r="E53" s="50">
        <v>0.48568387002052399</v>
      </c>
      <c r="F53" s="51">
        <v>11.6929890802086</v>
      </c>
      <c r="G53" s="53">
        <v>0</v>
      </c>
      <c r="H53" s="54">
        <v>0</v>
      </c>
      <c r="I53" s="54">
        <v>0</v>
      </c>
      <c r="J53" s="54">
        <v>1</v>
      </c>
      <c r="K53" s="54">
        <v>0</v>
      </c>
      <c r="L53" s="53">
        <f t="shared" si="6"/>
        <v>94065</v>
      </c>
      <c r="M53" s="54">
        <v>7</v>
      </c>
      <c r="N53" s="54">
        <f t="shared" si="0"/>
        <v>94057</v>
      </c>
      <c r="O53" s="54">
        <f t="shared" si="1"/>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3"/>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35">
      <c r="A54">
        <v>53</v>
      </c>
      <c r="B54">
        <v>3</v>
      </c>
      <c r="C54" s="22" t="s">
        <v>120</v>
      </c>
      <c r="D54" s="11">
        <v>7.75</v>
      </c>
      <c r="E54" s="12">
        <f t="shared" ref="E54:E63" si="7">D54/F54</f>
        <v>0.59237178017274328</v>
      </c>
      <c r="F54" s="7">
        <v>13.083</v>
      </c>
      <c r="G54" s="8">
        <v>0</v>
      </c>
      <c r="H54" s="9">
        <v>0</v>
      </c>
      <c r="I54" s="9">
        <v>0</v>
      </c>
      <c r="J54" s="9">
        <v>1</v>
      </c>
      <c r="K54" s="9">
        <v>0</v>
      </c>
      <c r="L54" s="8">
        <v>1321</v>
      </c>
      <c r="M54" s="9">
        <v>3</v>
      </c>
      <c r="N54" s="9">
        <f t="shared" si="0"/>
        <v>1317</v>
      </c>
      <c r="O54" s="9">
        <f t="shared" si="1"/>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3"/>
        <v>0.52160000000000006</v>
      </c>
      <c r="AK54" s="36">
        <v>0.47839999999999999</v>
      </c>
      <c r="AL54">
        <f t="shared" ref="AL54:AL63" si="8">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9">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35">
      <c r="A55">
        <v>54</v>
      </c>
      <c r="B55">
        <v>3</v>
      </c>
      <c r="C55" s="22" t="s">
        <v>120</v>
      </c>
      <c r="D55" s="11">
        <v>13.07</v>
      </c>
      <c r="E55" s="12">
        <f t="shared" si="7"/>
        <v>1.8607630979498861</v>
      </c>
      <c r="F55" s="7">
        <v>7.024</v>
      </c>
      <c r="G55" s="8">
        <v>0</v>
      </c>
      <c r="H55" s="9">
        <v>0</v>
      </c>
      <c r="I55" s="9">
        <v>0</v>
      </c>
      <c r="J55" s="9">
        <v>1</v>
      </c>
      <c r="K55" s="9">
        <v>0</v>
      </c>
      <c r="L55" s="8">
        <v>1321</v>
      </c>
      <c r="M55" s="9">
        <v>3</v>
      </c>
      <c r="N55" s="9">
        <f t="shared" si="0"/>
        <v>1317</v>
      </c>
      <c r="O55" s="9">
        <f t="shared" si="1"/>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3"/>
        <v>0.52160000000000006</v>
      </c>
      <c r="AK55" s="36">
        <v>0.47839999999999999</v>
      </c>
      <c r="AL55">
        <f t="shared" si="8"/>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9"/>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35">
      <c r="A56">
        <v>55</v>
      </c>
      <c r="B56">
        <v>3</v>
      </c>
      <c r="C56" s="22" t="s">
        <v>120</v>
      </c>
      <c r="D56" s="11">
        <v>7.2</v>
      </c>
      <c r="E56" s="12">
        <f t="shared" si="7"/>
        <v>0.59990001666388937</v>
      </c>
      <c r="F56" s="7">
        <v>12.002000000000001</v>
      </c>
      <c r="G56" s="8">
        <v>0</v>
      </c>
      <c r="H56" s="9">
        <v>0</v>
      </c>
      <c r="I56" s="9">
        <v>0</v>
      </c>
      <c r="J56" s="9">
        <v>1</v>
      </c>
      <c r="K56" s="9">
        <v>0</v>
      </c>
      <c r="L56" s="8">
        <v>1321</v>
      </c>
      <c r="M56" s="9">
        <v>13</v>
      </c>
      <c r="N56" s="9">
        <f t="shared" si="0"/>
        <v>1307</v>
      </c>
      <c r="O56" s="9">
        <f t="shared" si="1"/>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3"/>
        <v>0.52160000000000006</v>
      </c>
      <c r="AK56" s="36">
        <v>0.47839999999999999</v>
      </c>
      <c r="AL56">
        <f t="shared" si="8"/>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9"/>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35">
      <c r="A57">
        <v>56</v>
      </c>
      <c r="B57">
        <v>3</v>
      </c>
      <c r="C57" s="22" t="s">
        <v>120</v>
      </c>
      <c r="D57" s="11">
        <v>12.06</v>
      </c>
      <c r="E57" s="12">
        <f t="shared" si="7"/>
        <v>1.8116268589454709</v>
      </c>
      <c r="F57" s="7">
        <v>6.657</v>
      </c>
      <c r="G57" s="8">
        <v>0</v>
      </c>
      <c r="H57" s="9">
        <v>0</v>
      </c>
      <c r="I57" s="9">
        <v>0</v>
      </c>
      <c r="J57" s="9">
        <v>1</v>
      </c>
      <c r="K57" s="9">
        <v>0</v>
      </c>
      <c r="L57" s="8">
        <v>1321</v>
      </c>
      <c r="M57" s="9">
        <v>13</v>
      </c>
      <c r="N57" s="9">
        <f t="shared" si="0"/>
        <v>1307</v>
      </c>
      <c r="O57" s="9">
        <f t="shared" si="1"/>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3"/>
        <v>0.52160000000000006</v>
      </c>
      <c r="AK57" s="36">
        <v>0.47839999999999999</v>
      </c>
      <c r="AL57">
        <f t="shared" si="8"/>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9"/>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35">
      <c r="A58">
        <v>57</v>
      </c>
      <c r="B58">
        <v>3</v>
      </c>
      <c r="C58" s="22" t="s">
        <v>120</v>
      </c>
      <c r="D58" s="11">
        <v>7.87</v>
      </c>
      <c r="E58" s="12">
        <f t="shared" si="7"/>
        <v>0.58240213128098872</v>
      </c>
      <c r="F58" s="7">
        <v>13.513</v>
      </c>
      <c r="G58" s="8">
        <v>0</v>
      </c>
      <c r="H58" s="9">
        <v>0</v>
      </c>
      <c r="I58" s="9">
        <v>0</v>
      </c>
      <c r="J58" s="9">
        <v>1</v>
      </c>
      <c r="K58" s="9">
        <v>0</v>
      </c>
      <c r="L58" s="8">
        <v>1321</v>
      </c>
      <c r="M58" s="9">
        <v>4</v>
      </c>
      <c r="N58" s="9">
        <f t="shared" si="0"/>
        <v>1316</v>
      </c>
      <c r="O58" s="9">
        <f t="shared" si="1"/>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3"/>
        <v>0.52160000000000006</v>
      </c>
      <c r="AK58" s="36">
        <v>0.47839999999999999</v>
      </c>
      <c r="AL58">
        <f t="shared" si="8"/>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9"/>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35">
      <c r="A59">
        <v>58</v>
      </c>
      <c r="B59">
        <v>3</v>
      </c>
      <c r="C59" s="22" t="s">
        <v>120</v>
      </c>
      <c r="D59" s="11">
        <v>7.27</v>
      </c>
      <c r="E59" s="12">
        <f t="shared" si="7"/>
        <v>0.59187494911666527</v>
      </c>
      <c r="F59" s="7">
        <v>12.282999999999999</v>
      </c>
      <c r="G59" s="8">
        <v>0</v>
      </c>
      <c r="H59" s="9">
        <v>0</v>
      </c>
      <c r="I59" s="9">
        <v>0</v>
      </c>
      <c r="J59" s="9">
        <v>1</v>
      </c>
      <c r="K59" s="9">
        <v>0</v>
      </c>
      <c r="L59" s="8">
        <v>1321</v>
      </c>
      <c r="M59" s="9">
        <v>14</v>
      </c>
      <c r="N59" s="9">
        <f t="shared" si="0"/>
        <v>1306</v>
      </c>
      <c r="O59" s="9">
        <f t="shared" si="1"/>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3"/>
        <v>0.52160000000000006</v>
      </c>
      <c r="AK59" s="36">
        <v>0.47839999999999999</v>
      </c>
      <c r="AL59">
        <f t="shared" si="8"/>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9"/>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35">
      <c r="A60">
        <v>59</v>
      </c>
      <c r="B60">
        <v>3</v>
      </c>
      <c r="C60" s="22" t="s">
        <v>120</v>
      </c>
      <c r="D60" s="11">
        <v>7.7720000000000002</v>
      </c>
      <c r="E60" s="12">
        <f t="shared" si="7"/>
        <v>0.60047902341033765</v>
      </c>
      <c r="F60" s="7">
        <v>12.943</v>
      </c>
      <c r="G60" s="8">
        <v>0</v>
      </c>
      <c r="H60" s="9">
        <v>0</v>
      </c>
      <c r="I60" s="9">
        <v>0</v>
      </c>
      <c r="J60" s="9">
        <v>1</v>
      </c>
      <c r="K60" s="9">
        <v>0</v>
      </c>
      <c r="L60" s="8">
        <v>1321</v>
      </c>
      <c r="M60" s="9">
        <v>4</v>
      </c>
      <c r="N60" s="9">
        <f t="shared" si="0"/>
        <v>1316</v>
      </c>
      <c r="O60" s="9">
        <f t="shared" si="1"/>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3"/>
        <v>0.52160000000000006</v>
      </c>
      <c r="AK60" s="36">
        <v>0.47839999999999999</v>
      </c>
      <c r="AL60">
        <f t="shared" si="8"/>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9"/>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35">
      <c r="A61">
        <v>60</v>
      </c>
      <c r="B61">
        <v>3</v>
      </c>
      <c r="C61" s="22" t="s">
        <v>120</v>
      </c>
      <c r="D61" s="11">
        <v>12.96</v>
      </c>
      <c r="E61" s="12">
        <f t="shared" si="7"/>
        <v>1.8861883277543299</v>
      </c>
      <c r="F61" s="7">
        <v>6.8710000000000004</v>
      </c>
      <c r="G61" s="8">
        <v>0</v>
      </c>
      <c r="H61" s="9">
        <v>0</v>
      </c>
      <c r="I61" s="9">
        <v>0</v>
      </c>
      <c r="J61" s="9">
        <v>1</v>
      </c>
      <c r="K61" s="9">
        <v>0</v>
      </c>
      <c r="L61" s="8">
        <v>1321</v>
      </c>
      <c r="M61" s="9">
        <v>14</v>
      </c>
      <c r="N61" s="9">
        <f t="shared" si="0"/>
        <v>1306</v>
      </c>
      <c r="O61" s="9">
        <f t="shared" si="1"/>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3"/>
        <v>0.52160000000000006</v>
      </c>
      <c r="AK61" s="36">
        <v>0.47839999999999999</v>
      </c>
      <c r="AL61">
        <f t="shared" si="8"/>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9"/>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35">
      <c r="A62">
        <v>61</v>
      </c>
      <c r="B62">
        <v>3</v>
      </c>
      <c r="C62" s="22" t="s">
        <v>120</v>
      </c>
      <c r="D62" s="11">
        <v>7.18</v>
      </c>
      <c r="E62" s="12">
        <f t="shared" si="7"/>
        <v>0.60224794497567513</v>
      </c>
      <c r="F62" s="7">
        <v>11.922000000000001</v>
      </c>
      <c r="G62" s="8">
        <v>0</v>
      </c>
      <c r="H62" s="9">
        <v>0</v>
      </c>
      <c r="I62" s="9">
        <v>0</v>
      </c>
      <c r="J62" s="9">
        <v>1</v>
      </c>
      <c r="K62" s="9">
        <v>0</v>
      </c>
      <c r="L62" s="8">
        <v>1321</v>
      </c>
      <c r="M62" s="9">
        <v>4</v>
      </c>
      <c r="N62" s="9">
        <f t="shared" si="0"/>
        <v>1316</v>
      </c>
      <c r="O62" s="9">
        <f t="shared" si="1"/>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3"/>
        <v>0.52160000000000006</v>
      </c>
      <c r="AK62" s="36">
        <v>0.47839999999999999</v>
      </c>
      <c r="AL62">
        <f t="shared" si="8"/>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9"/>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35">
      <c r="A63" s="47">
        <v>62</v>
      </c>
      <c r="B63" s="47">
        <v>3</v>
      </c>
      <c r="C63" s="48" t="s">
        <v>120</v>
      </c>
      <c r="D63" s="49">
        <v>11.97</v>
      </c>
      <c r="E63" s="50">
        <f t="shared" si="7"/>
        <v>1.8274809160305345</v>
      </c>
      <c r="F63" s="51">
        <v>6.55</v>
      </c>
      <c r="G63" s="53">
        <v>0</v>
      </c>
      <c r="H63" s="54">
        <v>0</v>
      </c>
      <c r="I63" s="54">
        <v>0</v>
      </c>
      <c r="J63" s="54">
        <v>1</v>
      </c>
      <c r="K63" s="54">
        <v>0</v>
      </c>
      <c r="L63" s="53">
        <v>1321</v>
      </c>
      <c r="M63" s="54">
        <v>14</v>
      </c>
      <c r="N63" s="54">
        <f t="shared" si="0"/>
        <v>1306</v>
      </c>
      <c r="O63" s="54">
        <f t="shared" si="1"/>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3"/>
        <v>0.52160000000000006</v>
      </c>
      <c r="AK63" s="60">
        <v>0.47839999999999999</v>
      </c>
      <c r="AL63" s="47">
        <f t="shared" si="8"/>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9"/>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35">
      <c r="A64">
        <v>63</v>
      </c>
      <c r="B64">
        <v>4</v>
      </c>
      <c r="C64" s="22" t="s">
        <v>121</v>
      </c>
      <c r="D64" s="11">
        <v>6.8</v>
      </c>
      <c r="E64" s="12">
        <v>0.18</v>
      </c>
      <c r="F64" s="7">
        <f t="shared" ref="F64:F76" si="10">D64/E64</f>
        <v>37.777777777777779</v>
      </c>
      <c r="G64" s="8">
        <v>0</v>
      </c>
      <c r="H64" s="9">
        <v>0</v>
      </c>
      <c r="I64" s="9">
        <v>0</v>
      </c>
      <c r="J64" s="9">
        <v>1</v>
      </c>
      <c r="K64" s="9">
        <v>0</v>
      </c>
      <c r="L64" s="8">
        <v>18623</v>
      </c>
      <c r="M64" s="9">
        <v>3</v>
      </c>
      <c r="N64" s="9">
        <f t="shared" si="0"/>
        <v>18619</v>
      </c>
      <c r="O64" s="9">
        <f t="shared" si="1"/>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9"/>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35">
      <c r="A65">
        <v>64</v>
      </c>
      <c r="B65">
        <v>4</v>
      </c>
      <c r="C65" s="22" t="s">
        <v>121</v>
      </c>
      <c r="D65" s="11">
        <v>7.23</v>
      </c>
      <c r="E65" s="12">
        <v>0.23</v>
      </c>
      <c r="F65" s="7">
        <f t="shared" si="10"/>
        <v>31.434782608695652</v>
      </c>
      <c r="G65" s="8">
        <v>0</v>
      </c>
      <c r="H65" s="9">
        <v>0</v>
      </c>
      <c r="I65" s="9">
        <v>0</v>
      </c>
      <c r="J65" s="9">
        <v>1</v>
      </c>
      <c r="K65" s="9">
        <v>0</v>
      </c>
      <c r="L65" s="8">
        <v>8840</v>
      </c>
      <c r="M65" s="9">
        <v>8</v>
      </c>
      <c r="N65" s="9">
        <f t="shared" si="0"/>
        <v>8831</v>
      </c>
      <c r="O65" s="9">
        <f t="shared" si="1"/>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9"/>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35">
      <c r="A66">
        <v>65</v>
      </c>
      <c r="B66">
        <v>4</v>
      </c>
      <c r="C66" s="22" t="s">
        <v>121</v>
      </c>
      <c r="D66" s="11">
        <v>6.4</v>
      </c>
      <c r="E66" s="12">
        <v>0.27</v>
      </c>
      <c r="F66" s="7">
        <f t="shared" si="10"/>
        <v>23.703703703703702</v>
      </c>
      <c r="G66" s="8">
        <v>0</v>
      </c>
      <c r="H66" s="9">
        <v>0</v>
      </c>
      <c r="I66" s="9">
        <v>0</v>
      </c>
      <c r="J66" s="9">
        <v>1</v>
      </c>
      <c r="K66" s="9">
        <v>0</v>
      </c>
      <c r="L66" s="8">
        <v>9783</v>
      </c>
      <c r="M66" s="9">
        <v>8</v>
      </c>
      <c r="N66" s="9">
        <f t="shared" ref="N66:N129" si="11">L66-M66-1</f>
        <v>9774</v>
      </c>
      <c r="O66" s="9">
        <f t="shared" ref="O66:O129" si="12">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9"/>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35">
      <c r="A67">
        <v>66</v>
      </c>
      <c r="B67">
        <v>4</v>
      </c>
      <c r="C67" s="22" t="s">
        <v>121</v>
      </c>
      <c r="D67" s="11">
        <v>7.51</v>
      </c>
      <c r="E67" s="12">
        <v>0.22</v>
      </c>
      <c r="F67" s="7">
        <f t="shared" si="10"/>
        <v>34.136363636363633</v>
      </c>
      <c r="G67" s="8">
        <v>0</v>
      </c>
      <c r="H67" s="9">
        <v>0</v>
      </c>
      <c r="I67" s="9">
        <v>0</v>
      </c>
      <c r="J67" s="9">
        <v>1</v>
      </c>
      <c r="K67" s="9">
        <v>0</v>
      </c>
      <c r="L67" s="8">
        <v>11781</v>
      </c>
      <c r="M67" s="9">
        <v>8</v>
      </c>
      <c r="N67" s="9">
        <f t="shared" si="11"/>
        <v>11772</v>
      </c>
      <c r="O67" s="9">
        <f t="shared" si="12"/>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9"/>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35">
      <c r="A68" s="47">
        <v>67</v>
      </c>
      <c r="B68" s="47">
        <v>4</v>
      </c>
      <c r="C68" s="48" t="s">
        <v>121</v>
      </c>
      <c r="D68" s="49">
        <v>6.4</v>
      </c>
      <c r="E68" s="50">
        <v>0.31</v>
      </c>
      <c r="F68" s="51">
        <f t="shared" si="10"/>
        <v>20.645161290322584</v>
      </c>
      <c r="G68" s="53">
        <v>0</v>
      </c>
      <c r="H68" s="54">
        <v>0</v>
      </c>
      <c r="I68" s="54">
        <v>0</v>
      </c>
      <c r="J68" s="54">
        <v>1</v>
      </c>
      <c r="K68" s="54">
        <v>0</v>
      </c>
      <c r="L68" s="53">
        <v>6842</v>
      </c>
      <c r="M68" s="54">
        <v>8</v>
      </c>
      <c r="N68" s="54">
        <f t="shared" si="11"/>
        <v>6833</v>
      </c>
      <c r="O68" s="54">
        <f t="shared" si="12"/>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9"/>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35">
      <c r="A69">
        <v>68</v>
      </c>
      <c r="B69">
        <v>5</v>
      </c>
      <c r="C69" s="22" t="s">
        <v>124</v>
      </c>
      <c r="D69" s="11">
        <v>8.1199999999999992</v>
      </c>
      <c r="E69" s="12">
        <v>7.0000000000000007E-2</v>
      </c>
      <c r="F69" s="7">
        <f t="shared" si="10"/>
        <v>115.99999999999997</v>
      </c>
      <c r="G69" s="8">
        <v>0</v>
      </c>
      <c r="H69" s="9">
        <v>0</v>
      </c>
      <c r="I69" s="9">
        <v>1</v>
      </c>
      <c r="J69" s="9">
        <v>0</v>
      </c>
      <c r="K69" s="9">
        <v>0</v>
      </c>
      <c r="L69" s="8">
        <v>964279</v>
      </c>
      <c r="M69" s="9">
        <f>8+23+92+16+5+1+1+1+0</f>
        <v>147</v>
      </c>
      <c r="N69" s="9">
        <f t="shared" si="11"/>
        <v>964131</v>
      </c>
      <c r="O69" s="9">
        <f t="shared" si="12"/>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3">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9"/>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35">
      <c r="A70">
        <v>69</v>
      </c>
      <c r="B70">
        <v>5</v>
      </c>
      <c r="C70" s="22" t="s">
        <v>124</v>
      </c>
      <c r="D70" s="11">
        <v>7.19</v>
      </c>
      <c r="E70" s="12">
        <v>0.1</v>
      </c>
      <c r="F70" s="7">
        <f t="shared" si="10"/>
        <v>71.900000000000006</v>
      </c>
      <c r="G70" s="8">
        <v>0</v>
      </c>
      <c r="H70" s="9">
        <v>0</v>
      </c>
      <c r="I70" s="9">
        <v>1</v>
      </c>
      <c r="J70" s="9">
        <v>0</v>
      </c>
      <c r="K70" s="9">
        <v>0</v>
      </c>
      <c r="L70" s="8">
        <v>964279</v>
      </c>
      <c r="M70" s="9">
        <f>8+23+92+16+5+1+1+1+1</f>
        <v>148</v>
      </c>
      <c r="N70" s="9">
        <f t="shared" si="11"/>
        <v>964130</v>
      </c>
      <c r="O70" s="9">
        <f t="shared" si="12"/>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3"/>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9"/>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35">
      <c r="A71">
        <v>70</v>
      </c>
      <c r="B71">
        <v>5</v>
      </c>
      <c r="C71" s="22" t="s">
        <v>124</v>
      </c>
      <c r="D71" s="11">
        <v>7.4</v>
      </c>
      <c r="E71" s="12">
        <v>7.0000000000000007E-2</v>
      </c>
      <c r="F71" s="7">
        <f t="shared" si="10"/>
        <v>105.71428571428571</v>
      </c>
      <c r="G71" s="8">
        <v>0</v>
      </c>
      <c r="H71" s="9">
        <v>0</v>
      </c>
      <c r="I71" s="9">
        <v>1</v>
      </c>
      <c r="J71" s="9">
        <v>0</v>
      </c>
      <c r="K71" s="9">
        <v>0</v>
      </c>
      <c r="L71" s="8">
        <v>964279</v>
      </c>
      <c r="M71" s="9">
        <f>9+23+92+16+5+1+1+1+0</f>
        <v>148</v>
      </c>
      <c r="N71" s="9">
        <f t="shared" si="11"/>
        <v>964130</v>
      </c>
      <c r="O71" s="9">
        <f t="shared" si="12"/>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3"/>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9"/>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35">
      <c r="A72">
        <v>71</v>
      </c>
      <c r="B72">
        <v>5</v>
      </c>
      <c r="C72" s="22" t="s">
        <v>124</v>
      </c>
      <c r="D72" s="11">
        <v>6.45</v>
      </c>
      <c r="E72" s="12">
        <v>0.1</v>
      </c>
      <c r="F72" s="7">
        <f t="shared" si="10"/>
        <v>64.5</v>
      </c>
      <c r="G72" s="8">
        <v>0</v>
      </c>
      <c r="H72" s="9">
        <v>0</v>
      </c>
      <c r="I72" s="9">
        <v>1</v>
      </c>
      <c r="J72" s="9">
        <v>0</v>
      </c>
      <c r="K72" s="9">
        <v>0</v>
      </c>
      <c r="L72" s="8">
        <v>964279</v>
      </c>
      <c r="M72" s="9">
        <f>9+23+92+16+5+1+1+1+1</f>
        <v>149</v>
      </c>
      <c r="N72" s="9">
        <f t="shared" si="11"/>
        <v>964129</v>
      </c>
      <c r="O72" s="9">
        <f t="shared" si="12"/>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3"/>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9"/>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35">
      <c r="A73">
        <v>72</v>
      </c>
      <c r="B73">
        <v>5</v>
      </c>
      <c r="C73" s="22" t="s">
        <v>124</v>
      </c>
      <c r="D73" s="11">
        <v>8.01</v>
      </c>
      <c r="E73" s="12">
        <v>1.17</v>
      </c>
      <c r="F73" s="7">
        <f t="shared" si="10"/>
        <v>6.8461538461538467</v>
      </c>
      <c r="G73" s="8">
        <v>0</v>
      </c>
      <c r="H73" s="9">
        <v>0</v>
      </c>
      <c r="I73" s="9">
        <v>1</v>
      </c>
      <c r="J73" s="9">
        <v>0</v>
      </c>
      <c r="K73" s="9">
        <v>0</v>
      </c>
      <c r="L73" s="8">
        <v>971893</v>
      </c>
      <c r="M73" s="9">
        <f>6+23+92+0+0+1+0+0</f>
        <v>122</v>
      </c>
      <c r="N73" s="9">
        <f t="shared" si="11"/>
        <v>971770</v>
      </c>
      <c r="O73" s="9">
        <f t="shared" si="12"/>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3"/>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9"/>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35">
      <c r="A74">
        <v>73</v>
      </c>
      <c r="B74">
        <v>5</v>
      </c>
      <c r="C74" s="22" t="s">
        <v>124</v>
      </c>
      <c r="D74" s="11">
        <v>7.09</v>
      </c>
      <c r="E74" s="12">
        <v>0.85</v>
      </c>
      <c r="F74" s="7">
        <f t="shared" si="10"/>
        <v>8.3411764705882359</v>
      </c>
      <c r="G74" s="8">
        <v>0</v>
      </c>
      <c r="H74" s="9">
        <v>0</v>
      </c>
      <c r="I74" s="9">
        <v>1</v>
      </c>
      <c r="J74" s="9">
        <v>0</v>
      </c>
      <c r="K74" s="9">
        <v>0</v>
      </c>
      <c r="L74" s="8">
        <v>964279</v>
      </c>
      <c r="M74" s="9">
        <f>10+23+92+16+5+1+1+1</f>
        <v>149</v>
      </c>
      <c r="N74" s="9">
        <f t="shared" si="11"/>
        <v>964129</v>
      </c>
      <c r="O74" s="9">
        <f t="shared" si="12"/>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3"/>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9"/>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35">
      <c r="A75">
        <v>74</v>
      </c>
      <c r="B75">
        <v>5</v>
      </c>
      <c r="C75" s="22" t="s">
        <v>124</v>
      </c>
      <c r="D75" s="11">
        <v>7.08</v>
      </c>
      <c r="E75" s="12">
        <v>0.85</v>
      </c>
      <c r="F75" s="7">
        <f t="shared" si="10"/>
        <v>8.329411764705883</v>
      </c>
      <c r="G75" s="8">
        <v>0</v>
      </c>
      <c r="H75" s="9">
        <v>0</v>
      </c>
      <c r="I75" s="9">
        <v>1</v>
      </c>
      <c r="J75" s="9">
        <v>0</v>
      </c>
      <c r="K75" s="9">
        <v>0</v>
      </c>
      <c r="L75" s="8">
        <v>964279</v>
      </c>
      <c r="M75" s="9">
        <f>11+23+92+16+5+1+1+1</f>
        <v>150</v>
      </c>
      <c r="N75" s="9">
        <f t="shared" si="11"/>
        <v>964128</v>
      </c>
      <c r="O75" s="9">
        <f t="shared" si="12"/>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3"/>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9"/>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35">
      <c r="A76" s="47">
        <v>75</v>
      </c>
      <c r="B76" s="47">
        <v>5</v>
      </c>
      <c r="C76" s="48" t="s">
        <v>124</v>
      </c>
      <c r="D76" s="49">
        <v>6.22</v>
      </c>
      <c r="E76" s="50">
        <v>0.9</v>
      </c>
      <c r="F76" s="51">
        <f t="shared" si="10"/>
        <v>6.9111111111111105</v>
      </c>
      <c r="G76" s="53">
        <v>0</v>
      </c>
      <c r="H76" s="54">
        <v>0</v>
      </c>
      <c r="I76" s="54">
        <v>1</v>
      </c>
      <c r="J76" s="54">
        <v>0</v>
      </c>
      <c r="K76" s="54">
        <v>0</v>
      </c>
      <c r="L76" s="53">
        <v>964279</v>
      </c>
      <c r="M76" s="54">
        <f>12+23+92+16+5+1+1+1</f>
        <v>151</v>
      </c>
      <c r="N76" s="54">
        <f t="shared" si="11"/>
        <v>964127</v>
      </c>
      <c r="O76" s="54">
        <f t="shared" si="12"/>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3"/>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9"/>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35">
      <c r="A77">
        <v>76</v>
      </c>
      <c r="B77">
        <v>6</v>
      </c>
      <c r="C77" s="22" t="s">
        <v>125</v>
      </c>
      <c r="D77" s="11">
        <v>1.6</v>
      </c>
      <c r="E77" s="12">
        <f>D77/F77</f>
        <v>2.5330082639394611</v>
      </c>
      <c r="F77" s="7">
        <v>0.63166</v>
      </c>
      <c r="G77" s="8">
        <v>0</v>
      </c>
      <c r="H77" s="9">
        <v>1</v>
      </c>
      <c r="I77" s="9">
        <v>0</v>
      </c>
      <c r="J77" s="9">
        <v>0</v>
      </c>
      <c r="K77" s="9">
        <v>0</v>
      </c>
      <c r="L77" s="8">
        <v>894</v>
      </c>
      <c r="M77" s="9">
        <v>6</v>
      </c>
      <c r="N77" s="9">
        <f t="shared" si="11"/>
        <v>887</v>
      </c>
      <c r="O77" s="9">
        <f t="shared" si="12"/>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3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1"/>
        <v>887</v>
      </c>
      <c r="O78" s="9">
        <f t="shared" si="12"/>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35">
      <c r="A79">
        <v>78</v>
      </c>
      <c r="B79">
        <v>6</v>
      </c>
      <c r="C79" s="22" t="s">
        <v>125</v>
      </c>
      <c r="D79" s="11">
        <v>10.7</v>
      </c>
      <c r="E79" s="12">
        <f>D79/F79</f>
        <v>0.82090468299269626</v>
      </c>
      <c r="F79" s="7">
        <v>13.0344</v>
      </c>
      <c r="G79" s="8">
        <v>0</v>
      </c>
      <c r="H79" s="9">
        <v>1</v>
      </c>
      <c r="I79" s="9">
        <v>0</v>
      </c>
      <c r="J79" s="9">
        <v>0</v>
      </c>
      <c r="K79" s="9">
        <v>0</v>
      </c>
      <c r="L79" s="8">
        <v>894</v>
      </c>
      <c r="M79" s="9">
        <v>6</v>
      </c>
      <c r="N79" s="9">
        <f t="shared" si="11"/>
        <v>887</v>
      </c>
      <c r="O79" s="9">
        <f t="shared" si="12"/>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3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1"/>
        <v>887</v>
      </c>
      <c r="O80" s="54">
        <f t="shared" si="12"/>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3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1"/>
        <v>63459</v>
      </c>
      <c r="O81" s="9">
        <f t="shared" si="12"/>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3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1"/>
        <v>40807</v>
      </c>
      <c r="O82" s="9">
        <f t="shared" si="12"/>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3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1"/>
        <v>22640</v>
      </c>
      <c r="O83" s="54">
        <f t="shared" si="12"/>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35">
      <c r="A84">
        <v>83</v>
      </c>
      <c r="B84">
        <v>8</v>
      </c>
      <c r="C84" s="22" t="s">
        <v>17</v>
      </c>
      <c r="D84" s="11">
        <v>12.1</v>
      </c>
      <c r="E84" s="12">
        <v>0.1</v>
      </c>
      <c r="F84" s="7">
        <f t="shared" ref="F84:F99" si="14">D84/E84</f>
        <v>120.99999999999999</v>
      </c>
      <c r="G84" s="8">
        <v>0</v>
      </c>
      <c r="H84" s="9">
        <v>0</v>
      </c>
      <c r="I84" s="9">
        <v>0</v>
      </c>
      <c r="J84" s="9">
        <v>1</v>
      </c>
      <c r="K84" s="9">
        <v>0</v>
      </c>
      <c r="L84" s="8">
        <v>36369</v>
      </c>
      <c r="M84" s="9">
        <v>10</v>
      </c>
      <c r="N84" s="9">
        <f t="shared" si="11"/>
        <v>36358</v>
      </c>
      <c r="O84" s="9">
        <f t="shared" si="12"/>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5">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35">
      <c r="A85">
        <v>84</v>
      </c>
      <c r="B85">
        <v>8</v>
      </c>
      <c r="C85" s="22" t="s">
        <v>17</v>
      </c>
      <c r="D85" s="11">
        <v>14.5</v>
      </c>
      <c r="E85" s="12">
        <v>0.2</v>
      </c>
      <c r="F85" s="7">
        <f t="shared" si="14"/>
        <v>72.5</v>
      </c>
      <c r="G85" s="8">
        <v>0</v>
      </c>
      <c r="H85" s="9">
        <v>0</v>
      </c>
      <c r="I85" s="9">
        <v>0</v>
      </c>
      <c r="J85" s="9">
        <v>1</v>
      </c>
      <c r="K85" s="9">
        <v>0</v>
      </c>
      <c r="L85" s="8">
        <v>18552</v>
      </c>
      <c r="M85" s="9">
        <v>10</v>
      </c>
      <c r="N85" s="9">
        <f t="shared" si="11"/>
        <v>18541</v>
      </c>
      <c r="O85" s="9">
        <f t="shared" si="12"/>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5"/>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35">
      <c r="A86">
        <v>85</v>
      </c>
      <c r="B86">
        <v>8</v>
      </c>
      <c r="C86" s="22" t="s">
        <v>17</v>
      </c>
      <c r="D86" s="11">
        <v>15.4</v>
      </c>
      <c r="E86" s="12">
        <v>0.2</v>
      </c>
      <c r="F86" s="7">
        <f t="shared" si="14"/>
        <v>77</v>
      </c>
      <c r="G86" s="8">
        <v>0</v>
      </c>
      <c r="H86" s="9">
        <v>0</v>
      </c>
      <c r="I86" s="9">
        <v>0</v>
      </c>
      <c r="J86" s="9">
        <v>1</v>
      </c>
      <c r="K86" s="9">
        <v>0</v>
      </c>
      <c r="L86" s="8">
        <v>18552</v>
      </c>
      <c r="M86" s="9">
        <v>11</v>
      </c>
      <c r="N86" s="9">
        <f t="shared" si="11"/>
        <v>18540</v>
      </c>
      <c r="O86" s="9">
        <f t="shared" si="12"/>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5"/>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35">
      <c r="A87" s="47">
        <v>86</v>
      </c>
      <c r="B87" s="47">
        <v>8</v>
      </c>
      <c r="C87" s="48" t="s">
        <v>17</v>
      </c>
      <c r="D87" s="49">
        <v>7.1</v>
      </c>
      <c r="E87" s="50">
        <v>0.4</v>
      </c>
      <c r="F87" s="51">
        <f t="shared" si="14"/>
        <v>17.749999999999996</v>
      </c>
      <c r="G87" s="53">
        <v>0</v>
      </c>
      <c r="H87" s="54">
        <v>0</v>
      </c>
      <c r="I87" s="54">
        <v>0</v>
      </c>
      <c r="J87" s="54">
        <v>1</v>
      </c>
      <c r="K87" s="54">
        <v>0</v>
      </c>
      <c r="L87" s="53">
        <v>20690</v>
      </c>
      <c r="M87" s="54">
        <v>10</v>
      </c>
      <c r="N87" s="54">
        <f t="shared" si="11"/>
        <v>20679</v>
      </c>
      <c r="O87" s="54">
        <f t="shared" si="12"/>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5"/>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35">
      <c r="A88">
        <v>87</v>
      </c>
      <c r="B88">
        <v>9</v>
      </c>
      <c r="C88" s="22" t="s">
        <v>4</v>
      </c>
      <c r="D88" s="11">
        <v>7.1</v>
      </c>
      <c r="E88" s="12">
        <v>0.2</v>
      </c>
      <c r="F88" s="7">
        <f t="shared" si="14"/>
        <v>35.499999999999993</v>
      </c>
      <c r="G88" s="8">
        <v>0</v>
      </c>
      <c r="H88" s="9">
        <v>0</v>
      </c>
      <c r="I88" s="9">
        <v>0</v>
      </c>
      <c r="J88" s="9">
        <v>1</v>
      </c>
      <c r="K88" s="9">
        <v>0</v>
      </c>
      <c r="L88" s="8">
        <v>5668</v>
      </c>
      <c r="M88" s="9">
        <v>6</v>
      </c>
      <c r="N88" s="9">
        <f t="shared" si="11"/>
        <v>5661</v>
      </c>
      <c r="O88" s="9">
        <f t="shared" si="12"/>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6">1-AJ88</f>
        <v>0.45589999999999997</v>
      </c>
      <c r="AL88" t="s">
        <v>94</v>
      </c>
      <c r="AM88" s="36" t="s">
        <v>94</v>
      </c>
      <c r="AN88">
        <v>0</v>
      </c>
      <c r="AO88" s="15">
        <v>1</v>
      </c>
      <c r="AP88">
        <v>0.58699999999999997</v>
      </c>
      <c r="AQ88" s="15">
        <f t="shared" si="15"/>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35">
      <c r="A89">
        <v>88</v>
      </c>
      <c r="B89">
        <v>9</v>
      </c>
      <c r="C89" s="22" t="s">
        <v>4</v>
      </c>
      <c r="D89" s="11">
        <v>7.1</v>
      </c>
      <c r="E89" s="12">
        <v>0.2</v>
      </c>
      <c r="F89" s="7">
        <f t="shared" si="14"/>
        <v>35.499999999999993</v>
      </c>
      <c r="G89" s="8">
        <v>0</v>
      </c>
      <c r="H89" s="9">
        <v>0</v>
      </c>
      <c r="I89" s="9">
        <v>0</v>
      </c>
      <c r="J89" s="9">
        <v>1</v>
      </c>
      <c r="K89" s="9">
        <v>0</v>
      </c>
      <c r="L89" s="8">
        <v>5668</v>
      </c>
      <c r="M89" s="9">
        <v>7</v>
      </c>
      <c r="N89" s="9">
        <f t="shared" si="11"/>
        <v>5660</v>
      </c>
      <c r="O89" s="9">
        <f t="shared" si="12"/>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6"/>
        <v>0.45589999999999997</v>
      </c>
      <c r="AL89" t="s">
        <v>94</v>
      </c>
      <c r="AM89" s="36" t="s">
        <v>94</v>
      </c>
      <c r="AN89">
        <v>0</v>
      </c>
      <c r="AO89" s="15">
        <v>1</v>
      </c>
      <c r="AP89">
        <v>0.58699999999999997</v>
      </c>
      <c r="AQ89" s="15">
        <f t="shared" si="15"/>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35">
      <c r="A90">
        <v>89</v>
      </c>
      <c r="B90">
        <v>9</v>
      </c>
      <c r="C90" s="22" t="s">
        <v>4</v>
      </c>
      <c r="D90" s="11">
        <v>-0.7</v>
      </c>
      <c r="E90" s="12">
        <v>0.3</v>
      </c>
      <c r="F90" s="7">
        <f t="shared" si="14"/>
        <v>-2.3333333333333335</v>
      </c>
      <c r="G90" s="8">
        <v>0</v>
      </c>
      <c r="H90" s="9">
        <v>0</v>
      </c>
      <c r="I90" s="9">
        <v>0</v>
      </c>
      <c r="J90" s="9">
        <v>1</v>
      </c>
      <c r="K90" s="9">
        <v>0</v>
      </c>
      <c r="L90" s="8">
        <v>20602</v>
      </c>
      <c r="M90" s="9">
        <v>12</v>
      </c>
      <c r="N90" s="9">
        <f t="shared" si="11"/>
        <v>20589</v>
      </c>
      <c r="O90" s="9">
        <f t="shared" si="12"/>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6"/>
        <v>0.45589999999999997</v>
      </c>
      <c r="AL90" t="s">
        <v>94</v>
      </c>
      <c r="AM90" s="36" t="s">
        <v>94</v>
      </c>
      <c r="AN90">
        <v>0</v>
      </c>
      <c r="AO90" s="15">
        <v>1</v>
      </c>
      <c r="AP90">
        <v>0.58699999999999997</v>
      </c>
      <c r="AQ90" s="15">
        <f t="shared" si="15"/>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35">
      <c r="A91">
        <v>90</v>
      </c>
      <c r="B91">
        <v>9</v>
      </c>
      <c r="C91" s="22" t="s">
        <v>4</v>
      </c>
      <c r="D91" s="11">
        <v>8.1</v>
      </c>
      <c r="E91" s="12">
        <v>0.3</v>
      </c>
      <c r="F91" s="7">
        <f t="shared" si="14"/>
        <v>27</v>
      </c>
      <c r="G91" s="8">
        <v>0</v>
      </c>
      <c r="H91" s="9">
        <v>0</v>
      </c>
      <c r="I91" s="9">
        <v>0</v>
      </c>
      <c r="J91" s="9">
        <v>1</v>
      </c>
      <c r="K91" s="9">
        <v>0</v>
      </c>
      <c r="L91" s="8">
        <v>2343</v>
      </c>
      <c r="M91" s="9">
        <v>6</v>
      </c>
      <c r="N91" s="9">
        <f t="shared" si="11"/>
        <v>2336</v>
      </c>
      <c r="O91" s="9">
        <f t="shared" si="12"/>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6"/>
        <v>0.45589999999999997</v>
      </c>
      <c r="AL91" t="s">
        <v>94</v>
      </c>
      <c r="AM91" s="36" t="s">
        <v>94</v>
      </c>
      <c r="AN91">
        <v>0</v>
      </c>
      <c r="AO91" s="15">
        <v>1</v>
      </c>
      <c r="AP91">
        <v>0.58699999999999997</v>
      </c>
      <c r="AQ91" s="15">
        <f t="shared" si="15"/>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35">
      <c r="A92">
        <v>91</v>
      </c>
      <c r="B92">
        <v>9</v>
      </c>
      <c r="C92" s="22" t="s">
        <v>4</v>
      </c>
      <c r="D92" s="11">
        <v>8.1</v>
      </c>
      <c r="E92" s="12">
        <v>0.3</v>
      </c>
      <c r="F92" s="7">
        <f t="shared" si="14"/>
        <v>27</v>
      </c>
      <c r="G92" s="8">
        <v>0</v>
      </c>
      <c r="H92" s="9">
        <v>0</v>
      </c>
      <c r="I92" s="9">
        <v>0</v>
      </c>
      <c r="J92" s="9">
        <v>1</v>
      </c>
      <c r="K92" s="9">
        <v>0</v>
      </c>
      <c r="L92" s="8">
        <v>2343</v>
      </c>
      <c r="M92" s="9">
        <v>7</v>
      </c>
      <c r="N92" s="9">
        <f t="shared" si="11"/>
        <v>2335</v>
      </c>
      <c r="O92" s="9">
        <f t="shared" si="12"/>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6"/>
        <v>0.45589999999999997</v>
      </c>
      <c r="AL92" t="s">
        <v>94</v>
      </c>
      <c r="AM92" s="36" t="s">
        <v>94</v>
      </c>
      <c r="AN92">
        <v>0</v>
      </c>
      <c r="AO92" s="15">
        <v>1</v>
      </c>
      <c r="AP92">
        <v>0.58699999999999997</v>
      </c>
      <c r="AQ92" s="15">
        <f t="shared" si="15"/>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35">
      <c r="A93">
        <v>92</v>
      </c>
      <c r="B93">
        <v>9</v>
      </c>
      <c r="C93" s="22" t="s">
        <v>4</v>
      </c>
      <c r="D93" s="11">
        <v>-1.1000000000000001</v>
      </c>
      <c r="E93" s="12">
        <v>0.5</v>
      </c>
      <c r="F93" s="7">
        <f t="shared" si="14"/>
        <v>-2.2000000000000002</v>
      </c>
      <c r="G93" s="8">
        <v>0</v>
      </c>
      <c r="H93" s="9">
        <v>0</v>
      </c>
      <c r="I93" s="9">
        <v>0</v>
      </c>
      <c r="J93" s="9">
        <v>1</v>
      </c>
      <c r="K93" s="9">
        <v>0</v>
      </c>
      <c r="L93" s="8">
        <v>6529</v>
      </c>
      <c r="M93" s="9">
        <v>12</v>
      </c>
      <c r="N93" s="9">
        <f t="shared" si="11"/>
        <v>6516</v>
      </c>
      <c r="O93" s="9">
        <f t="shared" si="12"/>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6"/>
        <v>0.45589999999999997</v>
      </c>
      <c r="AL93" t="s">
        <v>94</v>
      </c>
      <c r="AM93" s="36" t="s">
        <v>94</v>
      </c>
      <c r="AN93">
        <v>0</v>
      </c>
      <c r="AO93" s="15">
        <v>1</v>
      </c>
      <c r="AP93">
        <v>0.58699999999999997</v>
      </c>
      <c r="AQ93" s="15">
        <f t="shared" si="15"/>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35">
      <c r="A94">
        <v>93</v>
      </c>
      <c r="B94">
        <v>9</v>
      </c>
      <c r="C94" s="22" t="s">
        <v>4</v>
      </c>
      <c r="D94" s="11">
        <v>5.7</v>
      </c>
      <c r="E94" s="12">
        <v>0.4</v>
      </c>
      <c r="F94" s="7">
        <f t="shared" si="14"/>
        <v>14.25</v>
      </c>
      <c r="G94" s="8">
        <v>0</v>
      </c>
      <c r="H94" s="9">
        <v>0</v>
      </c>
      <c r="I94" s="9">
        <v>0</v>
      </c>
      <c r="J94" s="9">
        <v>1</v>
      </c>
      <c r="K94" s="9">
        <v>0</v>
      </c>
      <c r="L94" s="8">
        <v>3325</v>
      </c>
      <c r="M94" s="9">
        <v>6</v>
      </c>
      <c r="N94" s="9">
        <f t="shared" si="11"/>
        <v>3318</v>
      </c>
      <c r="O94" s="9">
        <f t="shared" si="12"/>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6"/>
        <v>0.45589999999999997</v>
      </c>
      <c r="AL94" t="s">
        <v>94</v>
      </c>
      <c r="AM94" s="36" t="s">
        <v>94</v>
      </c>
      <c r="AN94">
        <v>0</v>
      </c>
      <c r="AO94" s="15">
        <v>1</v>
      </c>
      <c r="AP94">
        <v>0.58699999999999997</v>
      </c>
      <c r="AQ94" s="15">
        <f t="shared" si="15"/>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35">
      <c r="A95">
        <v>94</v>
      </c>
      <c r="B95">
        <v>9</v>
      </c>
      <c r="C95" s="22" t="s">
        <v>4</v>
      </c>
      <c r="D95" s="11">
        <v>5.7</v>
      </c>
      <c r="E95" s="12">
        <v>0.3</v>
      </c>
      <c r="F95" s="7">
        <f t="shared" si="14"/>
        <v>19</v>
      </c>
      <c r="G95" s="8">
        <v>0</v>
      </c>
      <c r="H95" s="9">
        <v>0</v>
      </c>
      <c r="I95" s="9">
        <v>0</v>
      </c>
      <c r="J95" s="9">
        <v>1</v>
      </c>
      <c r="K95" s="9">
        <v>0</v>
      </c>
      <c r="L95" s="8">
        <v>3325</v>
      </c>
      <c r="M95" s="9">
        <v>7</v>
      </c>
      <c r="N95" s="9">
        <f t="shared" si="11"/>
        <v>3317</v>
      </c>
      <c r="O95" s="9">
        <f t="shared" si="12"/>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6"/>
        <v>0.45589999999999997</v>
      </c>
      <c r="AL95" t="s">
        <v>94</v>
      </c>
      <c r="AM95" s="36" t="s">
        <v>94</v>
      </c>
      <c r="AN95">
        <v>0</v>
      </c>
      <c r="AO95" s="15">
        <v>1</v>
      </c>
      <c r="AP95">
        <v>0.58699999999999997</v>
      </c>
      <c r="AQ95" s="15">
        <f t="shared" si="15"/>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35">
      <c r="A96">
        <v>95</v>
      </c>
      <c r="B96">
        <v>9</v>
      </c>
      <c r="C96" s="22" t="s">
        <v>4</v>
      </c>
      <c r="D96" s="11">
        <v>-1.1000000000000001</v>
      </c>
      <c r="E96" s="12">
        <v>0.4</v>
      </c>
      <c r="F96" s="7">
        <f t="shared" si="14"/>
        <v>-2.75</v>
      </c>
      <c r="G96" s="8">
        <v>0</v>
      </c>
      <c r="H96" s="9">
        <v>0</v>
      </c>
      <c r="I96" s="9">
        <v>0</v>
      </c>
      <c r="J96" s="9">
        <v>1</v>
      </c>
      <c r="K96" s="9">
        <v>0</v>
      </c>
      <c r="L96" s="8">
        <v>14073</v>
      </c>
      <c r="M96" s="9">
        <v>12</v>
      </c>
      <c r="N96" s="9">
        <f t="shared" si="11"/>
        <v>14060</v>
      </c>
      <c r="O96" s="9">
        <f t="shared" si="12"/>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6"/>
        <v>0.45589999999999997</v>
      </c>
      <c r="AL96" t="s">
        <v>94</v>
      </c>
      <c r="AM96" s="36" t="s">
        <v>94</v>
      </c>
      <c r="AN96">
        <v>0</v>
      </c>
      <c r="AO96" s="15">
        <v>1</v>
      </c>
      <c r="AP96">
        <v>0.58699999999999997</v>
      </c>
      <c r="AQ96" s="15">
        <f t="shared" si="15"/>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35">
      <c r="A97">
        <v>96</v>
      </c>
      <c r="B97">
        <v>9</v>
      </c>
      <c r="C97" s="22" t="s">
        <v>4</v>
      </c>
      <c r="D97" s="11">
        <v>6.2</v>
      </c>
      <c r="E97" s="12">
        <v>0.2</v>
      </c>
      <c r="F97" s="7">
        <f t="shared" si="14"/>
        <v>31</v>
      </c>
      <c r="G97" s="8">
        <v>0</v>
      </c>
      <c r="H97" s="9">
        <v>0</v>
      </c>
      <c r="I97" s="9">
        <v>0</v>
      </c>
      <c r="J97" s="9">
        <v>1</v>
      </c>
      <c r="K97" s="9">
        <v>0</v>
      </c>
      <c r="L97" s="8">
        <v>4859</v>
      </c>
      <c r="M97" s="9">
        <v>5</v>
      </c>
      <c r="N97" s="9">
        <f t="shared" si="11"/>
        <v>4853</v>
      </c>
      <c r="O97" s="9">
        <f t="shared" si="12"/>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5"/>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35">
      <c r="A98">
        <v>97</v>
      </c>
      <c r="B98">
        <v>9</v>
      </c>
      <c r="C98" s="22" t="s">
        <v>4</v>
      </c>
      <c r="D98" s="11">
        <v>13.2</v>
      </c>
      <c r="E98" s="12">
        <v>0.8</v>
      </c>
      <c r="F98" s="7">
        <f t="shared" si="14"/>
        <v>16.499999999999996</v>
      </c>
      <c r="G98" s="8">
        <v>0</v>
      </c>
      <c r="H98" s="9">
        <v>0</v>
      </c>
      <c r="I98" s="9">
        <v>0</v>
      </c>
      <c r="J98" s="9">
        <v>1</v>
      </c>
      <c r="K98" s="9">
        <v>0</v>
      </c>
      <c r="L98" s="8">
        <v>809</v>
      </c>
      <c r="M98" s="9">
        <v>5</v>
      </c>
      <c r="N98" s="9">
        <f t="shared" si="11"/>
        <v>803</v>
      </c>
      <c r="O98" s="9">
        <f t="shared" si="12"/>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5"/>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35">
      <c r="A99">
        <v>98</v>
      </c>
      <c r="B99" s="47">
        <v>9</v>
      </c>
      <c r="C99" s="48" t="s">
        <v>4</v>
      </c>
      <c r="D99" s="49">
        <v>5.7</v>
      </c>
      <c r="E99" s="50">
        <v>0.3</v>
      </c>
      <c r="F99" s="51">
        <f t="shared" si="14"/>
        <v>19</v>
      </c>
      <c r="G99" s="53">
        <v>0</v>
      </c>
      <c r="H99" s="54">
        <v>0</v>
      </c>
      <c r="I99" s="54">
        <v>0</v>
      </c>
      <c r="J99" s="54">
        <v>1</v>
      </c>
      <c r="K99" s="54">
        <v>0</v>
      </c>
      <c r="L99" s="53">
        <v>5186</v>
      </c>
      <c r="M99" s="54">
        <v>6</v>
      </c>
      <c r="N99" s="54">
        <f t="shared" si="11"/>
        <v>5179</v>
      </c>
      <c r="O99" s="54">
        <f t="shared" si="12"/>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5"/>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35">
      <c r="A100">
        <v>99</v>
      </c>
      <c r="B100">
        <v>10</v>
      </c>
      <c r="C100" s="22" t="s">
        <v>22</v>
      </c>
      <c r="D100" s="11">
        <v>7.3</v>
      </c>
      <c r="E100" s="12">
        <f t="shared" ref="E100:E114" si="17">D100/F100</f>
        <v>1.1388455538221529</v>
      </c>
      <c r="F100" s="7">
        <v>6.41</v>
      </c>
      <c r="G100" s="8">
        <v>0</v>
      </c>
      <c r="H100" s="9">
        <v>0</v>
      </c>
      <c r="I100" s="9">
        <v>1</v>
      </c>
      <c r="J100" s="9">
        <v>0</v>
      </c>
      <c r="K100" s="9">
        <v>0</v>
      </c>
      <c r="L100" s="8">
        <v>250</v>
      </c>
      <c r="M100" s="9">
        <v>6</v>
      </c>
      <c r="N100" s="9">
        <f t="shared" si="11"/>
        <v>243</v>
      </c>
      <c r="O100" s="9">
        <f t="shared" si="12"/>
        <v>15</v>
      </c>
      <c r="P100" s="7">
        <v>8.9</v>
      </c>
      <c r="Q100" s="7">
        <f t="shared" ref="Q100:Q120" si="18">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9">(1-$AD$100-$AG$100)/2</f>
        <v>0.16000000000000003</v>
      </c>
      <c r="AF100" s="29">
        <f t="shared" si="19"/>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35">
      <c r="A101">
        <v>100</v>
      </c>
      <c r="B101">
        <v>10</v>
      </c>
      <c r="C101" s="22" t="s">
        <v>22</v>
      </c>
      <c r="D101" s="11">
        <v>14.51</v>
      </c>
      <c r="E101" s="12">
        <f t="shared" si="17"/>
        <v>4.0530726256983236</v>
      </c>
      <c r="F101" s="7">
        <v>3.58</v>
      </c>
      <c r="G101" s="8">
        <v>0</v>
      </c>
      <c r="H101" s="9">
        <v>0</v>
      </c>
      <c r="I101" s="9">
        <v>1</v>
      </c>
      <c r="J101" s="9">
        <v>0</v>
      </c>
      <c r="K101" s="9">
        <v>0</v>
      </c>
      <c r="L101" s="8">
        <v>250</v>
      </c>
      <c r="M101" s="9">
        <v>6</v>
      </c>
      <c r="N101" s="9">
        <f t="shared" si="11"/>
        <v>243</v>
      </c>
      <c r="O101" s="9">
        <f t="shared" si="12"/>
        <v>15</v>
      </c>
      <c r="P101" s="7">
        <v>8.9</v>
      </c>
      <c r="Q101" s="7">
        <f t="shared" si="18"/>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9"/>
        <v>0.16000000000000003</v>
      </c>
      <c r="AF101" s="29">
        <f t="shared" si="19"/>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35">
      <c r="A102">
        <v>101</v>
      </c>
      <c r="B102">
        <v>10</v>
      </c>
      <c r="C102" s="22" t="s">
        <v>22</v>
      </c>
      <c r="D102" s="11">
        <v>12.53</v>
      </c>
      <c r="E102" s="12">
        <f t="shared" si="17"/>
        <v>2.4377431906614788</v>
      </c>
      <c r="F102" s="7">
        <v>5.14</v>
      </c>
      <c r="G102" s="8">
        <v>0</v>
      </c>
      <c r="H102" s="9">
        <v>0</v>
      </c>
      <c r="I102" s="9">
        <v>1</v>
      </c>
      <c r="J102" s="9">
        <v>0</v>
      </c>
      <c r="K102" s="9">
        <v>0</v>
      </c>
      <c r="L102" s="8">
        <v>250</v>
      </c>
      <c r="M102" s="9">
        <v>6</v>
      </c>
      <c r="N102" s="9">
        <f t="shared" si="11"/>
        <v>243</v>
      </c>
      <c r="O102" s="9">
        <f t="shared" si="12"/>
        <v>15</v>
      </c>
      <c r="P102" s="7">
        <v>8.9</v>
      </c>
      <c r="Q102" s="7">
        <f t="shared" si="18"/>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9"/>
        <v>0.16000000000000003</v>
      </c>
      <c r="AF102" s="29">
        <f t="shared" si="19"/>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35">
      <c r="A103">
        <v>102</v>
      </c>
      <c r="B103">
        <v>10</v>
      </c>
      <c r="C103" s="22" t="s">
        <v>22</v>
      </c>
      <c r="D103" s="11">
        <v>12.33</v>
      </c>
      <c r="E103" s="12">
        <f t="shared" si="17"/>
        <v>2.1113013698630136</v>
      </c>
      <c r="F103" s="7">
        <v>5.84</v>
      </c>
      <c r="G103" s="8">
        <v>0</v>
      </c>
      <c r="H103" s="9">
        <v>0</v>
      </c>
      <c r="I103" s="9">
        <v>1</v>
      </c>
      <c r="J103" s="9">
        <v>0</v>
      </c>
      <c r="K103" s="9">
        <v>0</v>
      </c>
      <c r="L103" s="8">
        <v>250</v>
      </c>
      <c r="M103" s="9">
        <v>6</v>
      </c>
      <c r="N103" s="9">
        <f t="shared" si="11"/>
        <v>243</v>
      </c>
      <c r="O103" s="9">
        <f t="shared" si="12"/>
        <v>15</v>
      </c>
      <c r="P103" s="7">
        <v>8.9</v>
      </c>
      <c r="Q103" s="7">
        <f t="shared" si="18"/>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9"/>
        <v>0.16000000000000003</v>
      </c>
      <c r="AF103" s="29">
        <f t="shared" si="19"/>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35">
      <c r="A104">
        <v>103</v>
      </c>
      <c r="B104">
        <v>10</v>
      </c>
      <c r="C104" s="22" t="s">
        <v>22</v>
      </c>
      <c r="D104" s="11">
        <v>6.54</v>
      </c>
      <c r="E104" s="12">
        <f t="shared" si="17"/>
        <v>0.55897435897435899</v>
      </c>
      <c r="F104" s="7">
        <v>11.7</v>
      </c>
      <c r="G104" s="8">
        <v>0</v>
      </c>
      <c r="H104" s="9">
        <v>0</v>
      </c>
      <c r="I104" s="9">
        <v>1</v>
      </c>
      <c r="J104" s="9">
        <v>0</v>
      </c>
      <c r="K104" s="9">
        <v>0</v>
      </c>
      <c r="L104" s="8">
        <v>250</v>
      </c>
      <c r="M104" s="9">
        <v>7</v>
      </c>
      <c r="N104" s="9">
        <f t="shared" si="11"/>
        <v>242</v>
      </c>
      <c r="O104" s="9">
        <f t="shared" si="12"/>
        <v>15</v>
      </c>
      <c r="P104" s="7">
        <v>8.9</v>
      </c>
      <c r="Q104" s="7">
        <f t="shared" si="18"/>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9"/>
        <v>0.16000000000000003</v>
      </c>
      <c r="AF104" s="29">
        <f t="shared" si="19"/>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35">
      <c r="A105">
        <v>104</v>
      </c>
      <c r="B105">
        <v>10</v>
      </c>
      <c r="C105" s="22" t="s">
        <v>22</v>
      </c>
      <c r="D105" s="11">
        <v>12.58</v>
      </c>
      <c r="E105" s="12">
        <f t="shared" si="17"/>
        <v>3.981012658227848</v>
      </c>
      <c r="F105" s="7">
        <v>3.16</v>
      </c>
      <c r="G105" s="8">
        <v>0</v>
      </c>
      <c r="H105" s="9">
        <v>0</v>
      </c>
      <c r="I105" s="9">
        <v>1</v>
      </c>
      <c r="J105" s="9">
        <v>0</v>
      </c>
      <c r="K105" s="9">
        <v>0</v>
      </c>
      <c r="L105" s="8">
        <v>250</v>
      </c>
      <c r="M105" s="9">
        <v>7</v>
      </c>
      <c r="N105" s="9">
        <f t="shared" si="11"/>
        <v>242</v>
      </c>
      <c r="O105" s="9">
        <f t="shared" si="12"/>
        <v>15</v>
      </c>
      <c r="P105" s="7">
        <v>8.9</v>
      </c>
      <c r="Q105" s="7">
        <f t="shared" si="18"/>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9"/>
        <v>0.16000000000000003</v>
      </c>
      <c r="AF105" s="29">
        <f t="shared" si="19"/>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35">
      <c r="A106">
        <v>105</v>
      </c>
      <c r="B106">
        <v>10</v>
      </c>
      <c r="C106" s="22" t="s">
        <v>22</v>
      </c>
      <c r="D106" s="11">
        <v>10</v>
      </c>
      <c r="E106" s="12">
        <f t="shared" si="17"/>
        <v>2.9325513196480939</v>
      </c>
      <c r="F106" s="7">
        <v>3.41</v>
      </c>
      <c r="G106" s="8">
        <v>0</v>
      </c>
      <c r="H106" s="9">
        <v>0</v>
      </c>
      <c r="I106" s="9">
        <v>1</v>
      </c>
      <c r="J106" s="9">
        <v>0</v>
      </c>
      <c r="K106" s="9">
        <v>0</v>
      </c>
      <c r="L106" s="8">
        <v>250</v>
      </c>
      <c r="M106" s="9">
        <v>7</v>
      </c>
      <c r="N106" s="9">
        <f t="shared" si="11"/>
        <v>242</v>
      </c>
      <c r="O106" s="9">
        <f t="shared" si="12"/>
        <v>15</v>
      </c>
      <c r="P106" s="7">
        <v>8.9</v>
      </c>
      <c r="Q106" s="7">
        <f t="shared" si="18"/>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9"/>
        <v>0.16000000000000003</v>
      </c>
      <c r="AF106" s="29">
        <f t="shared" si="19"/>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35">
      <c r="A107">
        <v>106</v>
      </c>
      <c r="B107">
        <v>10</v>
      </c>
      <c r="C107" s="22" t="s">
        <v>22</v>
      </c>
      <c r="D107" s="11">
        <v>11.13</v>
      </c>
      <c r="E107" s="12">
        <f t="shared" si="17"/>
        <v>1.6153846153846156</v>
      </c>
      <c r="F107" s="7">
        <v>6.89</v>
      </c>
      <c r="G107" s="8">
        <v>0</v>
      </c>
      <c r="H107" s="9">
        <v>0</v>
      </c>
      <c r="I107" s="9">
        <v>1</v>
      </c>
      <c r="J107" s="9">
        <v>0</v>
      </c>
      <c r="K107" s="9">
        <v>0</v>
      </c>
      <c r="L107" s="8">
        <v>250</v>
      </c>
      <c r="M107" s="9">
        <v>7</v>
      </c>
      <c r="N107" s="9">
        <f t="shared" si="11"/>
        <v>242</v>
      </c>
      <c r="O107" s="9">
        <f t="shared" si="12"/>
        <v>15</v>
      </c>
      <c r="P107" s="7">
        <v>8.9</v>
      </c>
      <c r="Q107" s="7">
        <f t="shared" si="18"/>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9"/>
        <v>0.16000000000000003</v>
      </c>
      <c r="AF107" s="29">
        <f t="shared" si="19"/>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35">
      <c r="A108">
        <v>107</v>
      </c>
      <c r="B108">
        <v>10</v>
      </c>
      <c r="C108" s="22" t="s">
        <v>22</v>
      </c>
      <c r="D108" s="11">
        <v>6.03</v>
      </c>
      <c r="E108" s="12">
        <f t="shared" si="17"/>
        <v>1.7179487179487181</v>
      </c>
      <c r="F108" s="7">
        <v>3.51</v>
      </c>
      <c r="G108" s="8">
        <v>0</v>
      </c>
      <c r="H108" s="9">
        <v>0</v>
      </c>
      <c r="I108" s="9">
        <v>1</v>
      </c>
      <c r="J108" s="9">
        <v>0</v>
      </c>
      <c r="K108" s="9">
        <v>0</v>
      </c>
      <c r="L108" s="8">
        <v>135</v>
      </c>
      <c r="M108" s="9">
        <v>6</v>
      </c>
      <c r="N108" s="9">
        <f t="shared" si="11"/>
        <v>128</v>
      </c>
      <c r="O108" s="9">
        <f t="shared" si="12"/>
        <v>15</v>
      </c>
      <c r="P108" s="7">
        <v>8.9</v>
      </c>
      <c r="Q108" s="7">
        <f t="shared" si="18"/>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9"/>
        <v>0.16000000000000003</v>
      </c>
      <c r="AF108" s="29">
        <f t="shared" si="19"/>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35">
      <c r="A109">
        <v>108</v>
      </c>
      <c r="B109">
        <v>10</v>
      </c>
      <c r="C109" s="22" t="s">
        <v>22</v>
      </c>
      <c r="D109" s="11">
        <v>6.26</v>
      </c>
      <c r="E109" s="12">
        <f t="shared" si="17"/>
        <v>1.68733153638814</v>
      </c>
      <c r="F109" s="7">
        <v>3.71</v>
      </c>
      <c r="G109" s="8">
        <v>0</v>
      </c>
      <c r="H109" s="9">
        <v>0</v>
      </c>
      <c r="I109" s="9">
        <v>1</v>
      </c>
      <c r="J109" s="9">
        <v>0</v>
      </c>
      <c r="K109" s="9">
        <v>0</v>
      </c>
      <c r="L109" s="8">
        <v>135</v>
      </c>
      <c r="M109" s="9">
        <v>7</v>
      </c>
      <c r="N109" s="9">
        <f t="shared" si="11"/>
        <v>127</v>
      </c>
      <c r="O109" s="9">
        <f t="shared" si="12"/>
        <v>15</v>
      </c>
      <c r="P109" s="7">
        <v>8.9</v>
      </c>
      <c r="Q109" s="7">
        <f t="shared" si="18"/>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9"/>
        <v>0.16000000000000003</v>
      </c>
      <c r="AF109" s="29">
        <f t="shared" si="19"/>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35">
      <c r="A110">
        <v>109</v>
      </c>
      <c r="B110">
        <v>10</v>
      </c>
      <c r="C110" s="22" t="s">
        <v>22</v>
      </c>
      <c r="D110" s="11">
        <v>13.07</v>
      </c>
      <c r="E110" s="12">
        <f t="shared" si="17"/>
        <v>3.2675000000000001</v>
      </c>
      <c r="F110" s="7">
        <v>4</v>
      </c>
      <c r="G110" s="8">
        <v>0</v>
      </c>
      <c r="H110" s="9">
        <v>0</v>
      </c>
      <c r="I110" s="9">
        <v>1</v>
      </c>
      <c r="J110" s="9">
        <v>0</v>
      </c>
      <c r="K110" s="9">
        <v>0</v>
      </c>
      <c r="L110" s="8">
        <v>135</v>
      </c>
      <c r="M110" s="9">
        <v>6</v>
      </c>
      <c r="N110" s="9">
        <f t="shared" si="11"/>
        <v>128</v>
      </c>
      <c r="O110" s="9">
        <f t="shared" si="12"/>
        <v>15</v>
      </c>
      <c r="P110" s="7">
        <v>8.9</v>
      </c>
      <c r="Q110" s="7">
        <f t="shared" si="18"/>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9"/>
        <v>0.16000000000000003</v>
      </c>
      <c r="AF110" s="29">
        <f t="shared" si="19"/>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35">
      <c r="A111">
        <v>110</v>
      </c>
      <c r="B111">
        <v>10</v>
      </c>
      <c r="C111" s="22" t="s">
        <v>22</v>
      </c>
      <c r="D111" s="11">
        <v>14.34</v>
      </c>
      <c r="E111" s="12">
        <f t="shared" si="17"/>
        <v>1.2256410256410257</v>
      </c>
      <c r="F111" s="7">
        <v>11.7</v>
      </c>
      <c r="G111" s="8">
        <v>0</v>
      </c>
      <c r="H111" s="9">
        <v>0</v>
      </c>
      <c r="I111" s="9">
        <v>1</v>
      </c>
      <c r="J111" s="9">
        <v>0</v>
      </c>
      <c r="K111" s="9">
        <v>0</v>
      </c>
      <c r="L111" s="8">
        <v>135</v>
      </c>
      <c r="M111" s="9">
        <v>7</v>
      </c>
      <c r="N111" s="9">
        <f t="shared" si="11"/>
        <v>127</v>
      </c>
      <c r="O111" s="9">
        <f t="shared" si="12"/>
        <v>15</v>
      </c>
      <c r="P111" s="7">
        <v>8.9</v>
      </c>
      <c r="Q111" s="7">
        <f t="shared" si="18"/>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9"/>
        <v>0.16000000000000003</v>
      </c>
      <c r="AF111" s="29">
        <f t="shared" si="19"/>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35">
      <c r="A112">
        <v>111</v>
      </c>
      <c r="B112">
        <v>10</v>
      </c>
      <c r="C112" s="22" t="s">
        <v>22</v>
      </c>
      <c r="D112" s="11">
        <v>12.13</v>
      </c>
      <c r="E112" s="12">
        <f t="shared" si="17"/>
        <v>3.9770491803278691</v>
      </c>
      <c r="F112" s="7">
        <v>3.05</v>
      </c>
      <c r="G112" s="8">
        <v>0</v>
      </c>
      <c r="H112" s="9">
        <v>0</v>
      </c>
      <c r="I112" s="9">
        <v>1</v>
      </c>
      <c r="J112" s="9">
        <v>0</v>
      </c>
      <c r="K112" s="9">
        <v>0</v>
      </c>
      <c r="L112" s="8">
        <v>250</v>
      </c>
      <c r="M112" s="9">
        <v>7</v>
      </c>
      <c r="N112" s="9">
        <f t="shared" si="11"/>
        <v>242</v>
      </c>
      <c r="O112" s="9">
        <f t="shared" si="12"/>
        <v>15</v>
      </c>
      <c r="P112" s="7">
        <v>8.9</v>
      </c>
      <c r="Q112" s="7">
        <f t="shared" si="18"/>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9"/>
        <v>0.16000000000000003</v>
      </c>
      <c r="AF112" s="29">
        <f t="shared" si="19"/>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35">
      <c r="A113">
        <v>112</v>
      </c>
      <c r="B113">
        <v>10</v>
      </c>
      <c r="C113" s="22" t="s">
        <v>22</v>
      </c>
      <c r="D113" s="11">
        <v>9.5299999999999994</v>
      </c>
      <c r="E113" s="12">
        <f t="shared" si="17"/>
        <v>2.9323076923076923</v>
      </c>
      <c r="F113" s="7">
        <v>3.25</v>
      </c>
      <c r="G113" s="8">
        <v>0</v>
      </c>
      <c r="H113" s="9">
        <v>0</v>
      </c>
      <c r="I113" s="9">
        <v>1</v>
      </c>
      <c r="J113" s="9">
        <v>0</v>
      </c>
      <c r="K113" s="9">
        <v>0</v>
      </c>
      <c r="L113" s="8">
        <v>250</v>
      </c>
      <c r="M113" s="9">
        <v>7</v>
      </c>
      <c r="N113" s="9">
        <f t="shared" si="11"/>
        <v>242</v>
      </c>
      <c r="O113" s="9">
        <f t="shared" si="12"/>
        <v>15</v>
      </c>
      <c r="P113" s="7">
        <v>8.9</v>
      </c>
      <c r="Q113" s="7">
        <f t="shared" si="18"/>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9"/>
        <v>0.16000000000000003</v>
      </c>
      <c r="AF113" s="29">
        <f t="shared" si="19"/>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35">
      <c r="A114" s="47">
        <v>113</v>
      </c>
      <c r="B114" s="47">
        <v>10</v>
      </c>
      <c r="C114" s="48" t="s">
        <v>22</v>
      </c>
      <c r="D114" s="49">
        <v>10.99</v>
      </c>
      <c r="E114" s="50">
        <f t="shared" si="17"/>
        <v>1.6138032305433188</v>
      </c>
      <c r="F114" s="51">
        <v>6.81</v>
      </c>
      <c r="G114" s="53">
        <v>0</v>
      </c>
      <c r="H114" s="54">
        <v>0</v>
      </c>
      <c r="I114" s="54">
        <v>1</v>
      </c>
      <c r="J114" s="54">
        <v>0</v>
      </c>
      <c r="K114" s="54">
        <v>0</v>
      </c>
      <c r="L114" s="53">
        <v>250</v>
      </c>
      <c r="M114" s="54">
        <v>7</v>
      </c>
      <c r="N114" s="54">
        <f t="shared" si="11"/>
        <v>242</v>
      </c>
      <c r="O114" s="54">
        <f t="shared" si="12"/>
        <v>15</v>
      </c>
      <c r="P114" s="51">
        <v>8.9</v>
      </c>
      <c r="Q114" s="51">
        <f t="shared" si="18"/>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9"/>
        <v>0.16000000000000003</v>
      </c>
      <c r="AF114" s="52">
        <f t="shared" si="19"/>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35">
      <c r="A115">
        <v>114</v>
      </c>
      <c r="B115">
        <v>11</v>
      </c>
      <c r="C115" s="22" t="s">
        <v>134</v>
      </c>
      <c r="D115" s="11">
        <v>11.3</v>
      </c>
      <c r="E115" s="12">
        <v>0.5</v>
      </c>
      <c r="F115" s="7">
        <f t="shared" ref="F115:F136" si="20">D115/E115</f>
        <v>22.6</v>
      </c>
      <c r="G115" s="8">
        <v>0</v>
      </c>
      <c r="H115" s="9">
        <v>1</v>
      </c>
      <c r="I115" s="9">
        <v>0</v>
      </c>
      <c r="J115" s="9">
        <v>0</v>
      </c>
      <c r="K115" s="9">
        <v>0</v>
      </c>
      <c r="L115" s="8">
        <v>4481</v>
      </c>
      <c r="M115" s="9">
        <v>15</v>
      </c>
      <c r="N115" s="9">
        <f t="shared" si="11"/>
        <v>4465</v>
      </c>
      <c r="O115" s="9">
        <f t="shared" si="12"/>
        <v>6</v>
      </c>
      <c r="P115" s="7">
        <v>9.15</v>
      </c>
      <c r="Q115" s="7">
        <f t="shared" si="18"/>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21">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35">
      <c r="A116">
        <v>115</v>
      </c>
      <c r="B116">
        <v>11</v>
      </c>
      <c r="C116" s="22" t="s">
        <v>134</v>
      </c>
      <c r="D116" s="11">
        <v>18</v>
      </c>
      <c r="E116" s="12">
        <v>1.4</v>
      </c>
      <c r="F116" s="7">
        <f t="shared" si="20"/>
        <v>12.857142857142858</v>
      </c>
      <c r="G116" s="8">
        <v>0</v>
      </c>
      <c r="H116" s="9">
        <v>1</v>
      </c>
      <c r="I116" s="9">
        <v>0</v>
      </c>
      <c r="J116" s="9">
        <v>0</v>
      </c>
      <c r="K116" s="9">
        <v>0</v>
      </c>
      <c r="L116" s="8">
        <v>4481</v>
      </c>
      <c r="M116" s="9">
        <v>15</v>
      </c>
      <c r="N116" s="9">
        <f t="shared" si="11"/>
        <v>4465</v>
      </c>
      <c r="O116" s="9">
        <f t="shared" si="12"/>
        <v>6</v>
      </c>
      <c r="P116" s="7">
        <v>9.15</v>
      </c>
      <c r="Q116" s="7">
        <f t="shared" si="18"/>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21"/>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35">
      <c r="A117">
        <v>116</v>
      </c>
      <c r="B117">
        <v>11</v>
      </c>
      <c r="C117" s="22" t="s">
        <v>134</v>
      </c>
      <c r="D117" s="11">
        <v>21.2</v>
      </c>
      <c r="E117" s="12">
        <v>1.7</v>
      </c>
      <c r="F117" s="7">
        <f t="shared" si="20"/>
        <v>12.470588235294118</v>
      </c>
      <c r="G117" s="8">
        <v>0</v>
      </c>
      <c r="H117" s="9">
        <v>1</v>
      </c>
      <c r="I117" s="9">
        <v>0</v>
      </c>
      <c r="J117" s="9">
        <v>0</v>
      </c>
      <c r="K117" s="9">
        <v>0</v>
      </c>
      <c r="L117" s="8">
        <v>2282</v>
      </c>
      <c r="M117" s="9">
        <v>14</v>
      </c>
      <c r="N117" s="9">
        <f t="shared" si="11"/>
        <v>2267</v>
      </c>
      <c r="O117" s="9">
        <f t="shared" si="12"/>
        <v>6</v>
      </c>
      <c r="P117" s="7">
        <v>9.15</v>
      </c>
      <c r="Q117" s="7">
        <f t="shared" si="18"/>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21"/>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35">
      <c r="A118">
        <v>117</v>
      </c>
      <c r="B118">
        <v>11</v>
      </c>
      <c r="C118" s="22" t="s">
        <v>134</v>
      </c>
      <c r="D118" s="11">
        <v>15</v>
      </c>
      <c r="E118" s="12">
        <v>2.2999999999999998</v>
      </c>
      <c r="F118" s="7">
        <f t="shared" si="20"/>
        <v>6.5217391304347831</v>
      </c>
      <c r="G118" s="8">
        <v>0</v>
      </c>
      <c r="H118" s="9">
        <v>1</v>
      </c>
      <c r="I118" s="9">
        <v>0</v>
      </c>
      <c r="J118" s="9">
        <v>0</v>
      </c>
      <c r="K118" s="9">
        <v>0</v>
      </c>
      <c r="L118" s="8">
        <v>2199</v>
      </c>
      <c r="M118" s="9">
        <v>14</v>
      </c>
      <c r="N118" s="9">
        <f t="shared" si="11"/>
        <v>2184</v>
      </c>
      <c r="O118" s="9">
        <f t="shared" si="12"/>
        <v>6</v>
      </c>
      <c r="P118" s="7">
        <v>9.15</v>
      </c>
      <c r="Q118" s="7">
        <f t="shared" si="18"/>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21"/>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35">
      <c r="A119">
        <v>118</v>
      </c>
      <c r="B119">
        <v>11</v>
      </c>
      <c r="C119" s="22" t="s">
        <v>134</v>
      </c>
      <c r="D119" s="11">
        <v>21.4</v>
      </c>
      <c r="E119" s="12">
        <v>1.8</v>
      </c>
      <c r="F119" s="7">
        <f t="shared" si="20"/>
        <v>11.888888888888888</v>
      </c>
      <c r="G119" s="8">
        <v>0</v>
      </c>
      <c r="H119" s="9">
        <v>1</v>
      </c>
      <c r="I119" s="9">
        <v>0</v>
      </c>
      <c r="J119" s="9">
        <v>0</v>
      </c>
      <c r="K119" s="9">
        <v>0</v>
      </c>
      <c r="L119" s="8">
        <v>2626</v>
      </c>
      <c r="M119" s="9">
        <v>14</v>
      </c>
      <c r="N119" s="9">
        <f t="shared" si="11"/>
        <v>2611</v>
      </c>
      <c r="O119" s="9">
        <f t="shared" si="12"/>
        <v>6</v>
      </c>
      <c r="P119" s="7">
        <v>9.15</v>
      </c>
      <c r="Q119" s="7">
        <f t="shared" si="18"/>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21"/>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35">
      <c r="A120" s="47">
        <v>119</v>
      </c>
      <c r="B120" s="47">
        <v>11</v>
      </c>
      <c r="C120" s="48" t="s">
        <v>134</v>
      </c>
      <c r="D120" s="49">
        <v>13.8</v>
      </c>
      <c r="E120" s="50">
        <v>2.1</v>
      </c>
      <c r="F120" s="51">
        <f t="shared" si="20"/>
        <v>6.5714285714285712</v>
      </c>
      <c r="G120" s="53">
        <v>0</v>
      </c>
      <c r="H120" s="54">
        <v>1</v>
      </c>
      <c r="I120" s="54">
        <v>0</v>
      </c>
      <c r="J120" s="54">
        <v>0</v>
      </c>
      <c r="K120" s="54">
        <v>0</v>
      </c>
      <c r="L120" s="53">
        <v>1855</v>
      </c>
      <c r="M120" s="54">
        <v>14</v>
      </c>
      <c r="N120" s="54">
        <f t="shared" si="11"/>
        <v>1840</v>
      </c>
      <c r="O120" s="54">
        <f t="shared" si="12"/>
        <v>6</v>
      </c>
      <c r="P120" s="51">
        <v>9.15</v>
      </c>
      <c r="Q120" s="51">
        <f t="shared" si="18"/>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21"/>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35">
      <c r="A121">
        <v>120</v>
      </c>
      <c r="B121">
        <v>12</v>
      </c>
      <c r="C121" s="22" t="s">
        <v>135</v>
      </c>
      <c r="D121" s="11">
        <v>4.7</v>
      </c>
      <c r="E121" s="12">
        <v>0.1</v>
      </c>
      <c r="F121" s="7">
        <f t="shared" si="20"/>
        <v>47</v>
      </c>
      <c r="G121" s="8">
        <v>0</v>
      </c>
      <c r="H121" s="9">
        <v>0</v>
      </c>
      <c r="I121" s="9">
        <v>1</v>
      </c>
      <c r="J121" s="9">
        <v>0</v>
      </c>
      <c r="K121" s="9">
        <v>0</v>
      </c>
      <c r="L121" s="8">
        <v>4596</v>
      </c>
      <c r="M121" s="9">
        <v>8</v>
      </c>
      <c r="N121" s="9">
        <f t="shared" si="11"/>
        <v>4587</v>
      </c>
      <c r="O121" s="9">
        <f t="shared" si="12"/>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2">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35">
      <c r="A122">
        <v>121</v>
      </c>
      <c r="B122">
        <v>12</v>
      </c>
      <c r="C122" s="22" t="s">
        <v>135</v>
      </c>
      <c r="D122" s="11">
        <v>4.4000000000000004</v>
      </c>
      <c r="E122" s="12">
        <v>0.2</v>
      </c>
      <c r="F122" s="7">
        <f t="shared" si="20"/>
        <v>22</v>
      </c>
      <c r="G122" s="8">
        <v>0</v>
      </c>
      <c r="H122" s="9">
        <v>0</v>
      </c>
      <c r="I122" s="9">
        <v>1</v>
      </c>
      <c r="J122" s="9">
        <v>0</v>
      </c>
      <c r="K122" s="9">
        <v>0</v>
      </c>
      <c r="L122" s="8">
        <v>3065</v>
      </c>
      <c r="M122" s="9">
        <v>7</v>
      </c>
      <c r="N122" s="9">
        <f t="shared" si="11"/>
        <v>3057</v>
      </c>
      <c r="O122" s="9">
        <f t="shared" si="12"/>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2"/>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35">
      <c r="A123">
        <v>122</v>
      </c>
      <c r="B123">
        <v>12</v>
      </c>
      <c r="C123" s="22" t="s">
        <v>135</v>
      </c>
      <c r="D123" s="11">
        <v>5.3</v>
      </c>
      <c r="E123" s="12">
        <v>0.3</v>
      </c>
      <c r="F123" s="7">
        <f t="shared" si="20"/>
        <v>17.666666666666668</v>
      </c>
      <c r="G123" s="8">
        <v>0</v>
      </c>
      <c r="H123" s="9">
        <v>0</v>
      </c>
      <c r="I123" s="9">
        <v>1</v>
      </c>
      <c r="J123" s="9">
        <v>0</v>
      </c>
      <c r="K123" s="9">
        <v>0</v>
      </c>
      <c r="L123" s="8">
        <v>1531</v>
      </c>
      <c r="M123" s="9">
        <v>7</v>
      </c>
      <c r="N123" s="9">
        <f t="shared" si="11"/>
        <v>1523</v>
      </c>
      <c r="O123" s="9">
        <f t="shared" si="12"/>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2"/>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35">
      <c r="A124">
        <v>123</v>
      </c>
      <c r="B124">
        <v>12</v>
      </c>
      <c r="C124" s="22" t="s">
        <v>135</v>
      </c>
      <c r="D124" s="11">
        <v>-4.3</v>
      </c>
      <c r="E124" s="12">
        <v>3.6</v>
      </c>
      <c r="F124" s="7">
        <f t="shared" si="20"/>
        <v>-1.1944444444444444</v>
      </c>
      <c r="G124" s="8">
        <v>0</v>
      </c>
      <c r="H124" s="9">
        <v>0</v>
      </c>
      <c r="I124" s="9">
        <v>1</v>
      </c>
      <c r="J124" s="9">
        <v>0</v>
      </c>
      <c r="K124" s="9">
        <v>0</v>
      </c>
      <c r="L124" s="8">
        <v>4596</v>
      </c>
      <c r="M124" s="9">
        <v>8</v>
      </c>
      <c r="N124" s="9">
        <f t="shared" si="11"/>
        <v>4587</v>
      </c>
      <c r="O124" s="9">
        <f t="shared" si="12"/>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2"/>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35">
      <c r="A125">
        <v>124</v>
      </c>
      <c r="B125">
        <v>12</v>
      </c>
      <c r="C125" s="22" t="s">
        <v>135</v>
      </c>
      <c r="D125" s="11">
        <v>-19.5</v>
      </c>
      <c r="E125" s="12">
        <v>12.6</v>
      </c>
      <c r="F125" s="7">
        <f t="shared" si="20"/>
        <v>-1.5476190476190477</v>
      </c>
      <c r="G125" s="8">
        <v>0</v>
      </c>
      <c r="H125" s="9">
        <v>0</v>
      </c>
      <c r="I125" s="9">
        <v>1</v>
      </c>
      <c r="J125" s="9">
        <v>0</v>
      </c>
      <c r="K125" s="9">
        <v>0</v>
      </c>
      <c r="L125" s="8">
        <v>3065</v>
      </c>
      <c r="M125" s="9">
        <v>7</v>
      </c>
      <c r="N125" s="9">
        <f t="shared" si="11"/>
        <v>3057</v>
      </c>
      <c r="O125" s="9">
        <f t="shared" si="12"/>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2"/>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35">
      <c r="A126">
        <v>125</v>
      </c>
      <c r="B126">
        <v>12</v>
      </c>
      <c r="C126" s="22" t="s">
        <v>135</v>
      </c>
      <c r="D126" s="11">
        <v>6.4</v>
      </c>
      <c r="E126" s="12">
        <v>2.6</v>
      </c>
      <c r="F126" s="7">
        <f t="shared" si="20"/>
        <v>2.4615384615384617</v>
      </c>
      <c r="G126" s="8">
        <v>0</v>
      </c>
      <c r="H126" s="9">
        <v>0</v>
      </c>
      <c r="I126" s="9">
        <v>1</v>
      </c>
      <c r="J126" s="9">
        <v>0</v>
      </c>
      <c r="K126" s="9">
        <v>0</v>
      </c>
      <c r="L126" s="8">
        <v>1531</v>
      </c>
      <c r="M126" s="9">
        <v>7</v>
      </c>
      <c r="N126" s="9">
        <f t="shared" si="11"/>
        <v>1523</v>
      </c>
      <c r="O126" s="9">
        <f t="shared" si="12"/>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2"/>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35">
      <c r="A127">
        <v>126</v>
      </c>
      <c r="B127">
        <v>12</v>
      </c>
      <c r="C127" s="22" t="s">
        <v>135</v>
      </c>
      <c r="D127" s="11">
        <v>6.2</v>
      </c>
      <c r="E127" s="12">
        <v>5</v>
      </c>
      <c r="F127" s="7">
        <f t="shared" si="20"/>
        <v>1.24</v>
      </c>
      <c r="G127" s="8">
        <v>0</v>
      </c>
      <c r="H127" s="9">
        <v>0</v>
      </c>
      <c r="I127" s="9">
        <v>1</v>
      </c>
      <c r="J127" s="9">
        <v>0</v>
      </c>
      <c r="K127" s="9">
        <v>0</v>
      </c>
      <c r="L127" s="8">
        <v>4596</v>
      </c>
      <c r="M127" s="9">
        <v>8</v>
      </c>
      <c r="N127" s="9">
        <f t="shared" si="11"/>
        <v>4587</v>
      </c>
      <c r="O127" s="9">
        <f t="shared" si="12"/>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2"/>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35">
      <c r="A128">
        <v>127</v>
      </c>
      <c r="B128">
        <v>12</v>
      </c>
      <c r="C128" s="22" t="s">
        <v>135</v>
      </c>
      <c r="D128" s="11">
        <v>22.1</v>
      </c>
      <c r="E128" s="12">
        <v>17.7</v>
      </c>
      <c r="F128" s="7">
        <f t="shared" si="20"/>
        <v>1.2485875706214691</v>
      </c>
      <c r="G128" s="8">
        <v>0</v>
      </c>
      <c r="H128" s="9">
        <v>0</v>
      </c>
      <c r="I128" s="9">
        <v>1</v>
      </c>
      <c r="J128" s="9">
        <v>0</v>
      </c>
      <c r="K128" s="9">
        <v>0</v>
      </c>
      <c r="L128" s="8">
        <v>3065</v>
      </c>
      <c r="M128" s="9">
        <v>7</v>
      </c>
      <c r="N128" s="9">
        <f t="shared" si="11"/>
        <v>3057</v>
      </c>
      <c r="O128" s="9">
        <f t="shared" si="12"/>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2"/>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35">
      <c r="A129">
        <v>128</v>
      </c>
      <c r="B129">
        <v>12</v>
      </c>
      <c r="C129" s="22" t="s">
        <v>135</v>
      </c>
      <c r="D129" s="11">
        <v>-6.4</v>
      </c>
      <c r="E129" s="12">
        <v>6.5</v>
      </c>
      <c r="F129" s="7">
        <f t="shared" si="20"/>
        <v>-0.98461538461538467</v>
      </c>
      <c r="G129" s="8">
        <v>0</v>
      </c>
      <c r="H129" s="9">
        <v>0</v>
      </c>
      <c r="I129" s="9">
        <v>1</v>
      </c>
      <c r="J129" s="9">
        <v>0</v>
      </c>
      <c r="K129" s="9">
        <v>0</v>
      </c>
      <c r="L129" s="8">
        <v>1531</v>
      </c>
      <c r="M129" s="9">
        <v>7</v>
      </c>
      <c r="N129" s="9">
        <f t="shared" si="11"/>
        <v>1523</v>
      </c>
      <c r="O129" s="9">
        <f t="shared" si="12"/>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2"/>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35">
      <c r="A130">
        <v>129</v>
      </c>
      <c r="B130">
        <v>12</v>
      </c>
      <c r="C130" s="22" t="s">
        <v>135</v>
      </c>
      <c r="D130" s="11">
        <v>6.9</v>
      </c>
      <c r="E130" s="12">
        <v>0.4</v>
      </c>
      <c r="F130" s="7">
        <f t="shared" si="20"/>
        <v>17.25</v>
      </c>
      <c r="G130" s="8">
        <v>0</v>
      </c>
      <c r="H130" s="9">
        <v>0</v>
      </c>
      <c r="I130" s="9">
        <v>1</v>
      </c>
      <c r="J130" s="9">
        <v>0</v>
      </c>
      <c r="K130" s="9">
        <v>0</v>
      </c>
      <c r="L130" s="8">
        <v>4596</v>
      </c>
      <c r="M130" s="9">
        <v>8</v>
      </c>
      <c r="N130" s="9">
        <f t="shared" ref="N130:N193" si="23">L130-M130-1</f>
        <v>4587</v>
      </c>
      <c r="O130" s="9">
        <f t="shared" ref="O130:O193" si="24">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2"/>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35">
      <c r="A131">
        <v>130</v>
      </c>
      <c r="B131">
        <v>12</v>
      </c>
      <c r="C131" s="22" t="s">
        <v>135</v>
      </c>
      <c r="D131" s="11">
        <v>6.6</v>
      </c>
      <c r="E131" s="12">
        <v>0.5</v>
      </c>
      <c r="F131" s="7">
        <f t="shared" si="20"/>
        <v>13.2</v>
      </c>
      <c r="G131" s="8">
        <v>0</v>
      </c>
      <c r="H131" s="9">
        <v>0</v>
      </c>
      <c r="I131" s="9">
        <v>1</v>
      </c>
      <c r="J131" s="9">
        <v>0</v>
      </c>
      <c r="K131" s="9">
        <v>0</v>
      </c>
      <c r="L131" s="8">
        <v>3065</v>
      </c>
      <c r="M131" s="9">
        <v>7</v>
      </c>
      <c r="N131" s="9">
        <f t="shared" si="23"/>
        <v>3057</v>
      </c>
      <c r="O131" s="9">
        <f t="shared" si="24"/>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2"/>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35">
      <c r="A132">
        <v>131</v>
      </c>
      <c r="B132">
        <v>12</v>
      </c>
      <c r="C132" s="22" t="s">
        <v>135</v>
      </c>
      <c r="D132" s="11">
        <v>7.4</v>
      </c>
      <c r="E132" s="12">
        <v>0.5</v>
      </c>
      <c r="F132" s="7">
        <f t="shared" si="20"/>
        <v>14.8</v>
      </c>
      <c r="G132" s="8">
        <v>0</v>
      </c>
      <c r="H132" s="9">
        <v>0</v>
      </c>
      <c r="I132" s="9">
        <v>1</v>
      </c>
      <c r="J132" s="9">
        <v>0</v>
      </c>
      <c r="K132" s="9">
        <v>0</v>
      </c>
      <c r="L132" s="8">
        <v>1531</v>
      </c>
      <c r="M132" s="9">
        <v>7</v>
      </c>
      <c r="N132" s="9">
        <f t="shared" si="23"/>
        <v>1523</v>
      </c>
      <c r="O132" s="9">
        <f t="shared" si="24"/>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2"/>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35">
      <c r="A133">
        <v>132</v>
      </c>
      <c r="B133">
        <v>12</v>
      </c>
      <c r="C133" s="22" t="s">
        <v>135</v>
      </c>
      <c r="D133" s="11">
        <v>6.2</v>
      </c>
      <c r="E133" s="12">
        <v>0.6</v>
      </c>
      <c r="F133" s="7">
        <f t="shared" si="20"/>
        <v>10.333333333333334</v>
      </c>
      <c r="G133" s="8">
        <v>0</v>
      </c>
      <c r="H133" s="9">
        <v>0</v>
      </c>
      <c r="I133" s="9">
        <v>1</v>
      </c>
      <c r="J133" s="9">
        <v>0</v>
      </c>
      <c r="K133" s="9">
        <v>0</v>
      </c>
      <c r="L133" s="8">
        <v>4596</v>
      </c>
      <c r="M133" s="9">
        <v>8</v>
      </c>
      <c r="N133" s="9">
        <f t="shared" si="23"/>
        <v>4587</v>
      </c>
      <c r="O133" s="9">
        <f t="shared" si="24"/>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2"/>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35">
      <c r="A134">
        <v>133</v>
      </c>
      <c r="B134">
        <v>12</v>
      </c>
      <c r="C134" s="22" t="s">
        <v>135</v>
      </c>
      <c r="D134" s="11">
        <v>6</v>
      </c>
      <c r="E134" s="12">
        <v>0.7</v>
      </c>
      <c r="F134" s="7">
        <f t="shared" si="20"/>
        <v>8.5714285714285712</v>
      </c>
      <c r="G134" s="8">
        <v>0</v>
      </c>
      <c r="H134" s="9">
        <v>0</v>
      </c>
      <c r="I134" s="9">
        <v>1</v>
      </c>
      <c r="J134" s="9">
        <v>0</v>
      </c>
      <c r="K134" s="9">
        <v>0</v>
      </c>
      <c r="L134" s="8">
        <v>3065</v>
      </c>
      <c r="M134" s="9">
        <v>7</v>
      </c>
      <c r="N134" s="9">
        <f t="shared" si="23"/>
        <v>3057</v>
      </c>
      <c r="O134" s="9">
        <f t="shared" si="24"/>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2"/>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35">
      <c r="A135" s="47">
        <v>134</v>
      </c>
      <c r="B135" s="47">
        <v>12</v>
      </c>
      <c r="C135" s="48" t="s">
        <v>135</v>
      </c>
      <c r="D135" s="49">
        <v>6.6</v>
      </c>
      <c r="E135" s="50">
        <v>0.8</v>
      </c>
      <c r="F135" s="51">
        <f t="shared" si="20"/>
        <v>8.2499999999999982</v>
      </c>
      <c r="G135" s="53">
        <v>0</v>
      </c>
      <c r="H135" s="54">
        <v>0</v>
      </c>
      <c r="I135" s="54">
        <v>1</v>
      </c>
      <c r="J135" s="54">
        <v>0</v>
      </c>
      <c r="K135" s="54">
        <v>0</v>
      </c>
      <c r="L135" s="53">
        <v>1531</v>
      </c>
      <c r="M135" s="54">
        <v>7</v>
      </c>
      <c r="N135" s="54">
        <f t="shared" si="23"/>
        <v>1523</v>
      </c>
      <c r="O135" s="54">
        <f t="shared" si="24"/>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2"/>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35">
      <c r="A136">
        <v>135</v>
      </c>
      <c r="B136">
        <v>13</v>
      </c>
      <c r="C136" s="22" t="s">
        <v>136</v>
      </c>
      <c r="D136" s="11">
        <v>5.51</v>
      </c>
      <c r="E136" s="12">
        <v>0.253</v>
      </c>
      <c r="F136" s="7">
        <f t="shared" si="20"/>
        <v>21.778656126482211</v>
      </c>
      <c r="G136" s="8">
        <v>0</v>
      </c>
      <c r="H136" s="9">
        <v>0</v>
      </c>
      <c r="I136" s="9">
        <v>1</v>
      </c>
      <c r="J136" s="9">
        <v>0</v>
      </c>
      <c r="K136" s="9">
        <v>0</v>
      </c>
      <c r="L136" s="8">
        <v>4979</v>
      </c>
      <c r="M136" s="9">
        <v>5</v>
      </c>
      <c r="N136" s="9">
        <f t="shared" si="23"/>
        <v>4973</v>
      </c>
      <c r="O136" s="9">
        <f t="shared" si="24"/>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35">
      <c r="A137">
        <v>136</v>
      </c>
      <c r="B137">
        <v>13</v>
      </c>
      <c r="C137" s="22" t="s">
        <v>136</v>
      </c>
      <c r="D137" s="11">
        <v>4.8840854459892276</v>
      </c>
      <c r="E137" s="12">
        <f t="shared" ref="E137:E142" si="25">D137/F137</f>
        <v>1.1482677169217248</v>
      </c>
      <c r="F137" s="7">
        <v>4.2534379169715582</v>
      </c>
      <c r="G137" s="8">
        <v>0</v>
      </c>
      <c r="H137" s="9">
        <v>0</v>
      </c>
      <c r="I137" s="9">
        <v>1</v>
      </c>
      <c r="J137" s="9">
        <v>0</v>
      </c>
      <c r="K137" s="9">
        <v>0</v>
      </c>
      <c r="L137" s="8">
        <v>4979</v>
      </c>
      <c r="M137" s="9">
        <v>8</v>
      </c>
      <c r="N137" s="9">
        <f t="shared" si="23"/>
        <v>4970</v>
      </c>
      <c r="O137" s="9">
        <f t="shared" si="24"/>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35">
      <c r="A138">
        <v>137</v>
      </c>
      <c r="B138">
        <v>13</v>
      </c>
      <c r="C138" s="22" t="s">
        <v>136</v>
      </c>
      <c r="D138" s="11">
        <v>5.5730247103205288</v>
      </c>
      <c r="E138" s="12">
        <f t="shared" si="25"/>
        <v>0.89784986733651528</v>
      </c>
      <c r="F138" s="7">
        <v>6.2070786142153009</v>
      </c>
      <c r="G138" s="8">
        <v>0</v>
      </c>
      <c r="H138" s="9">
        <v>0</v>
      </c>
      <c r="I138" s="9">
        <v>1</v>
      </c>
      <c r="J138" s="9">
        <v>0</v>
      </c>
      <c r="K138" s="9">
        <v>0</v>
      </c>
      <c r="L138" s="8">
        <v>4979</v>
      </c>
      <c r="M138" s="9">
        <v>8</v>
      </c>
      <c r="N138" s="9">
        <f t="shared" si="23"/>
        <v>4970</v>
      </c>
      <c r="O138" s="9">
        <f t="shared" si="24"/>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35">
      <c r="A139">
        <v>138</v>
      </c>
      <c r="B139">
        <v>13</v>
      </c>
      <c r="C139" s="22" t="s">
        <v>136</v>
      </c>
      <c r="D139" s="11">
        <v>10.70510715693943</v>
      </c>
      <c r="E139" s="12">
        <f t="shared" si="25"/>
        <v>1.3975793543583506</v>
      </c>
      <c r="F139" s="7">
        <v>7.6597490679549312</v>
      </c>
      <c r="G139" s="8">
        <v>0</v>
      </c>
      <c r="H139" s="9">
        <v>0</v>
      </c>
      <c r="I139" s="9">
        <v>1</v>
      </c>
      <c r="J139" s="9">
        <v>0</v>
      </c>
      <c r="K139" s="9">
        <v>0</v>
      </c>
      <c r="L139" s="8">
        <v>4979</v>
      </c>
      <c r="M139" s="9">
        <v>8</v>
      </c>
      <c r="N139" s="9">
        <f t="shared" si="23"/>
        <v>4970</v>
      </c>
      <c r="O139" s="9">
        <f t="shared" si="24"/>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35">
      <c r="A140">
        <v>139</v>
      </c>
      <c r="B140">
        <v>13</v>
      </c>
      <c r="C140" s="22" t="s">
        <v>136</v>
      </c>
      <c r="D140" s="11">
        <v>8.6486779067039983</v>
      </c>
      <c r="E140" s="12">
        <f t="shared" si="25"/>
        <v>0.98694243098033674</v>
      </c>
      <c r="F140" s="7">
        <v>8.7631027253668758</v>
      </c>
      <c r="G140" s="8">
        <v>0</v>
      </c>
      <c r="H140" s="9">
        <v>0</v>
      </c>
      <c r="I140" s="9">
        <v>1</v>
      </c>
      <c r="J140" s="9">
        <v>0</v>
      </c>
      <c r="K140" s="9">
        <v>0</v>
      </c>
      <c r="L140" s="8">
        <v>4979</v>
      </c>
      <c r="M140" s="9">
        <v>15</v>
      </c>
      <c r="N140" s="9">
        <f t="shared" si="23"/>
        <v>4963</v>
      </c>
      <c r="O140" s="9">
        <f t="shared" si="24"/>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35">
      <c r="A141">
        <v>140</v>
      </c>
      <c r="B141">
        <v>13</v>
      </c>
      <c r="C141" s="22" t="s">
        <v>136</v>
      </c>
      <c r="D141" s="11">
        <v>6.2610778657974198</v>
      </c>
      <c r="E141" s="12">
        <f t="shared" si="25"/>
        <v>0.41588918524664004</v>
      </c>
      <c r="F141" s="7">
        <v>15.05467823618528</v>
      </c>
      <c r="G141" s="8">
        <v>0</v>
      </c>
      <c r="H141" s="9">
        <v>0</v>
      </c>
      <c r="I141" s="9">
        <v>1</v>
      </c>
      <c r="J141" s="9">
        <v>0</v>
      </c>
      <c r="K141" s="9">
        <v>0</v>
      </c>
      <c r="L141" s="8">
        <v>4979</v>
      </c>
      <c r="M141" s="9">
        <v>15</v>
      </c>
      <c r="N141" s="9">
        <f t="shared" si="23"/>
        <v>4963</v>
      </c>
      <c r="O141" s="9">
        <f t="shared" si="24"/>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35">
      <c r="A142" s="47">
        <v>141</v>
      </c>
      <c r="B142" s="47">
        <v>13</v>
      </c>
      <c r="C142" s="48" t="s">
        <v>136</v>
      </c>
      <c r="D142" s="49">
        <v>10.7324983570344</v>
      </c>
      <c r="E142" s="50">
        <f t="shared" si="25"/>
        <v>0.51814326001821898</v>
      </c>
      <c r="F142" s="51">
        <v>20.713380227424022</v>
      </c>
      <c r="G142" s="53">
        <v>0</v>
      </c>
      <c r="H142" s="54">
        <v>0</v>
      </c>
      <c r="I142" s="54">
        <v>1</v>
      </c>
      <c r="J142" s="54">
        <v>0</v>
      </c>
      <c r="K142" s="54">
        <v>0</v>
      </c>
      <c r="L142" s="53">
        <v>4979</v>
      </c>
      <c r="M142" s="54">
        <v>15</v>
      </c>
      <c r="N142" s="54">
        <f t="shared" si="23"/>
        <v>4963</v>
      </c>
      <c r="O142" s="54">
        <f t="shared" si="24"/>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35">
      <c r="A143">
        <v>142</v>
      </c>
      <c r="B143">
        <v>14</v>
      </c>
      <c r="C143" s="22" t="s">
        <v>137</v>
      </c>
      <c r="D143" s="11">
        <v>7.7</v>
      </c>
      <c r="E143" s="12">
        <v>0.3</v>
      </c>
      <c r="F143" s="7">
        <v>21.713380227424</v>
      </c>
      <c r="G143" s="8">
        <v>0</v>
      </c>
      <c r="H143" s="9">
        <v>0</v>
      </c>
      <c r="I143" s="9">
        <v>0</v>
      </c>
      <c r="J143" s="9">
        <v>1</v>
      </c>
      <c r="K143" s="9">
        <v>0</v>
      </c>
      <c r="L143" s="8">
        <v>28552</v>
      </c>
      <c r="M143" s="9">
        <v>3</v>
      </c>
      <c r="N143" s="9">
        <f t="shared" si="23"/>
        <v>28548</v>
      </c>
      <c r="O143" s="9">
        <f t="shared" si="24"/>
        <v>12</v>
      </c>
      <c r="P143" s="7">
        <v>12.4</v>
      </c>
      <c r="Q143" s="7">
        <f t="shared" ref="Q143:Q154" si="26">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35">
      <c r="A144">
        <v>143</v>
      </c>
      <c r="B144">
        <v>14</v>
      </c>
      <c r="C144" s="22" t="s">
        <v>137</v>
      </c>
      <c r="D144" s="11">
        <v>8</v>
      </c>
      <c r="E144" s="12">
        <v>0.5</v>
      </c>
      <c r="F144" s="7">
        <v>22.713380227424</v>
      </c>
      <c r="G144" s="8">
        <v>0</v>
      </c>
      <c r="H144" s="9">
        <v>0</v>
      </c>
      <c r="I144" s="9">
        <v>0</v>
      </c>
      <c r="J144" s="9">
        <v>1</v>
      </c>
      <c r="K144" s="9">
        <v>0</v>
      </c>
      <c r="L144" s="8">
        <v>28582</v>
      </c>
      <c r="M144" s="9">
        <v>3</v>
      </c>
      <c r="N144" s="9">
        <f t="shared" si="23"/>
        <v>28578</v>
      </c>
      <c r="O144" s="9">
        <f t="shared" si="24"/>
        <v>12</v>
      </c>
      <c r="P144" s="7">
        <v>12.4</v>
      </c>
      <c r="Q144" s="7">
        <f t="shared" si="26"/>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3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3"/>
        <v>29244</v>
      </c>
      <c r="O145" s="9">
        <f t="shared" si="24"/>
        <v>12</v>
      </c>
      <c r="P145" s="7">
        <v>12.4</v>
      </c>
      <c r="Q145" s="7">
        <f t="shared" si="26"/>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35">
      <c r="A146">
        <v>145</v>
      </c>
      <c r="B146">
        <v>14</v>
      </c>
      <c r="C146" s="22" t="s">
        <v>137</v>
      </c>
      <c r="D146" s="11">
        <v>7</v>
      </c>
      <c r="E146" s="12">
        <v>0.2</v>
      </c>
      <c r="F146" s="7">
        <v>24.713380227424</v>
      </c>
      <c r="G146" s="8">
        <v>0</v>
      </c>
      <c r="H146" s="9">
        <v>0</v>
      </c>
      <c r="I146" s="9">
        <v>0</v>
      </c>
      <c r="J146" s="9">
        <v>1</v>
      </c>
      <c r="K146" s="9">
        <v>0</v>
      </c>
      <c r="L146" s="8">
        <v>27750</v>
      </c>
      <c r="M146" s="9">
        <v>3</v>
      </c>
      <c r="N146" s="9">
        <f t="shared" si="23"/>
        <v>27746</v>
      </c>
      <c r="O146" s="9">
        <f t="shared" si="24"/>
        <v>12</v>
      </c>
      <c r="P146" s="7">
        <v>12.6</v>
      </c>
      <c r="Q146" s="7">
        <f t="shared" si="26"/>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35">
      <c r="A147">
        <v>146</v>
      </c>
      <c r="B147">
        <v>14</v>
      </c>
      <c r="C147" s="22" t="s">
        <v>137</v>
      </c>
      <c r="D147" s="11">
        <v>10.7</v>
      </c>
      <c r="E147" s="12">
        <v>0.4</v>
      </c>
      <c r="F147" s="7">
        <v>25.713380227424</v>
      </c>
      <c r="G147" s="8">
        <v>0</v>
      </c>
      <c r="H147" s="9">
        <v>0</v>
      </c>
      <c r="I147" s="9">
        <v>0</v>
      </c>
      <c r="J147" s="9">
        <v>1</v>
      </c>
      <c r="K147" s="9">
        <v>0</v>
      </c>
      <c r="L147" s="8">
        <v>27777</v>
      </c>
      <c r="M147" s="9">
        <v>3</v>
      </c>
      <c r="N147" s="9">
        <f t="shared" si="23"/>
        <v>27773</v>
      </c>
      <c r="O147" s="9">
        <f t="shared" si="24"/>
        <v>12</v>
      </c>
      <c r="P147" s="7">
        <v>12.6</v>
      </c>
      <c r="Q147" s="7">
        <f t="shared" si="26"/>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35">
      <c r="A148">
        <v>147</v>
      </c>
      <c r="B148">
        <v>14</v>
      </c>
      <c r="C148" s="22" t="s">
        <v>137</v>
      </c>
      <c r="D148" s="11">
        <v>11.2</v>
      </c>
      <c r="E148" s="12">
        <v>0.5</v>
      </c>
      <c r="F148" s="7">
        <v>26.713380227424</v>
      </c>
      <c r="G148" s="8">
        <v>0</v>
      </c>
      <c r="H148" s="9">
        <v>0</v>
      </c>
      <c r="I148" s="9">
        <v>0</v>
      </c>
      <c r="J148" s="9">
        <v>1</v>
      </c>
      <c r="K148" s="9">
        <v>0</v>
      </c>
      <c r="L148" s="8">
        <v>27842</v>
      </c>
      <c r="M148" s="9">
        <v>3</v>
      </c>
      <c r="N148" s="9">
        <f t="shared" si="23"/>
        <v>27838</v>
      </c>
      <c r="O148" s="9">
        <f t="shared" si="24"/>
        <v>12</v>
      </c>
      <c r="P148" s="7">
        <v>12.6</v>
      </c>
      <c r="Q148" s="7">
        <f t="shared" si="26"/>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35">
      <c r="A149">
        <v>148</v>
      </c>
      <c r="B149">
        <v>14</v>
      </c>
      <c r="C149" s="22" t="s">
        <v>137</v>
      </c>
      <c r="D149" s="11">
        <v>8.4</v>
      </c>
      <c r="E149" s="12">
        <v>0.5</v>
      </c>
      <c r="F149" s="7">
        <v>27.713380227424</v>
      </c>
      <c r="G149" s="8">
        <v>0</v>
      </c>
      <c r="H149" s="9">
        <v>0</v>
      </c>
      <c r="I149" s="9">
        <v>0</v>
      </c>
      <c r="J149" s="9">
        <v>1</v>
      </c>
      <c r="K149" s="9">
        <v>0</v>
      </c>
      <c r="L149" s="8">
        <v>30679</v>
      </c>
      <c r="M149" s="9">
        <v>3</v>
      </c>
      <c r="N149" s="9">
        <f t="shared" si="23"/>
        <v>30675</v>
      </c>
      <c r="O149" s="9">
        <f t="shared" si="24"/>
        <v>12</v>
      </c>
      <c r="P149" s="7">
        <v>12.4</v>
      </c>
      <c r="Q149" s="7">
        <f t="shared" si="26"/>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3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3"/>
        <v>30705</v>
      </c>
      <c r="O150" s="9">
        <f t="shared" si="24"/>
        <v>12</v>
      </c>
      <c r="P150" s="7">
        <v>12.4</v>
      </c>
      <c r="Q150" s="7">
        <f t="shared" si="26"/>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3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3"/>
        <v>31384</v>
      </c>
      <c r="O151" s="9">
        <f t="shared" si="24"/>
        <v>12</v>
      </c>
      <c r="P151" s="7">
        <v>12.4</v>
      </c>
      <c r="Q151" s="7">
        <f t="shared" si="26"/>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35">
      <c r="A152">
        <v>151</v>
      </c>
      <c r="B152">
        <v>14</v>
      </c>
      <c r="C152" s="22" t="s">
        <v>137</v>
      </c>
      <c r="D152" s="11">
        <v>7.5</v>
      </c>
      <c r="E152" s="12">
        <v>0.3</v>
      </c>
      <c r="F152" s="7">
        <v>30.713380227424</v>
      </c>
      <c r="G152" s="8">
        <v>0</v>
      </c>
      <c r="H152" s="9">
        <v>0</v>
      </c>
      <c r="I152" s="9">
        <v>0</v>
      </c>
      <c r="J152" s="9">
        <v>1</v>
      </c>
      <c r="K152" s="9">
        <v>0</v>
      </c>
      <c r="L152" s="8">
        <v>29839</v>
      </c>
      <c r="M152" s="9">
        <v>3</v>
      </c>
      <c r="N152" s="9">
        <f t="shared" si="23"/>
        <v>29835</v>
      </c>
      <c r="O152" s="9">
        <f t="shared" si="24"/>
        <v>12</v>
      </c>
      <c r="P152" s="7">
        <v>12.6</v>
      </c>
      <c r="Q152" s="7">
        <f t="shared" si="26"/>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35">
      <c r="A153">
        <v>152</v>
      </c>
      <c r="B153">
        <v>14</v>
      </c>
      <c r="C153" s="22" t="s">
        <v>137</v>
      </c>
      <c r="D153" s="11">
        <v>10.6</v>
      </c>
      <c r="E153" s="12">
        <v>0.5</v>
      </c>
      <c r="F153" s="7">
        <v>31.713380227424</v>
      </c>
      <c r="G153" s="8">
        <v>0</v>
      </c>
      <c r="H153" s="9">
        <v>0</v>
      </c>
      <c r="I153" s="9">
        <v>0</v>
      </c>
      <c r="J153" s="9">
        <v>1</v>
      </c>
      <c r="K153" s="9">
        <v>0</v>
      </c>
      <c r="L153" s="8">
        <v>29869</v>
      </c>
      <c r="M153" s="9">
        <v>3</v>
      </c>
      <c r="N153" s="9">
        <f t="shared" si="23"/>
        <v>29865</v>
      </c>
      <c r="O153" s="9">
        <f t="shared" si="24"/>
        <v>12</v>
      </c>
      <c r="P153" s="7">
        <v>12.6</v>
      </c>
      <c r="Q153" s="7">
        <f t="shared" si="26"/>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3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3"/>
        <v>29867</v>
      </c>
      <c r="O154" s="54">
        <f t="shared" si="24"/>
        <v>12</v>
      </c>
      <c r="P154" s="51">
        <v>12.6</v>
      </c>
      <c r="Q154" s="51">
        <f t="shared" si="26"/>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35">
      <c r="A155">
        <v>154</v>
      </c>
      <c r="B155">
        <v>15</v>
      </c>
      <c r="C155" s="22" t="s">
        <v>157</v>
      </c>
      <c r="D155" s="11">
        <v>8.5</v>
      </c>
      <c r="E155" s="12">
        <v>0.1</v>
      </c>
      <c r="F155" s="7">
        <f>D155/E155</f>
        <v>85</v>
      </c>
      <c r="G155" s="8">
        <v>0</v>
      </c>
      <c r="H155" s="9">
        <v>1</v>
      </c>
      <c r="I155" s="9">
        <v>0</v>
      </c>
      <c r="J155" s="9">
        <v>0</v>
      </c>
      <c r="K155" s="9">
        <v>0</v>
      </c>
      <c r="L155" s="8">
        <v>46965</v>
      </c>
      <c r="M155" s="9">
        <v>9</v>
      </c>
      <c r="N155" s="9">
        <f t="shared" si="23"/>
        <v>46955</v>
      </c>
      <c r="O155" s="9">
        <f t="shared" si="24"/>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7">1-SUM(AD155:AF155)</f>
        <v>0.15199999999999991</v>
      </c>
      <c r="AH155" s="38" t="s">
        <v>94</v>
      </c>
      <c r="AI155" s="15" t="s">
        <v>94</v>
      </c>
      <c r="AJ155">
        <v>0.27300000000000002</v>
      </c>
      <c r="AK155" s="36">
        <f t="shared" ref="AK155:AK218" si="28">1-AJ155</f>
        <v>0.72699999999999998</v>
      </c>
      <c r="AL155" t="s">
        <v>94</v>
      </c>
      <c r="AM155" s="36" t="s">
        <v>94</v>
      </c>
      <c r="AN155">
        <v>0</v>
      </c>
      <c r="AO155" s="15">
        <v>1</v>
      </c>
      <c r="AP155">
        <v>0.32100000000000001</v>
      </c>
      <c r="AQ155" s="15">
        <f t="shared" ref="AQ155:AQ174" si="29">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35">
      <c r="A156">
        <v>155</v>
      </c>
      <c r="B156">
        <v>15</v>
      </c>
      <c r="C156" s="22" t="s">
        <v>157</v>
      </c>
      <c r="D156" s="11">
        <v>7.7</v>
      </c>
      <c r="E156" s="12">
        <v>0.1</v>
      </c>
      <c r="F156" s="7">
        <f>D156/E156</f>
        <v>77</v>
      </c>
      <c r="G156" s="8">
        <v>0</v>
      </c>
      <c r="H156" s="9">
        <v>1</v>
      </c>
      <c r="I156" s="9">
        <v>0</v>
      </c>
      <c r="J156" s="9">
        <v>0</v>
      </c>
      <c r="K156" s="9">
        <v>0</v>
      </c>
      <c r="L156" s="8">
        <v>46965</v>
      </c>
      <c r="M156" s="9">
        <v>13</v>
      </c>
      <c r="N156" s="9">
        <f t="shared" si="23"/>
        <v>46951</v>
      </c>
      <c r="O156" s="9">
        <f t="shared" si="24"/>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7"/>
        <v>0.15199999999999991</v>
      </c>
      <c r="AH156" s="38" t="s">
        <v>94</v>
      </c>
      <c r="AI156" s="15" t="s">
        <v>94</v>
      </c>
      <c r="AJ156">
        <v>0.27300000000000002</v>
      </c>
      <c r="AK156" s="36">
        <f t="shared" si="28"/>
        <v>0.72699999999999998</v>
      </c>
      <c r="AL156" t="s">
        <v>94</v>
      </c>
      <c r="AM156" s="36" t="s">
        <v>94</v>
      </c>
      <c r="AN156">
        <v>0</v>
      </c>
      <c r="AO156" s="15">
        <v>1</v>
      </c>
      <c r="AP156">
        <v>0.32100000000000001</v>
      </c>
      <c r="AQ156" s="15">
        <f t="shared" si="29"/>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35">
      <c r="A157">
        <v>156</v>
      </c>
      <c r="B157">
        <v>15</v>
      </c>
      <c r="C157" s="22" t="s">
        <v>157</v>
      </c>
      <c r="D157" s="11">
        <v>6.8</v>
      </c>
      <c r="E157" s="12">
        <v>0.1</v>
      </c>
      <c r="F157" s="7">
        <f>D157/E157</f>
        <v>68</v>
      </c>
      <c r="G157" s="8">
        <v>0</v>
      </c>
      <c r="H157" s="9">
        <v>1</v>
      </c>
      <c r="I157" s="9">
        <v>0</v>
      </c>
      <c r="J157" s="9">
        <v>0</v>
      </c>
      <c r="K157" s="9">
        <v>0</v>
      </c>
      <c r="L157" s="8">
        <v>46965</v>
      </c>
      <c r="M157" s="9">
        <v>13</v>
      </c>
      <c r="N157" s="9">
        <f t="shared" si="23"/>
        <v>46951</v>
      </c>
      <c r="O157" s="9">
        <f t="shared" si="24"/>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7"/>
        <v>0.15199999999999991</v>
      </c>
      <c r="AH157" s="38" t="s">
        <v>94</v>
      </c>
      <c r="AI157" s="15" t="s">
        <v>94</v>
      </c>
      <c r="AJ157">
        <v>0.27300000000000002</v>
      </c>
      <c r="AK157" s="36">
        <f t="shared" si="28"/>
        <v>0.72699999999999998</v>
      </c>
      <c r="AL157" t="s">
        <v>94</v>
      </c>
      <c r="AM157" s="36" t="s">
        <v>94</v>
      </c>
      <c r="AN157">
        <v>0</v>
      </c>
      <c r="AO157" s="15">
        <v>1</v>
      </c>
      <c r="AP157">
        <v>0.32100000000000001</v>
      </c>
      <c r="AQ157" s="15">
        <f t="shared" si="29"/>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35">
      <c r="A158">
        <v>157</v>
      </c>
      <c r="B158">
        <v>15</v>
      </c>
      <c r="C158" s="22" t="s">
        <v>157</v>
      </c>
      <c r="D158" s="11">
        <v>8.5</v>
      </c>
      <c r="E158" s="12">
        <v>0.1</v>
      </c>
      <c r="F158" s="7">
        <f>D158/E158</f>
        <v>85</v>
      </c>
      <c r="G158" s="8">
        <v>0</v>
      </c>
      <c r="H158" s="9">
        <v>1</v>
      </c>
      <c r="I158" s="9">
        <v>0</v>
      </c>
      <c r="J158" s="9">
        <v>0</v>
      </c>
      <c r="K158" s="9">
        <v>0</v>
      </c>
      <c r="L158" s="8">
        <v>46965</v>
      </c>
      <c r="M158" s="9">
        <v>15</v>
      </c>
      <c r="N158" s="9">
        <f t="shared" si="23"/>
        <v>46949</v>
      </c>
      <c r="O158" s="9">
        <f t="shared" si="24"/>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7"/>
        <v>0.15199999999999991</v>
      </c>
      <c r="AH158" s="38" t="s">
        <v>94</v>
      </c>
      <c r="AI158" s="15" t="s">
        <v>94</v>
      </c>
      <c r="AJ158">
        <v>0.27300000000000002</v>
      </c>
      <c r="AK158" s="36">
        <f t="shared" si="28"/>
        <v>0.72699999999999998</v>
      </c>
      <c r="AL158" t="s">
        <v>94</v>
      </c>
      <c r="AM158" s="36" t="s">
        <v>94</v>
      </c>
      <c r="AN158">
        <v>0</v>
      </c>
      <c r="AO158" s="15">
        <v>1</v>
      </c>
      <c r="AP158">
        <v>0.32100000000000001</v>
      </c>
      <c r="AQ158" s="15">
        <f t="shared" si="29"/>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35">
      <c r="A159">
        <v>158</v>
      </c>
      <c r="B159">
        <v>15</v>
      </c>
      <c r="C159" s="22" t="s">
        <v>157</v>
      </c>
      <c r="D159" s="11">
        <v>7.7</v>
      </c>
      <c r="E159" s="12">
        <v>0.1</v>
      </c>
      <c r="F159" s="7">
        <f>D159/E159</f>
        <v>77</v>
      </c>
      <c r="G159" s="8">
        <v>0</v>
      </c>
      <c r="H159" s="9">
        <v>1</v>
      </c>
      <c r="I159" s="9">
        <v>0</v>
      </c>
      <c r="J159" s="9">
        <v>0</v>
      </c>
      <c r="K159" s="9">
        <v>0</v>
      </c>
      <c r="L159" s="8">
        <v>99900</v>
      </c>
      <c r="M159" s="9">
        <v>13</v>
      </c>
      <c r="N159" s="9">
        <f t="shared" si="23"/>
        <v>99886</v>
      </c>
      <c r="O159" s="9">
        <f t="shared" si="24"/>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7"/>
        <v>0.15199999999999991</v>
      </c>
      <c r="AH159" s="38" t="s">
        <v>94</v>
      </c>
      <c r="AI159" s="15" t="s">
        <v>94</v>
      </c>
      <c r="AJ159">
        <v>0.27300000000000002</v>
      </c>
      <c r="AK159" s="36">
        <f t="shared" si="28"/>
        <v>0.72699999999999998</v>
      </c>
      <c r="AL159" t="s">
        <v>94</v>
      </c>
      <c r="AM159" s="36" t="s">
        <v>94</v>
      </c>
      <c r="AN159">
        <v>0</v>
      </c>
      <c r="AO159" s="15">
        <v>1</v>
      </c>
      <c r="AP159">
        <v>0.32100000000000001</v>
      </c>
      <c r="AQ159" s="15">
        <f t="shared" si="29"/>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3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3"/>
        <v>99882</v>
      </c>
      <c r="O160" s="9">
        <f t="shared" si="24"/>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7"/>
        <v>0.18599999999999994</v>
      </c>
      <c r="AH160" s="38" t="s">
        <v>94</v>
      </c>
      <c r="AI160" s="15" t="s">
        <v>94</v>
      </c>
      <c r="AJ160">
        <v>0.504</v>
      </c>
      <c r="AK160" s="36">
        <f t="shared" si="28"/>
        <v>0.496</v>
      </c>
      <c r="AL160" t="s">
        <v>94</v>
      </c>
      <c r="AM160" s="36" t="s">
        <v>94</v>
      </c>
      <c r="AN160">
        <v>0</v>
      </c>
      <c r="AO160" s="15">
        <v>1</v>
      </c>
      <c r="AP160">
        <v>0.32100000000000001</v>
      </c>
      <c r="AQ160" s="15">
        <f t="shared" si="29"/>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3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3"/>
        <v>99882</v>
      </c>
      <c r="O161" s="9">
        <f t="shared" si="24"/>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7"/>
        <v>0.18599999999999994</v>
      </c>
      <c r="AH161" s="38" t="s">
        <v>94</v>
      </c>
      <c r="AI161" s="15" t="s">
        <v>94</v>
      </c>
      <c r="AJ161">
        <v>0.504</v>
      </c>
      <c r="AK161" s="36">
        <f t="shared" si="28"/>
        <v>0.496</v>
      </c>
      <c r="AL161" t="s">
        <v>94</v>
      </c>
      <c r="AM161" s="36" t="s">
        <v>94</v>
      </c>
      <c r="AN161">
        <v>0</v>
      </c>
      <c r="AO161" s="15">
        <v>1</v>
      </c>
      <c r="AP161">
        <v>0.32100000000000001</v>
      </c>
      <c r="AQ161" s="15">
        <f t="shared" si="29"/>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3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3"/>
        <v>99882</v>
      </c>
      <c r="O162" s="9">
        <f t="shared" si="24"/>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7"/>
        <v>0.18599999999999994</v>
      </c>
      <c r="AH162" s="38" t="s">
        <v>94</v>
      </c>
      <c r="AI162" s="15" t="s">
        <v>94</v>
      </c>
      <c r="AJ162">
        <v>0.504</v>
      </c>
      <c r="AK162" s="36">
        <f t="shared" si="28"/>
        <v>0.496</v>
      </c>
      <c r="AL162" t="s">
        <v>94</v>
      </c>
      <c r="AM162" s="36" t="s">
        <v>94</v>
      </c>
      <c r="AN162">
        <v>0</v>
      </c>
      <c r="AO162" s="15">
        <v>1</v>
      </c>
      <c r="AP162">
        <v>0.32100000000000001</v>
      </c>
      <c r="AQ162" s="15">
        <f t="shared" si="29"/>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3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3"/>
        <v>99882</v>
      </c>
      <c r="O163" s="9">
        <f t="shared" si="24"/>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7"/>
        <v>0.18599999999999994</v>
      </c>
      <c r="AH163" s="38" t="s">
        <v>94</v>
      </c>
      <c r="AI163" s="15" t="s">
        <v>94</v>
      </c>
      <c r="AJ163">
        <v>0.504</v>
      </c>
      <c r="AK163" s="36">
        <f t="shared" si="28"/>
        <v>0.496</v>
      </c>
      <c r="AL163" t="s">
        <v>94</v>
      </c>
      <c r="AM163" s="36" t="s">
        <v>94</v>
      </c>
      <c r="AN163">
        <v>0</v>
      </c>
      <c r="AO163" s="15">
        <v>1</v>
      </c>
      <c r="AP163">
        <v>0.32100000000000001</v>
      </c>
      <c r="AQ163" s="15">
        <f t="shared" si="29"/>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3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3"/>
        <v>99882</v>
      </c>
      <c r="O164" s="9">
        <f t="shared" si="24"/>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7"/>
        <v>0.18599999999999994</v>
      </c>
      <c r="AH164" s="38" t="s">
        <v>94</v>
      </c>
      <c r="AI164" s="15" t="s">
        <v>94</v>
      </c>
      <c r="AJ164">
        <v>0.504</v>
      </c>
      <c r="AK164" s="36">
        <f t="shared" si="28"/>
        <v>0.496</v>
      </c>
      <c r="AL164" t="s">
        <v>94</v>
      </c>
      <c r="AM164" s="36" t="s">
        <v>94</v>
      </c>
      <c r="AN164">
        <v>0</v>
      </c>
      <c r="AO164" s="15">
        <v>1</v>
      </c>
      <c r="AP164">
        <v>0.32100000000000001</v>
      </c>
      <c r="AQ164" s="15">
        <f t="shared" si="29"/>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3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3"/>
        <v>58319</v>
      </c>
      <c r="O165" s="9">
        <f t="shared" si="24"/>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7"/>
        <v>0.18599999999999994</v>
      </c>
      <c r="AH165" s="38" t="s">
        <v>94</v>
      </c>
      <c r="AI165" s="15" t="s">
        <v>94</v>
      </c>
      <c r="AJ165">
        <v>0.504</v>
      </c>
      <c r="AK165" s="36">
        <f t="shared" si="28"/>
        <v>0.496</v>
      </c>
      <c r="AL165" t="s">
        <v>94</v>
      </c>
      <c r="AM165" s="36" t="s">
        <v>94</v>
      </c>
      <c r="AN165">
        <v>0</v>
      </c>
      <c r="AO165" s="15">
        <v>1</v>
      </c>
      <c r="AP165">
        <v>0.32100000000000001</v>
      </c>
      <c r="AQ165" s="15">
        <f t="shared" si="29"/>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3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3"/>
        <v>58319</v>
      </c>
      <c r="O166" s="9">
        <f t="shared" si="24"/>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7"/>
        <v>0.18599999999999994</v>
      </c>
      <c r="AH166" s="38" t="s">
        <v>94</v>
      </c>
      <c r="AI166" s="15" t="s">
        <v>94</v>
      </c>
      <c r="AJ166">
        <v>0.504</v>
      </c>
      <c r="AK166" s="36">
        <f t="shared" si="28"/>
        <v>0.496</v>
      </c>
      <c r="AL166" t="s">
        <v>94</v>
      </c>
      <c r="AM166" s="36" t="s">
        <v>94</v>
      </c>
      <c r="AN166">
        <v>0</v>
      </c>
      <c r="AO166" s="15">
        <v>1</v>
      </c>
      <c r="AP166">
        <v>0.32100000000000001</v>
      </c>
      <c r="AQ166" s="15">
        <f t="shared" si="29"/>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3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3"/>
        <v>58319</v>
      </c>
      <c r="O167" s="9">
        <f t="shared" si="24"/>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7"/>
        <v>0.18599999999999994</v>
      </c>
      <c r="AH167" s="38" t="s">
        <v>94</v>
      </c>
      <c r="AI167" s="15" t="s">
        <v>94</v>
      </c>
      <c r="AJ167">
        <v>0.504</v>
      </c>
      <c r="AK167" s="36">
        <f t="shared" si="28"/>
        <v>0.496</v>
      </c>
      <c r="AL167" t="s">
        <v>94</v>
      </c>
      <c r="AM167" s="36" t="s">
        <v>94</v>
      </c>
      <c r="AN167">
        <v>0</v>
      </c>
      <c r="AO167" s="15">
        <v>1</v>
      </c>
      <c r="AP167">
        <v>0.32100000000000001</v>
      </c>
      <c r="AQ167" s="15">
        <f t="shared" si="29"/>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3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3"/>
        <v>58319</v>
      </c>
      <c r="O168" s="9">
        <f t="shared" si="24"/>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7"/>
        <v>0.18599999999999994</v>
      </c>
      <c r="AH168" s="38" t="s">
        <v>94</v>
      </c>
      <c r="AI168" s="15" t="s">
        <v>94</v>
      </c>
      <c r="AJ168">
        <v>0.504</v>
      </c>
      <c r="AK168" s="36">
        <f t="shared" si="28"/>
        <v>0.496</v>
      </c>
      <c r="AL168" t="s">
        <v>94</v>
      </c>
      <c r="AM168" s="36" t="s">
        <v>94</v>
      </c>
      <c r="AN168">
        <v>0</v>
      </c>
      <c r="AO168" s="15">
        <v>1</v>
      </c>
      <c r="AP168">
        <v>0.32100000000000001</v>
      </c>
      <c r="AQ168" s="15">
        <f t="shared" si="29"/>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3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3"/>
        <v>58319</v>
      </c>
      <c r="O169" s="9">
        <f t="shared" si="24"/>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7"/>
        <v>0.18599999999999994</v>
      </c>
      <c r="AH169" s="38" t="s">
        <v>94</v>
      </c>
      <c r="AI169" s="15" t="s">
        <v>94</v>
      </c>
      <c r="AJ169">
        <v>0.504</v>
      </c>
      <c r="AK169" s="36">
        <f t="shared" si="28"/>
        <v>0.496</v>
      </c>
      <c r="AL169" t="s">
        <v>94</v>
      </c>
      <c r="AM169" s="36" t="s">
        <v>94</v>
      </c>
      <c r="AN169">
        <v>0</v>
      </c>
      <c r="AO169" s="15">
        <v>1</v>
      </c>
      <c r="AP169">
        <v>0.32100000000000001</v>
      </c>
      <c r="AQ169" s="15">
        <f t="shared" si="29"/>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3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3"/>
        <v>41547</v>
      </c>
      <c r="O170" s="9">
        <f t="shared" si="24"/>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7"/>
        <v>0.18599999999999994</v>
      </c>
      <c r="AH170" s="38" t="s">
        <v>94</v>
      </c>
      <c r="AI170" s="15" t="s">
        <v>94</v>
      </c>
      <c r="AJ170">
        <v>0.504</v>
      </c>
      <c r="AK170" s="36">
        <f t="shared" si="28"/>
        <v>0.496</v>
      </c>
      <c r="AL170" t="s">
        <v>94</v>
      </c>
      <c r="AM170" s="36" t="s">
        <v>94</v>
      </c>
      <c r="AN170">
        <v>0</v>
      </c>
      <c r="AO170" s="15">
        <v>1</v>
      </c>
      <c r="AP170">
        <v>0.32100000000000001</v>
      </c>
      <c r="AQ170" s="15">
        <f t="shared" si="29"/>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3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3"/>
        <v>41547</v>
      </c>
      <c r="O171" s="9">
        <f t="shared" si="24"/>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7"/>
        <v>0.18599999999999994</v>
      </c>
      <c r="AH171" s="38" t="s">
        <v>94</v>
      </c>
      <c r="AI171" s="15" t="s">
        <v>94</v>
      </c>
      <c r="AJ171">
        <v>0.504</v>
      </c>
      <c r="AK171" s="36">
        <f t="shared" si="28"/>
        <v>0.496</v>
      </c>
      <c r="AL171" t="s">
        <v>94</v>
      </c>
      <c r="AM171" s="36" t="s">
        <v>94</v>
      </c>
      <c r="AN171">
        <v>0</v>
      </c>
      <c r="AO171" s="15">
        <v>1</v>
      </c>
      <c r="AP171">
        <v>0.32100000000000001</v>
      </c>
      <c r="AQ171" s="15">
        <f t="shared" si="29"/>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3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3"/>
        <v>41547</v>
      </c>
      <c r="O172" s="9">
        <f t="shared" si="24"/>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7"/>
        <v>0.18599999999999994</v>
      </c>
      <c r="AH172" s="38" t="s">
        <v>94</v>
      </c>
      <c r="AI172" s="15" t="s">
        <v>94</v>
      </c>
      <c r="AJ172">
        <v>0.504</v>
      </c>
      <c r="AK172" s="36">
        <f t="shared" si="28"/>
        <v>0.496</v>
      </c>
      <c r="AL172" t="s">
        <v>94</v>
      </c>
      <c r="AM172" s="36" t="s">
        <v>94</v>
      </c>
      <c r="AN172">
        <v>0</v>
      </c>
      <c r="AO172" s="15">
        <v>1</v>
      </c>
      <c r="AP172">
        <v>0.32100000000000001</v>
      </c>
      <c r="AQ172" s="15">
        <f t="shared" si="29"/>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3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3"/>
        <v>41547</v>
      </c>
      <c r="O173" s="9">
        <f t="shared" si="24"/>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7"/>
        <v>0.18599999999999994</v>
      </c>
      <c r="AH173" s="38" t="s">
        <v>94</v>
      </c>
      <c r="AI173" s="15" t="s">
        <v>94</v>
      </c>
      <c r="AJ173">
        <v>0.504</v>
      </c>
      <c r="AK173" s="36">
        <f t="shared" si="28"/>
        <v>0.496</v>
      </c>
      <c r="AL173" t="s">
        <v>94</v>
      </c>
      <c r="AM173" s="36" t="s">
        <v>94</v>
      </c>
      <c r="AN173">
        <v>0</v>
      </c>
      <c r="AO173" s="15">
        <v>1</v>
      </c>
      <c r="AP173">
        <v>0.32100000000000001</v>
      </c>
      <c r="AQ173" s="15">
        <f t="shared" si="29"/>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3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3"/>
        <v>41547</v>
      </c>
      <c r="O174" s="54">
        <f t="shared" si="24"/>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7"/>
        <v>0.18599999999999994</v>
      </c>
      <c r="AH174" s="58" t="s">
        <v>94</v>
      </c>
      <c r="AI174" s="59" t="s">
        <v>94</v>
      </c>
      <c r="AJ174" s="47">
        <v>0.504</v>
      </c>
      <c r="AK174" s="60">
        <f t="shared" si="28"/>
        <v>0.496</v>
      </c>
      <c r="AL174" s="47" t="s">
        <v>94</v>
      </c>
      <c r="AM174" s="60" t="s">
        <v>94</v>
      </c>
      <c r="AN174">
        <v>0</v>
      </c>
      <c r="AO174" s="59">
        <v>1</v>
      </c>
      <c r="AP174" s="47">
        <v>0.32100000000000001</v>
      </c>
      <c r="AQ174" s="59">
        <f t="shared" si="29"/>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3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3"/>
        <v>3122</v>
      </c>
      <c r="O175" s="9">
        <f t="shared" si="24"/>
        <v>48</v>
      </c>
      <c r="P175" s="7">
        <v>9.8249999999999993</v>
      </c>
      <c r="Q175" s="7">
        <f t="shared" ref="Q175:Q222" si="30">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31">(1-AE175-AF175)/2</f>
        <v>0.26250000000000001</v>
      </c>
      <c r="AE175" s="29">
        <v>0.25</v>
      </c>
      <c r="AF175" s="29">
        <v>0.22500000000000001</v>
      </c>
      <c r="AG175" s="39">
        <f t="shared" ref="AG175:AG214" si="32">(1-AE175-AF175)/2</f>
        <v>0.26250000000000001</v>
      </c>
      <c r="AH175" s="38">
        <v>0.67</v>
      </c>
      <c r="AI175" s="15">
        <v>0.33</v>
      </c>
      <c r="AJ175">
        <v>0</v>
      </c>
      <c r="AK175" s="36">
        <f t="shared" si="28"/>
        <v>1</v>
      </c>
      <c r="AL175">
        <v>0.38</v>
      </c>
      <c r="AM175" s="36">
        <v>0.62</v>
      </c>
      <c r="AN175">
        <v>0</v>
      </c>
      <c r="AO175" s="15">
        <v>1</v>
      </c>
      <c r="AP175">
        <f t="shared" ref="AP175:AP222" si="33">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3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3"/>
        <v>3122</v>
      </c>
      <c r="O176" s="9">
        <f t="shared" si="24"/>
        <v>48</v>
      </c>
      <c r="P176" s="7">
        <v>9.8249999999999993</v>
      </c>
      <c r="Q176" s="7">
        <f t="shared" si="30"/>
        <v>24.175000000000001</v>
      </c>
      <c r="R176" s="9">
        <v>0</v>
      </c>
      <c r="S176" s="9">
        <v>1</v>
      </c>
      <c r="T176" s="9">
        <v>0</v>
      </c>
      <c r="U176" s="9">
        <v>0</v>
      </c>
      <c r="V176" s="9">
        <v>1</v>
      </c>
      <c r="W176" s="27">
        <v>0</v>
      </c>
      <c r="X176" s="9">
        <v>0</v>
      </c>
      <c r="Y176" s="9">
        <v>1</v>
      </c>
      <c r="Z176" s="27">
        <v>0</v>
      </c>
      <c r="AA176" s="9">
        <v>0</v>
      </c>
      <c r="AB176" s="27">
        <v>1</v>
      </c>
      <c r="AC176" s="18">
        <v>1992</v>
      </c>
      <c r="AD176" s="29">
        <f t="shared" si="31"/>
        <v>0.26250000000000001</v>
      </c>
      <c r="AE176" s="29">
        <v>0.25</v>
      </c>
      <c r="AF176" s="29">
        <v>0.22500000000000001</v>
      </c>
      <c r="AG176" s="39">
        <f t="shared" si="32"/>
        <v>0.26250000000000001</v>
      </c>
      <c r="AH176" s="38">
        <v>0.67</v>
      </c>
      <c r="AI176" s="15">
        <v>0.33</v>
      </c>
      <c r="AJ176">
        <v>0</v>
      </c>
      <c r="AK176" s="36">
        <f t="shared" si="28"/>
        <v>1</v>
      </c>
      <c r="AL176">
        <v>0.38</v>
      </c>
      <c r="AM176" s="36">
        <v>0.62</v>
      </c>
      <c r="AN176">
        <v>0</v>
      </c>
      <c r="AO176" s="15">
        <v>1</v>
      </c>
      <c r="AP176">
        <f t="shared" si="33"/>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3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3"/>
        <v>3122</v>
      </c>
      <c r="O177" s="9">
        <f t="shared" si="24"/>
        <v>48</v>
      </c>
      <c r="P177" s="7">
        <v>9.8249999999999993</v>
      </c>
      <c r="Q177" s="7">
        <f t="shared" si="30"/>
        <v>24.175000000000001</v>
      </c>
      <c r="R177" s="9">
        <v>0</v>
      </c>
      <c r="S177" s="9">
        <v>1</v>
      </c>
      <c r="T177" s="9">
        <v>0</v>
      </c>
      <c r="U177" s="9">
        <v>0</v>
      </c>
      <c r="V177" s="9">
        <v>1</v>
      </c>
      <c r="W177" s="27">
        <v>0</v>
      </c>
      <c r="X177" s="9">
        <v>0</v>
      </c>
      <c r="Y177" s="9">
        <v>1</v>
      </c>
      <c r="Z177" s="27">
        <v>0</v>
      </c>
      <c r="AA177" s="9">
        <v>0</v>
      </c>
      <c r="AB177" s="27">
        <v>1</v>
      </c>
      <c r="AC177" s="18">
        <v>1992</v>
      </c>
      <c r="AD177" s="29">
        <f t="shared" si="31"/>
        <v>0.26250000000000001</v>
      </c>
      <c r="AE177" s="29">
        <v>0.25</v>
      </c>
      <c r="AF177" s="29">
        <v>0.22500000000000001</v>
      </c>
      <c r="AG177" s="39">
        <f t="shared" si="32"/>
        <v>0.26250000000000001</v>
      </c>
      <c r="AH177" s="38">
        <v>0.67</v>
      </c>
      <c r="AI177" s="15">
        <v>0.33</v>
      </c>
      <c r="AJ177">
        <v>0</v>
      </c>
      <c r="AK177" s="36">
        <f t="shared" si="28"/>
        <v>1</v>
      </c>
      <c r="AL177">
        <v>0.38</v>
      </c>
      <c r="AM177" s="36">
        <v>0.62</v>
      </c>
      <c r="AN177">
        <v>0</v>
      </c>
      <c r="AO177" s="15">
        <v>1</v>
      </c>
      <c r="AP177">
        <f t="shared" si="33"/>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3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3"/>
        <v>3122</v>
      </c>
      <c r="O178" s="9">
        <f t="shared" si="24"/>
        <v>48</v>
      </c>
      <c r="P178" s="7">
        <v>9.8249999999999993</v>
      </c>
      <c r="Q178" s="7">
        <f t="shared" si="30"/>
        <v>24.175000000000001</v>
      </c>
      <c r="R178" s="9">
        <v>0</v>
      </c>
      <c r="S178" s="9">
        <v>1</v>
      </c>
      <c r="T178" s="9">
        <v>0</v>
      </c>
      <c r="U178" s="9">
        <v>0</v>
      </c>
      <c r="V178" s="9">
        <v>1</v>
      </c>
      <c r="W178" s="27">
        <v>0</v>
      </c>
      <c r="X178" s="9">
        <v>0</v>
      </c>
      <c r="Y178" s="9">
        <v>1</v>
      </c>
      <c r="Z178" s="27">
        <v>0</v>
      </c>
      <c r="AA178" s="9">
        <v>0</v>
      </c>
      <c r="AB178" s="27">
        <v>1</v>
      </c>
      <c r="AC178" s="18">
        <v>1992</v>
      </c>
      <c r="AD178" s="29">
        <f t="shared" si="31"/>
        <v>0.26250000000000001</v>
      </c>
      <c r="AE178" s="29">
        <v>0.25</v>
      </c>
      <c r="AF178" s="29">
        <v>0.22500000000000001</v>
      </c>
      <c r="AG178" s="39">
        <f t="shared" si="32"/>
        <v>0.26250000000000001</v>
      </c>
      <c r="AH178" s="38">
        <v>0.67</v>
      </c>
      <c r="AI178" s="15">
        <v>0.33</v>
      </c>
      <c r="AJ178">
        <v>0</v>
      </c>
      <c r="AK178" s="36">
        <f t="shared" si="28"/>
        <v>1</v>
      </c>
      <c r="AL178">
        <v>0.38</v>
      </c>
      <c r="AM178" s="36">
        <v>0.62</v>
      </c>
      <c r="AN178">
        <v>0</v>
      </c>
      <c r="AO178" s="15">
        <v>1</v>
      </c>
      <c r="AP178">
        <f t="shared" si="33"/>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3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3"/>
        <v>3309</v>
      </c>
      <c r="O179" s="9">
        <f t="shared" si="24"/>
        <v>48</v>
      </c>
      <c r="P179" s="7">
        <v>10.52</v>
      </c>
      <c r="Q179" s="7">
        <f t="shared" si="30"/>
        <v>23.48</v>
      </c>
      <c r="R179" s="9">
        <v>0</v>
      </c>
      <c r="S179" s="9">
        <v>1</v>
      </c>
      <c r="T179" s="9">
        <v>0</v>
      </c>
      <c r="U179" s="9">
        <v>0</v>
      </c>
      <c r="V179" s="9">
        <v>1</v>
      </c>
      <c r="W179" s="27">
        <v>0</v>
      </c>
      <c r="X179" s="9">
        <v>0</v>
      </c>
      <c r="Y179" s="9">
        <v>1</v>
      </c>
      <c r="Z179" s="27">
        <v>0</v>
      </c>
      <c r="AA179" s="9">
        <v>0</v>
      </c>
      <c r="AB179" s="27">
        <v>1</v>
      </c>
      <c r="AC179" s="18">
        <v>1992</v>
      </c>
      <c r="AD179" s="29">
        <f t="shared" si="31"/>
        <v>0.17</v>
      </c>
      <c r="AE179" s="29">
        <v>0.2</v>
      </c>
      <c r="AF179" s="29">
        <v>0.46</v>
      </c>
      <c r="AG179" s="39">
        <f t="shared" si="32"/>
        <v>0.17</v>
      </c>
      <c r="AH179" s="38">
        <v>0.67</v>
      </c>
      <c r="AI179" s="15">
        <v>0.33</v>
      </c>
      <c r="AJ179">
        <v>1</v>
      </c>
      <c r="AK179" s="36">
        <f t="shared" si="28"/>
        <v>0</v>
      </c>
      <c r="AL179">
        <v>0.31</v>
      </c>
      <c r="AM179" s="36">
        <v>0.69</v>
      </c>
      <c r="AN179">
        <v>0</v>
      </c>
      <c r="AO179" s="15">
        <v>1</v>
      </c>
      <c r="AP179">
        <f t="shared" si="33"/>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3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3"/>
        <v>3309</v>
      </c>
      <c r="O180" s="9">
        <f t="shared" si="24"/>
        <v>48</v>
      </c>
      <c r="P180" s="7">
        <v>10.52</v>
      </c>
      <c r="Q180" s="7">
        <f t="shared" si="30"/>
        <v>23.48</v>
      </c>
      <c r="R180" s="9">
        <v>0</v>
      </c>
      <c r="S180" s="9">
        <v>1</v>
      </c>
      <c r="T180" s="9">
        <v>0</v>
      </c>
      <c r="U180" s="9">
        <v>0</v>
      </c>
      <c r="V180" s="9">
        <v>1</v>
      </c>
      <c r="W180" s="27">
        <v>0</v>
      </c>
      <c r="X180" s="9">
        <v>0</v>
      </c>
      <c r="Y180" s="9">
        <v>1</v>
      </c>
      <c r="Z180" s="27">
        <v>0</v>
      </c>
      <c r="AA180" s="9">
        <v>0</v>
      </c>
      <c r="AB180" s="27">
        <v>1</v>
      </c>
      <c r="AC180" s="18">
        <v>1992</v>
      </c>
      <c r="AD180" s="29">
        <f t="shared" si="31"/>
        <v>0.17</v>
      </c>
      <c r="AE180" s="29">
        <v>0.2</v>
      </c>
      <c r="AF180" s="29">
        <v>0.46</v>
      </c>
      <c r="AG180" s="39">
        <f t="shared" si="32"/>
        <v>0.17</v>
      </c>
      <c r="AH180" s="38">
        <v>0.67</v>
      </c>
      <c r="AI180" s="15">
        <v>0.33</v>
      </c>
      <c r="AJ180">
        <v>1</v>
      </c>
      <c r="AK180" s="36">
        <f t="shared" si="28"/>
        <v>0</v>
      </c>
      <c r="AL180">
        <v>0.31</v>
      </c>
      <c r="AM180" s="36">
        <v>0.69</v>
      </c>
      <c r="AN180">
        <v>0</v>
      </c>
      <c r="AO180" s="15">
        <v>1</v>
      </c>
      <c r="AP180">
        <f t="shared" si="33"/>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3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3"/>
        <v>3309</v>
      </c>
      <c r="O181" s="9">
        <f t="shared" si="24"/>
        <v>48</v>
      </c>
      <c r="P181" s="7">
        <v>10.52</v>
      </c>
      <c r="Q181" s="7">
        <f t="shared" si="30"/>
        <v>23.48</v>
      </c>
      <c r="R181" s="9">
        <v>0</v>
      </c>
      <c r="S181" s="9">
        <v>1</v>
      </c>
      <c r="T181" s="9">
        <v>0</v>
      </c>
      <c r="U181" s="9">
        <v>0</v>
      </c>
      <c r="V181" s="9">
        <v>1</v>
      </c>
      <c r="W181" s="27">
        <v>0</v>
      </c>
      <c r="X181" s="9">
        <v>0</v>
      </c>
      <c r="Y181" s="9">
        <v>1</v>
      </c>
      <c r="Z181" s="27">
        <v>0</v>
      </c>
      <c r="AA181" s="9">
        <v>0</v>
      </c>
      <c r="AB181" s="27">
        <v>1</v>
      </c>
      <c r="AC181" s="18">
        <v>1992</v>
      </c>
      <c r="AD181" s="29">
        <f t="shared" si="31"/>
        <v>0.17</v>
      </c>
      <c r="AE181" s="29">
        <v>0.2</v>
      </c>
      <c r="AF181" s="29">
        <v>0.46</v>
      </c>
      <c r="AG181" s="39">
        <f t="shared" si="32"/>
        <v>0.17</v>
      </c>
      <c r="AH181" s="38">
        <v>0.67</v>
      </c>
      <c r="AI181" s="15">
        <v>0.33</v>
      </c>
      <c r="AJ181">
        <v>1</v>
      </c>
      <c r="AK181" s="36">
        <f t="shared" si="28"/>
        <v>0</v>
      </c>
      <c r="AL181">
        <v>0.31</v>
      </c>
      <c r="AM181" s="36">
        <v>0.69</v>
      </c>
      <c r="AN181">
        <v>0</v>
      </c>
      <c r="AO181" s="15">
        <v>1</v>
      </c>
      <c r="AP181">
        <f t="shared" si="33"/>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3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3"/>
        <v>3309</v>
      </c>
      <c r="O182" s="9">
        <f t="shared" si="24"/>
        <v>48</v>
      </c>
      <c r="P182" s="7">
        <v>10.52</v>
      </c>
      <c r="Q182" s="7">
        <f t="shared" si="30"/>
        <v>23.48</v>
      </c>
      <c r="R182" s="9">
        <v>0</v>
      </c>
      <c r="S182" s="9">
        <v>1</v>
      </c>
      <c r="T182" s="9">
        <v>0</v>
      </c>
      <c r="U182" s="9">
        <v>0</v>
      </c>
      <c r="V182" s="9">
        <v>1</v>
      </c>
      <c r="W182" s="27">
        <v>0</v>
      </c>
      <c r="X182" s="9">
        <v>0</v>
      </c>
      <c r="Y182" s="9">
        <v>1</v>
      </c>
      <c r="Z182" s="27">
        <v>0</v>
      </c>
      <c r="AA182" s="9">
        <v>0</v>
      </c>
      <c r="AB182" s="27">
        <v>1</v>
      </c>
      <c r="AC182" s="18">
        <v>1992</v>
      </c>
      <c r="AD182" s="29">
        <f t="shared" si="31"/>
        <v>0.17</v>
      </c>
      <c r="AE182" s="29">
        <v>0.2</v>
      </c>
      <c r="AF182" s="29">
        <v>0.46</v>
      </c>
      <c r="AG182" s="39">
        <f t="shared" si="32"/>
        <v>0.17</v>
      </c>
      <c r="AH182" s="38">
        <v>0.67</v>
      </c>
      <c r="AI182" s="15">
        <v>0.33</v>
      </c>
      <c r="AJ182">
        <v>1</v>
      </c>
      <c r="AK182" s="36">
        <f t="shared" si="28"/>
        <v>0</v>
      </c>
      <c r="AL182">
        <v>0.31</v>
      </c>
      <c r="AM182" s="36">
        <v>0.69</v>
      </c>
      <c r="AN182">
        <v>0</v>
      </c>
      <c r="AO182" s="15">
        <v>1</v>
      </c>
      <c r="AP182">
        <f t="shared" si="33"/>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3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3"/>
        <v>2213</v>
      </c>
      <c r="O183" s="9">
        <f t="shared" si="24"/>
        <v>48</v>
      </c>
      <c r="P183" s="7">
        <v>9.8450000000000006</v>
      </c>
      <c r="Q183" s="7">
        <f t="shared" si="30"/>
        <v>24.155000000000001</v>
      </c>
      <c r="R183" s="9">
        <v>0</v>
      </c>
      <c r="S183" s="9">
        <v>1</v>
      </c>
      <c r="T183" s="9">
        <v>0</v>
      </c>
      <c r="U183" s="9">
        <v>0</v>
      </c>
      <c r="V183" s="9">
        <v>1</v>
      </c>
      <c r="W183" s="27">
        <v>0</v>
      </c>
      <c r="X183" s="9">
        <v>0</v>
      </c>
      <c r="Y183" s="9">
        <v>1</v>
      </c>
      <c r="Z183" s="27">
        <v>0</v>
      </c>
      <c r="AA183" s="9">
        <v>0</v>
      </c>
      <c r="AB183" s="27">
        <v>1</v>
      </c>
      <c r="AC183" s="18">
        <v>1999</v>
      </c>
      <c r="AD183" s="29">
        <f t="shared" si="31"/>
        <v>0.19249999999999998</v>
      </c>
      <c r="AE183" s="29">
        <v>0.28999999999999998</v>
      </c>
      <c r="AF183" s="29">
        <v>0.32500000000000001</v>
      </c>
      <c r="AG183" s="39">
        <f t="shared" si="32"/>
        <v>0.19249999999999998</v>
      </c>
      <c r="AH183" s="38">
        <v>0.67</v>
      </c>
      <c r="AI183" s="15">
        <v>0.33</v>
      </c>
      <c r="AJ183">
        <v>0</v>
      </c>
      <c r="AK183" s="36">
        <f t="shared" si="28"/>
        <v>1</v>
      </c>
      <c r="AL183">
        <v>0.38</v>
      </c>
      <c r="AM183" s="36">
        <v>0.62</v>
      </c>
      <c r="AN183">
        <v>0</v>
      </c>
      <c r="AO183" s="15">
        <v>1</v>
      </c>
      <c r="AP183">
        <f t="shared" si="33"/>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3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3"/>
        <v>2213</v>
      </c>
      <c r="O184" s="9">
        <f t="shared" si="24"/>
        <v>48</v>
      </c>
      <c r="P184" s="7">
        <v>9.8450000000000006</v>
      </c>
      <c r="Q184" s="7">
        <f t="shared" si="30"/>
        <v>24.155000000000001</v>
      </c>
      <c r="R184" s="9">
        <v>0</v>
      </c>
      <c r="S184" s="9">
        <v>1</v>
      </c>
      <c r="T184" s="9">
        <v>0</v>
      </c>
      <c r="U184" s="9">
        <v>0</v>
      </c>
      <c r="V184" s="9">
        <v>1</v>
      </c>
      <c r="W184" s="27">
        <v>0</v>
      </c>
      <c r="X184" s="9">
        <v>0</v>
      </c>
      <c r="Y184" s="9">
        <v>1</v>
      </c>
      <c r="Z184" s="27">
        <v>0</v>
      </c>
      <c r="AA184" s="9">
        <v>0</v>
      </c>
      <c r="AB184" s="27">
        <v>1</v>
      </c>
      <c r="AC184" s="18">
        <v>1999</v>
      </c>
      <c r="AD184" s="29">
        <f t="shared" si="31"/>
        <v>0.19249999999999998</v>
      </c>
      <c r="AE184" s="29">
        <v>0.28999999999999998</v>
      </c>
      <c r="AF184" s="29">
        <v>0.32500000000000001</v>
      </c>
      <c r="AG184" s="39">
        <f t="shared" si="32"/>
        <v>0.19249999999999998</v>
      </c>
      <c r="AH184" s="38">
        <v>0.67</v>
      </c>
      <c r="AI184" s="15">
        <v>0.33</v>
      </c>
      <c r="AJ184">
        <v>0</v>
      </c>
      <c r="AK184" s="36">
        <f t="shared" si="28"/>
        <v>1</v>
      </c>
      <c r="AL184">
        <v>0.38</v>
      </c>
      <c r="AM184" s="36">
        <v>0.62</v>
      </c>
      <c r="AN184">
        <v>0</v>
      </c>
      <c r="AO184" s="15">
        <v>1</v>
      </c>
      <c r="AP184">
        <f t="shared" si="33"/>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3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3"/>
        <v>2213</v>
      </c>
      <c r="O185" s="9">
        <f t="shared" si="24"/>
        <v>48</v>
      </c>
      <c r="P185" s="7">
        <v>9.8450000000000006</v>
      </c>
      <c r="Q185" s="7">
        <f t="shared" si="30"/>
        <v>24.155000000000001</v>
      </c>
      <c r="R185" s="9">
        <v>0</v>
      </c>
      <c r="S185" s="9">
        <v>1</v>
      </c>
      <c r="T185" s="9">
        <v>0</v>
      </c>
      <c r="U185" s="9">
        <v>0</v>
      </c>
      <c r="V185" s="9">
        <v>1</v>
      </c>
      <c r="W185" s="27">
        <v>0</v>
      </c>
      <c r="X185" s="9">
        <v>0</v>
      </c>
      <c r="Y185" s="9">
        <v>1</v>
      </c>
      <c r="Z185" s="27">
        <v>0</v>
      </c>
      <c r="AA185" s="9">
        <v>0</v>
      </c>
      <c r="AB185" s="27">
        <v>1</v>
      </c>
      <c r="AC185" s="18">
        <v>1999</v>
      </c>
      <c r="AD185" s="29">
        <f t="shared" si="31"/>
        <v>0.19249999999999998</v>
      </c>
      <c r="AE185" s="29">
        <v>0.28999999999999998</v>
      </c>
      <c r="AF185" s="29">
        <v>0.32500000000000001</v>
      </c>
      <c r="AG185" s="39">
        <f t="shared" si="32"/>
        <v>0.19249999999999998</v>
      </c>
      <c r="AH185" s="38">
        <v>0.67</v>
      </c>
      <c r="AI185" s="15">
        <v>0.33</v>
      </c>
      <c r="AJ185">
        <v>0</v>
      </c>
      <c r="AK185" s="36">
        <f t="shared" si="28"/>
        <v>1</v>
      </c>
      <c r="AL185">
        <v>0.38</v>
      </c>
      <c r="AM185" s="36">
        <v>0.62</v>
      </c>
      <c r="AN185">
        <v>0</v>
      </c>
      <c r="AO185" s="15">
        <v>1</v>
      </c>
      <c r="AP185">
        <f t="shared" si="33"/>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3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3"/>
        <v>2213</v>
      </c>
      <c r="O186" s="9">
        <f t="shared" si="24"/>
        <v>48</v>
      </c>
      <c r="P186" s="7">
        <v>9.8450000000000006</v>
      </c>
      <c r="Q186" s="7">
        <f t="shared" si="30"/>
        <v>24.155000000000001</v>
      </c>
      <c r="R186" s="9">
        <v>0</v>
      </c>
      <c r="S186" s="9">
        <v>1</v>
      </c>
      <c r="T186" s="9">
        <v>0</v>
      </c>
      <c r="U186" s="9">
        <v>0</v>
      </c>
      <c r="V186" s="9">
        <v>1</v>
      </c>
      <c r="W186" s="27">
        <v>0</v>
      </c>
      <c r="X186" s="9">
        <v>0</v>
      </c>
      <c r="Y186" s="9">
        <v>1</v>
      </c>
      <c r="Z186" s="27">
        <v>0</v>
      </c>
      <c r="AA186" s="9">
        <v>0</v>
      </c>
      <c r="AB186" s="27">
        <v>1</v>
      </c>
      <c r="AC186" s="18">
        <v>1999</v>
      </c>
      <c r="AD186" s="29">
        <f t="shared" si="31"/>
        <v>0.19249999999999998</v>
      </c>
      <c r="AE186" s="29">
        <v>0.28999999999999998</v>
      </c>
      <c r="AF186" s="29">
        <v>0.32500000000000001</v>
      </c>
      <c r="AG186" s="39">
        <f t="shared" si="32"/>
        <v>0.19249999999999998</v>
      </c>
      <c r="AH186" s="38">
        <v>0.67</v>
      </c>
      <c r="AI186" s="15">
        <v>0.33</v>
      </c>
      <c r="AJ186">
        <v>0</v>
      </c>
      <c r="AK186" s="36">
        <f t="shared" si="28"/>
        <v>1</v>
      </c>
      <c r="AL186">
        <v>0.38</v>
      </c>
      <c r="AM186" s="36">
        <v>0.62</v>
      </c>
      <c r="AN186">
        <v>0</v>
      </c>
      <c r="AO186" s="15">
        <v>1</v>
      </c>
      <c r="AP186">
        <f t="shared" si="33"/>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3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3"/>
        <v>1712</v>
      </c>
      <c r="O187" s="9">
        <f t="shared" si="24"/>
        <v>48</v>
      </c>
      <c r="P187" s="7">
        <v>10.525</v>
      </c>
      <c r="Q187" s="7">
        <f t="shared" si="30"/>
        <v>23.475000000000001</v>
      </c>
      <c r="R187" s="9">
        <v>0</v>
      </c>
      <c r="S187" s="9">
        <v>1</v>
      </c>
      <c r="T187" s="9">
        <v>0</v>
      </c>
      <c r="U187" s="9">
        <v>0</v>
      </c>
      <c r="V187" s="9">
        <v>1</v>
      </c>
      <c r="W187" s="27">
        <v>0</v>
      </c>
      <c r="X187" s="9">
        <v>0</v>
      </c>
      <c r="Y187" s="9">
        <v>1</v>
      </c>
      <c r="Z187" s="27">
        <v>0</v>
      </c>
      <c r="AA187" s="9">
        <v>0</v>
      </c>
      <c r="AB187" s="27">
        <v>1</v>
      </c>
      <c r="AC187" s="18">
        <v>1999</v>
      </c>
      <c r="AD187" s="29">
        <f t="shared" si="31"/>
        <v>0.12</v>
      </c>
      <c r="AE187" s="29">
        <v>0.23</v>
      </c>
      <c r="AF187" s="29">
        <v>0.53</v>
      </c>
      <c r="AG187" s="39">
        <f t="shared" si="32"/>
        <v>0.12</v>
      </c>
      <c r="AH187" s="38">
        <v>0.67</v>
      </c>
      <c r="AI187" s="15">
        <v>0.33</v>
      </c>
      <c r="AJ187">
        <v>1</v>
      </c>
      <c r="AK187" s="36">
        <f t="shared" si="28"/>
        <v>0</v>
      </c>
      <c r="AL187">
        <v>0.31</v>
      </c>
      <c r="AM187" s="36">
        <v>0.69</v>
      </c>
      <c r="AN187">
        <v>0</v>
      </c>
      <c r="AO187" s="15">
        <v>1</v>
      </c>
      <c r="AP187">
        <f t="shared" si="33"/>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3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3"/>
        <v>1712</v>
      </c>
      <c r="O188" s="9">
        <f t="shared" si="24"/>
        <v>48</v>
      </c>
      <c r="P188" s="7">
        <v>10.525</v>
      </c>
      <c r="Q188" s="7">
        <f t="shared" si="30"/>
        <v>23.475000000000001</v>
      </c>
      <c r="R188" s="9">
        <v>0</v>
      </c>
      <c r="S188" s="9">
        <v>1</v>
      </c>
      <c r="T188" s="9">
        <v>0</v>
      </c>
      <c r="U188" s="9">
        <v>0</v>
      </c>
      <c r="V188" s="9">
        <v>1</v>
      </c>
      <c r="W188" s="27">
        <v>0</v>
      </c>
      <c r="X188" s="9">
        <v>0</v>
      </c>
      <c r="Y188" s="9">
        <v>1</v>
      </c>
      <c r="Z188" s="27">
        <v>0</v>
      </c>
      <c r="AA188" s="9">
        <v>0</v>
      </c>
      <c r="AB188" s="27">
        <v>1</v>
      </c>
      <c r="AC188" s="18">
        <v>1999</v>
      </c>
      <c r="AD188" s="29">
        <f t="shared" si="31"/>
        <v>0.12</v>
      </c>
      <c r="AE188" s="29">
        <v>0.23</v>
      </c>
      <c r="AF188" s="29">
        <v>0.53</v>
      </c>
      <c r="AG188" s="39">
        <f t="shared" si="32"/>
        <v>0.12</v>
      </c>
      <c r="AH188" s="38">
        <v>0.67</v>
      </c>
      <c r="AI188" s="15">
        <v>0.33</v>
      </c>
      <c r="AJ188">
        <v>1</v>
      </c>
      <c r="AK188" s="36">
        <f t="shared" si="28"/>
        <v>0</v>
      </c>
      <c r="AL188">
        <v>0.31</v>
      </c>
      <c r="AM188" s="36">
        <v>0.69</v>
      </c>
      <c r="AN188">
        <v>0</v>
      </c>
      <c r="AO188" s="15">
        <v>1</v>
      </c>
      <c r="AP188">
        <f t="shared" si="33"/>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3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3"/>
        <v>1712</v>
      </c>
      <c r="O189" s="9">
        <f t="shared" si="24"/>
        <v>48</v>
      </c>
      <c r="P189" s="7">
        <v>10.525</v>
      </c>
      <c r="Q189" s="7">
        <f t="shared" si="30"/>
        <v>23.475000000000001</v>
      </c>
      <c r="R189" s="9">
        <v>0</v>
      </c>
      <c r="S189" s="9">
        <v>1</v>
      </c>
      <c r="T189" s="9">
        <v>0</v>
      </c>
      <c r="U189" s="9">
        <v>0</v>
      </c>
      <c r="V189" s="9">
        <v>1</v>
      </c>
      <c r="W189" s="27">
        <v>0</v>
      </c>
      <c r="X189" s="9">
        <v>0</v>
      </c>
      <c r="Y189" s="9">
        <v>1</v>
      </c>
      <c r="Z189" s="27">
        <v>0</v>
      </c>
      <c r="AA189" s="9">
        <v>0</v>
      </c>
      <c r="AB189" s="27">
        <v>1</v>
      </c>
      <c r="AC189" s="18">
        <v>1999</v>
      </c>
      <c r="AD189" s="29">
        <f t="shared" si="31"/>
        <v>0.12</v>
      </c>
      <c r="AE189" s="29">
        <v>0.23</v>
      </c>
      <c r="AF189" s="29">
        <v>0.53</v>
      </c>
      <c r="AG189" s="39">
        <f t="shared" si="32"/>
        <v>0.12</v>
      </c>
      <c r="AH189" s="38">
        <v>0.67</v>
      </c>
      <c r="AI189" s="15">
        <v>0.33</v>
      </c>
      <c r="AJ189">
        <v>1</v>
      </c>
      <c r="AK189" s="36">
        <f t="shared" si="28"/>
        <v>0</v>
      </c>
      <c r="AL189">
        <v>0.31</v>
      </c>
      <c r="AM189" s="36">
        <v>0.69</v>
      </c>
      <c r="AN189">
        <v>0</v>
      </c>
      <c r="AO189" s="15">
        <v>1</v>
      </c>
      <c r="AP189">
        <f t="shared" si="33"/>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3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3"/>
        <v>1712</v>
      </c>
      <c r="O190" s="9">
        <f t="shared" si="24"/>
        <v>48</v>
      </c>
      <c r="P190" s="7">
        <v>10.53</v>
      </c>
      <c r="Q190" s="7">
        <f t="shared" si="30"/>
        <v>23.47</v>
      </c>
      <c r="R190" s="9">
        <v>0</v>
      </c>
      <c r="S190" s="9">
        <v>1</v>
      </c>
      <c r="T190" s="9">
        <v>0</v>
      </c>
      <c r="U190" s="9">
        <v>0</v>
      </c>
      <c r="V190" s="9">
        <v>1</v>
      </c>
      <c r="W190" s="27">
        <v>0</v>
      </c>
      <c r="X190" s="9">
        <v>0</v>
      </c>
      <c r="Y190" s="9">
        <v>1</v>
      </c>
      <c r="Z190" s="27">
        <v>0</v>
      </c>
      <c r="AA190" s="9">
        <v>0</v>
      </c>
      <c r="AB190" s="27">
        <v>1</v>
      </c>
      <c r="AC190" s="18">
        <v>1999</v>
      </c>
      <c r="AD190" s="29">
        <f t="shared" si="31"/>
        <v>0.12</v>
      </c>
      <c r="AE190" s="29">
        <v>0.23</v>
      </c>
      <c r="AF190" s="29">
        <v>0.53</v>
      </c>
      <c r="AG190" s="39">
        <f t="shared" si="32"/>
        <v>0.12</v>
      </c>
      <c r="AH190" s="38">
        <v>0.67</v>
      </c>
      <c r="AI190" s="15">
        <v>0.33</v>
      </c>
      <c r="AJ190">
        <v>1</v>
      </c>
      <c r="AK190" s="36">
        <f t="shared" si="28"/>
        <v>0</v>
      </c>
      <c r="AL190">
        <v>0.31</v>
      </c>
      <c r="AM190" s="36">
        <v>0.69</v>
      </c>
      <c r="AN190">
        <v>0</v>
      </c>
      <c r="AO190" s="15">
        <v>1</v>
      </c>
      <c r="AP190">
        <f t="shared" si="33"/>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3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3"/>
        <v>3111</v>
      </c>
      <c r="O191" s="9">
        <f t="shared" si="24"/>
        <v>48</v>
      </c>
      <c r="P191" s="7">
        <v>9.8249999999999993</v>
      </c>
      <c r="Q191" s="7">
        <f t="shared" si="30"/>
        <v>24.175000000000001</v>
      </c>
      <c r="R191" s="9">
        <v>0</v>
      </c>
      <c r="S191" s="9">
        <v>1</v>
      </c>
      <c r="T191" s="9">
        <v>0</v>
      </c>
      <c r="U191" s="9">
        <v>0</v>
      </c>
      <c r="V191" s="9">
        <v>1</v>
      </c>
      <c r="W191" s="27">
        <v>0</v>
      </c>
      <c r="X191" s="9">
        <v>0</v>
      </c>
      <c r="Y191" s="9">
        <v>1</v>
      </c>
      <c r="Z191" s="27">
        <v>0</v>
      </c>
      <c r="AA191" s="9">
        <v>0</v>
      </c>
      <c r="AB191" s="27">
        <v>1</v>
      </c>
      <c r="AC191" s="18">
        <v>1992</v>
      </c>
      <c r="AD191" s="29">
        <f t="shared" si="31"/>
        <v>0.26250000000000001</v>
      </c>
      <c r="AE191" s="29">
        <v>0.25</v>
      </c>
      <c r="AF191" s="29">
        <v>0.22500000000000001</v>
      </c>
      <c r="AG191" s="39">
        <f t="shared" si="32"/>
        <v>0.26250000000000001</v>
      </c>
      <c r="AH191" s="38">
        <v>0.67</v>
      </c>
      <c r="AI191" s="15">
        <v>0.33</v>
      </c>
      <c r="AJ191">
        <v>0</v>
      </c>
      <c r="AK191" s="36">
        <f t="shared" si="28"/>
        <v>1</v>
      </c>
      <c r="AL191">
        <v>0.38</v>
      </c>
      <c r="AM191" s="36">
        <v>0.62</v>
      </c>
      <c r="AN191">
        <v>0</v>
      </c>
      <c r="AO191" s="15">
        <v>1</v>
      </c>
      <c r="AP191">
        <f t="shared" si="33"/>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3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3"/>
        <v>3111</v>
      </c>
      <c r="O192" s="9">
        <f t="shared" si="24"/>
        <v>48</v>
      </c>
      <c r="P192" s="7">
        <v>9.8249999999999993</v>
      </c>
      <c r="Q192" s="7">
        <f t="shared" si="30"/>
        <v>24.175000000000001</v>
      </c>
      <c r="R192" s="9">
        <v>0</v>
      </c>
      <c r="S192" s="9">
        <v>1</v>
      </c>
      <c r="T192" s="9">
        <v>0</v>
      </c>
      <c r="U192" s="9">
        <v>0</v>
      </c>
      <c r="V192" s="9">
        <v>1</v>
      </c>
      <c r="W192" s="27">
        <v>0</v>
      </c>
      <c r="X192" s="9">
        <v>0</v>
      </c>
      <c r="Y192" s="9">
        <v>1</v>
      </c>
      <c r="Z192" s="27">
        <v>0</v>
      </c>
      <c r="AA192" s="9">
        <v>0</v>
      </c>
      <c r="AB192" s="27">
        <v>1</v>
      </c>
      <c r="AC192" s="18">
        <v>1992</v>
      </c>
      <c r="AD192" s="29">
        <f t="shared" si="31"/>
        <v>0.26250000000000001</v>
      </c>
      <c r="AE192" s="29">
        <v>0.25</v>
      </c>
      <c r="AF192" s="29">
        <v>0.22500000000000001</v>
      </c>
      <c r="AG192" s="39">
        <f t="shared" si="32"/>
        <v>0.26250000000000001</v>
      </c>
      <c r="AH192" s="38">
        <v>0.67</v>
      </c>
      <c r="AI192" s="15">
        <v>0.33</v>
      </c>
      <c r="AJ192">
        <v>0</v>
      </c>
      <c r="AK192" s="36">
        <f t="shared" si="28"/>
        <v>1</v>
      </c>
      <c r="AL192">
        <v>0.38</v>
      </c>
      <c r="AM192" s="36">
        <v>0.62</v>
      </c>
      <c r="AN192">
        <v>0</v>
      </c>
      <c r="AO192" s="15">
        <v>1</v>
      </c>
      <c r="AP192">
        <f t="shared" si="33"/>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3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3"/>
        <v>3111</v>
      </c>
      <c r="O193" s="9">
        <f t="shared" si="24"/>
        <v>48</v>
      </c>
      <c r="P193" s="7">
        <v>9.8249999999999993</v>
      </c>
      <c r="Q193" s="7">
        <f t="shared" si="30"/>
        <v>24.175000000000001</v>
      </c>
      <c r="R193" s="9">
        <v>0</v>
      </c>
      <c r="S193" s="9">
        <v>1</v>
      </c>
      <c r="T193" s="9">
        <v>0</v>
      </c>
      <c r="U193" s="9">
        <v>0</v>
      </c>
      <c r="V193" s="9">
        <v>1</v>
      </c>
      <c r="W193" s="27">
        <v>0</v>
      </c>
      <c r="X193" s="9">
        <v>0</v>
      </c>
      <c r="Y193" s="9">
        <v>1</v>
      </c>
      <c r="Z193" s="27">
        <v>0</v>
      </c>
      <c r="AA193" s="9">
        <v>0</v>
      </c>
      <c r="AB193" s="27">
        <v>1</v>
      </c>
      <c r="AC193" s="18">
        <v>1992</v>
      </c>
      <c r="AD193" s="29">
        <f t="shared" si="31"/>
        <v>0.26250000000000001</v>
      </c>
      <c r="AE193" s="29">
        <v>0.25</v>
      </c>
      <c r="AF193" s="29">
        <v>0.22500000000000001</v>
      </c>
      <c r="AG193" s="39">
        <f t="shared" si="32"/>
        <v>0.26250000000000001</v>
      </c>
      <c r="AH193" s="38">
        <v>0.67</v>
      </c>
      <c r="AI193" s="15">
        <v>0.33</v>
      </c>
      <c r="AJ193">
        <v>0</v>
      </c>
      <c r="AK193" s="36">
        <f t="shared" si="28"/>
        <v>1</v>
      </c>
      <c r="AL193">
        <v>0.38</v>
      </c>
      <c r="AM193" s="36">
        <v>0.62</v>
      </c>
      <c r="AN193">
        <v>0</v>
      </c>
      <c r="AO193" s="15">
        <v>1</v>
      </c>
      <c r="AP193">
        <f t="shared" si="33"/>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3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4">L194-M194-1</f>
        <v>3111</v>
      </c>
      <c r="O194" s="9">
        <f t="shared" ref="O194:O257" si="35">COUNTIF(B:B,B194)</f>
        <v>48</v>
      </c>
      <c r="P194" s="7">
        <v>9.8249999999999993</v>
      </c>
      <c r="Q194" s="7">
        <f t="shared" si="30"/>
        <v>24.175000000000001</v>
      </c>
      <c r="R194" s="9">
        <v>0</v>
      </c>
      <c r="S194" s="9">
        <v>1</v>
      </c>
      <c r="T194" s="9">
        <v>0</v>
      </c>
      <c r="U194" s="9">
        <v>0</v>
      </c>
      <c r="V194" s="9">
        <v>1</v>
      </c>
      <c r="W194" s="27">
        <v>0</v>
      </c>
      <c r="X194" s="9">
        <v>0</v>
      </c>
      <c r="Y194" s="9">
        <v>1</v>
      </c>
      <c r="Z194" s="27">
        <v>0</v>
      </c>
      <c r="AA194" s="9">
        <v>0</v>
      </c>
      <c r="AB194" s="27">
        <v>1</v>
      </c>
      <c r="AC194" s="18">
        <v>1992</v>
      </c>
      <c r="AD194" s="29">
        <f t="shared" si="31"/>
        <v>0.26250000000000001</v>
      </c>
      <c r="AE194" s="29">
        <v>0.25</v>
      </c>
      <c r="AF194" s="29">
        <v>0.22500000000000001</v>
      </c>
      <c r="AG194" s="39">
        <f t="shared" si="32"/>
        <v>0.26250000000000001</v>
      </c>
      <c r="AH194" s="38">
        <v>0.67</v>
      </c>
      <c r="AI194" s="15">
        <v>0.33</v>
      </c>
      <c r="AJ194">
        <v>0</v>
      </c>
      <c r="AK194" s="36">
        <f t="shared" si="28"/>
        <v>1</v>
      </c>
      <c r="AL194">
        <v>0.38</v>
      </c>
      <c r="AM194" s="36">
        <v>0.62</v>
      </c>
      <c r="AN194">
        <v>0</v>
      </c>
      <c r="AO194" s="15">
        <v>1</v>
      </c>
      <c r="AP194">
        <f t="shared" si="33"/>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3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4"/>
        <v>3119</v>
      </c>
      <c r="O195" s="9">
        <f t="shared" si="35"/>
        <v>48</v>
      </c>
      <c r="P195" s="7">
        <v>9.8249999999999993</v>
      </c>
      <c r="Q195" s="7">
        <f t="shared" si="30"/>
        <v>24.175000000000001</v>
      </c>
      <c r="R195" s="9">
        <v>0</v>
      </c>
      <c r="S195" s="9">
        <v>1</v>
      </c>
      <c r="T195" s="9">
        <v>0</v>
      </c>
      <c r="U195" s="9">
        <v>0</v>
      </c>
      <c r="V195" s="9">
        <v>1</v>
      </c>
      <c r="W195" s="27">
        <v>0</v>
      </c>
      <c r="X195" s="9">
        <v>0</v>
      </c>
      <c r="Y195" s="9">
        <v>1</v>
      </c>
      <c r="Z195" s="27">
        <v>0</v>
      </c>
      <c r="AA195" s="9">
        <v>0</v>
      </c>
      <c r="AB195" s="27">
        <v>1</v>
      </c>
      <c r="AC195" s="18">
        <v>1992</v>
      </c>
      <c r="AD195" s="29">
        <f t="shared" si="31"/>
        <v>0.26250000000000001</v>
      </c>
      <c r="AE195" s="29">
        <v>0.25</v>
      </c>
      <c r="AF195" s="29">
        <v>0.22500000000000001</v>
      </c>
      <c r="AG195" s="39">
        <f t="shared" si="32"/>
        <v>0.26250000000000001</v>
      </c>
      <c r="AH195" s="38">
        <v>0.67</v>
      </c>
      <c r="AI195" s="15">
        <v>0.33</v>
      </c>
      <c r="AJ195">
        <v>0</v>
      </c>
      <c r="AK195" s="36">
        <f t="shared" si="28"/>
        <v>1</v>
      </c>
      <c r="AL195">
        <v>0.38</v>
      </c>
      <c r="AM195" s="36">
        <v>0.62</v>
      </c>
      <c r="AN195">
        <v>0</v>
      </c>
      <c r="AO195" s="15">
        <v>1</v>
      </c>
      <c r="AP195">
        <f t="shared" si="33"/>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3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4"/>
        <v>3119</v>
      </c>
      <c r="O196" s="9">
        <f t="shared" si="35"/>
        <v>48</v>
      </c>
      <c r="P196" s="7">
        <v>9.8249999999999993</v>
      </c>
      <c r="Q196" s="7">
        <f t="shared" si="30"/>
        <v>24.175000000000001</v>
      </c>
      <c r="R196" s="9">
        <v>0</v>
      </c>
      <c r="S196" s="9">
        <v>1</v>
      </c>
      <c r="T196" s="9">
        <v>0</v>
      </c>
      <c r="U196" s="9">
        <v>0</v>
      </c>
      <c r="V196" s="9">
        <v>1</v>
      </c>
      <c r="W196" s="27">
        <v>0</v>
      </c>
      <c r="X196" s="9">
        <v>0</v>
      </c>
      <c r="Y196" s="9">
        <v>1</v>
      </c>
      <c r="Z196" s="27">
        <v>0</v>
      </c>
      <c r="AA196" s="9">
        <v>0</v>
      </c>
      <c r="AB196" s="27">
        <v>1</v>
      </c>
      <c r="AC196" s="18">
        <v>1992</v>
      </c>
      <c r="AD196" s="29">
        <f t="shared" si="31"/>
        <v>0.26250000000000001</v>
      </c>
      <c r="AE196" s="29">
        <v>0.25</v>
      </c>
      <c r="AF196" s="29">
        <v>0.22500000000000001</v>
      </c>
      <c r="AG196" s="39">
        <f t="shared" si="32"/>
        <v>0.26250000000000001</v>
      </c>
      <c r="AH196" s="38">
        <v>0.67</v>
      </c>
      <c r="AI196" s="15">
        <v>0.33</v>
      </c>
      <c r="AJ196">
        <v>0</v>
      </c>
      <c r="AK196" s="36">
        <f t="shared" si="28"/>
        <v>1</v>
      </c>
      <c r="AL196">
        <v>0.38</v>
      </c>
      <c r="AM196" s="36">
        <v>0.62</v>
      </c>
      <c r="AN196">
        <v>0</v>
      </c>
      <c r="AO196" s="15">
        <v>1</v>
      </c>
      <c r="AP196">
        <f t="shared" si="33"/>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3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4"/>
        <v>3119</v>
      </c>
      <c r="O197" s="9">
        <f t="shared" si="35"/>
        <v>48</v>
      </c>
      <c r="P197" s="7">
        <v>9.8249999999999993</v>
      </c>
      <c r="Q197" s="7">
        <f t="shared" si="30"/>
        <v>24.175000000000001</v>
      </c>
      <c r="R197" s="9">
        <v>0</v>
      </c>
      <c r="S197" s="9">
        <v>1</v>
      </c>
      <c r="T197" s="9">
        <v>0</v>
      </c>
      <c r="U197" s="9">
        <v>0</v>
      </c>
      <c r="V197" s="9">
        <v>1</v>
      </c>
      <c r="W197" s="27">
        <v>0</v>
      </c>
      <c r="X197" s="9">
        <v>0</v>
      </c>
      <c r="Y197" s="9">
        <v>1</v>
      </c>
      <c r="Z197" s="27">
        <v>0</v>
      </c>
      <c r="AA197" s="9">
        <v>0</v>
      </c>
      <c r="AB197" s="27">
        <v>1</v>
      </c>
      <c r="AC197" s="18">
        <v>1992</v>
      </c>
      <c r="AD197" s="29">
        <f t="shared" si="31"/>
        <v>0.26250000000000001</v>
      </c>
      <c r="AE197" s="29">
        <v>0.25</v>
      </c>
      <c r="AF197" s="29">
        <v>0.22500000000000001</v>
      </c>
      <c r="AG197" s="39">
        <f t="shared" si="32"/>
        <v>0.26250000000000001</v>
      </c>
      <c r="AH197" s="38">
        <v>0.67</v>
      </c>
      <c r="AI197" s="15">
        <v>0.33</v>
      </c>
      <c r="AJ197">
        <v>0</v>
      </c>
      <c r="AK197" s="36">
        <f t="shared" si="28"/>
        <v>1</v>
      </c>
      <c r="AL197">
        <v>0.38</v>
      </c>
      <c r="AM197" s="36">
        <v>0.62</v>
      </c>
      <c r="AN197">
        <v>0</v>
      </c>
      <c r="AO197" s="15">
        <v>1</v>
      </c>
      <c r="AP197">
        <f t="shared" si="33"/>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3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4"/>
        <v>3119</v>
      </c>
      <c r="O198" s="9">
        <f t="shared" si="35"/>
        <v>48</v>
      </c>
      <c r="P198" s="7">
        <v>9.8249999999999993</v>
      </c>
      <c r="Q198" s="7">
        <f t="shared" si="30"/>
        <v>24.175000000000001</v>
      </c>
      <c r="R198" s="9">
        <v>0</v>
      </c>
      <c r="S198" s="9">
        <v>1</v>
      </c>
      <c r="T198" s="9">
        <v>0</v>
      </c>
      <c r="U198" s="9">
        <v>0</v>
      </c>
      <c r="V198" s="9">
        <v>1</v>
      </c>
      <c r="W198" s="27">
        <v>0</v>
      </c>
      <c r="X198" s="9">
        <v>0</v>
      </c>
      <c r="Y198" s="9">
        <v>1</v>
      </c>
      <c r="Z198" s="27">
        <v>0</v>
      </c>
      <c r="AA198" s="9">
        <v>0</v>
      </c>
      <c r="AB198" s="27">
        <v>1</v>
      </c>
      <c r="AC198" s="18">
        <v>1992</v>
      </c>
      <c r="AD198" s="29">
        <f t="shared" si="31"/>
        <v>0.26250000000000001</v>
      </c>
      <c r="AE198" s="29">
        <v>0.25</v>
      </c>
      <c r="AF198" s="29">
        <v>0.22500000000000001</v>
      </c>
      <c r="AG198" s="39">
        <f t="shared" si="32"/>
        <v>0.26250000000000001</v>
      </c>
      <c r="AH198" s="38">
        <v>0.67</v>
      </c>
      <c r="AI198" s="15">
        <v>0.33</v>
      </c>
      <c r="AJ198">
        <v>0</v>
      </c>
      <c r="AK198" s="36">
        <f t="shared" si="28"/>
        <v>1</v>
      </c>
      <c r="AL198">
        <v>0.38</v>
      </c>
      <c r="AM198" s="36">
        <v>0.62</v>
      </c>
      <c r="AN198">
        <v>0</v>
      </c>
      <c r="AO198" s="15">
        <v>1</v>
      </c>
      <c r="AP198">
        <f t="shared" si="33"/>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3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4"/>
        <v>3294</v>
      </c>
      <c r="O199" s="9">
        <f t="shared" si="35"/>
        <v>48</v>
      </c>
      <c r="P199" s="7">
        <v>10.52</v>
      </c>
      <c r="Q199" s="7">
        <f t="shared" si="30"/>
        <v>23.48</v>
      </c>
      <c r="R199" s="9">
        <v>0</v>
      </c>
      <c r="S199" s="9">
        <v>1</v>
      </c>
      <c r="T199" s="9">
        <v>0</v>
      </c>
      <c r="U199" s="9">
        <v>0</v>
      </c>
      <c r="V199" s="9">
        <v>1</v>
      </c>
      <c r="W199" s="27">
        <v>0</v>
      </c>
      <c r="X199" s="9">
        <v>0</v>
      </c>
      <c r="Y199" s="9">
        <v>1</v>
      </c>
      <c r="Z199" s="27">
        <v>0</v>
      </c>
      <c r="AA199" s="9">
        <v>0</v>
      </c>
      <c r="AB199" s="27">
        <v>1</v>
      </c>
      <c r="AC199" s="18">
        <v>1992</v>
      </c>
      <c r="AD199" s="29">
        <f t="shared" si="31"/>
        <v>0.17</v>
      </c>
      <c r="AE199" s="29">
        <v>0.2</v>
      </c>
      <c r="AF199" s="29">
        <v>0.46</v>
      </c>
      <c r="AG199" s="39">
        <f t="shared" si="32"/>
        <v>0.17</v>
      </c>
      <c r="AH199" s="38">
        <v>0.67</v>
      </c>
      <c r="AI199" s="15">
        <v>0.33</v>
      </c>
      <c r="AJ199">
        <v>1</v>
      </c>
      <c r="AK199" s="36">
        <f t="shared" si="28"/>
        <v>0</v>
      </c>
      <c r="AL199">
        <v>0.31</v>
      </c>
      <c r="AM199" s="36">
        <v>0.69</v>
      </c>
      <c r="AN199">
        <v>0</v>
      </c>
      <c r="AO199" s="15">
        <v>1</v>
      </c>
      <c r="AP199">
        <f t="shared" si="33"/>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3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4"/>
        <v>3294</v>
      </c>
      <c r="O200" s="9">
        <f t="shared" si="35"/>
        <v>48</v>
      </c>
      <c r="P200" s="7">
        <v>10.52</v>
      </c>
      <c r="Q200" s="7">
        <f t="shared" si="30"/>
        <v>23.48</v>
      </c>
      <c r="R200" s="9">
        <v>0</v>
      </c>
      <c r="S200" s="9">
        <v>1</v>
      </c>
      <c r="T200" s="9">
        <v>0</v>
      </c>
      <c r="U200" s="9">
        <v>0</v>
      </c>
      <c r="V200" s="9">
        <v>1</v>
      </c>
      <c r="W200" s="27">
        <v>0</v>
      </c>
      <c r="X200" s="9">
        <v>0</v>
      </c>
      <c r="Y200" s="9">
        <v>1</v>
      </c>
      <c r="Z200" s="27">
        <v>0</v>
      </c>
      <c r="AA200" s="9">
        <v>0</v>
      </c>
      <c r="AB200" s="27">
        <v>1</v>
      </c>
      <c r="AC200" s="18">
        <v>1992</v>
      </c>
      <c r="AD200" s="29">
        <f t="shared" si="31"/>
        <v>0.17</v>
      </c>
      <c r="AE200" s="29">
        <v>0.2</v>
      </c>
      <c r="AF200" s="29">
        <v>0.46</v>
      </c>
      <c r="AG200" s="39">
        <f t="shared" si="32"/>
        <v>0.17</v>
      </c>
      <c r="AH200" s="38">
        <v>0.67</v>
      </c>
      <c r="AI200" s="15">
        <v>0.33</v>
      </c>
      <c r="AJ200">
        <v>1</v>
      </c>
      <c r="AK200" s="36">
        <f t="shared" si="28"/>
        <v>0</v>
      </c>
      <c r="AL200">
        <v>0.31</v>
      </c>
      <c r="AM200" s="36">
        <v>0.69</v>
      </c>
      <c r="AN200">
        <v>0</v>
      </c>
      <c r="AO200" s="15">
        <v>1</v>
      </c>
      <c r="AP200">
        <f t="shared" si="33"/>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3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4"/>
        <v>3294</v>
      </c>
      <c r="O201" s="9">
        <f t="shared" si="35"/>
        <v>48</v>
      </c>
      <c r="P201" s="7">
        <v>10.52</v>
      </c>
      <c r="Q201" s="7">
        <f t="shared" si="30"/>
        <v>23.48</v>
      </c>
      <c r="R201" s="9">
        <v>0</v>
      </c>
      <c r="S201" s="9">
        <v>1</v>
      </c>
      <c r="T201" s="9">
        <v>0</v>
      </c>
      <c r="U201" s="9">
        <v>0</v>
      </c>
      <c r="V201" s="9">
        <v>1</v>
      </c>
      <c r="W201" s="27">
        <v>0</v>
      </c>
      <c r="X201" s="9">
        <v>0</v>
      </c>
      <c r="Y201" s="9">
        <v>1</v>
      </c>
      <c r="Z201" s="27">
        <v>0</v>
      </c>
      <c r="AA201" s="9">
        <v>0</v>
      </c>
      <c r="AB201" s="27">
        <v>1</v>
      </c>
      <c r="AC201" s="18">
        <v>1992</v>
      </c>
      <c r="AD201" s="29">
        <f t="shared" si="31"/>
        <v>0.17</v>
      </c>
      <c r="AE201" s="29">
        <v>0.2</v>
      </c>
      <c r="AF201" s="29">
        <v>0.46</v>
      </c>
      <c r="AG201" s="39">
        <f t="shared" si="32"/>
        <v>0.17</v>
      </c>
      <c r="AH201" s="38">
        <v>0.67</v>
      </c>
      <c r="AI201" s="15">
        <v>0.33</v>
      </c>
      <c r="AJ201">
        <v>1</v>
      </c>
      <c r="AK201" s="36">
        <f t="shared" si="28"/>
        <v>0</v>
      </c>
      <c r="AL201">
        <v>0.31</v>
      </c>
      <c r="AM201" s="36">
        <v>0.69</v>
      </c>
      <c r="AN201">
        <v>0</v>
      </c>
      <c r="AO201" s="15">
        <v>1</v>
      </c>
      <c r="AP201">
        <f t="shared" si="33"/>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3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4"/>
        <v>3294</v>
      </c>
      <c r="O202" s="9">
        <f t="shared" si="35"/>
        <v>48</v>
      </c>
      <c r="P202" s="7">
        <v>10.52</v>
      </c>
      <c r="Q202" s="7">
        <f t="shared" si="30"/>
        <v>23.48</v>
      </c>
      <c r="R202" s="9">
        <v>0</v>
      </c>
      <c r="S202" s="9">
        <v>1</v>
      </c>
      <c r="T202" s="9">
        <v>0</v>
      </c>
      <c r="U202" s="9">
        <v>0</v>
      </c>
      <c r="V202" s="9">
        <v>1</v>
      </c>
      <c r="W202" s="27">
        <v>0</v>
      </c>
      <c r="X202" s="9">
        <v>0</v>
      </c>
      <c r="Y202" s="9">
        <v>1</v>
      </c>
      <c r="Z202" s="27">
        <v>0</v>
      </c>
      <c r="AA202" s="9">
        <v>0</v>
      </c>
      <c r="AB202" s="27">
        <v>1</v>
      </c>
      <c r="AC202" s="18">
        <v>1992</v>
      </c>
      <c r="AD202" s="29">
        <f t="shared" si="31"/>
        <v>0.17</v>
      </c>
      <c r="AE202" s="29">
        <v>0.2</v>
      </c>
      <c r="AF202" s="29">
        <v>0.46</v>
      </c>
      <c r="AG202" s="39">
        <f t="shared" si="32"/>
        <v>0.17</v>
      </c>
      <c r="AH202" s="38">
        <v>0.67</v>
      </c>
      <c r="AI202" s="15">
        <v>0.33</v>
      </c>
      <c r="AJ202">
        <v>1</v>
      </c>
      <c r="AK202" s="36">
        <f t="shared" si="28"/>
        <v>0</v>
      </c>
      <c r="AL202">
        <v>0.31</v>
      </c>
      <c r="AM202" s="36">
        <v>0.69</v>
      </c>
      <c r="AN202">
        <v>0</v>
      </c>
      <c r="AO202" s="15">
        <v>1</v>
      </c>
      <c r="AP202">
        <f t="shared" si="33"/>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3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4"/>
        <v>3303</v>
      </c>
      <c r="O203" s="9">
        <f t="shared" si="35"/>
        <v>48</v>
      </c>
      <c r="P203" s="7">
        <v>10.52</v>
      </c>
      <c r="Q203" s="7">
        <f t="shared" si="30"/>
        <v>23.48</v>
      </c>
      <c r="R203" s="9">
        <v>0</v>
      </c>
      <c r="S203" s="9">
        <v>1</v>
      </c>
      <c r="T203" s="9">
        <v>0</v>
      </c>
      <c r="U203" s="9">
        <v>0</v>
      </c>
      <c r="V203" s="9">
        <v>1</v>
      </c>
      <c r="W203" s="27">
        <v>0</v>
      </c>
      <c r="X203" s="9">
        <v>0</v>
      </c>
      <c r="Y203" s="9">
        <v>1</v>
      </c>
      <c r="Z203" s="27">
        <v>0</v>
      </c>
      <c r="AA203" s="9">
        <v>0</v>
      </c>
      <c r="AB203" s="27">
        <v>1</v>
      </c>
      <c r="AC203" s="18">
        <v>1992</v>
      </c>
      <c r="AD203" s="29">
        <f t="shared" si="31"/>
        <v>0.17</v>
      </c>
      <c r="AE203" s="29">
        <v>0.2</v>
      </c>
      <c r="AF203" s="29">
        <v>0.46</v>
      </c>
      <c r="AG203" s="39">
        <f t="shared" si="32"/>
        <v>0.17</v>
      </c>
      <c r="AH203" s="38">
        <v>0.67</v>
      </c>
      <c r="AI203" s="15">
        <v>0.33</v>
      </c>
      <c r="AJ203">
        <v>1</v>
      </c>
      <c r="AK203" s="36">
        <f t="shared" si="28"/>
        <v>0</v>
      </c>
      <c r="AL203">
        <v>0.31</v>
      </c>
      <c r="AM203" s="36">
        <v>0.69</v>
      </c>
      <c r="AN203">
        <v>0</v>
      </c>
      <c r="AO203" s="15">
        <v>1</v>
      </c>
      <c r="AP203">
        <f t="shared" si="33"/>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3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4"/>
        <v>3303</v>
      </c>
      <c r="O204" s="9">
        <f t="shared" si="35"/>
        <v>48</v>
      </c>
      <c r="P204" s="7">
        <v>10.52</v>
      </c>
      <c r="Q204" s="7">
        <f t="shared" si="30"/>
        <v>23.48</v>
      </c>
      <c r="R204" s="9">
        <v>0</v>
      </c>
      <c r="S204" s="9">
        <v>1</v>
      </c>
      <c r="T204" s="9">
        <v>0</v>
      </c>
      <c r="U204" s="9">
        <v>0</v>
      </c>
      <c r="V204" s="9">
        <v>1</v>
      </c>
      <c r="W204" s="27">
        <v>0</v>
      </c>
      <c r="X204" s="9">
        <v>0</v>
      </c>
      <c r="Y204" s="9">
        <v>1</v>
      </c>
      <c r="Z204" s="27">
        <v>0</v>
      </c>
      <c r="AA204" s="9">
        <v>0</v>
      </c>
      <c r="AB204" s="27">
        <v>1</v>
      </c>
      <c r="AC204" s="18">
        <v>1992</v>
      </c>
      <c r="AD204" s="29">
        <f t="shared" si="31"/>
        <v>0.17</v>
      </c>
      <c r="AE204" s="29">
        <v>0.2</v>
      </c>
      <c r="AF204" s="29">
        <v>0.46</v>
      </c>
      <c r="AG204" s="39">
        <f t="shared" si="32"/>
        <v>0.17</v>
      </c>
      <c r="AH204" s="38">
        <v>0.67</v>
      </c>
      <c r="AI204" s="15">
        <v>0.33</v>
      </c>
      <c r="AJ204">
        <v>1</v>
      </c>
      <c r="AK204" s="36">
        <f t="shared" si="28"/>
        <v>0</v>
      </c>
      <c r="AL204">
        <v>0.31</v>
      </c>
      <c r="AM204" s="36">
        <v>0.69</v>
      </c>
      <c r="AN204">
        <v>0</v>
      </c>
      <c r="AO204" s="15">
        <v>1</v>
      </c>
      <c r="AP204">
        <f t="shared" si="33"/>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3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4"/>
        <v>3303</v>
      </c>
      <c r="O205" s="9">
        <f t="shared" si="35"/>
        <v>48</v>
      </c>
      <c r="P205" s="7">
        <v>10.52</v>
      </c>
      <c r="Q205" s="7">
        <f t="shared" si="30"/>
        <v>23.48</v>
      </c>
      <c r="R205" s="9">
        <v>0</v>
      </c>
      <c r="S205" s="9">
        <v>1</v>
      </c>
      <c r="T205" s="9">
        <v>0</v>
      </c>
      <c r="U205" s="9">
        <v>0</v>
      </c>
      <c r="V205" s="9">
        <v>1</v>
      </c>
      <c r="W205" s="27">
        <v>0</v>
      </c>
      <c r="X205" s="9">
        <v>0</v>
      </c>
      <c r="Y205" s="9">
        <v>1</v>
      </c>
      <c r="Z205" s="27">
        <v>0</v>
      </c>
      <c r="AA205" s="9">
        <v>0</v>
      </c>
      <c r="AB205" s="27">
        <v>1</v>
      </c>
      <c r="AC205" s="18">
        <v>1992</v>
      </c>
      <c r="AD205" s="29">
        <f t="shared" si="31"/>
        <v>0.17</v>
      </c>
      <c r="AE205" s="29">
        <v>0.2</v>
      </c>
      <c r="AF205" s="29">
        <v>0.46</v>
      </c>
      <c r="AG205" s="39">
        <f t="shared" si="32"/>
        <v>0.17</v>
      </c>
      <c r="AH205" s="38">
        <v>0.67</v>
      </c>
      <c r="AI205" s="15">
        <v>0.33</v>
      </c>
      <c r="AJ205">
        <v>1</v>
      </c>
      <c r="AK205" s="36">
        <f t="shared" si="28"/>
        <v>0</v>
      </c>
      <c r="AL205">
        <v>0.31</v>
      </c>
      <c r="AM205" s="36">
        <v>0.69</v>
      </c>
      <c r="AN205">
        <v>0</v>
      </c>
      <c r="AO205" s="15">
        <v>1</v>
      </c>
      <c r="AP205">
        <f t="shared" si="33"/>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3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4"/>
        <v>3303</v>
      </c>
      <c r="O206" s="9">
        <f t="shared" si="35"/>
        <v>48</v>
      </c>
      <c r="P206" s="7">
        <v>10.52</v>
      </c>
      <c r="Q206" s="7">
        <f t="shared" si="30"/>
        <v>23.48</v>
      </c>
      <c r="R206" s="9">
        <v>0</v>
      </c>
      <c r="S206" s="9">
        <v>1</v>
      </c>
      <c r="T206" s="9">
        <v>0</v>
      </c>
      <c r="U206" s="9">
        <v>0</v>
      </c>
      <c r="V206" s="9">
        <v>1</v>
      </c>
      <c r="W206" s="27">
        <v>0</v>
      </c>
      <c r="X206" s="9">
        <v>0</v>
      </c>
      <c r="Y206" s="9">
        <v>1</v>
      </c>
      <c r="Z206" s="27">
        <v>0</v>
      </c>
      <c r="AA206" s="9">
        <v>0</v>
      </c>
      <c r="AB206" s="27">
        <v>1</v>
      </c>
      <c r="AC206" s="18">
        <v>1992</v>
      </c>
      <c r="AD206" s="29">
        <f t="shared" si="31"/>
        <v>0.17</v>
      </c>
      <c r="AE206" s="29">
        <v>0.2</v>
      </c>
      <c r="AF206" s="29">
        <v>0.46</v>
      </c>
      <c r="AG206" s="39">
        <f t="shared" si="32"/>
        <v>0.17</v>
      </c>
      <c r="AH206" s="38">
        <v>0.67</v>
      </c>
      <c r="AI206" s="15">
        <v>0.33</v>
      </c>
      <c r="AJ206">
        <v>1</v>
      </c>
      <c r="AK206" s="36">
        <f t="shared" si="28"/>
        <v>0</v>
      </c>
      <c r="AL206">
        <v>0.31</v>
      </c>
      <c r="AM206" s="36">
        <v>0.69</v>
      </c>
      <c r="AN206">
        <v>0</v>
      </c>
      <c r="AO206" s="15">
        <v>1</v>
      </c>
      <c r="AP206">
        <f t="shared" si="33"/>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3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4"/>
        <v>2196</v>
      </c>
      <c r="O207" s="9">
        <f t="shared" si="35"/>
        <v>48</v>
      </c>
      <c r="P207" s="7">
        <v>9.8450000000000006</v>
      </c>
      <c r="Q207" s="7">
        <f t="shared" si="30"/>
        <v>24.155000000000001</v>
      </c>
      <c r="R207" s="9">
        <v>0</v>
      </c>
      <c r="S207" s="9">
        <v>1</v>
      </c>
      <c r="T207" s="9">
        <v>0</v>
      </c>
      <c r="U207" s="9">
        <v>0</v>
      </c>
      <c r="V207" s="9">
        <v>1</v>
      </c>
      <c r="W207" s="27">
        <v>0</v>
      </c>
      <c r="X207" s="9">
        <v>0</v>
      </c>
      <c r="Y207" s="9">
        <v>1</v>
      </c>
      <c r="Z207" s="27">
        <v>0</v>
      </c>
      <c r="AA207" s="9">
        <v>0</v>
      </c>
      <c r="AB207" s="27">
        <v>1</v>
      </c>
      <c r="AC207" s="18">
        <v>1999</v>
      </c>
      <c r="AD207" s="29">
        <f t="shared" si="31"/>
        <v>0.19249999999999998</v>
      </c>
      <c r="AE207" s="29">
        <v>0.28999999999999998</v>
      </c>
      <c r="AF207" s="29">
        <v>0.32500000000000001</v>
      </c>
      <c r="AG207" s="39">
        <f t="shared" si="32"/>
        <v>0.19249999999999998</v>
      </c>
      <c r="AH207" s="38">
        <v>0.67</v>
      </c>
      <c r="AI207" s="15">
        <v>0.33</v>
      </c>
      <c r="AJ207">
        <v>0</v>
      </c>
      <c r="AK207" s="36">
        <f t="shared" si="28"/>
        <v>1</v>
      </c>
      <c r="AL207">
        <v>0.38</v>
      </c>
      <c r="AM207" s="36">
        <v>0.62</v>
      </c>
      <c r="AN207">
        <v>0</v>
      </c>
      <c r="AO207" s="15">
        <v>1</v>
      </c>
      <c r="AP207">
        <f t="shared" si="33"/>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3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4"/>
        <v>2196</v>
      </c>
      <c r="O208" s="9">
        <f t="shared" si="35"/>
        <v>48</v>
      </c>
      <c r="P208" s="7">
        <v>9.8450000000000006</v>
      </c>
      <c r="Q208" s="7">
        <f t="shared" si="30"/>
        <v>24.155000000000001</v>
      </c>
      <c r="R208" s="9">
        <v>0</v>
      </c>
      <c r="S208" s="9">
        <v>1</v>
      </c>
      <c r="T208" s="9">
        <v>0</v>
      </c>
      <c r="U208" s="9">
        <v>0</v>
      </c>
      <c r="V208" s="9">
        <v>1</v>
      </c>
      <c r="W208" s="27">
        <v>0</v>
      </c>
      <c r="X208" s="9">
        <v>0</v>
      </c>
      <c r="Y208" s="9">
        <v>1</v>
      </c>
      <c r="Z208" s="27">
        <v>0</v>
      </c>
      <c r="AA208" s="9">
        <v>0</v>
      </c>
      <c r="AB208" s="27">
        <v>1</v>
      </c>
      <c r="AC208" s="18">
        <v>1999</v>
      </c>
      <c r="AD208" s="29">
        <f t="shared" si="31"/>
        <v>0.19249999999999998</v>
      </c>
      <c r="AE208" s="29">
        <v>0.28999999999999998</v>
      </c>
      <c r="AF208" s="29">
        <v>0.32500000000000001</v>
      </c>
      <c r="AG208" s="39">
        <f t="shared" si="32"/>
        <v>0.19249999999999998</v>
      </c>
      <c r="AH208" s="38">
        <v>0.67</v>
      </c>
      <c r="AI208" s="15">
        <v>0.33</v>
      </c>
      <c r="AJ208">
        <v>0</v>
      </c>
      <c r="AK208" s="36">
        <f t="shared" si="28"/>
        <v>1</v>
      </c>
      <c r="AL208">
        <v>0.38</v>
      </c>
      <c r="AM208" s="36">
        <v>0.62</v>
      </c>
      <c r="AN208">
        <v>0</v>
      </c>
      <c r="AO208" s="15">
        <v>1</v>
      </c>
      <c r="AP208">
        <f t="shared" si="33"/>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3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4"/>
        <v>2196</v>
      </c>
      <c r="O209" s="9">
        <f t="shared" si="35"/>
        <v>48</v>
      </c>
      <c r="P209" s="7">
        <v>9.8450000000000006</v>
      </c>
      <c r="Q209" s="7">
        <f t="shared" si="30"/>
        <v>24.155000000000001</v>
      </c>
      <c r="R209" s="9">
        <v>0</v>
      </c>
      <c r="S209" s="9">
        <v>1</v>
      </c>
      <c r="T209" s="9">
        <v>0</v>
      </c>
      <c r="U209" s="9">
        <v>0</v>
      </c>
      <c r="V209" s="9">
        <v>1</v>
      </c>
      <c r="W209" s="27">
        <v>0</v>
      </c>
      <c r="X209" s="9">
        <v>0</v>
      </c>
      <c r="Y209" s="9">
        <v>1</v>
      </c>
      <c r="Z209" s="27">
        <v>0</v>
      </c>
      <c r="AA209" s="9">
        <v>0</v>
      </c>
      <c r="AB209" s="27">
        <v>1</v>
      </c>
      <c r="AC209" s="18">
        <v>1999</v>
      </c>
      <c r="AD209" s="29">
        <f t="shared" si="31"/>
        <v>0.19249999999999998</v>
      </c>
      <c r="AE209" s="29">
        <v>0.28999999999999998</v>
      </c>
      <c r="AF209" s="29">
        <v>0.32500000000000001</v>
      </c>
      <c r="AG209" s="39">
        <f t="shared" si="32"/>
        <v>0.19249999999999998</v>
      </c>
      <c r="AH209" s="38">
        <v>0.67</v>
      </c>
      <c r="AI209" s="15">
        <v>0.33</v>
      </c>
      <c r="AJ209">
        <v>0</v>
      </c>
      <c r="AK209" s="36">
        <f t="shared" si="28"/>
        <v>1</v>
      </c>
      <c r="AL209">
        <v>0.38</v>
      </c>
      <c r="AM209" s="36">
        <v>0.62</v>
      </c>
      <c r="AN209">
        <v>0</v>
      </c>
      <c r="AO209" s="15">
        <v>1</v>
      </c>
      <c r="AP209">
        <f t="shared" si="33"/>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3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4"/>
        <v>2196</v>
      </c>
      <c r="O210" s="9">
        <f t="shared" si="35"/>
        <v>48</v>
      </c>
      <c r="P210" s="7">
        <v>9.8450000000000006</v>
      </c>
      <c r="Q210" s="7">
        <f t="shared" si="30"/>
        <v>24.155000000000001</v>
      </c>
      <c r="R210" s="9">
        <v>0</v>
      </c>
      <c r="S210" s="9">
        <v>1</v>
      </c>
      <c r="T210" s="9">
        <v>0</v>
      </c>
      <c r="U210" s="9">
        <v>0</v>
      </c>
      <c r="V210" s="9">
        <v>1</v>
      </c>
      <c r="W210" s="27">
        <v>0</v>
      </c>
      <c r="X210" s="9">
        <v>0</v>
      </c>
      <c r="Y210" s="9">
        <v>1</v>
      </c>
      <c r="Z210" s="27">
        <v>0</v>
      </c>
      <c r="AA210" s="9">
        <v>0</v>
      </c>
      <c r="AB210" s="27">
        <v>1</v>
      </c>
      <c r="AC210" s="18">
        <v>1999</v>
      </c>
      <c r="AD210" s="29">
        <f t="shared" si="31"/>
        <v>0.19249999999999998</v>
      </c>
      <c r="AE210" s="29">
        <v>0.28999999999999998</v>
      </c>
      <c r="AF210" s="29">
        <v>0.32500000000000001</v>
      </c>
      <c r="AG210" s="39">
        <f t="shared" si="32"/>
        <v>0.19249999999999998</v>
      </c>
      <c r="AH210" s="38">
        <v>0.67</v>
      </c>
      <c r="AI210" s="15">
        <v>0.33</v>
      </c>
      <c r="AJ210">
        <v>0</v>
      </c>
      <c r="AK210" s="36">
        <f t="shared" si="28"/>
        <v>1</v>
      </c>
      <c r="AL210">
        <v>0.38</v>
      </c>
      <c r="AM210" s="36">
        <v>0.62</v>
      </c>
      <c r="AN210">
        <v>0</v>
      </c>
      <c r="AO210" s="15">
        <v>1</v>
      </c>
      <c r="AP210">
        <f t="shared" si="33"/>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3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4"/>
        <v>2206</v>
      </c>
      <c r="O211" s="9">
        <f t="shared" si="35"/>
        <v>48</v>
      </c>
      <c r="P211" s="7">
        <v>9.8450000000000006</v>
      </c>
      <c r="Q211" s="7">
        <f t="shared" si="30"/>
        <v>24.155000000000001</v>
      </c>
      <c r="R211" s="9">
        <v>0</v>
      </c>
      <c r="S211" s="9">
        <v>1</v>
      </c>
      <c r="T211" s="9">
        <v>0</v>
      </c>
      <c r="U211" s="9">
        <v>0</v>
      </c>
      <c r="V211" s="9">
        <v>1</v>
      </c>
      <c r="W211" s="27">
        <v>0</v>
      </c>
      <c r="X211" s="9">
        <v>0</v>
      </c>
      <c r="Y211" s="9">
        <v>1</v>
      </c>
      <c r="Z211" s="27">
        <v>0</v>
      </c>
      <c r="AA211" s="9">
        <v>0</v>
      </c>
      <c r="AB211" s="27">
        <v>1</v>
      </c>
      <c r="AC211" s="18">
        <v>1999</v>
      </c>
      <c r="AD211" s="29">
        <f t="shared" si="31"/>
        <v>0.19249999999999998</v>
      </c>
      <c r="AE211" s="29">
        <v>0.28999999999999998</v>
      </c>
      <c r="AF211" s="29">
        <v>0.32500000000000001</v>
      </c>
      <c r="AG211" s="39">
        <f t="shared" si="32"/>
        <v>0.19249999999999998</v>
      </c>
      <c r="AH211" s="38">
        <v>0.67</v>
      </c>
      <c r="AI211" s="15">
        <v>0.33</v>
      </c>
      <c r="AJ211">
        <v>0</v>
      </c>
      <c r="AK211" s="36">
        <f t="shared" si="28"/>
        <v>1</v>
      </c>
      <c r="AL211">
        <v>0.38</v>
      </c>
      <c r="AM211" s="36">
        <v>0.62</v>
      </c>
      <c r="AN211">
        <v>0</v>
      </c>
      <c r="AO211" s="15">
        <v>1</v>
      </c>
      <c r="AP211">
        <f t="shared" si="33"/>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3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4"/>
        <v>2206</v>
      </c>
      <c r="O212" s="9">
        <f t="shared" si="35"/>
        <v>48</v>
      </c>
      <c r="P212" s="7">
        <v>9.8450000000000006</v>
      </c>
      <c r="Q212" s="7">
        <f t="shared" si="30"/>
        <v>24.155000000000001</v>
      </c>
      <c r="R212" s="9">
        <v>0</v>
      </c>
      <c r="S212" s="9">
        <v>1</v>
      </c>
      <c r="T212" s="9">
        <v>0</v>
      </c>
      <c r="U212" s="9">
        <v>0</v>
      </c>
      <c r="V212" s="9">
        <v>1</v>
      </c>
      <c r="W212" s="27">
        <v>0</v>
      </c>
      <c r="X212" s="9">
        <v>0</v>
      </c>
      <c r="Y212" s="9">
        <v>1</v>
      </c>
      <c r="Z212" s="27">
        <v>0</v>
      </c>
      <c r="AA212" s="9">
        <v>0</v>
      </c>
      <c r="AB212" s="27">
        <v>1</v>
      </c>
      <c r="AC212" s="18">
        <v>1999</v>
      </c>
      <c r="AD212" s="29">
        <f t="shared" si="31"/>
        <v>0.19249999999999998</v>
      </c>
      <c r="AE212" s="29">
        <v>0.28999999999999998</v>
      </c>
      <c r="AF212" s="29">
        <v>0.32500000000000001</v>
      </c>
      <c r="AG212" s="39">
        <f t="shared" si="32"/>
        <v>0.19249999999999998</v>
      </c>
      <c r="AH212" s="38">
        <v>0.67</v>
      </c>
      <c r="AI212" s="15">
        <v>0.33</v>
      </c>
      <c r="AJ212">
        <v>0</v>
      </c>
      <c r="AK212" s="36">
        <f t="shared" si="28"/>
        <v>1</v>
      </c>
      <c r="AL212">
        <v>0.38</v>
      </c>
      <c r="AM212" s="36">
        <v>0.62</v>
      </c>
      <c r="AN212">
        <v>0</v>
      </c>
      <c r="AO212" s="15">
        <v>1</v>
      </c>
      <c r="AP212">
        <f t="shared" si="33"/>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3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4"/>
        <v>2206</v>
      </c>
      <c r="O213" s="9">
        <f t="shared" si="35"/>
        <v>48</v>
      </c>
      <c r="P213" s="7">
        <v>9.8450000000000006</v>
      </c>
      <c r="Q213" s="7">
        <f t="shared" si="30"/>
        <v>24.155000000000001</v>
      </c>
      <c r="R213" s="9">
        <v>0</v>
      </c>
      <c r="S213" s="9">
        <v>1</v>
      </c>
      <c r="T213" s="9">
        <v>0</v>
      </c>
      <c r="U213" s="9">
        <v>0</v>
      </c>
      <c r="V213" s="9">
        <v>1</v>
      </c>
      <c r="W213" s="27">
        <v>0</v>
      </c>
      <c r="X213" s="9">
        <v>0</v>
      </c>
      <c r="Y213" s="9">
        <v>1</v>
      </c>
      <c r="Z213" s="27">
        <v>0</v>
      </c>
      <c r="AA213" s="9">
        <v>0</v>
      </c>
      <c r="AB213" s="27">
        <v>1</v>
      </c>
      <c r="AC213" s="18">
        <v>1999</v>
      </c>
      <c r="AD213" s="29">
        <f t="shared" si="31"/>
        <v>0.19249999999999998</v>
      </c>
      <c r="AE213" s="29">
        <v>0.28999999999999998</v>
      </c>
      <c r="AF213" s="29">
        <v>0.32500000000000001</v>
      </c>
      <c r="AG213" s="39">
        <f t="shared" si="32"/>
        <v>0.19249999999999998</v>
      </c>
      <c r="AH213" s="38">
        <v>0.67</v>
      </c>
      <c r="AI213" s="15">
        <v>0.33</v>
      </c>
      <c r="AJ213">
        <v>0</v>
      </c>
      <c r="AK213" s="36">
        <f t="shared" si="28"/>
        <v>1</v>
      </c>
      <c r="AL213">
        <v>0.38</v>
      </c>
      <c r="AM213" s="36">
        <v>0.62</v>
      </c>
      <c r="AN213">
        <v>0</v>
      </c>
      <c r="AO213" s="15">
        <v>1</v>
      </c>
      <c r="AP213">
        <f t="shared" si="33"/>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3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4"/>
        <v>2206</v>
      </c>
      <c r="O214" s="9">
        <f t="shared" si="35"/>
        <v>48</v>
      </c>
      <c r="P214" s="7">
        <v>9.8450000000000006</v>
      </c>
      <c r="Q214" s="7">
        <f t="shared" si="30"/>
        <v>24.155000000000001</v>
      </c>
      <c r="R214" s="9">
        <v>0</v>
      </c>
      <c r="S214" s="9">
        <v>1</v>
      </c>
      <c r="T214" s="9">
        <v>0</v>
      </c>
      <c r="U214" s="9">
        <v>0</v>
      </c>
      <c r="V214" s="9">
        <v>1</v>
      </c>
      <c r="W214" s="27">
        <v>0</v>
      </c>
      <c r="X214" s="9">
        <v>0</v>
      </c>
      <c r="Y214" s="9">
        <v>1</v>
      </c>
      <c r="Z214" s="27">
        <v>0</v>
      </c>
      <c r="AA214" s="9">
        <v>0</v>
      </c>
      <c r="AB214" s="27">
        <v>1</v>
      </c>
      <c r="AC214" s="18">
        <v>1999</v>
      </c>
      <c r="AD214" s="29">
        <f t="shared" si="31"/>
        <v>0.19249999999999998</v>
      </c>
      <c r="AE214" s="29">
        <v>0.28999999999999998</v>
      </c>
      <c r="AF214" s="29">
        <v>0.32500000000000001</v>
      </c>
      <c r="AG214" s="39">
        <f t="shared" si="32"/>
        <v>0.19249999999999998</v>
      </c>
      <c r="AH214" s="38">
        <v>0.67</v>
      </c>
      <c r="AI214" s="15">
        <v>0.33</v>
      </c>
      <c r="AJ214">
        <v>0</v>
      </c>
      <c r="AK214" s="36">
        <f t="shared" si="28"/>
        <v>1</v>
      </c>
      <c r="AL214">
        <v>0.38</v>
      </c>
      <c r="AM214" s="36">
        <v>0.62</v>
      </c>
      <c r="AN214">
        <v>0</v>
      </c>
      <c r="AO214" s="15">
        <v>1</v>
      </c>
      <c r="AP214">
        <f t="shared" si="33"/>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3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4"/>
        <v>1693</v>
      </c>
      <c r="O215" s="9">
        <f t="shared" si="35"/>
        <v>48</v>
      </c>
      <c r="P215" s="7">
        <v>10.525</v>
      </c>
      <c r="Q215" s="7">
        <f t="shared" si="30"/>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8"/>
        <v>0</v>
      </c>
      <c r="AL215">
        <v>0.31</v>
      </c>
      <c r="AM215" s="36">
        <v>0.69</v>
      </c>
      <c r="AN215">
        <v>0</v>
      </c>
      <c r="AO215" s="15">
        <v>1</v>
      </c>
      <c r="AP215">
        <f t="shared" si="33"/>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3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4"/>
        <v>1693</v>
      </c>
      <c r="O216" s="9">
        <f t="shared" si="35"/>
        <v>48</v>
      </c>
      <c r="P216" s="7">
        <v>10.525</v>
      </c>
      <c r="Q216" s="7">
        <f t="shared" si="30"/>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8"/>
        <v>0</v>
      </c>
      <c r="AL216">
        <v>0.31</v>
      </c>
      <c r="AM216" s="36">
        <v>0.69</v>
      </c>
      <c r="AN216">
        <v>0</v>
      </c>
      <c r="AO216" s="15">
        <v>1</v>
      </c>
      <c r="AP216">
        <f t="shared" si="33"/>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3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4"/>
        <v>1693</v>
      </c>
      <c r="O217" s="9">
        <f t="shared" si="35"/>
        <v>48</v>
      </c>
      <c r="P217" s="7">
        <v>10.525</v>
      </c>
      <c r="Q217" s="7">
        <f t="shared" si="30"/>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8"/>
        <v>0</v>
      </c>
      <c r="AL217">
        <v>0.31</v>
      </c>
      <c r="AM217" s="36">
        <v>0.69</v>
      </c>
      <c r="AN217">
        <v>0</v>
      </c>
      <c r="AO217" s="15">
        <v>1</v>
      </c>
      <c r="AP217">
        <f t="shared" si="33"/>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3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4"/>
        <v>1693</v>
      </c>
      <c r="O218" s="9">
        <f t="shared" si="35"/>
        <v>48</v>
      </c>
      <c r="P218" s="7">
        <v>10.525</v>
      </c>
      <c r="Q218" s="7">
        <f t="shared" si="30"/>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8"/>
        <v>0</v>
      </c>
      <c r="AL218">
        <v>0.31</v>
      </c>
      <c r="AM218" s="36">
        <v>0.69</v>
      </c>
      <c r="AN218">
        <v>0</v>
      </c>
      <c r="AO218" s="15">
        <v>1</v>
      </c>
      <c r="AP218">
        <f t="shared" si="33"/>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3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4"/>
        <v>1701</v>
      </c>
      <c r="O219" s="9">
        <f t="shared" si="35"/>
        <v>48</v>
      </c>
      <c r="P219" s="7">
        <v>10.525</v>
      </c>
      <c r="Q219" s="7">
        <f t="shared" si="30"/>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6">1-AJ219</f>
        <v>0</v>
      </c>
      <c r="AL219">
        <v>0.31</v>
      </c>
      <c r="AM219" s="36">
        <v>0.69</v>
      </c>
      <c r="AN219">
        <v>0</v>
      </c>
      <c r="AO219" s="15">
        <v>1</v>
      </c>
      <c r="AP219">
        <f t="shared" si="33"/>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3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4"/>
        <v>1701</v>
      </c>
      <c r="O220" s="9">
        <f t="shared" si="35"/>
        <v>48</v>
      </c>
      <c r="P220" s="7">
        <v>10.525</v>
      </c>
      <c r="Q220" s="7">
        <f t="shared" si="30"/>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6"/>
        <v>0</v>
      </c>
      <c r="AL220">
        <v>0.31</v>
      </c>
      <c r="AM220" s="36">
        <v>0.69</v>
      </c>
      <c r="AN220">
        <v>0</v>
      </c>
      <c r="AO220" s="15">
        <v>1</v>
      </c>
      <c r="AP220">
        <f t="shared" si="33"/>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3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4"/>
        <v>1701</v>
      </c>
      <c r="O221" s="9">
        <f t="shared" si="35"/>
        <v>48</v>
      </c>
      <c r="P221" s="7">
        <v>10.525</v>
      </c>
      <c r="Q221" s="7">
        <f t="shared" si="30"/>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6"/>
        <v>0</v>
      </c>
      <c r="AL221">
        <v>0.31</v>
      </c>
      <c r="AM221" s="36">
        <v>0.69</v>
      </c>
      <c r="AN221">
        <v>0</v>
      </c>
      <c r="AO221" s="15">
        <v>1</v>
      </c>
      <c r="AP221">
        <f t="shared" si="33"/>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3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4"/>
        <v>1701</v>
      </c>
      <c r="O222" s="54">
        <f t="shared" si="35"/>
        <v>48</v>
      </c>
      <c r="P222" s="51">
        <v>10.525</v>
      </c>
      <c r="Q222" s="51">
        <f t="shared" si="30"/>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6"/>
        <v>0</v>
      </c>
      <c r="AL222" s="47">
        <v>0.31</v>
      </c>
      <c r="AM222" s="60">
        <v>0.69</v>
      </c>
      <c r="AN222">
        <v>0</v>
      </c>
      <c r="AO222" s="59">
        <v>1</v>
      </c>
      <c r="AP222" s="47">
        <f t="shared" si="33"/>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35">
      <c r="A223">
        <v>222</v>
      </c>
      <c r="B223">
        <v>17</v>
      </c>
      <c r="C223" s="22" t="s">
        <v>202</v>
      </c>
      <c r="D223" s="11">
        <v>8.8000000000000007</v>
      </c>
      <c r="E223" s="12">
        <f t="shared" ref="E223:E230" si="37">D223/F223</f>
        <v>4.1006523765144458E-2</v>
      </c>
      <c r="F223" s="7">
        <v>214.6</v>
      </c>
      <c r="G223" s="8">
        <v>0</v>
      </c>
      <c r="H223" s="9">
        <v>0</v>
      </c>
      <c r="I223" s="9">
        <v>0</v>
      </c>
      <c r="J223" s="9">
        <v>1</v>
      </c>
      <c r="K223" s="9">
        <v>0</v>
      </c>
      <c r="L223" s="8">
        <v>97050</v>
      </c>
      <c r="M223" s="9">
        <v>3</v>
      </c>
      <c r="N223" s="9">
        <f t="shared" si="34"/>
        <v>97046</v>
      </c>
      <c r="O223" s="9">
        <f t="shared" si="35"/>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6"/>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35">
      <c r="A224">
        <v>223</v>
      </c>
      <c r="B224">
        <v>17</v>
      </c>
      <c r="C224" s="22" t="s">
        <v>202</v>
      </c>
      <c r="D224" s="11">
        <v>8.31</v>
      </c>
      <c r="E224" s="12">
        <f t="shared" si="37"/>
        <v>4.5559210526315792E-2</v>
      </c>
      <c r="F224" s="7">
        <v>182.4</v>
      </c>
      <c r="G224" s="8">
        <v>0</v>
      </c>
      <c r="H224" s="9">
        <v>0</v>
      </c>
      <c r="I224" s="9">
        <v>0</v>
      </c>
      <c r="J224" s="9">
        <v>1</v>
      </c>
      <c r="K224" s="9">
        <v>0</v>
      </c>
      <c r="L224" s="8">
        <v>68726</v>
      </c>
      <c r="M224" s="9">
        <v>3</v>
      </c>
      <c r="N224" s="9">
        <f t="shared" si="34"/>
        <v>68722</v>
      </c>
      <c r="O224" s="9">
        <f t="shared" si="35"/>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35">
      <c r="A225">
        <v>224</v>
      </c>
      <c r="B225">
        <v>17</v>
      </c>
      <c r="C225" s="22" t="s">
        <v>202</v>
      </c>
      <c r="D225" s="11">
        <v>10.3</v>
      </c>
      <c r="E225" s="12">
        <f t="shared" si="37"/>
        <v>8.45648604269294E-2</v>
      </c>
      <c r="F225" s="7">
        <v>121.8</v>
      </c>
      <c r="G225" s="8">
        <v>0</v>
      </c>
      <c r="H225" s="9">
        <v>0</v>
      </c>
      <c r="I225" s="9">
        <v>0</v>
      </c>
      <c r="J225" s="9">
        <v>1</v>
      </c>
      <c r="K225" s="9">
        <v>0</v>
      </c>
      <c r="L225" s="8">
        <v>28324</v>
      </c>
      <c r="M225" s="9">
        <v>3</v>
      </c>
      <c r="N225" s="9">
        <f t="shared" si="34"/>
        <v>28320</v>
      </c>
      <c r="O225" s="9">
        <f t="shared" si="35"/>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35">
      <c r="A226">
        <v>225</v>
      </c>
      <c r="B226">
        <v>17</v>
      </c>
      <c r="C226" s="22" t="s">
        <v>202</v>
      </c>
      <c r="D226" s="11">
        <v>13.4</v>
      </c>
      <c r="E226" s="12">
        <f t="shared" si="37"/>
        <v>0.30044843049327352</v>
      </c>
      <c r="F226" s="7">
        <v>44.6</v>
      </c>
      <c r="G226" s="8">
        <v>0</v>
      </c>
      <c r="H226" s="9">
        <v>0</v>
      </c>
      <c r="I226" s="9">
        <v>0</v>
      </c>
      <c r="J226" s="9">
        <v>1</v>
      </c>
      <c r="K226" s="9">
        <v>0</v>
      </c>
      <c r="L226" s="8">
        <v>28324</v>
      </c>
      <c r="M226" s="9">
        <v>3</v>
      </c>
      <c r="N226" s="9">
        <f t="shared" si="34"/>
        <v>28320</v>
      </c>
      <c r="O226" s="9">
        <f t="shared" si="35"/>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35">
      <c r="A227">
        <v>226</v>
      </c>
      <c r="B227">
        <v>17</v>
      </c>
      <c r="C227" s="22" t="s">
        <v>202</v>
      </c>
      <c r="D227" s="11">
        <v>7.9</v>
      </c>
      <c r="E227" s="12">
        <f t="shared" si="37"/>
        <v>8.856502242152467E-2</v>
      </c>
      <c r="F227" s="7">
        <v>89.2</v>
      </c>
      <c r="G227" s="8">
        <v>0</v>
      </c>
      <c r="H227" s="9">
        <v>0</v>
      </c>
      <c r="I227" s="9">
        <v>0</v>
      </c>
      <c r="J227" s="9">
        <v>1</v>
      </c>
      <c r="K227" s="9">
        <v>0</v>
      </c>
      <c r="L227" s="8">
        <v>22876</v>
      </c>
      <c r="M227" s="9">
        <v>3</v>
      </c>
      <c r="N227" s="9">
        <f t="shared" si="34"/>
        <v>22872</v>
      </c>
      <c r="O227" s="9">
        <f t="shared" si="35"/>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35">
      <c r="A228">
        <v>227</v>
      </c>
      <c r="B228">
        <v>17</v>
      </c>
      <c r="C228" s="22" t="s">
        <v>202</v>
      </c>
      <c r="D228" s="11">
        <v>6.5</v>
      </c>
      <c r="E228" s="12">
        <f t="shared" si="37"/>
        <v>5.2208835341365459E-2</v>
      </c>
      <c r="F228" s="7">
        <v>124.5</v>
      </c>
      <c r="G228" s="8">
        <v>0</v>
      </c>
      <c r="H228" s="9">
        <v>0</v>
      </c>
      <c r="I228" s="9">
        <v>0</v>
      </c>
      <c r="J228" s="9">
        <v>1</v>
      </c>
      <c r="K228" s="9">
        <v>0</v>
      </c>
      <c r="L228" s="8">
        <v>74176</v>
      </c>
      <c r="M228" s="9">
        <v>3</v>
      </c>
      <c r="N228" s="9">
        <f t="shared" si="34"/>
        <v>74172</v>
      </c>
      <c r="O228" s="9">
        <f t="shared" si="35"/>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35">
      <c r="A229">
        <v>228</v>
      </c>
      <c r="B229">
        <v>17</v>
      </c>
      <c r="C229" s="22" t="s">
        <v>202</v>
      </c>
      <c r="D229" s="11">
        <v>11.2</v>
      </c>
      <c r="E229" s="12">
        <f t="shared" si="37"/>
        <v>0.86821705426356577</v>
      </c>
      <c r="F229" s="7">
        <v>12.9</v>
      </c>
      <c r="G229" s="8">
        <v>0</v>
      </c>
      <c r="H229" s="9">
        <v>0</v>
      </c>
      <c r="I229" s="9">
        <v>0</v>
      </c>
      <c r="J229" s="9">
        <v>1</v>
      </c>
      <c r="K229" s="9">
        <v>0</v>
      </c>
      <c r="L229" s="8">
        <v>28324</v>
      </c>
      <c r="M229" s="9">
        <v>3</v>
      </c>
      <c r="N229" s="9">
        <f t="shared" si="34"/>
        <v>28320</v>
      </c>
      <c r="O229" s="9">
        <f t="shared" si="35"/>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35">
      <c r="A230" s="47">
        <v>229</v>
      </c>
      <c r="B230" s="47">
        <v>17</v>
      </c>
      <c r="C230" s="48" t="s">
        <v>202</v>
      </c>
      <c r="D230" s="49">
        <v>18</v>
      </c>
      <c r="E230" s="50">
        <f t="shared" si="37"/>
        <v>1.0843373493975903</v>
      </c>
      <c r="F230" s="51">
        <v>16.600000000000001</v>
      </c>
      <c r="G230" s="53">
        <v>0</v>
      </c>
      <c r="H230" s="54">
        <v>0</v>
      </c>
      <c r="I230" s="54">
        <v>0</v>
      </c>
      <c r="J230" s="54">
        <v>1</v>
      </c>
      <c r="K230" s="54">
        <v>0</v>
      </c>
      <c r="L230" s="53">
        <v>68726</v>
      </c>
      <c r="M230" s="54">
        <v>3</v>
      </c>
      <c r="N230" s="54">
        <f t="shared" si="34"/>
        <v>68722</v>
      </c>
      <c r="O230" s="54">
        <f t="shared" si="35"/>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3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4"/>
        <v>3607</v>
      </c>
      <c r="O231" s="9">
        <f t="shared" si="35"/>
        <v>48</v>
      </c>
      <c r="P231" s="7">
        <v>17</v>
      </c>
      <c r="Q231" s="7">
        <f t="shared" ref="Q231:Q262" si="38">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3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4"/>
        <v>3607</v>
      </c>
      <c r="O232" s="9">
        <f t="shared" si="35"/>
        <v>48</v>
      </c>
      <c r="P232" s="7">
        <v>12</v>
      </c>
      <c r="Q232" s="7">
        <f t="shared" si="38"/>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3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4"/>
        <v>3607</v>
      </c>
      <c r="O233" s="9">
        <f t="shared" si="35"/>
        <v>48</v>
      </c>
      <c r="P233" s="7">
        <v>9</v>
      </c>
      <c r="Q233" s="7">
        <f t="shared" si="38"/>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3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4"/>
        <v>3607</v>
      </c>
      <c r="O234" s="9">
        <f t="shared" si="35"/>
        <v>48</v>
      </c>
      <c r="P234" s="7">
        <v>17</v>
      </c>
      <c r="Q234" s="7">
        <f t="shared" si="38"/>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3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4"/>
        <v>3607</v>
      </c>
      <c r="O235" s="9">
        <f t="shared" si="35"/>
        <v>48</v>
      </c>
      <c r="P235" s="7">
        <v>12</v>
      </c>
      <c r="Q235" s="7">
        <f t="shared" si="38"/>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3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4"/>
        <v>3607</v>
      </c>
      <c r="O236" s="9">
        <f t="shared" si="35"/>
        <v>48</v>
      </c>
      <c r="P236" s="7">
        <v>9</v>
      </c>
      <c r="Q236" s="7">
        <f t="shared" si="38"/>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3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4"/>
        <v>3598</v>
      </c>
      <c r="O237" s="9">
        <f t="shared" si="35"/>
        <v>48</v>
      </c>
      <c r="P237" s="7">
        <v>17</v>
      </c>
      <c r="Q237" s="7">
        <f t="shared" si="38"/>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3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4"/>
        <v>3598</v>
      </c>
      <c r="O238" s="9">
        <f t="shared" si="35"/>
        <v>48</v>
      </c>
      <c r="P238" s="7">
        <v>12</v>
      </c>
      <c r="Q238" s="7">
        <f t="shared" si="38"/>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3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4"/>
        <v>3598</v>
      </c>
      <c r="O239" s="9">
        <f t="shared" si="35"/>
        <v>48</v>
      </c>
      <c r="P239" s="7">
        <v>9</v>
      </c>
      <c r="Q239" s="7">
        <f t="shared" si="38"/>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3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4"/>
        <v>3595</v>
      </c>
      <c r="O240" s="9">
        <f t="shared" si="35"/>
        <v>48</v>
      </c>
      <c r="P240" s="7">
        <v>17</v>
      </c>
      <c r="Q240" s="7">
        <f t="shared" si="38"/>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3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4"/>
        <v>3595</v>
      </c>
      <c r="O241" s="9">
        <f t="shared" si="35"/>
        <v>48</v>
      </c>
      <c r="P241" s="7">
        <v>12</v>
      </c>
      <c r="Q241" s="7">
        <f t="shared" si="38"/>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3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4"/>
        <v>3595</v>
      </c>
      <c r="O242" s="9">
        <f t="shared" si="35"/>
        <v>48</v>
      </c>
      <c r="P242" s="7">
        <v>9</v>
      </c>
      <c r="Q242" s="7">
        <f t="shared" si="38"/>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35">
      <c r="A243">
        <v>242</v>
      </c>
      <c r="B243">
        <v>18</v>
      </c>
      <c r="C243" s="22" t="s">
        <v>203</v>
      </c>
      <c r="D243" s="11">
        <v>9.6</v>
      </c>
      <c r="E243" s="12">
        <v>0.4</v>
      </c>
      <c r="F243" s="7">
        <f t="shared" ref="F243:F254" si="39">D243/E243</f>
        <v>23.999999999999996</v>
      </c>
      <c r="G243" s="8">
        <v>1</v>
      </c>
      <c r="H243" s="9">
        <v>0</v>
      </c>
      <c r="I243" s="9">
        <v>0</v>
      </c>
      <c r="J243" s="9">
        <v>0</v>
      </c>
      <c r="K243" s="9">
        <v>0</v>
      </c>
      <c r="L243" s="8">
        <v>3613</v>
      </c>
      <c r="M243" s="9">
        <v>6</v>
      </c>
      <c r="N243" s="9">
        <f t="shared" si="34"/>
        <v>3606</v>
      </c>
      <c r="O243" s="9">
        <f t="shared" si="35"/>
        <v>48</v>
      </c>
      <c r="P243" s="7">
        <v>10.967499999999999</v>
      </c>
      <c r="Q243" s="7">
        <f t="shared" si="38"/>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35">
      <c r="A244">
        <v>243</v>
      </c>
      <c r="B244">
        <v>18</v>
      </c>
      <c r="C244" s="22" t="s">
        <v>203</v>
      </c>
      <c r="D244" s="11">
        <v>9.6</v>
      </c>
      <c r="E244" s="12">
        <v>0.4</v>
      </c>
      <c r="F244" s="7">
        <f t="shared" si="39"/>
        <v>23.999999999999996</v>
      </c>
      <c r="G244" s="8">
        <v>1</v>
      </c>
      <c r="H244" s="9">
        <v>0</v>
      </c>
      <c r="I244" s="9">
        <v>0</v>
      </c>
      <c r="J244" s="9">
        <v>0</v>
      </c>
      <c r="K244" s="9">
        <v>0</v>
      </c>
      <c r="L244" s="8">
        <v>3613</v>
      </c>
      <c r="M244" s="9">
        <v>6</v>
      </c>
      <c r="N244" s="9">
        <f t="shared" si="34"/>
        <v>3606</v>
      </c>
      <c r="O244" s="9">
        <f t="shared" si="35"/>
        <v>48</v>
      </c>
      <c r="P244" s="7">
        <v>10.967499999999999</v>
      </c>
      <c r="Q244" s="7">
        <f t="shared" si="38"/>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35">
      <c r="A245">
        <v>244</v>
      </c>
      <c r="B245">
        <v>18</v>
      </c>
      <c r="C245" s="22" t="s">
        <v>203</v>
      </c>
      <c r="D245" s="11">
        <v>8.9</v>
      </c>
      <c r="E245" s="12">
        <v>0.4</v>
      </c>
      <c r="F245" s="7">
        <f t="shared" si="39"/>
        <v>22.25</v>
      </c>
      <c r="G245" s="8">
        <v>1</v>
      </c>
      <c r="H245" s="9">
        <v>0</v>
      </c>
      <c r="I245" s="9">
        <v>0</v>
      </c>
      <c r="J245" s="9">
        <v>0</v>
      </c>
      <c r="K245" s="9">
        <v>0</v>
      </c>
      <c r="L245" s="8">
        <v>3610</v>
      </c>
      <c r="M245" s="9">
        <v>12</v>
      </c>
      <c r="N245" s="9">
        <f t="shared" si="34"/>
        <v>3597</v>
      </c>
      <c r="O245" s="9">
        <f t="shared" si="35"/>
        <v>48</v>
      </c>
      <c r="P245" s="7">
        <v>10.967499999999999</v>
      </c>
      <c r="Q245" s="7">
        <f t="shared" si="38"/>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35">
      <c r="A246">
        <v>245</v>
      </c>
      <c r="B246">
        <v>18</v>
      </c>
      <c r="C246" s="22" t="s">
        <v>203</v>
      </c>
      <c r="D246" s="11">
        <v>8.3000000000000007</v>
      </c>
      <c r="E246" s="12">
        <v>0.4</v>
      </c>
      <c r="F246" s="7">
        <f t="shared" si="39"/>
        <v>20.75</v>
      </c>
      <c r="G246" s="8">
        <v>1</v>
      </c>
      <c r="H246" s="9">
        <v>0</v>
      </c>
      <c r="I246" s="9">
        <v>0</v>
      </c>
      <c r="J246" s="9">
        <v>0</v>
      </c>
      <c r="K246" s="9">
        <v>0</v>
      </c>
      <c r="L246" s="8">
        <v>3610</v>
      </c>
      <c r="M246" s="9">
        <v>15</v>
      </c>
      <c r="N246" s="9">
        <f t="shared" si="34"/>
        <v>3594</v>
      </c>
      <c r="O246" s="9">
        <f t="shared" si="35"/>
        <v>48</v>
      </c>
      <c r="P246" s="7">
        <v>10.967499999999999</v>
      </c>
      <c r="Q246" s="7">
        <f t="shared" si="38"/>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35">
      <c r="A247">
        <v>246</v>
      </c>
      <c r="B247">
        <v>18</v>
      </c>
      <c r="C247" s="22" t="s">
        <v>203</v>
      </c>
      <c r="D247" s="11">
        <v>13.5</v>
      </c>
      <c r="E247" s="12">
        <v>0.7</v>
      </c>
      <c r="F247" s="7">
        <f t="shared" si="39"/>
        <v>19.285714285714288</v>
      </c>
      <c r="G247" s="8">
        <v>1</v>
      </c>
      <c r="H247" s="9">
        <v>0</v>
      </c>
      <c r="I247" s="9">
        <v>0</v>
      </c>
      <c r="J247" s="9">
        <v>0</v>
      </c>
      <c r="K247" s="9">
        <v>0</v>
      </c>
      <c r="L247" s="8">
        <v>3613</v>
      </c>
      <c r="M247" s="9">
        <v>5</v>
      </c>
      <c r="N247" s="9">
        <f t="shared" si="34"/>
        <v>3607</v>
      </c>
      <c r="O247" s="9">
        <f t="shared" si="35"/>
        <v>48</v>
      </c>
      <c r="P247" s="7">
        <v>17</v>
      </c>
      <c r="Q247" s="7">
        <f t="shared" si="38"/>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35">
      <c r="A248">
        <v>247</v>
      </c>
      <c r="B248">
        <v>18</v>
      </c>
      <c r="C248" s="22" t="s">
        <v>203</v>
      </c>
      <c r="D248" s="11">
        <v>6.3</v>
      </c>
      <c r="E248" s="12">
        <v>0.7</v>
      </c>
      <c r="F248" s="7">
        <f t="shared" si="39"/>
        <v>9</v>
      </c>
      <c r="G248" s="8">
        <v>1</v>
      </c>
      <c r="H248" s="9">
        <v>0</v>
      </c>
      <c r="I248" s="9">
        <v>0</v>
      </c>
      <c r="J248" s="9">
        <v>0</v>
      </c>
      <c r="K248" s="9">
        <v>0</v>
      </c>
      <c r="L248" s="8">
        <v>3613</v>
      </c>
      <c r="M248" s="9">
        <v>5</v>
      </c>
      <c r="N248" s="9">
        <f t="shared" si="34"/>
        <v>3607</v>
      </c>
      <c r="O248" s="9">
        <f t="shared" si="35"/>
        <v>48</v>
      </c>
      <c r="P248" s="7">
        <v>7</v>
      </c>
      <c r="Q248" s="7">
        <f t="shared" si="38"/>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35">
      <c r="A249">
        <v>248</v>
      </c>
      <c r="B249">
        <v>18</v>
      </c>
      <c r="C249" s="22" t="s">
        <v>203</v>
      </c>
      <c r="D249" s="11">
        <v>13.5</v>
      </c>
      <c r="E249" s="12">
        <v>0.7</v>
      </c>
      <c r="F249" s="7">
        <f t="shared" si="39"/>
        <v>19.285714285714288</v>
      </c>
      <c r="G249" s="8">
        <v>1</v>
      </c>
      <c r="H249" s="9">
        <v>0</v>
      </c>
      <c r="I249" s="9">
        <v>0</v>
      </c>
      <c r="J249" s="9">
        <v>0</v>
      </c>
      <c r="K249" s="9">
        <v>0</v>
      </c>
      <c r="L249" s="8">
        <v>3613</v>
      </c>
      <c r="M249" s="9">
        <v>5</v>
      </c>
      <c r="N249" s="9">
        <f t="shared" si="34"/>
        <v>3607</v>
      </c>
      <c r="O249" s="9">
        <f t="shared" si="35"/>
        <v>48</v>
      </c>
      <c r="P249" s="7">
        <v>17</v>
      </c>
      <c r="Q249" s="7">
        <f t="shared" si="38"/>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35">
      <c r="A250">
        <v>249</v>
      </c>
      <c r="B250">
        <v>18</v>
      </c>
      <c r="C250" s="22" t="s">
        <v>203</v>
      </c>
      <c r="D250" s="11">
        <v>6.2</v>
      </c>
      <c r="E250" s="12">
        <v>0.8</v>
      </c>
      <c r="F250" s="7">
        <f t="shared" si="39"/>
        <v>7.75</v>
      </c>
      <c r="G250" s="8">
        <v>1</v>
      </c>
      <c r="H250" s="9">
        <v>0</v>
      </c>
      <c r="I250" s="9">
        <v>0</v>
      </c>
      <c r="J250" s="9">
        <v>0</v>
      </c>
      <c r="K250" s="9">
        <v>0</v>
      </c>
      <c r="L250" s="8">
        <v>3610</v>
      </c>
      <c r="M250" s="9">
        <v>5</v>
      </c>
      <c r="N250" s="9">
        <f t="shared" si="34"/>
        <v>3604</v>
      </c>
      <c r="O250" s="9">
        <f t="shared" si="35"/>
        <v>48</v>
      </c>
      <c r="P250" s="7">
        <v>7</v>
      </c>
      <c r="Q250" s="7">
        <f t="shared" si="38"/>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35">
      <c r="A251">
        <v>250</v>
      </c>
      <c r="B251">
        <v>18</v>
      </c>
      <c r="C251" s="22" t="s">
        <v>203</v>
      </c>
      <c r="D251" s="11">
        <v>12.9</v>
      </c>
      <c r="E251" s="12">
        <v>0.7</v>
      </c>
      <c r="F251" s="7">
        <f t="shared" si="39"/>
        <v>18.428571428571431</v>
      </c>
      <c r="G251" s="8">
        <v>1</v>
      </c>
      <c r="H251" s="9">
        <v>0</v>
      </c>
      <c r="I251" s="9">
        <v>0</v>
      </c>
      <c r="J251" s="9">
        <v>0</v>
      </c>
      <c r="K251" s="9">
        <v>0</v>
      </c>
      <c r="L251" s="8">
        <v>3610</v>
      </c>
      <c r="M251" s="9">
        <v>11</v>
      </c>
      <c r="N251" s="9">
        <f t="shared" si="34"/>
        <v>3598</v>
      </c>
      <c r="O251" s="9">
        <f t="shared" si="35"/>
        <v>48</v>
      </c>
      <c r="P251" s="7">
        <v>17</v>
      </c>
      <c r="Q251" s="7">
        <f t="shared" si="38"/>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35">
      <c r="A252">
        <v>251</v>
      </c>
      <c r="B252">
        <v>18</v>
      </c>
      <c r="C252" s="22" t="s">
        <v>203</v>
      </c>
      <c r="D252" s="11">
        <v>5.4</v>
      </c>
      <c r="E252" s="12">
        <v>0.7</v>
      </c>
      <c r="F252" s="7">
        <f t="shared" si="39"/>
        <v>7.7142857142857153</v>
      </c>
      <c r="G252" s="8">
        <v>1</v>
      </c>
      <c r="H252" s="9">
        <v>0</v>
      </c>
      <c r="I252" s="9">
        <v>0</v>
      </c>
      <c r="J252" s="9">
        <v>0</v>
      </c>
      <c r="K252" s="9">
        <v>0</v>
      </c>
      <c r="L252" s="8">
        <v>3610</v>
      </c>
      <c r="M252" s="9">
        <v>11</v>
      </c>
      <c r="N252" s="9">
        <f t="shared" si="34"/>
        <v>3598</v>
      </c>
      <c r="O252" s="9">
        <f t="shared" si="35"/>
        <v>48</v>
      </c>
      <c r="P252" s="7">
        <v>7</v>
      </c>
      <c r="Q252" s="7">
        <f t="shared" si="38"/>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35">
      <c r="A253">
        <v>252</v>
      </c>
      <c r="B253">
        <v>18</v>
      </c>
      <c r="C253" s="22" t="s">
        <v>203</v>
      </c>
      <c r="D253" s="11">
        <v>11.9</v>
      </c>
      <c r="E253" s="12">
        <v>0.7</v>
      </c>
      <c r="F253" s="7">
        <f t="shared" si="39"/>
        <v>17</v>
      </c>
      <c r="G253" s="8">
        <v>1</v>
      </c>
      <c r="H253" s="9">
        <v>0</v>
      </c>
      <c r="I253" s="9">
        <v>0</v>
      </c>
      <c r="J253" s="9">
        <v>0</v>
      </c>
      <c r="K253" s="9">
        <v>0</v>
      </c>
      <c r="L253" s="8">
        <v>3610</v>
      </c>
      <c r="M253" s="9">
        <v>14</v>
      </c>
      <c r="N253" s="9">
        <f t="shared" si="34"/>
        <v>3595</v>
      </c>
      <c r="O253" s="9">
        <f t="shared" si="35"/>
        <v>48</v>
      </c>
      <c r="P253" s="7">
        <v>17</v>
      </c>
      <c r="Q253" s="7">
        <f t="shared" si="38"/>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35">
      <c r="A254">
        <v>253</v>
      </c>
      <c r="B254">
        <v>18</v>
      </c>
      <c r="C254" s="22" t="s">
        <v>203</v>
      </c>
      <c r="D254" s="11">
        <v>5.3</v>
      </c>
      <c r="E254" s="12">
        <v>0.8</v>
      </c>
      <c r="F254" s="7">
        <f t="shared" si="39"/>
        <v>6.6249999999999991</v>
      </c>
      <c r="G254" s="8">
        <v>1</v>
      </c>
      <c r="H254" s="9">
        <v>0</v>
      </c>
      <c r="I254" s="9">
        <v>0</v>
      </c>
      <c r="J254" s="9">
        <v>0</v>
      </c>
      <c r="K254" s="9">
        <v>0</v>
      </c>
      <c r="L254" s="8">
        <v>3610</v>
      </c>
      <c r="M254" s="9">
        <v>14</v>
      </c>
      <c r="N254" s="9">
        <f t="shared" si="34"/>
        <v>3595</v>
      </c>
      <c r="O254" s="9">
        <f t="shared" si="35"/>
        <v>48</v>
      </c>
      <c r="P254" s="7">
        <v>7</v>
      </c>
      <c r="Q254" s="7">
        <f t="shared" si="38"/>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3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4"/>
        <v>3604</v>
      </c>
      <c r="O255" s="9">
        <f t="shared" si="35"/>
        <v>48</v>
      </c>
      <c r="P255" s="7">
        <v>17</v>
      </c>
      <c r="Q255" s="7">
        <f t="shared" si="38"/>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3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4"/>
        <v>3604</v>
      </c>
      <c r="O256" s="9">
        <f t="shared" si="35"/>
        <v>48</v>
      </c>
      <c r="P256" s="7">
        <v>12</v>
      </c>
      <c r="Q256" s="7">
        <f t="shared" si="38"/>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3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4"/>
        <v>3604</v>
      </c>
      <c r="O257" s="9">
        <f t="shared" si="35"/>
        <v>48</v>
      </c>
      <c r="P257" s="7">
        <v>9</v>
      </c>
      <c r="Q257" s="7">
        <f t="shared" si="38"/>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3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40">L258-M258-1</f>
        <v>3604</v>
      </c>
      <c r="O258" s="9">
        <f t="shared" ref="O258:O321" si="41">COUNTIF(B:B,B258)</f>
        <v>48</v>
      </c>
      <c r="P258" s="7">
        <v>17</v>
      </c>
      <c r="Q258" s="7">
        <f t="shared" si="38"/>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3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40"/>
        <v>3604</v>
      </c>
      <c r="O259" s="9">
        <f t="shared" si="41"/>
        <v>48</v>
      </c>
      <c r="P259" s="7">
        <v>12</v>
      </c>
      <c r="Q259" s="7">
        <f t="shared" si="38"/>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3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40"/>
        <v>3604</v>
      </c>
      <c r="O260" s="9">
        <f t="shared" si="41"/>
        <v>48</v>
      </c>
      <c r="P260" s="7">
        <v>9</v>
      </c>
      <c r="Q260" s="7">
        <f t="shared" si="38"/>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3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40"/>
        <v>3586</v>
      </c>
      <c r="O261" s="9">
        <f t="shared" si="41"/>
        <v>48</v>
      </c>
      <c r="P261" s="7">
        <v>17</v>
      </c>
      <c r="Q261" s="7">
        <f t="shared" si="38"/>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3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40"/>
        <v>3586</v>
      </c>
      <c r="O262" s="9">
        <f t="shared" si="41"/>
        <v>48</v>
      </c>
      <c r="P262" s="7">
        <v>12</v>
      </c>
      <c r="Q262" s="7">
        <f t="shared" si="38"/>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3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40"/>
        <v>3586</v>
      </c>
      <c r="O263" s="9">
        <f t="shared" si="41"/>
        <v>48</v>
      </c>
      <c r="P263" s="7">
        <v>9</v>
      </c>
      <c r="Q263" s="7">
        <f t="shared" ref="Q263:Q294" si="42">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3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40"/>
        <v>3583</v>
      </c>
      <c r="O264" s="9">
        <f t="shared" si="41"/>
        <v>48</v>
      </c>
      <c r="P264" s="7">
        <v>17</v>
      </c>
      <c r="Q264" s="7">
        <f t="shared" si="42"/>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3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40"/>
        <v>3583</v>
      </c>
      <c r="O265" s="9">
        <f t="shared" si="41"/>
        <v>48</v>
      </c>
      <c r="P265" s="7">
        <v>12</v>
      </c>
      <c r="Q265" s="7">
        <f t="shared" si="42"/>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3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40"/>
        <v>3583</v>
      </c>
      <c r="O266" s="9">
        <f t="shared" si="41"/>
        <v>48</v>
      </c>
      <c r="P266" s="7">
        <v>9</v>
      </c>
      <c r="Q266" s="7">
        <f t="shared" si="42"/>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35">
      <c r="A267">
        <v>266</v>
      </c>
      <c r="B267">
        <v>18</v>
      </c>
      <c r="C267" s="22" t="s">
        <v>203</v>
      </c>
      <c r="D267" s="11">
        <v>8.3000000000000007</v>
      </c>
      <c r="E267" s="12">
        <v>0.4</v>
      </c>
      <c r="F267" s="7">
        <f t="shared" ref="F267:F278" si="43">D267/E267</f>
        <v>20.75</v>
      </c>
      <c r="G267" s="8">
        <v>1</v>
      </c>
      <c r="H267" s="9">
        <v>0</v>
      </c>
      <c r="I267" s="9">
        <v>0</v>
      </c>
      <c r="J267" s="9">
        <v>0</v>
      </c>
      <c r="K267" s="9">
        <v>0</v>
      </c>
      <c r="L267" s="8">
        <v>3610</v>
      </c>
      <c r="M267" s="9">
        <v>4</v>
      </c>
      <c r="N267" s="9">
        <f t="shared" si="40"/>
        <v>3605</v>
      </c>
      <c r="O267" s="9">
        <f t="shared" si="41"/>
        <v>48</v>
      </c>
      <c r="P267" s="7">
        <v>10.967499999999999</v>
      </c>
      <c r="Q267" s="7">
        <f t="shared" si="42"/>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35">
      <c r="A268">
        <v>267</v>
      </c>
      <c r="B268">
        <v>18</v>
      </c>
      <c r="C268" s="22" t="s">
        <v>203</v>
      </c>
      <c r="D268" s="11">
        <v>8</v>
      </c>
      <c r="E268" s="12">
        <v>1.7</v>
      </c>
      <c r="F268" s="7">
        <f t="shared" si="43"/>
        <v>4.7058823529411766</v>
      </c>
      <c r="G268" s="8">
        <v>1</v>
      </c>
      <c r="H268" s="9">
        <v>0</v>
      </c>
      <c r="I268" s="9">
        <v>0</v>
      </c>
      <c r="J268" s="9">
        <v>0</v>
      </c>
      <c r="K268" s="9">
        <v>0</v>
      </c>
      <c r="L268" s="8">
        <v>3610</v>
      </c>
      <c r="M268" s="9">
        <v>4</v>
      </c>
      <c r="N268" s="9">
        <f t="shared" si="40"/>
        <v>3605</v>
      </c>
      <c r="O268" s="9">
        <f t="shared" si="41"/>
        <v>48</v>
      </c>
      <c r="P268" s="7">
        <v>10.967499999999999</v>
      </c>
      <c r="Q268" s="7">
        <f t="shared" si="42"/>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35">
      <c r="A269">
        <v>268</v>
      </c>
      <c r="B269">
        <v>18</v>
      </c>
      <c r="C269" s="22" t="s">
        <v>203</v>
      </c>
      <c r="D269" s="11">
        <v>8.1999999999999993</v>
      </c>
      <c r="E269" s="12">
        <v>1.7</v>
      </c>
      <c r="F269" s="7">
        <f t="shared" si="43"/>
        <v>4.8235294117647056</v>
      </c>
      <c r="G269" s="8">
        <v>1</v>
      </c>
      <c r="H269" s="9">
        <v>0</v>
      </c>
      <c r="I269" s="9">
        <v>0</v>
      </c>
      <c r="J269" s="9">
        <v>0</v>
      </c>
      <c r="K269" s="9">
        <v>0</v>
      </c>
      <c r="L269" s="8">
        <v>3598</v>
      </c>
      <c r="M269" s="9">
        <v>10</v>
      </c>
      <c r="N269" s="9">
        <f t="shared" si="40"/>
        <v>3587</v>
      </c>
      <c r="O269" s="9">
        <f t="shared" si="41"/>
        <v>48</v>
      </c>
      <c r="P269" s="7">
        <v>10.967499999999999</v>
      </c>
      <c r="Q269" s="7">
        <f t="shared" si="42"/>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35">
      <c r="A270">
        <v>269</v>
      </c>
      <c r="B270">
        <v>18</v>
      </c>
      <c r="C270" s="22" t="s">
        <v>203</v>
      </c>
      <c r="D270" s="11">
        <v>8</v>
      </c>
      <c r="E270" s="12">
        <v>1.7</v>
      </c>
      <c r="F270" s="7">
        <f t="shared" si="43"/>
        <v>4.7058823529411766</v>
      </c>
      <c r="G270" s="8">
        <v>1</v>
      </c>
      <c r="H270" s="9">
        <v>0</v>
      </c>
      <c r="I270" s="9">
        <v>0</v>
      </c>
      <c r="J270" s="9">
        <v>0</v>
      </c>
      <c r="K270" s="9">
        <v>0</v>
      </c>
      <c r="L270" s="8">
        <v>3598</v>
      </c>
      <c r="M270" s="9">
        <v>13</v>
      </c>
      <c r="N270" s="9">
        <f t="shared" si="40"/>
        <v>3584</v>
      </c>
      <c r="O270" s="9">
        <f t="shared" si="41"/>
        <v>48</v>
      </c>
      <c r="P270" s="7">
        <v>10.967499999999999</v>
      </c>
      <c r="Q270" s="7">
        <f t="shared" si="42"/>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35">
      <c r="A271">
        <v>270</v>
      </c>
      <c r="B271">
        <v>18</v>
      </c>
      <c r="C271" s="22" t="s">
        <v>203</v>
      </c>
      <c r="D271" s="11">
        <v>11.9</v>
      </c>
      <c r="E271" s="12">
        <v>0.7</v>
      </c>
      <c r="F271" s="7">
        <f t="shared" si="43"/>
        <v>17</v>
      </c>
      <c r="G271" s="8">
        <v>1</v>
      </c>
      <c r="H271" s="9">
        <v>0</v>
      </c>
      <c r="I271" s="9">
        <v>0</v>
      </c>
      <c r="J271" s="9">
        <v>0</v>
      </c>
      <c r="K271" s="9">
        <v>0</v>
      </c>
      <c r="L271" s="8">
        <v>3610</v>
      </c>
      <c r="M271" s="9">
        <v>5</v>
      </c>
      <c r="N271" s="9">
        <f t="shared" si="40"/>
        <v>3604</v>
      </c>
      <c r="O271" s="9">
        <f t="shared" si="41"/>
        <v>48</v>
      </c>
      <c r="P271" s="7">
        <v>17</v>
      </c>
      <c r="Q271" s="7">
        <f t="shared" si="42"/>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35">
      <c r="A272">
        <v>271</v>
      </c>
      <c r="B272">
        <v>18</v>
      </c>
      <c r="C272" s="22" t="s">
        <v>203</v>
      </c>
      <c r="D272" s="11">
        <v>5.3</v>
      </c>
      <c r="E272" s="12">
        <v>0.8</v>
      </c>
      <c r="F272" s="7">
        <f t="shared" si="43"/>
        <v>6.6249999999999991</v>
      </c>
      <c r="G272" s="8">
        <v>1</v>
      </c>
      <c r="H272" s="9">
        <v>0</v>
      </c>
      <c r="I272" s="9">
        <v>0</v>
      </c>
      <c r="J272" s="9">
        <v>0</v>
      </c>
      <c r="K272" s="9">
        <v>0</v>
      </c>
      <c r="L272" s="8">
        <v>3610</v>
      </c>
      <c r="M272" s="9">
        <v>5</v>
      </c>
      <c r="N272" s="9">
        <f t="shared" si="40"/>
        <v>3604</v>
      </c>
      <c r="O272" s="9">
        <f t="shared" si="41"/>
        <v>48</v>
      </c>
      <c r="P272" s="7">
        <v>7</v>
      </c>
      <c r="Q272" s="7">
        <f t="shared" si="42"/>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35">
      <c r="A273">
        <v>272</v>
      </c>
      <c r="B273">
        <v>18</v>
      </c>
      <c r="C273" s="22" t="s">
        <v>203</v>
      </c>
      <c r="D273" s="11">
        <v>9.9</v>
      </c>
      <c r="E273" s="12">
        <v>3.9</v>
      </c>
      <c r="F273" s="7">
        <f t="shared" si="43"/>
        <v>2.5384615384615388</v>
      </c>
      <c r="G273" s="8">
        <v>1</v>
      </c>
      <c r="H273" s="9">
        <v>0</v>
      </c>
      <c r="I273" s="9">
        <v>0</v>
      </c>
      <c r="J273" s="9">
        <v>0</v>
      </c>
      <c r="K273" s="9">
        <v>0</v>
      </c>
      <c r="L273" s="8">
        <v>3610</v>
      </c>
      <c r="M273" s="9">
        <v>5</v>
      </c>
      <c r="N273" s="9">
        <f t="shared" si="40"/>
        <v>3604</v>
      </c>
      <c r="O273" s="9">
        <f t="shared" si="41"/>
        <v>48</v>
      </c>
      <c r="P273" s="7">
        <v>17</v>
      </c>
      <c r="Q273" s="7">
        <f t="shared" si="42"/>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35">
      <c r="A274">
        <v>273</v>
      </c>
      <c r="B274">
        <v>18</v>
      </c>
      <c r="C274" s="22" t="s">
        <v>203</v>
      </c>
      <c r="D274" s="11">
        <v>7</v>
      </c>
      <c r="E274" s="12">
        <v>2.7</v>
      </c>
      <c r="F274" s="7">
        <f t="shared" si="43"/>
        <v>2.5925925925925926</v>
      </c>
      <c r="G274" s="8">
        <v>1</v>
      </c>
      <c r="H274" s="9">
        <v>0</v>
      </c>
      <c r="I274" s="9">
        <v>0</v>
      </c>
      <c r="J274" s="9">
        <v>0</v>
      </c>
      <c r="K274" s="9">
        <v>0</v>
      </c>
      <c r="L274" s="8">
        <v>3610</v>
      </c>
      <c r="M274" s="9">
        <v>5</v>
      </c>
      <c r="N274" s="9">
        <f t="shared" si="40"/>
        <v>3604</v>
      </c>
      <c r="O274" s="9">
        <f t="shared" si="41"/>
        <v>48</v>
      </c>
      <c r="P274" s="7">
        <v>7</v>
      </c>
      <c r="Q274" s="7">
        <f t="shared" si="42"/>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35">
      <c r="A275">
        <v>274</v>
      </c>
      <c r="B275">
        <v>18</v>
      </c>
      <c r="C275" s="22" t="s">
        <v>203</v>
      </c>
      <c r="D275" s="11">
        <v>9.6</v>
      </c>
      <c r="E275" s="12">
        <v>3.7</v>
      </c>
      <c r="F275" s="7">
        <f t="shared" si="43"/>
        <v>2.5945945945945943</v>
      </c>
      <c r="G275" s="8">
        <v>1</v>
      </c>
      <c r="H275" s="9">
        <v>0</v>
      </c>
      <c r="I275" s="9">
        <v>0</v>
      </c>
      <c r="J275" s="9">
        <v>0</v>
      </c>
      <c r="K275" s="9">
        <v>0</v>
      </c>
      <c r="L275" s="8">
        <v>3598</v>
      </c>
      <c r="M275" s="9">
        <v>11</v>
      </c>
      <c r="N275" s="9">
        <f t="shared" si="40"/>
        <v>3586</v>
      </c>
      <c r="O275" s="9">
        <f t="shared" si="41"/>
        <v>48</v>
      </c>
      <c r="P275" s="7">
        <v>17</v>
      </c>
      <c r="Q275" s="7">
        <f t="shared" si="42"/>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35">
      <c r="A276">
        <v>275</v>
      </c>
      <c r="B276">
        <v>18</v>
      </c>
      <c r="C276" s="22" t="s">
        <v>203</v>
      </c>
      <c r="D276" s="11">
        <v>7.4</v>
      </c>
      <c r="E276" s="12">
        <v>2.7</v>
      </c>
      <c r="F276" s="7">
        <f t="shared" si="43"/>
        <v>2.7407407407407405</v>
      </c>
      <c r="G276" s="8">
        <v>1</v>
      </c>
      <c r="H276" s="9">
        <v>0</v>
      </c>
      <c r="I276" s="9">
        <v>0</v>
      </c>
      <c r="J276" s="9">
        <v>0</v>
      </c>
      <c r="K276" s="9">
        <v>0</v>
      </c>
      <c r="L276" s="8">
        <v>3598</v>
      </c>
      <c r="M276" s="9">
        <v>11</v>
      </c>
      <c r="N276" s="9">
        <f t="shared" si="40"/>
        <v>3586</v>
      </c>
      <c r="O276" s="9">
        <f t="shared" si="41"/>
        <v>48</v>
      </c>
      <c r="P276" s="7">
        <v>7</v>
      </c>
      <c r="Q276" s="7">
        <f t="shared" si="42"/>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35">
      <c r="A277">
        <v>276</v>
      </c>
      <c r="B277">
        <v>18</v>
      </c>
      <c r="C277" s="22" t="s">
        <v>203</v>
      </c>
      <c r="D277" s="11">
        <v>9.8000000000000007</v>
      </c>
      <c r="E277" s="12">
        <v>4</v>
      </c>
      <c r="F277" s="7">
        <f t="shared" si="43"/>
        <v>2.4500000000000002</v>
      </c>
      <c r="G277" s="8">
        <v>1</v>
      </c>
      <c r="H277" s="9">
        <v>0</v>
      </c>
      <c r="I277" s="9">
        <v>0</v>
      </c>
      <c r="J277" s="9">
        <v>0</v>
      </c>
      <c r="K277" s="9">
        <v>0</v>
      </c>
      <c r="L277" s="8">
        <v>3598</v>
      </c>
      <c r="M277" s="9">
        <v>14</v>
      </c>
      <c r="N277" s="9">
        <f t="shared" si="40"/>
        <v>3583</v>
      </c>
      <c r="O277" s="9">
        <f t="shared" si="41"/>
        <v>48</v>
      </c>
      <c r="P277" s="7">
        <v>17</v>
      </c>
      <c r="Q277" s="7">
        <f t="shared" si="42"/>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35">
      <c r="A278" s="47">
        <v>277</v>
      </c>
      <c r="B278" s="47">
        <v>18</v>
      </c>
      <c r="C278" s="48" t="s">
        <v>203</v>
      </c>
      <c r="D278" s="49">
        <v>7</v>
      </c>
      <c r="E278" s="50">
        <v>2.7</v>
      </c>
      <c r="F278" s="51">
        <f t="shared" si="43"/>
        <v>2.5925925925925926</v>
      </c>
      <c r="G278" s="53">
        <v>1</v>
      </c>
      <c r="H278" s="54">
        <v>0</v>
      </c>
      <c r="I278" s="54">
        <v>0</v>
      </c>
      <c r="J278" s="54">
        <v>0</v>
      </c>
      <c r="K278" s="54">
        <v>0</v>
      </c>
      <c r="L278" s="53">
        <v>3598</v>
      </c>
      <c r="M278" s="54">
        <v>14</v>
      </c>
      <c r="N278" s="54">
        <f t="shared" si="40"/>
        <v>3583</v>
      </c>
      <c r="O278" s="54">
        <f t="shared" si="41"/>
        <v>48</v>
      </c>
      <c r="P278" s="51">
        <v>7</v>
      </c>
      <c r="Q278" s="51">
        <f t="shared" si="42"/>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3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40"/>
        <v>4850</v>
      </c>
      <c r="O279" s="9">
        <f t="shared" si="41"/>
        <v>16</v>
      </c>
      <c r="P279" s="7">
        <v>6</v>
      </c>
      <c r="Q279" s="7">
        <f t="shared" si="42"/>
        <v>37.57</v>
      </c>
      <c r="R279" s="9">
        <v>0</v>
      </c>
      <c r="S279" s="9">
        <v>1</v>
      </c>
      <c r="T279" s="9">
        <v>0</v>
      </c>
      <c r="U279" s="9">
        <v>0</v>
      </c>
      <c r="V279" s="9">
        <v>1</v>
      </c>
      <c r="W279" s="27">
        <v>0</v>
      </c>
      <c r="X279" s="9">
        <v>0</v>
      </c>
      <c r="Y279" s="9">
        <v>1</v>
      </c>
      <c r="Z279" s="27">
        <v>0</v>
      </c>
      <c r="AA279" s="9">
        <v>1</v>
      </c>
      <c r="AB279" s="27">
        <v>0</v>
      </c>
      <c r="AC279" s="18">
        <v>2011</v>
      </c>
      <c r="AD279" s="29">
        <f t="shared" ref="AD279:AD294" si="44">1-(AE279+AF279+AG279)</f>
        <v>0.3972</v>
      </c>
      <c r="AE279" s="29">
        <v>0.26300000000000001</v>
      </c>
      <c r="AF279" s="29">
        <v>0.2162</v>
      </c>
      <c r="AG279" s="39">
        <v>0.1236</v>
      </c>
      <c r="AH279" s="38">
        <v>1</v>
      </c>
      <c r="AI279" s="15">
        <v>0</v>
      </c>
      <c r="AJ279">
        <v>0.18748699999999999</v>
      </c>
      <c r="AK279" s="36">
        <f t="shared" ref="AK279:AK294" si="45">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3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40"/>
        <v>4850</v>
      </c>
      <c r="O280" s="9">
        <f t="shared" si="41"/>
        <v>16</v>
      </c>
      <c r="P280" s="7">
        <v>12</v>
      </c>
      <c r="Q280" s="7">
        <f t="shared" si="42"/>
        <v>31.57</v>
      </c>
      <c r="R280" s="9">
        <v>0</v>
      </c>
      <c r="S280" s="9">
        <v>1</v>
      </c>
      <c r="T280" s="9">
        <v>0</v>
      </c>
      <c r="U280" s="9">
        <v>0</v>
      </c>
      <c r="V280" s="9">
        <v>1</v>
      </c>
      <c r="W280" s="27">
        <v>0</v>
      </c>
      <c r="X280" s="9">
        <v>0</v>
      </c>
      <c r="Y280" s="9">
        <v>1</v>
      </c>
      <c r="Z280" s="27">
        <v>0</v>
      </c>
      <c r="AA280" s="9">
        <v>1</v>
      </c>
      <c r="AB280" s="27">
        <v>0</v>
      </c>
      <c r="AC280" s="18">
        <v>2011</v>
      </c>
      <c r="AD280" s="29">
        <f t="shared" si="44"/>
        <v>0.3972</v>
      </c>
      <c r="AE280" s="29">
        <v>0.26300000000000001</v>
      </c>
      <c r="AF280" s="29">
        <v>0.2162</v>
      </c>
      <c r="AG280" s="39">
        <v>0.1236</v>
      </c>
      <c r="AH280" s="38">
        <v>1</v>
      </c>
      <c r="AI280" s="15">
        <v>0</v>
      </c>
      <c r="AJ280">
        <v>0.18748699999999999</v>
      </c>
      <c r="AK280" s="36">
        <f t="shared" si="45"/>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3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40"/>
        <v>4850</v>
      </c>
      <c r="O281" s="9">
        <f t="shared" si="41"/>
        <v>16</v>
      </c>
      <c r="P281" s="7">
        <v>16</v>
      </c>
      <c r="Q281" s="7">
        <f t="shared" si="42"/>
        <v>27.57</v>
      </c>
      <c r="R281" s="9">
        <v>0</v>
      </c>
      <c r="S281" s="9">
        <v>1</v>
      </c>
      <c r="T281" s="9">
        <v>0</v>
      </c>
      <c r="U281" s="9">
        <v>0</v>
      </c>
      <c r="V281" s="9">
        <v>1</v>
      </c>
      <c r="W281" s="27">
        <v>0</v>
      </c>
      <c r="X281" s="9">
        <v>0</v>
      </c>
      <c r="Y281" s="9">
        <v>1</v>
      </c>
      <c r="Z281" s="27">
        <v>0</v>
      </c>
      <c r="AA281" s="9">
        <v>1</v>
      </c>
      <c r="AB281" s="27">
        <v>0</v>
      </c>
      <c r="AC281" s="18">
        <v>2011</v>
      </c>
      <c r="AD281" s="29">
        <f t="shared" si="44"/>
        <v>0.3972</v>
      </c>
      <c r="AE281" s="29">
        <v>0.26300000000000001</v>
      </c>
      <c r="AF281" s="29">
        <v>0.2162</v>
      </c>
      <c r="AG281" s="39">
        <v>0.1236</v>
      </c>
      <c r="AH281" s="38">
        <v>1</v>
      </c>
      <c r="AI281" s="15">
        <v>0</v>
      </c>
      <c r="AJ281">
        <v>0.18748699999999999</v>
      </c>
      <c r="AK281" s="36">
        <f t="shared" si="45"/>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3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40"/>
        <v>4850</v>
      </c>
      <c r="O282" s="9">
        <f t="shared" si="41"/>
        <v>16</v>
      </c>
      <c r="P282" s="7">
        <v>21</v>
      </c>
      <c r="Q282" s="7">
        <f t="shared" si="42"/>
        <v>22.57</v>
      </c>
      <c r="R282" s="9">
        <v>0</v>
      </c>
      <c r="S282" s="9">
        <v>1</v>
      </c>
      <c r="T282" s="9">
        <v>0</v>
      </c>
      <c r="U282" s="9">
        <v>0</v>
      </c>
      <c r="V282" s="9">
        <v>1</v>
      </c>
      <c r="W282" s="27">
        <v>0</v>
      </c>
      <c r="X282" s="9">
        <v>0</v>
      </c>
      <c r="Y282" s="9">
        <v>1</v>
      </c>
      <c r="Z282" s="27">
        <v>0</v>
      </c>
      <c r="AA282" s="9">
        <v>1</v>
      </c>
      <c r="AB282" s="27">
        <v>0</v>
      </c>
      <c r="AC282" s="18">
        <v>2011</v>
      </c>
      <c r="AD282" s="29">
        <f t="shared" si="44"/>
        <v>0.3972</v>
      </c>
      <c r="AE282" s="29">
        <v>0.26300000000000001</v>
      </c>
      <c r="AF282" s="29">
        <v>0.2162</v>
      </c>
      <c r="AG282" s="39">
        <v>0.1236</v>
      </c>
      <c r="AH282" s="38">
        <v>1</v>
      </c>
      <c r="AI282" s="15">
        <v>0</v>
      </c>
      <c r="AJ282">
        <v>0.18748699999999999</v>
      </c>
      <c r="AK282" s="36">
        <f t="shared" si="45"/>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3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40"/>
        <v>4850</v>
      </c>
      <c r="O283" s="9">
        <f t="shared" si="41"/>
        <v>16</v>
      </c>
      <c r="P283" s="7">
        <v>6</v>
      </c>
      <c r="Q283" s="7">
        <f t="shared" si="42"/>
        <v>37.57</v>
      </c>
      <c r="R283" s="9">
        <v>0</v>
      </c>
      <c r="S283" s="9">
        <v>1</v>
      </c>
      <c r="T283" s="9">
        <v>0</v>
      </c>
      <c r="U283" s="9">
        <v>0</v>
      </c>
      <c r="V283" s="9">
        <v>1</v>
      </c>
      <c r="W283" s="27">
        <v>0</v>
      </c>
      <c r="X283" s="9">
        <v>0</v>
      </c>
      <c r="Y283" s="9">
        <v>1</v>
      </c>
      <c r="Z283" s="27">
        <v>0</v>
      </c>
      <c r="AA283" s="9">
        <v>1</v>
      </c>
      <c r="AB283" s="27">
        <v>0</v>
      </c>
      <c r="AC283" s="18">
        <v>2011</v>
      </c>
      <c r="AD283" s="29">
        <f t="shared" si="44"/>
        <v>0.3972</v>
      </c>
      <c r="AE283" s="29">
        <v>0.26300000000000001</v>
      </c>
      <c r="AF283" s="29">
        <v>0.2162</v>
      </c>
      <c r="AG283" s="39">
        <v>0.1236</v>
      </c>
      <c r="AH283" s="38">
        <v>1</v>
      </c>
      <c r="AI283" s="15">
        <v>0</v>
      </c>
      <c r="AJ283">
        <v>0.18748699999999999</v>
      </c>
      <c r="AK283" s="36">
        <f t="shared" si="45"/>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3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40"/>
        <v>4850</v>
      </c>
      <c r="O284" s="9">
        <f t="shared" si="41"/>
        <v>16</v>
      </c>
      <c r="P284" s="7">
        <v>12</v>
      </c>
      <c r="Q284" s="7">
        <f t="shared" si="42"/>
        <v>31.57</v>
      </c>
      <c r="R284" s="9">
        <v>0</v>
      </c>
      <c r="S284" s="9">
        <v>1</v>
      </c>
      <c r="T284" s="9">
        <v>0</v>
      </c>
      <c r="U284" s="9">
        <v>0</v>
      </c>
      <c r="V284" s="9">
        <v>1</v>
      </c>
      <c r="W284" s="27">
        <v>0</v>
      </c>
      <c r="X284" s="9">
        <v>0</v>
      </c>
      <c r="Y284" s="9">
        <v>1</v>
      </c>
      <c r="Z284" s="27">
        <v>0</v>
      </c>
      <c r="AA284" s="9">
        <v>1</v>
      </c>
      <c r="AB284" s="27">
        <v>0</v>
      </c>
      <c r="AC284" s="18">
        <v>2011</v>
      </c>
      <c r="AD284" s="29">
        <f t="shared" si="44"/>
        <v>0.3972</v>
      </c>
      <c r="AE284" s="29">
        <v>0.26300000000000001</v>
      </c>
      <c r="AF284" s="29">
        <v>0.2162</v>
      </c>
      <c r="AG284" s="39">
        <v>0.1236</v>
      </c>
      <c r="AH284" s="38">
        <v>1</v>
      </c>
      <c r="AI284" s="15">
        <v>0</v>
      </c>
      <c r="AJ284">
        <v>0.18748699999999999</v>
      </c>
      <c r="AK284" s="36">
        <f t="shared" si="45"/>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3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40"/>
        <v>4850</v>
      </c>
      <c r="O285" s="9">
        <f t="shared" si="41"/>
        <v>16</v>
      </c>
      <c r="P285" s="7">
        <v>16</v>
      </c>
      <c r="Q285" s="7">
        <f t="shared" si="42"/>
        <v>27.57</v>
      </c>
      <c r="R285" s="9">
        <v>0</v>
      </c>
      <c r="S285" s="9">
        <v>1</v>
      </c>
      <c r="T285" s="9">
        <v>0</v>
      </c>
      <c r="U285" s="9">
        <v>0</v>
      </c>
      <c r="V285" s="9">
        <v>1</v>
      </c>
      <c r="W285" s="27">
        <v>0</v>
      </c>
      <c r="X285" s="9">
        <v>0</v>
      </c>
      <c r="Y285" s="9">
        <v>1</v>
      </c>
      <c r="Z285" s="27">
        <v>0</v>
      </c>
      <c r="AA285" s="9">
        <v>1</v>
      </c>
      <c r="AB285" s="27">
        <v>0</v>
      </c>
      <c r="AC285" s="18">
        <v>2011</v>
      </c>
      <c r="AD285" s="29">
        <f t="shared" si="44"/>
        <v>0.3972</v>
      </c>
      <c r="AE285" s="29">
        <v>0.26300000000000001</v>
      </c>
      <c r="AF285" s="29">
        <v>0.2162</v>
      </c>
      <c r="AG285" s="39">
        <v>0.1236</v>
      </c>
      <c r="AH285" s="38">
        <v>1</v>
      </c>
      <c r="AI285" s="15">
        <v>0</v>
      </c>
      <c r="AJ285">
        <v>0.18748699999999999</v>
      </c>
      <c r="AK285" s="36">
        <f t="shared" si="45"/>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3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40"/>
        <v>4850</v>
      </c>
      <c r="O286" s="9">
        <f t="shared" si="41"/>
        <v>16</v>
      </c>
      <c r="P286" s="7">
        <v>21</v>
      </c>
      <c r="Q286" s="7">
        <f t="shared" si="42"/>
        <v>22.57</v>
      </c>
      <c r="R286" s="9">
        <v>0</v>
      </c>
      <c r="S286" s="9">
        <v>1</v>
      </c>
      <c r="T286" s="9">
        <v>0</v>
      </c>
      <c r="U286" s="9">
        <v>0</v>
      </c>
      <c r="V286" s="9">
        <v>1</v>
      </c>
      <c r="W286" s="27">
        <v>0</v>
      </c>
      <c r="X286" s="9">
        <v>0</v>
      </c>
      <c r="Y286" s="9">
        <v>1</v>
      </c>
      <c r="Z286" s="27">
        <v>0</v>
      </c>
      <c r="AA286" s="9">
        <v>1</v>
      </c>
      <c r="AB286" s="27">
        <v>0</v>
      </c>
      <c r="AC286" s="18">
        <v>2011</v>
      </c>
      <c r="AD286" s="29">
        <f t="shared" si="44"/>
        <v>0.3972</v>
      </c>
      <c r="AE286" s="29">
        <v>0.26300000000000001</v>
      </c>
      <c r="AF286" s="29">
        <v>0.2162</v>
      </c>
      <c r="AG286" s="39">
        <v>0.1236</v>
      </c>
      <c r="AH286" s="38">
        <v>1</v>
      </c>
      <c r="AI286" s="15">
        <v>0</v>
      </c>
      <c r="AJ286">
        <v>0.18748699999999999</v>
      </c>
      <c r="AK286" s="36">
        <f t="shared" si="45"/>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3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40"/>
        <v>4789</v>
      </c>
      <c r="O287" s="9">
        <f t="shared" si="41"/>
        <v>16</v>
      </c>
      <c r="P287" s="7">
        <v>6</v>
      </c>
      <c r="Q287" s="7">
        <f t="shared" si="42"/>
        <v>37.57</v>
      </c>
      <c r="R287" s="9">
        <v>0</v>
      </c>
      <c r="S287" s="9">
        <v>1</v>
      </c>
      <c r="T287" s="9">
        <v>0</v>
      </c>
      <c r="U287" s="9">
        <v>0</v>
      </c>
      <c r="V287" s="9">
        <v>1</v>
      </c>
      <c r="W287" s="27">
        <v>0</v>
      </c>
      <c r="X287" s="9">
        <v>0</v>
      </c>
      <c r="Y287" s="9">
        <v>1</v>
      </c>
      <c r="Z287" s="27">
        <v>0</v>
      </c>
      <c r="AA287" s="9">
        <v>1</v>
      </c>
      <c r="AB287" s="27">
        <v>0</v>
      </c>
      <c r="AC287" s="18">
        <v>2011</v>
      </c>
      <c r="AD287" s="29">
        <f t="shared" si="44"/>
        <v>0.3972</v>
      </c>
      <c r="AE287" s="29">
        <v>0.26300000000000001</v>
      </c>
      <c r="AF287" s="29">
        <v>0.2162</v>
      </c>
      <c r="AG287" s="39">
        <v>0.1236</v>
      </c>
      <c r="AH287" s="38">
        <v>1</v>
      </c>
      <c r="AI287" s="15">
        <v>0</v>
      </c>
      <c r="AJ287">
        <v>0.18748699999999999</v>
      </c>
      <c r="AK287" s="36">
        <f t="shared" si="45"/>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3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40"/>
        <v>4789</v>
      </c>
      <c r="O288" s="9">
        <f t="shared" si="41"/>
        <v>16</v>
      </c>
      <c r="P288" s="7">
        <v>12</v>
      </c>
      <c r="Q288" s="7">
        <f t="shared" si="42"/>
        <v>31.57</v>
      </c>
      <c r="R288" s="9">
        <v>0</v>
      </c>
      <c r="S288" s="9">
        <v>1</v>
      </c>
      <c r="T288" s="9">
        <v>0</v>
      </c>
      <c r="U288" s="9">
        <v>0</v>
      </c>
      <c r="V288" s="9">
        <v>1</v>
      </c>
      <c r="W288" s="27">
        <v>0</v>
      </c>
      <c r="X288" s="9">
        <v>0</v>
      </c>
      <c r="Y288" s="9">
        <v>1</v>
      </c>
      <c r="Z288" s="27">
        <v>0</v>
      </c>
      <c r="AA288" s="9">
        <v>1</v>
      </c>
      <c r="AB288" s="27">
        <v>0</v>
      </c>
      <c r="AC288" s="18">
        <v>2011</v>
      </c>
      <c r="AD288" s="29">
        <f t="shared" si="44"/>
        <v>0.3972</v>
      </c>
      <c r="AE288" s="29">
        <v>0.26300000000000001</v>
      </c>
      <c r="AF288" s="29">
        <v>0.2162</v>
      </c>
      <c r="AG288" s="39">
        <v>0.1236</v>
      </c>
      <c r="AH288" s="38">
        <v>1</v>
      </c>
      <c r="AI288" s="15">
        <v>0</v>
      </c>
      <c r="AJ288">
        <v>0.18748699999999999</v>
      </c>
      <c r="AK288" s="36">
        <f t="shared" si="45"/>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3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40"/>
        <v>4789</v>
      </c>
      <c r="O289" s="9">
        <f t="shared" si="41"/>
        <v>16</v>
      </c>
      <c r="P289" s="7">
        <v>16</v>
      </c>
      <c r="Q289" s="7">
        <f t="shared" si="42"/>
        <v>27.57</v>
      </c>
      <c r="R289" s="9">
        <v>0</v>
      </c>
      <c r="S289" s="9">
        <v>1</v>
      </c>
      <c r="T289" s="9">
        <v>0</v>
      </c>
      <c r="U289" s="9">
        <v>0</v>
      </c>
      <c r="V289" s="9">
        <v>1</v>
      </c>
      <c r="W289" s="27">
        <v>0</v>
      </c>
      <c r="X289" s="9">
        <v>0</v>
      </c>
      <c r="Y289" s="9">
        <v>1</v>
      </c>
      <c r="Z289" s="27">
        <v>0</v>
      </c>
      <c r="AA289" s="9">
        <v>1</v>
      </c>
      <c r="AB289" s="27">
        <v>0</v>
      </c>
      <c r="AC289" s="18">
        <v>2011</v>
      </c>
      <c r="AD289" s="29">
        <f t="shared" si="44"/>
        <v>0.3972</v>
      </c>
      <c r="AE289" s="29">
        <v>0.26300000000000001</v>
      </c>
      <c r="AF289" s="29">
        <v>0.2162</v>
      </c>
      <c r="AG289" s="39">
        <v>0.1236</v>
      </c>
      <c r="AH289" s="38">
        <v>1</v>
      </c>
      <c r="AI289" s="15">
        <v>0</v>
      </c>
      <c r="AJ289">
        <v>0.18748699999999999</v>
      </c>
      <c r="AK289" s="36">
        <f t="shared" si="45"/>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3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40"/>
        <v>4789</v>
      </c>
      <c r="O290" s="9">
        <f t="shared" si="41"/>
        <v>16</v>
      </c>
      <c r="P290" s="7">
        <v>21</v>
      </c>
      <c r="Q290" s="7">
        <f t="shared" si="42"/>
        <v>22.57</v>
      </c>
      <c r="R290" s="9">
        <v>0</v>
      </c>
      <c r="S290" s="9">
        <v>1</v>
      </c>
      <c r="T290" s="9">
        <v>0</v>
      </c>
      <c r="U290" s="9">
        <v>0</v>
      </c>
      <c r="V290" s="9">
        <v>1</v>
      </c>
      <c r="W290" s="27">
        <v>0</v>
      </c>
      <c r="X290" s="9">
        <v>0</v>
      </c>
      <c r="Y290" s="9">
        <v>1</v>
      </c>
      <c r="Z290" s="27">
        <v>0</v>
      </c>
      <c r="AA290" s="9">
        <v>1</v>
      </c>
      <c r="AB290" s="27">
        <v>0</v>
      </c>
      <c r="AC290" s="18">
        <v>2011</v>
      </c>
      <c r="AD290" s="29">
        <f t="shared" si="44"/>
        <v>0.3972</v>
      </c>
      <c r="AE290" s="29">
        <v>0.26300000000000001</v>
      </c>
      <c r="AF290" s="29">
        <v>0.2162</v>
      </c>
      <c r="AG290" s="39">
        <v>0.1236</v>
      </c>
      <c r="AH290" s="38">
        <v>1</v>
      </c>
      <c r="AI290" s="15">
        <v>0</v>
      </c>
      <c r="AJ290">
        <v>0.18748699999999999</v>
      </c>
      <c r="AK290" s="36">
        <f t="shared" si="45"/>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3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40"/>
        <v>4789</v>
      </c>
      <c r="O291" s="9">
        <f t="shared" si="41"/>
        <v>16</v>
      </c>
      <c r="P291" s="7">
        <v>6</v>
      </c>
      <c r="Q291" s="7">
        <f t="shared" si="42"/>
        <v>37.57</v>
      </c>
      <c r="R291" s="9">
        <v>0</v>
      </c>
      <c r="S291" s="9">
        <v>1</v>
      </c>
      <c r="T291" s="9">
        <v>0</v>
      </c>
      <c r="U291" s="9">
        <v>0</v>
      </c>
      <c r="V291" s="9">
        <v>1</v>
      </c>
      <c r="W291" s="27">
        <v>0</v>
      </c>
      <c r="X291" s="9">
        <v>0</v>
      </c>
      <c r="Y291" s="9">
        <v>1</v>
      </c>
      <c r="Z291" s="27">
        <v>0</v>
      </c>
      <c r="AA291" s="9">
        <v>1</v>
      </c>
      <c r="AB291" s="27">
        <v>0</v>
      </c>
      <c r="AC291" s="18">
        <v>2011</v>
      </c>
      <c r="AD291" s="29">
        <f t="shared" si="44"/>
        <v>0.3972</v>
      </c>
      <c r="AE291" s="29">
        <v>0.26300000000000001</v>
      </c>
      <c r="AF291" s="29">
        <v>0.2162</v>
      </c>
      <c r="AG291" s="39">
        <v>0.1236</v>
      </c>
      <c r="AH291" s="38">
        <v>1</v>
      </c>
      <c r="AI291" s="15">
        <v>0</v>
      </c>
      <c r="AJ291">
        <v>0.18748699999999999</v>
      </c>
      <c r="AK291" s="36">
        <f t="shared" si="45"/>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3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40"/>
        <v>4789</v>
      </c>
      <c r="O292" s="9">
        <f t="shared" si="41"/>
        <v>16</v>
      </c>
      <c r="P292" s="7">
        <v>12</v>
      </c>
      <c r="Q292" s="7">
        <f t="shared" si="42"/>
        <v>31.57</v>
      </c>
      <c r="R292" s="9">
        <v>0</v>
      </c>
      <c r="S292" s="9">
        <v>1</v>
      </c>
      <c r="T292" s="9">
        <v>0</v>
      </c>
      <c r="U292" s="9">
        <v>0</v>
      </c>
      <c r="V292" s="9">
        <v>1</v>
      </c>
      <c r="W292" s="27">
        <v>0</v>
      </c>
      <c r="X292" s="9">
        <v>0</v>
      </c>
      <c r="Y292" s="9">
        <v>1</v>
      </c>
      <c r="Z292" s="27">
        <v>0</v>
      </c>
      <c r="AA292" s="9">
        <v>1</v>
      </c>
      <c r="AB292" s="27">
        <v>0</v>
      </c>
      <c r="AC292" s="18">
        <v>2011</v>
      </c>
      <c r="AD292" s="29">
        <f t="shared" si="44"/>
        <v>0.3972</v>
      </c>
      <c r="AE292" s="29">
        <v>0.26300000000000001</v>
      </c>
      <c r="AF292" s="29">
        <v>0.2162</v>
      </c>
      <c r="AG292" s="39">
        <v>0.1236</v>
      </c>
      <c r="AH292" s="38">
        <v>1</v>
      </c>
      <c r="AI292" s="15">
        <v>0</v>
      </c>
      <c r="AJ292">
        <v>0.18748699999999999</v>
      </c>
      <c r="AK292" s="36">
        <f t="shared" si="45"/>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3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40"/>
        <v>4789</v>
      </c>
      <c r="O293" s="9">
        <f t="shared" si="41"/>
        <v>16</v>
      </c>
      <c r="P293" s="7">
        <v>16</v>
      </c>
      <c r="Q293" s="7">
        <f t="shared" si="42"/>
        <v>27.57</v>
      </c>
      <c r="R293" s="9">
        <v>0</v>
      </c>
      <c r="S293" s="9">
        <v>1</v>
      </c>
      <c r="T293" s="9">
        <v>0</v>
      </c>
      <c r="U293" s="9">
        <v>0</v>
      </c>
      <c r="V293" s="9">
        <v>1</v>
      </c>
      <c r="W293" s="27">
        <v>0</v>
      </c>
      <c r="X293" s="9">
        <v>0</v>
      </c>
      <c r="Y293" s="9">
        <v>1</v>
      </c>
      <c r="Z293" s="27">
        <v>0</v>
      </c>
      <c r="AA293" s="9">
        <v>1</v>
      </c>
      <c r="AB293" s="27">
        <v>0</v>
      </c>
      <c r="AC293" s="18">
        <v>2011</v>
      </c>
      <c r="AD293" s="29">
        <f t="shared" si="44"/>
        <v>0.3972</v>
      </c>
      <c r="AE293" s="29">
        <v>0.26300000000000001</v>
      </c>
      <c r="AF293" s="29">
        <v>0.2162</v>
      </c>
      <c r="AG293" s="39">
        <v>0.1236</v>
      </c>
      <c r="AH293" s="38">
        <v>1</v>
      </c>
      <c r="AI293" s="15">
        <v>0</v>
      </c>
      <c r="AJ293">
        <v>0.18748699999999999</v>
      </c>
      <c r="AK293" s="36">
        <f t="shared" si="45"/>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3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40"/>
        <v>4789</v>
      </c>
      <c r="O294" s="54">
        <f t="shared" si="41"/>
        <v>16</v>
      </c>
      <c r="P294" s="51">
        <v>21</v>
      </c>
      <c r="Q294" s="51">
        <f t="shared" si="42"/>
        <v>22.57</v>
      </c>
      <c r="R294" s="54">
        <v>0</v>
      </c>
      <c r="S294" s="54">
        <v>1</v>
      </c>
      <c r="T294" s="54">
        <v>0</v>
      </c>
      <c r="U294" s="54">
        <v>0</v>
      </c>
      <c r="V294" s="54">
        <v>1</v>
      </c>
      <c r="W294" s="55">
        <v>0</v>
      </c>
      <c r="X294" s="54">
        <v>0</v>
      </c>
      <c r="Y294" s="54">
        <v>1</v>
      </c>
      <c r="Z294" s="55">
        <v>0</v>
      </c>
      <c r="AA294" s="54">
        <v>1</v>
      </c>
      <c r="AB294" s="55">
        <v>0</v>
      </c>
      <c r="AC294" s="56">
        <v>2011</v>
      </c>
      <c r="AD294" s="52">
        <f t="shared" si="44"/>
        <v>0.3972</v>
      </c>
      <c r="AE294" s="52">
        <v>0.26300000000000001</v>
      </c>
      <c r="AF294" s="52">
        <v>0.2162</v>
      </c>
      <c r="AG294" s="57">
        <v>0.1236</v>
      </c>
      <c r="AH294" s="58">
        <v>1</v>
      </c>
      <c r="AI294" s="59">
        <v>0</v>
      </c>
      <c r="AJ294" s="47">
        <v>0.18748699999999999</v>
      </c>
      <c r="AK294" s="60">
        <f t="shared" si="45"/>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35">
      <c r="A295">
        <v>294</v>
      </c>
      <c r="B295">
        <v>20</v>
      </c>
      <c r="C295" s="22" t="s">
        <v>220</v>
      </c>
      <c r="D295" s="11">
        <v>7.3</v>
      </c>
      <c r="E295" s="12">
        <v>0.03</v>
      </c>
      <c r="F295" s="7">
        <f t="shared" ref="F295:F322" si="46">D295/E295</f>
        <v>243.33333333333334</v>
      </c>
      <c r="G295" s="8">
        <v>0</v>
      </c>
      <c r="H295" s="9">
        <v>0</v>
      </c>
      <c r="I295" s="9">
        <v>0</v>
      </c>
      <c r="J295" s="9">
        <v>1</v>
      </c>
      <c r="K295" s="9">
        <v>0</v>
      </c>
      <c r="L295" s="8">
        <v>609852</v>
      </c>
      <c r="M295" s="9">
        <v>3</v>
      </c>
      <c r="N295" s="9">
        <f t="shared" si="40"/>
        <v>609848</v>
      </c>
      <c r="O295" s="9">
        <f t="shared" si="41"/>
        <v>16</v>
      </c>
      <c r="P295" s="7">
        <v>11.59</v>
      </c>
      <c r="Q295" s="7">
        <f t="shared" ref="Q295:Q322" si="47">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35">
      <c r="A296">
        <v>295</v>
      </c>
      <c r="B296">
        <v>20</v>
      </c>
      <c r="C296" s="22" t="s">
        <v>220</v>
      </c>
      <c r="D296" s="11">
        <v>6.8</v>
      </c>
      <c r="E296" s="12">
        <v>0.03</v>
      </c>
      <c r="F296" s="7">
        <f t="shared" si="46"/>
        <v>226.66666666666666</v>
      </c>
      <c r="G296" s="8">
        <v>0</v>
      </c>
      <c r="H296" s="9">
        <v>0</v>
      </c>
      <c r="I296" s="9">
        <v>0</v>
      </c>
      <c r="J296" s="9">
        <v>1</v>
      </c>
      <c r="K296" s="9">
        <v>0</v>
      </c>
      <c r="L296" s="8">
        <v>626511</v>
      </c>
      <c r="M296" s="9">
        <v>3</v>
      </c>
      <c r="N296" s="9">
        <f t="shared" si="40"/>
        <v>626507</v>
      </c>
      <c r="O296" s="9">
        <f t="shared" si="41"/>
        <v>16</v>
      </c>
      <c r="P296" s="7">
        <v>10.52</v>
      </c>
      <c r="Q296" s="7">
        <f t="shared" si="47"/>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35">
      <c r="A297">
        <v>296</v>
      </c>
      <c r="B297">
        <v>20</v>
      </c>
      <c r="C297" s="22" t="s">
        <v>220</v>
      </c>
      <c r="D297" s="11">
        <v>7.5</v>
      </c>
      <c r="E297" s="12">
        <v>0.03</v>
      </c>
      <c r="F297" s="7">
        <f t="shared" si="46"/>
        <v>250</v>
      </c>
      <c r="G297" s="8">
        <v>0</v>
      </c>
      <c r="H297" s="9">
        <v>0</v>
      </c>
      <c r="I297" s="9">
        <v>0</v>
      </c>
      <c r="J297" s="9">
        <v>1</v>
      </c>
      <c r="K297" s="9">
        <v>0</v>
      </c>
      <c r="L297" s="8">
        <v>729695</v>
      </c>
      <c r="M297" s="9">
        <v>3</v>
      </c>
      <c r="N297" s="9">
        <f t="shared" si="40"/>
        <v>729691</v>
      </c>
      <c r="O297" s="9">
        <f t="shared" si="41"/>
        <v>16</v>
      </c>
      <c r="P297" s="7">
        <v>11.59</v>
      </c>
      <c r="Q297" s="7">
        <f t="shared" si="47"/>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35">
      <c r="A298">
        <v>297</v>
      </c>
      <c r="B298">
        <v>20</v>
      </c>
      <c r="C298" s="22" t="s">
        <v>220</v>
      </c>
      <c r="D298" s="11">
        <v>5.5</v>
      </c>
      <c r="E298" s="12">
        <v>0.2</v>
      </c>
      <c r="F298" s="7">
        <f t="shared" si="46"/>
        <v>27.5</v>
      </c>
      <c r="G298" s="8">
        <v>0</v>
      </c>
      <c r="H298" s="9">
        <v>0</v>
      </c>
      <c r="I298" s="9">
        <v>0</v>
      </c>
      <c r="J298" s="9">
        <v>1</v>
      </c>
      <c r="K298" s="9">
        <v>0</v>
      </c>
      <c r="L298" s="8">
        <v>16659</v>
      </c>
      <c r="M298" s="9">
        <v>3</v>
      </c>
      <c r="N298" s="9">
        <f t="shared" si="40"/>
        <v>16655</v>
      </c>
      <c r="O298" s="9">
        <f t="shared" si="41"/>
        <v>16</v>
      </c>
      <c r="P298" s="7">
        <v>6.97</v>
      </c>
      <c r="Q298" s="7">
        <f t="shared" si="47"/>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35">
      <c r="A299">
        <v>298</v>
      </c>
      <c r="B299">
        <v>20</v>
      </c>
      <c r="C299" s="22" t="s">
        <v>220</v>
      </c>
      <c r="D299" s="11">
        <v>6.9</v>
      </c>
      <c r="E299" s="12">
        <v>0.1</v>
      </c>
      <c r="F299" s="7">
        <f t="shared" si="46"/>
        <v>69</v>
      </c>
      <c r="G299" s="8">
        <v>0</v>
      </c>
      <c r="H299" s="9">
        <v>0</v>
      </c>
      <c r="I299" s="9">
        <v>0</v>
      </c>
      <c r="J299" s="9">
        <v>1</v>
      </c>
      <c r="K299" s="9">
        <v>0</v>
      </c>
      <c r="L299" s="8">
        <v>72344</v>
      </c>
      <c r="M299" s="9">
        <v>3</v>
      </c>
      <c r="N299" s="9">
        <f t="shared" si="40"/>
        <v>72340</v>
      </c>
      <c r="O299" s="9">
        <f t="shared" si="41"/>
        <v>16</v>
      </c>
      <c r="P299" s="7">
        <v>10.52</v>
      </c>
      <c r="Q299" s="7">
        <f t="shared" si="47"/>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35">
      <c r="A300">
        <v>299</v>
      </c>
      <c r="B300">
        <v>20</v>
      </c>
      <c r="C300" s="22" t="s">
        <v>220</v>
      </c>
      <c r="D300" s="11">
        <v>7.6</v>
      </c>
      <c r="E300" s="12">
        <v>0.1</v>
      </c>
      <c r="F300" s="7">
        <f t="shared" si="46"/>
        <v>75.999999999999986</v>
      </c>
      <c r="G300" s="8">
        <v>0</v>
      </c>
      <c r="H300" s="9">
        <v>0</v>
      </c>
      <c r="I300" s="9">
        <v>0</v>
      </c>
      <c r="J300" s="9">
        <v>1</v>
      </c>
      <c r="K300" s="9">
        <v>0</v>
      </c>
      <c r="L300" s="8">
        <v>161029</v>
      </c>
      <c r="M300" s="9">
        <v>3</v>
      </c>
      <c r="N300" s="9">
        <f t="shared" si="40"/>
        <v>161025</v>
      </c>
      <c r="O300" s="9">
        <f t="shared" si="41"/>
        <v>16</v>
      </c>
      <c r="P300" s="7">
        <v>11.59</v>
      </c>
      <c r="Q300" s="7">
        <f t="shared" si="47"/>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35">
      <c r="A301">
        <v>300</v>
      </c>
      <c r="B301">
        <v>20</v>
      </c>
      <c r="C301" s="22" t="s">
        <v>220</v>
      </c>
      <c r="D301" s="11">
        <v>7.5</v>
      </c>
      <c r="E301" s="12">
        <v>0.1</v>
      </c>
      <c r="F301" s="7">
        <f t="shared" si="46"/>
        <v>75</v>
      </c>
      <c r="G301" s="8">
        <v>0</v>
      </c>
      <c r="H301" s="9">
        <v>0</v>
      </c>
      <c r="I301" s="9">
        <v>0</v>
      </c>
      <c r="J301" s="9">
        <v>1</v>
      </c>
      <c r="K301" s="9">
        <v>0</v>
      </c>
      <c r="L301" s="8">
        <v>376479</v>
      </c>
      <c r="M301" s="9">
        <v>3</v>
      </c>
      <c r="N301" s="9">
        <f t="shared" si="40"/>
        <v>376475</v>
      </c>
      <c r="O301" s="9">
        <f t="shared" si="41"/>
        <v>16</v>
      </c>
      <c r="P301" s="7">
        <v>12.62</v>
      </c>
      <c r="Q301" s="7">
        <f t="shared" si="47"/>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35">
      <c r="A302">
        <v>301</v>
      </c>
      <c r="B302">
        <v>20</v>
      </c>
      <c r="C302" s="22" t="s">
        <v>220</v>
      </c>
      <c r="D302" s="11">
        <v>10.199999999999999</v>
      </c>
      <c r="E302" s="12">
        <v>0.1</v>
      </c>
      <c r="F302" s="7">
        <f t="shared" si="46"/>
        <v>101.99999999999999</v>
      </c>
      <c r="G302" s="8">
        <v>0</v>
      </c>
      <c r="H302" s="9">
        <v>0</v>
      </c>
      <c r="I302" s="9">
        <v>0</v>
      </c>
      <c r="J302" s="9">
        <v>1</v>
      </c>
      <c r="K302" s="9">
        <v>0</v>
      </c>
      <c r="L302" s="8">
        <v>103184</v>
      </c>
      <c r="M302" s="9">
        <v>3</v>
      </c>
      <c r="N302" s="9">
        <f t="shared" si="40"/>
        <v>103180</v>
      </c>
      <c r="O302" s="9">
        <f t="shared" si="41"/>
        <v>16</v>
      </c>
      <c r="P302" s="7">
        <v>13.7</v>
      </c>
      <c r="Q302" s="7">
        <f t="shared" si="47"/>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35">
      <c r="A303">
        <v>302</v>
      </c>
      <c r="B303">
        <v>20</v>
      </c>
      <c r="C303" s="22" t="s">
        <v>220</v>
      </c>
      <c r="D303" s="11">
        <v>7.4</v>
      </c>
      <c r="E303" s="12">
        <v>1.2</v>
      </c>
      <c r="F303" s="7">
        <f t="shared" si="46"/>
        <v>6.166666666666667</v>
      </c>
      <c r="G303" s="8">
        <v>0</v>
      </c>
      <c r="H303" s="9">
        <v>0</v>
      </c>
      <c r="I303" s="9">
        <v>0</v>
      </c>
      <c r="J303" s="9">
        <v>1</v>
      </c>
      <c r="K303" s="9">
        <v>0</v>
      </c>
      <c r="L303" s="8">
        <v>609852</v>
      </c>
      <c r="M303" s="9">
        <v>10</v>
      </c>
      <c r="N303" s="9">
        <f t="shared" si="40"/>
        <v>609841</v>
      </c>
      <c r="O303" s="9">
        <f t="shared" si="41"/>
        <v>16</v>
      </c>
      <c r="P303" s="7">
        <v>11.59</v>
      </c>
      <c r="Q303" s="7">
        <f t="shared" si="47"/>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35">
      <c r="A304">
        <v>303</v>
      </c>
      <c r="B304">
        <v>20</v>
      </c>
      <c r="C304" s="22" t="s">
        <v>220</v>
      </c>
      <c r="D304" s="11">
        <v>7.4</v>
      </c>
      <c r="E304" s="12">
        <v>1.2</v>
      </c>
      <c r="F304" s="7">
        <f t="shared" si="46"/>
        <v>6.166666666666667</v>
      </c>
      <c r="G304" s="8">
        <v>0</v>
      </c>
      <c r="H304" s="9">
        <v>0</v>
      </c>
      <c r="I304" s="9">
        <v>0</v>
      </c>
      <c r="J304" s="9">
        <v>1</v>
      </c>
      <c r="K304" s="9">
        <v>0</v>
      </c>
      <c r="L304" s="8">
        <v>609852</v>
      </c>
      <c r="M304" s="9">
        <v>10</v>
      </c>
      <c r="N304" s="9">
        <f t="shared" si="40"/>
        <v>609841</v>
      </c>
      <c r="O304" s="9">
        <f t="shared" si="41"/>
        <v>16</v>
      </c>
      <c r="P304" s="7">
        <v>11.59</v>
      </c>
      <c r="Q304" s="7">
        <f t="shared" si="47"/>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35">
      <c r="A305">
        <v>304</v>
      </c>
      <c r="B305">
        <v>20</v>
      </c>
      <c r="C305" s="22" t="s">
        <v>220</v>
      </c>
      <c r="D305" s="11">
        <v>7.5</v>
      </c>
      <c r="E305" s="12">
        <v>1.2</v>
      </c>
      <c r="F305" s="7">
        <f t="shared" si="46"/>
        <v>6.25</v>
      </c>
      <c r="G305" s="8">
        <v>0</v>
      </c>
      <c r="H305" s="9">
        <v>0</v>
      </c>
      <c r="I305" s="9">
        <v>0</v>
      </c>
      <c r="J305" s="9">
        <v>1</v>
      </c>
      <c r="K305" s="9">
        <v>0</v>
      </c>
      <c r="L305" s="8">
        <v>609852</v>
      </c>
      <c r="M305" s="9">
        <v>11</v>
      </c>
      <c r="N305" s="9">
        <f t="shared" si="40"/>
        <v>609840</v>
      </c>
      <c r="O305" s="9">
        <f t="shared" si="41"/>
        <v>16</v>
      </c>
      <c r="P305" s="7">
        <v>11.59</v>
      </c>
      <c r="Q305" s="7">
        <f t="shared" si="47"/>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35">
      <c r="A306">
        <v>305</v>
      </c>
      <c r="B306">
        <v>20</v>
      </c>
      <c r="C306" s="22" t="s">
        <v>220</v>
      </c>
      <c r="D306" s="11">
        <v>6</v>
      </c>
      <c r="E306" s="12">
        <v>1.3</v>
      </c>
      <c r="F306" s="7">
        <f t="shared" si="46"/>
        <v>4.615384615384615</v>
      </c>
      <c r="G306" s="8">
        <v>0</v>
      </c>
      <c r="H306" s="9">
        <v>0</v>
      </c>
      <c r="I306" s="9">
        <v>0</v>
      </c>
      <c r="J306" s="9">
        <v>1</v>
      </c>
      <c r="K306" s="9">
        <v>0</v>
      </c>
      <c r="L306" s="8">
        <v>609852</v>
      </c>
      <c r="M306" s="9">
        <v>12</v>
      </c>
      <c r="N306" s="9">
        <f t="shared" si="40"/>
        <v>609839</v>
      </c>
      <c r="O306" s="9">
        <f t="shared" si="41"/>
        <v>16</v>
      </c>
      <c r="P306" s="7">
        <v>11.59</v>
      </c>
      <c r="Q306" s="7">
        <f t="shared" si="47"/>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35">
      <c r="A307">
        <v>306</v>
      </c>
      <c r="B307">
        <v>20</v>
      </c>
      <c r="C307" s="22" t="s">
        <v>220</v>
      </c>
      <c r="D307" s="11">
        <v>7.3</v>
      </c>
      <c r="E307" s="12">
        <v>0.03</v>
      </c>
      <c r="F307" s="7">
        <f t="shared" si="46"/>
        <v>243.33333333333334</v>
      </c>
      <c r="G307" s="8">
        <v>0</v>
      </c>
      <c r="H307" s="9">
        <v>0</v>
      </c>
      <c r="I307" s="9">
        <v>0</v>
      </c>
      <c r="J307" s="9">
        <v>1</v>
      </c>
      <c r="K307" s="9">
        <v>0</v>
      </c>
      <c r="L307" s="8">
        <v>609852</v>
      </c>
      <c r="M307" s="9">
        <v>9</v>
      </c>
      <c r="N307" s="9">
        <f t="shared" si="40"/>
        <v>609842</v>
      </c>
      <c r="O307" s="9">
        <f t="shared" si="41"/>
        <v>16</v>
      </c>
      <c r="P307" s="7">
        <v>11.59</v>
      </c>
      <c r="Q307" s="7">
        <f t="shared" si="47"/>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35">
      <c r="A308">
        <v>307</v>
      </c>
      <c r="B308">
        <v>20</v>
      </c>
      <c r="C308" s="22" t="s">
        <v>220</v>
      </c>
      <c r="D308" s="11">
        <v>7.3</v>
      </c>
      <c r="E308" s="12">
        <v>0.03</v>
      </c>
      <c r="F308" s="7">
        <f t="shared" si="46"/>
        <v>243.33333333333334</v>
      </c>
      <c r="G308" s="8">
        <v>0</v>
      </c>
      <c r="H308" s="9">
        <v>0</v>
      </c>
      <c r="I308" s="9">
        <v>0</v>
      </c>
      <c r="J308" s="9">
        <v>1</v>
      </c>
      <c r="K308" s="9">
        <v>0</v>
      </c>
      <c r="L308" s="8">
        <v>609852</v>
      </c>
      <c r="M308" s="9">
        <v>9</v>
      </c>
      <c r="N308" s="9">
        <f t="shared" si="40"/>
        <v>609842</v>
      </c>
      <c r="O308" s="9">
        <f t="shared" si="41"/>
        <v>16</v>
      </c>
      <c r="P308" s="7">
        <v>11.59</v>
      </c>
      <c r="Q308" s="7">
        <f t="shared" si="47"/>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35">
      <c r="A309">
        <v>308</v>
      </c>
      <c r="B309">
        <v>20</v>
      </c>
      <c r="C309" s="22" t="s">
        <v>220</v>
      </c>
      <c r="D309" s="11">
        <v>7.3</v>
      </c>
      <c r="E309" s="12">
        <v>0.03</v>
      </c>
      <c r="F309" s="7">
        <f t="shared" si="46"/>
        <v>243.33333333333334</v>
      </c>
      <c r="G309" s="8">
        <v>0</v>
      </c>
      <c r="H309" s="9">
        <v>0</v>
      </c>
      <c r="I309" s="9">
        <v>0</v>
      </c>
      <c r="J309" s="9">
        <v>1</v>
      </c>
      <c r="K309" s="9">
        <v>0</v>
      </c>
      <c r="L309" s="8">
        <v>609852</v>
      </c>
      <c r="M309" s="9">
        <v>10</v>
      </c>
      <c r="N309" s="9">
        <f t="shared" si="40"/>
        <v>609841</v>
      </c>
      <c r="O309" s="9">
        <f t="shared" si="41"/>
        <v>16</v>
      </c>
      <c r="P309" s="7">
        <v>11.59</v>
      </c>
      <c r="Q309" s="7">
        <f t="shared" si="47"/>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35">
      <c r="A310" s="47">
        <v>309</v>
      </c>
      <c r="B310" s="47">
        <v>20</v>
      </c>
      <c r="C310" s="48" t="s">
        <v>220</v>
      </c>
      <c r="D310" s="49">
        <v>7.3</v>
      </c>
      <c r="E310" s="50">
        <v>0.03</v>
      </c>
      <c r="F310" s="51">
        <f t="shared" si="46"/>
        <v>243.33333333333334</v>
      </c>
      <c r="G310" s="53">
        <v>0</v>
      </c>
      <c r="H310" s="54">
        <v>0</v>
      </c>
      <c r="I310" s="54">
        <v>0</v>
      </c>
      <c r="J310" s="54">
        <v>1</v>
      </c>
      <c r="K310" s="54">
        <v>0</v>
      </c>
      <c r="L310" s="53">
        <v>609852</v>
      </c>
      <c r="M310" s="54">
        <v>12</v>
      </c>
      <c r="N310" s="54">
        <f t="shared" si="40"/>
        <v>609839</v>
      </c>
      <c r="O310" s="54">
        <f t="shared" si="41"/>
        <v>16</v>
      </c>
      <c r="P310" s="51">
        <v>11.59</v>
      </c>
      <c r="Q310" s="51">
        <f t="shared" si="47"/>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35">
      <c r="A311">
        <v>310</v>
      </c>
      <c r="B311">
        <v>21</v>
      </c>
      <c r="C311" s="22" t="s">
        <v>222</v>
      </c>
      <c r="D311" s="11">
        <v>5</v>
      </c>
      <c r="E311" s="12">
        <v>0.1</v>
      </c>
      <c r="F311" s="7">
        <f t="shared" si="46"/>
        <v>50</v>
      </c>
      <c r="G311" s="8">
        <v>0</v>
      </c>
      <c r="H311" s="9">
        <v>0</v>
      </c>
      <c r="I311" s="9">
        <v>1</v>
      </c>
      <c r="J311" s="9">
        <v>0</v>
      </c>
      <c r="K311" s="9">
        <v>0</v>
      </c>
      <c r="L311" s="8">
        <v>53044</v>
      </c>
      <c r="M311" s="9">
        <v>14</v>
      </c>
      <c r="N311" s="9">
        <f t="shared" si="40"/>
        <v>53029</v>
      </c>
      <c r="O311" s="9">
        <f t="shared" si="41"/>
        <v>12</v>
      </c>
      <c r="P311" s="7">
        <v>7.8040000000000003</v>
      </c>
      <c r="Q311" s="7">
        <f t="shared" si="47"/>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8">1-AK311</f>
        <v>0.505</v>
      </c>
      <c r="AK311" s="36">
        <v>0.495</v>
      </c>
      <c r="AL311">
        <v>1</v>
      </c>
      <c r="AM311" s="36">
        <v>0</v>
      </c>
      <c r="AN311">
        <v>0</v>
      </c>
      <c r="AO311" s="15">
        <v>1</v>
      </c>
      <c r="AP311">
        <f t="shared" ref="AP311:AP322" si="49">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35">
      <c r="A312">
        <v>311</v>
      </c>
      <c r="B312">
        <v>21</v>
      </c>
      <c r="C312" s="22" t="s">
        <v>222</v>
      </c>
      <c r="D312" s="11">
        <v>7.1</v>
      </c>
      <c r="E312" s="12">
        <v>0.1</v>
      </c>
      <c r="F312" s="7">
        <f t="shared" si="46"/>
        <v>70.999999999999986</v>
      </c>
      <c r="G312" s="8">
        <v>0</v>
      </c>
      <c r="H312" s="9">
        <v>0</v>
      </c>
      <c r="I312" s="9">
        <v>1</v>
      </c>
      <c r="J312" s="9">
        <v>0</v>
      </c>
      <c r="K312" s="9">
        <v>0</v>
      </c>
      <c r="L312" s="8">
        <v>13870</v>
      </c>
      <c r="M312" s="9">
        <v>12</v>
      </c>
      <c r="N312" s="9">
        <f t="shared" si="40"/>
        <v>13857</v>
      </c>
      <c r="O312" s="9">
        <f t="shared" si="41"/>
        <v>12</v>
      </c>
      <c r="P312" s="7">
        <v>10.032</v>
      </c>
      <c r="Q312" s="7">
        <f t="shared" si="47"/>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8"/>
        <v>0.52</v>
      </c>
      <c r="AK312" s="36">
        <v>0.48</v>
      </c>
      <c r="AL312">
        <v>1</v>
      </c>
      <c r="AM312" s="36">
        <v>0</v>
      </c>
      <c r="AN312">
        <v>0</v>
      </c>
      <c r="AO312" s="15">
        <v>1</v>
      </c>
      <c r="AP312">
        <f t="shared" si="49"/>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35">
      <c r="A313">
        <v>312</v>
      </c>
      <c r="B313">
        <v>21</v>
      </c>
      <c r="C313" s="22" t="s">
        <v>222</v>
      </c>
      <c r="D313" s="11">
        <v>4.9000000000000004</v>
      </c>
      <c r="E313" s="12">
        <v>0.1</v>
      </c>
      <c r="F313" s="7">
        <f t="shared" si="46"/>
        <v>49</v>
      </c>
      <c r="G313" s="8">
        <v>0</v>
      </c>
      <c r="H313" s="9">
        <v>0</v>
      </c>
      <c r="I313" s="9">
        <v>1</v>
      </c>
      <c r="J313" s="9">
        <v>0</v>
      </c>
      <c r="K313" s="9">
        <v>0</v>
      </c>
      <c r="L313" s="8">
        <v>18754</v>
      </c>
      <c r="M313" s="9">
        <v>12</v>
      </c>
      <c r="N313" s="9">
        <f t="shared" si="40"/>
        <v>18741</v>
      </c>
      <c r="O313" s="9">
        <f t="shared" si="41"/>
        <v>12</v>
      </c>
      <c r="P313" s="7">
        <v>6.3079999999999998</v>
      </c>
      <c r="Q313" s="7">
        <f t="shared" si="47"/>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8"/>
        <v>0.57200000000000006</v>
      </c>
      <c r="AK313" s="36">
        <v>0.42799999999999999</v>
      </c>
      <c r="AL313">
        <v>1</v>
      </c>
      <c r="AM313" s="36">
        <v>0</v>
      </c>
      <c r="AN313">
        <v>0</v>
      </c>
      <c r="AO313" s="15">
        <v>1</v>
      </c>
      <c r="AP313">
        <f t="shared" si="49"/>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35">
      <c r="A314">
        <v>313</v>
      </c>
      <c r="B314">
        <v>21</v>
      </c>
      <c r="C314" s="22" t="s">
        <v>222</v>
      </c>
      <c r="D314" s="11">
        <v>3.5</v>
      </c>
      <c r="E314" s="12">
        <v>0.2</v>
      </c>
      <c r="F314" s="7">
        <f t="shared" si="46"/>
        <v>17.5</v>
      </c>
      <c r="G314" s="8">
        <v>0</v>
      </c>
      <c r="H314" s="9">
        <v>0</v>
      </c>
      <c r="I314" s="9">
        <v>1</v>
      </c>
      <c r="J314" s="9">
        <v>0</v>
      </c>
      <c r="K314" s="9">
        <v>0</v>
      </c>
      <c r="L314" s="8">
        <v>20420</v>
      </c>
      <c r="M314" s="9">
        <v>12</v>
      </c>
      <c r="N314" s="9">
        <f t="shared" si="40"/>
        <v>20407</v>
      </c>
      <c r="O314" s="9">
        <f t="shared" si="41"/>
        <v>12</v>
      </c>
      <c r="P314" s="7">
        <v>7.6660000000000004</v>
      </c>
      <c r="Q314" s="7">
        <f t="shared" si="47"/>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8"/>
        <v>0.43300000000000005</v>
      </c>
      <c r="AK314" s="36">
        <v>0.56699999999999995</v>
      </c>
      <c r="AL314">
        <v>1</v>
      </c>
      <c r="AM314" s="36">
        <v>0</v>
      </c>
      <c r="AN314">
        <v>0</v>
      </c>
      <c r="AO314" s="15">
        <v>1</v>
      </c>
      <c r="AP314">
        <f t="shared" si="49"/>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35">
      <c r="A315">
        <v>314</v>
      </c>
      <c r="B315">
        <v>21</v>
      </c>
      <c r="C315" s="22" t="s">
        <v>222</v>
      </c>
      <c r="D315" s="11">
        <v>13.6</v>
      </c>
      <c r="E315" s="12">
        <v>1.5</v>
      </c>
      <c r="F315" s="7">
        <f t="shared" si="46"/>
        <v>9.0666666666666664</v>
      </c>
      <c r="G315" s="8">
        <v>0</v>
      </c>
      <c r="H315" s="9">
        <v>0</v>
      </c>
      <c r="I315" s="9">
        <v>1</v>
      </c>
      <c r="J315" s="9">
        <v>0</v>
      </c>
      <c r="K315" s="9">
        <v>0</v>
      </c>
      <c r="L315" s="8">
        <v>53044</v>
      </c>
      <c r="M315" s="9">
        <v>14</v>
      </c>
      <c r="N315" s="9">
        <f t="shared" si="40"/>
        <v>53029</v>
      </c>
      <c r="O315" s="9">
        <f t="shared" si="41"/>
        <v>12</v>
      </c>
      <c r="P315" s="7">
        <v>7.8040000000000003</v>
      </c>
      <c r="Q315" s="7">
        <f t="shared" si="47"/>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8"/>
        <v>0.505</v>
      </c>
      <c r="AK315" s="36">
        <v>0.495</v>
      </c>
      <c r="AL315">
        <v>1</v>
      </c>
      <c r="AM315" s="36">
        <v>0</v>
      </c>
      <c r="AN315">
        <v>0</v>
      </c>
      <c r="AO315" s="15">
        <v>1</v>
      </c>
      <c r="AP315">
        <f t="shared" si="49"/>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35">
      <c r="A316">
        <v>315</v>
      </c>
      <c r="B316">
        <v>21</v>
      </c>
      <c r="C316" s="22" t="s">
        <v>222</v>
      </c>
      <c r="D316" s="11">
        <v>14.6</v>
      </c>
      <c r="E316" s="12">
        <v>1.5</v>
      </c>
      <c r="F316" s="7">
        <f t="shared" si="46"/>
        <v>9.7333333333333325</v>
      </c>
      <c r="G316" s="8">
        <v>0</v>
      </c>
      <c r="H316" s="9">
        <v>0</v>
      </c>
      <c r="I316" s="9">
        <v>1</v>
      </c>
      <c r="J316" s="9">
        <v>0</v>
      </c>
      <c r="K316" s="9">
        <v>0</v>
      </c>
      <c r="L316" s="8">
        <v>13870</v>
      </c>
      <c r="M316" s="9">
        <v>12</v>
      </c>
      <c r="N316" s="9">
        <f t="shared" si="40"/>
        <v>13857</v>
      </c>
      <c r="O316" s="9">
        <f t="shared" si="41"/>
        <v>12</v>
      </c>
      <c r="P316" s="7">
        <v>10.032</v>
      </c>
      <c r="Q316" s="7">
        <f t="shared" si="47"/>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8"/>
        <v>0.52</v>
      </c>
      <c r="AK316" s="36">
        <v>0.48</v>
      </c>
      <c r="AL316">
        <v>1</v>
      </c>
      <c r="AM316" s="36">
        <v>0</v>
      </c>
      <c r="AN316">
        <v>0</v>
      </c>
      <c r="AO316" s="15">
        <v>1</v>
      </c>
      <c r="AP316">
        <f t="shared" si="49"/>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35">
      <c r="A317">
        <v>316</v>
      </c>
      <c r="B317">
        <v>21</v>
      </c>
      <c r="C317" s="22" t="s">
        <v>222</v>
      </c>
      <c r="D317" s="11">
        <v>11.2</v>
      </c>
      <c r="E317" s="12">
        <v>3</v>
      </c>
      <c r="F317" s="7">
        <f t="shared" si="46"/>
        <v>3.7333333333333329</v>
      </c>
      <c r="G317" s="8">
        <v>0</v>
      </c>
      <c r="H317" s="9">
        <v>0</v>
      </c>
      <c r="I317" s="9">
        <v>1</v>
      </c>
      <c r="J317" s="9">
        <v>0</v>
      </c>
      <c r="K317" s="9">
        <v>0</v>
      </c>
      <c r="L317" s="8">
        <v>18754</v>
      </c>
      <c r="M317" s="9">
        <v>12</v>
      </c>
      <c r="N317" s="9">
        <f t="shared" si="40"/>
        <v>18741</v>
      </c>
      <c r="O317" s="9">
        <f t="shared" si="41"/>
        <v>12</v>
      </c>
      <c r="P317" s="7">
        <v>6.3079999999999998</v>
      </c>
      <c r="Q317" s="7">
        <f t="shared" si="47"/>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8"/>
        <v>0.57200000000000006</v>
      </c>
      <c r="AK317" s="36">
        <v>0.42799999999999999</v>
      </c>
      <c r="AL317">
        <v>1</v>
      </c>
      <c r="AM317" s="36">
        <v>0</v>
      </c>
      <c r="AN317">
        <v>0</v>
      </c>
      <c r="AO317" s="15">
        <v>1</v>
      </c>
      <c r="AP317">
        <f t="shared" si="49"/>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35">
      <c r="A318">
        <v>317</v>
      </c>
      <c r="B318">
        <v>21</v>
      </c>
      <c r="C318" s="22" t="s">
        <v>222</v>
      </c>
      <c r="D318" s="11">
        <v>11.9</v>
      </c>
      <c r="E318" s="12">
        <v>3.6</v>
      </c>
      <c r="F318" s="7">
        <f t="shared" si="46"/>
        <v>3.3055555555555554</v>
      </c>
      <c r="G318" s="8">
        <v>0</v>
      </c>
      <c r="H318" s="9">
        <v>0</v>
      </c>
      <c r="I318" s="9">
        <v>1</v>
      </c>
      <c r="J318" s="9">
        <v>0</v>
      </c>
      <c r="K318" s="9">
        <v>0</v>
      </c>
      <c r="L318" s="8">
        <v>20420</v>
      </c>
      <c r="M318" s="9">
        <v>12</v>
      </c>
      <c r="N318" s="9">
        <f t="shared" si="40"/>
        <v>20407</v>
      </c>
      <c r="O318" s="9">
        <f t="shared" si="41"/>
        <v>12</v>
      </c>
      <c r="P318" s="7">
        <v>7.6660000000000004</v>
      </c>
      <c r="Q318" s="7">
        <f t="shared" si="47"/>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8"/>
        <v>0.43300000000000005</v>
      </c>
      <c r="AK318" s="36">
        <v>0.56699999999999995</v>
      </c>
      <c r="AL318">
        <v>1</v>
      </c>
      <c r="AM318" s="36">
        <v>0</v>
      </c>
      <c r="AN318">
        <v>0</v>
      </c>
      <c r="AO318" s="15">
        <v>1</v>
      </c>
      <c r="AP318">
        <f t="shared" si="49"/>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35">
      <c r="A319">
        <v>318</v>
      </c>
      <c r="B319">
        <v>21</v>
      </c>
      <c r="C319" s="22" t="s">
        <v>222</v>
      </c>
      <c r="D319" s="11">
        <v>5.0999999999999996</v>
      </c>
      <c r="E319" s="12">
        <v>0.1</v>
      </c>
      <c r="F319" s="7">
        <f t="shared" si="46"/>
        <v>50.999999999999993</v>
      </c>
      <c r="G319" s="8">
        <v>0</v>
      </c>
      <c r="H319" s="9">
        <v>0</v>
      </c>
      <c r="I319" s="9">
        <v>1</v>
      </c>
      <c r="J319" s="9">
        <v>0</v>
      </c>
      <c r="K319" s="9">
        <v>0</v>
      </c>
      <c r="L319" s="8">
        <v>26789</v>
      </c>
      <c r="M319" s="9">
        <v>12</v>
      </c>
      <c r="N319" s="9">
        <f t="shared" si="40"/>
        <v>26776</v>
      </c>
      <c r="O319" s="9">
        <f t="shared" si="41"/>
        <v>12</v>
      </c>
      <c r="P319" s="7">
        <v>7.8040000000000003</v>
      </c>
      <c r="Q319" s="7">
        <f t="shared" si="47"/>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9"/>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35">
      <c r="A320">
        <v>319</v>
      </c>
      <c r="B320">
        <v>21</v>
      </c>
      <c r="C320" s="22" t="s">
        <v>222</v>
      </c>
      <c r="D320" s="11">
        <v>4.9000000000000004</v>
      </c>
      <c r="E320" s="12">
        <v>0.1</v>
      </c>
      <c r="F320" s="7">
        <f t="shared" si="46"/>
        <v>49</v>
      </c>
      <c r="G320" s="8">
        <v>0</v>
      </c>
      <c r="H320" s="9">
        <v>0</v>
      </c>
      <c r="I320" s="9">
        <v>1</v>
      </c>
      <c r="J320" s="9">
        <v>0</v>
      </c>
      <c r="K320" s="9">
        <v>0</v>
      </c>
      <c r="L320" s="8">
        <v>26255</v>
      </c>
      <c r="M320" s="9">
        <v>12</v>
      </c>
      <c r="N320" s="9">
        <f t="shared" si="40"/>
        <v>26242</v>
      </c>
      <c r="O320" s="9">
        <f t="shared" si="41"/>
        <v>12</v>
      </c>
      <c r="P320" s="7">
        <v>7.8040000000000003</v>
      </c>
      <c r="Q320" s="7">
        <f t="shared" si="47"/>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9"/>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35">
      <c r="A321">
        <v>320</v>
      </c>
      <c r="B321">
        <v>21</v>
      </c>
      <c r="C321" s="22" t="s">
        <v>222</v>
      </c>
      <c r="D321" s="11">
        <v>12.2</v>
      </c>
      <c r="E321" s="12">
        <v>1.7</v>
      </c>
      <c r="F321" s="7">
        <f t="shared" si="46"/>
        <v>7.1764705882352935</v>
      </c>
      <c r="G321" s="8">
        <v>0</v>
      </c>
      <c r="H321" s="9">
        <v>0</v>
      </c>
      <c r="I321" s="9">
        <v>1</v>
      </c>
      <c r="J321" s="9">
        <v>0</v>
      </c>
      <c r="K321" s="9">
        <v>0</v>
      </c>
      <c r="L321" s="8">
        <v>26789</v>
      </c>
      <c r="M321" s="9">
        <v>12</v>
      </c>
      <c r="N321" s="9">
        <f t="shared" si="40"/>
        <v>26776</v>
      </c>
      <c r="O321" s="9">
        <f t="shared" si="41"/>
        <v>12</v>
      </c>
      <c r="P321" s="7">
        <v>7.8040000000000003</v>
      </c>
      <c r="Q321" s="7">
        <f t="shared" si="47"/>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9"/>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35">
      <c r="A322" s="47">
        <v>321</v>
      </c>
      <c r="B322" s="47">
        <v>21</v>
      </c>
      <c r="C322" s="48" t="s">
        <v>222</v>
      </c>
      <c r="D322" s="49">
        <v>15.8</v>
      </c>
      <c r="E322" s="50">
        <v>2.2000000000000002</v>
      </c>
      <c r="F322" s="51">
        <f t="shared" si="46"/>
        <v>7.1818181818181817</v>
      </c>
      <c r="G322" s="53">
        <v>0</v>
      </c>
      <c r="H322" s="54">
        <v>0</v>
      </c>
      <c r="I322" s="54">
        <v>1</v>
      </c>
      <c r="J322" s="54">
        <v>0</v>
      </c>
      <c r="K322" s="54">
        <v>0</v>
      </c>
      <c r="L322" s="53">
        <v>26255</v>
      </c>
      <c r="M322" s="54">
        <v>12</v>
      </c>
      <c r="N322" s="54">
        <f t="shared" ref="N322:N385" si="50">L322-M322-1</f>
        <v>26242</v>
      </c>
      <c r="O322" s="54">
        <f t="shared" ref="O322:O385" si="51">COUNTIF(B:B,B322)</f>
        <v>12</v>
      </c>
      <c r="P322" s="51">
        <v>7.8040000000000003</v>
      </c>
      <c r="Q322" s="51">
        <f t="shared" si="47"/>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9"/>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35">
      <c r="A323">
        <v>322</v>
      </c>
      <c r="B323">
        <v>22</v>
      </c>
      <c r="C323" s="22" t="s">
        <v>223</v>
      </c>
      <c r="D323" s="11">
        <v>4.2</v>
      </c>
      <c r="E323" s="12">
        <f t="shared" ref="E323:E346" si="52">D323/F323</f>
        <v>0.86242299794661192</v>
      </c>
      <c r="F323" s="7">
        <v>4.87</v>
      </c>
      <c r="G323" s="8">
        <v>0</v>
      </c>
      <c r="H323" s="9">
        <v>0</v>
      </c>
      <c r="I323" s="9">
        <v>1</v>
      </c>
      <c r="J323" s="9">
        <v>0</v>
      </c>
      <c r="K323" s="9">
        <v>0</v>
      </c>
      <c r="L323" s="8">
        <v>1852</v>
      </c>
      <c r="M323" s="9">
        <v>11</v>
      </c>
      <c r="N323" s="9">
        <f t="shared" si="50"/>
        <v>1840</v>
      </c>
      <c r="O323" s="9">
        <f t="shared" si="51"/>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53">$AJ$323*AD335+$AK$323*AD327</f>
        <v>0.21501220000000001</v>
      </c>
      <c r="AE323" s="29">
        <f t="shared" si="53"/>
        <v>0.34625300000000003</v>
      </c>
      <c r="AF323" s="29">
        <f t="shared" si="53"/>
        <v>0.30737340000000002</v>
      </c>
      <c r="AG323" s="39">
        <f t="shared" si="53"/>
        <v>0.13136140000000002</v>
      </c>
      <c r="AH323" s="38">
        <v>1</v>
      </c>
      <c r="AI323" s="15">
        <v>0</v>
      </c>
      <c r="AJ323" s="35">
        <f>1-AK323</f>
        <v>0.55020000000000002</v>
      </c>
      <c r="AK323" s="36">
        <v>0.44979999999999998</v>
      </c>
      <c r="AL323">
        <v>8.5300000000000001E-2</v>
      </c>
      <c r="AM323" s="36">
        <f t="shared" ref="AM323:AM346" si="54">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35">
      <c r="A324">
        <v>323</v>
      </c>
      <c r="B324">
        <v>22</v>
      </c>
      <c r="C324" s="22" t="s">
        <v>223</v>
      </c>
      <c r="D324" s="11">
        <v>2</v>
      </c>
      <c r="E324" s="12">
        <f t="shared" si="52"/>
        <v>0.77821011673151752</v>
      </c>
      <c r="F324" s="7">
        <v>2.57</v>
      </c>
      <c r="G324" s="8">
        <v>0</v>
      </c>
      <c r="H324" s="9">
        <v>0</v>
      </c>
      <c r="I324" s="9">
        <v>1</v>
      </c>
      <c r="J324" s="9">
        <v>0</v>
      </c>
      <c r="K324" s="9">
        <v>0</v>
      </c>
      <c r="L324" s="8">
        <v>1496</v>
      </c>
      <c r="M324" s="9">
        <v>11</v>
      </c>
      <c r="N324" s="9">
        <f t="shared" si="50"/>
        <v>1484</v>
      </c>
      <c r="O324" s="9">
        <f t="shared" si="51"/>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53"/>
        <v>0.21501220000000001</v>
      </c>
      <c r="AE324" s="29">
        <f t="shared" si="53"/>
        <v>0.34625300000000003</v>
      </c>
      <c r="AF324" s="29">
        <f t="shared" si="53"/>
        <v>0.30737340000000002</v>
      </c>
      <c r="AG324" s="39">
        <f t="shared" si="53"/>
        <v>0.13136140000000002</v>
      </c>
      <c r="AH324" s="38">
        <v>1</v>
      </c>
      <c r="AI324" s="15">
        <v>0</v>
      </c>
      <c r="AJ324" s="35">
        <f>1-AK324</f>
        <v>0.54679999999999995</v>
      </c>
      <c r="AK324" s="36">
        <v>0.45319999999999999</v>
      </c>
      <c r="AL324">
        <v>8.5300000000000001E-2</v>
      </c>
      <c r="AM324" s="36">
        <f t="shared" si="54"/>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35">
      <c r="A325">
        <v>324</v>
      </c>
      <c r="B325">
        <v>22</v>
      </c>
      <c r="C325" s="22" t="s">
        <v>223</v>
      </c>
      <c r="D325" s="11">
        <v>4.2</v>
      </c>
      <c r="E325" s="12">
        <f t="shared" si="52"/>
        <v>0.65015479876160998</v>
      </c>
      <c r="F325" s="7">
        <v>6.46</v>
      </c>
      <c r="G325" s="8">
        <v>0</v>
      </c>
      <c r="H325" s="9">
        <v>0</v>
      </c>
      <c r="I325" s="9">
        <v>1</v>
      </c>
      <c r="J325" s="9">
        <v>0</v>
      </c>
      <c r="K325" s="9">
        <v>0</v>
      </c>
      <c r="L325" s="8">
        <v>1178</v>
      </c>
      <c r="M325" s="9">
        <v>11</v>
      </c>
      <c r="N325" s="9">
        <f t="shared" si="50"/>
        <v>1166</v>
      </c>
      <c r="O325" s="9">
        <f t="shared" si="51"/>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53"/>
        <v>8.9482000000000006E-2</v>
      </c>
      <c r="AE325" s="29">
        <f t="shared" si="53"/>
        <v>0.30738960000000004</v>
      </c>
      <c r="AF325" s="29">
        <f t="shared" si="53"/>
        <v>0.40731719999999999</v>
      </c>
      <c r="AG325" s="39">
        <f t="shared" si="53"/>
        <v>0.19581120000000007</v>
      </c>
      <c r="AH325" s="38">
        <v>1</v>
      </c>
      <c r="AI325" s="15">
        <v>0</v>
      </c>
      <c r="AJ325" s="35">
        <f>1-AK325</f>
        <v>0.56369999999999998</v>
      </c>
      <c r="AK325" s="36">
        <v>0.43630000000000002</v>
      </c>
      <c r="AL325">
        <v>8.5300000000000001E-2</v>
      </c>
      <c r="AM325" s="36">
        <f t="shared" si="54"/>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35">
      <c r="A326">
        <v>325</v>
      </c>
      <c r="B326">
        <v>22</v>
      </c>
      <c r="C326" s="22" t="s">
        <v>223</v>
      </c>
      <c r="D326" s="11">
        <v>6.4</v>
      </c>
      <c r="E326" s="12">
        <f t="shared" si="52"/>
        <v>0.71991001124859388</v>
      </c>
      <c r="F326" s="7">
        <v>8.89</v>
      </c>
      <c r="G326" s="8">
        <v>0</v>
      </c>
      <c r="H326" s="9">
        <v>0</v>
      </c>
      <c r="I326" s="9">
        <v>1</v>
      </c>
      <c r="J326" s="9">
        <v>0</v>
      </c>
      <c r="K326" s="9">
        <v>0</v>
      </c>
      <c r="L326" s="8">
        <v>1063</v>
      </c>
      <c r="M326" s="9">
        <v>12</v>
      </c>
      <c r="N326" s="9">
        <f t="shared" si="50"/>
        <v>1050</v>
      </c>
      <c r="O326" s="9">
        <f t="shared" si="51"/>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53"/>
        <v>8.9482000000000006E-2</v>
      </c>
      <c r="AE326" s="29">
        <f t="shared" si="53"/>
        <v>0.30738960000000004</v>
      </c>
      <c r="AF326" s="29">
        <f t="shared" si="53"/>
        <v>0.40731719999999999</v>
      </c>
      <c r="AG326" s="39">
        <f t="shared" si="53"/>
        <v>0.19581120000000007</v>
      </c>
      <c r="AH326" s="38">
        <v>1</v>
      </c>
      <c r="AI326" s="15">
        <v>0</v>
      </c>
      <c r="AJ326" s="35">
        <f>1-AK326</f>
        <v>0.57479999999999998</v>
      </c>
      <c r="AK326" s="36">
        <v>0.42520000000000002</v>
      </c>
      <c r="AL326">
        <v>8.5300000000000001E-2</v>
      </c>
      <c r="AM326" s="36">
        <f t="shared" si="54"/>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35">
      <c r="A327">
        <v>326</v>
      </c>
      <c r="B327">
        <v>22</v>
      </c>
      <c r="C327" s="22" t="s">
        <v>223</v>
      </c>
      <c r="D327" s="11">
        <v>3</v>
      </c>
      <c r="E327" s="12">
        <f t="shared" si="52"/>
        <v>1.2987012987012987</v>
      </c>
      <c r="F327" s="7">
        <v>2.31</v>
      </c>
      <c r="G327" s="8">
        <v>0</v>
      </c>
      <c r="H327" s="9">
        <v>0</v>
      </c>
      <c r="I327" s="9">
        <v>1</v>
      </c>
      <c r="J327" s="9">
        <v>0</v>
      </c>
      <c r="K327" s="9">
        <v>0</v>
      </c>
      <c r="L327" s="8">
        <v>810</v>
      </c>
      <c r="M327" s="9">
        <v>5</v>
      </c>
      <c r="N327" s="9">
        <f t="shared" si="50"/>
        <v>804</v>
      </c>
      <c r="O327" s="9">
        <f t="shared" si="51"/>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55">1-SUM(AD327:AF327)</f>
        <v>9.9999999999999978E-2</v>
      </c>
      <c r="AH327" s="38">
        <v>1</v>
      </c>
      <c r="AI327" s="15">
        <v>0</v>
      </c>
      <c r="AJ327">
        <v>0</v>
      </c>
      <c r="AK327" s="36">
        <v>1</v>
      </c>
      <c r="AL327">
        <v>8.5300000000000001E-2</v>
      </c>
      <c r="AM327" s="36">
        <f t="shared" si="54"/>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35">
      <c r="A328">
        <v>327</v>
      </c>
      <c r="B328">
        <v>22</v>
      </c>
      <c r="C328" s="22" t="s">
        <v>223</v>
      </c>
      <c r="D328" s="11">
        <v>2.8</v>
      </c>
      <c r="E328" s="12">
        <f t="shared" si="52"/>
        <v>3.2558139534883721</v>
      </c>
      <c r="F328" s="7">
        <v>0.86</v>
      </c>
      <c r="G328" s="8">
        <v>0</v>
      </c>
      <c r="H328" s="9">
        <v>0</v>
      </c>
      <c r="I328" s="9">
        <v>1</v>
      </c>
      <c r="J328" s="9">
        <v>0</v>
      </c>
      <c r="K328" s="9">
        <v>0</v>
      </c>
      <c r="L328" s="8">
        <v>1351</v>
      </c>
      <c r="M328" s="9">
        <v>10</v>
      </c>
      <c r="N328" s="9">
        <f t="shared" si="50"/>
        <v>1340</v>
      </c>
      <c r="O328" s="9">
        <f t="shared" si="51"/>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55"/>
        <v>9.9999999999999978E-2</v>
      </c>
      <c r="AH328" s="38">
        <v>1</v>
      </c>
      <c r="AI328" s="15">
        <v>0</v>
      </c>
      <c r="AJ328">
        <v>0</v>
      </c>
      <c r="AK328" s="36">
        <v>1</v>
      </c>
      <c r="AL328">
        <v>8.5300000000000001E-2</v>
      </c>
      <c r="AM328" s="36">
        <f t="shared" si="54"/>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35">
      <c r="A329">
        <v>328</v>
      </c>
      <c r="B329">
        <v>22</v>
      </c>
      <c r="C329" s="22" t="s">
        <v>223</v>
      </c>
      <c r="D329" s="11">
        <v>1.8</v>
      </c>
      <c r="E329" s="12">
        <f t="shared" si="52"/>
        <v>0.89552238805970164</v>
      </c>
      <c r="F329" s="7">
        <v>2.0099999999999998</v>
      </c>
      <c r="G329" s="8">
        <v>0</v>
      </c>
      <c r="H329" s="9">
        <v>0</v>
      </c>
      <c r="I329" s="9">
        <v>1</v>
      </c>
      <c r="J329" s="9">
        <v>0</v>
      </c>
      <c r="K329" s="9">
        <v>0</v>
      </c>
      <c r="L329" s="8">
        <v>648</v>
      </c>
      <c r="M329" s="9">
        <v>5</v>
      </c>
      <c r="N329" s="9">
        <f t="shared" si="50"/>
        <v>642</v>
      </c>
      <c r="O329" s="9">
        <f t="shared" si="51"/>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55"/>
        <v>0.16500000000000004</v>
      </c>
      <c r="AH329" s="38">
        <v>1</v>
      </c>
      <c r="AI329" s="15">
        <v>0</v>
      </c>
      <c r="AJ329">
        <v>0</v>
      </c>
      <c r="AK329" s="36">
        <v>1</v>
      </c>
      <c r="AL329">
        <v>8.5300000000000001E-2</v>
      </c>
      <c r="AM329" s="36">
        <f t="shared" si="54"/>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35">
      <c r="A330">
        <v>329</v>
      </c>
      <c r="B330">
        <v>22</v>
      </c>
      <c r="C330" s="22" t="s">
        <v>223</v>
      </c>
      <c r="D330" s="11">
        <v>-0.3</v>
      </c>
      <c r="E330" s="12">
        <f t="shared" si="52"/>
        <v>2.9999999999999996</v>
      </c>
      <c r="F330" s="7">
        <v>-0.1</v>
      </c>
      <c r="G330" s="8">
        <v>0</v>
      </c>
      <c r="H330" s="9">
        <v>0</v>
      </c>
      <c r="I330" s="9">
        <v>1</v>
      </c>
      <c r="J330" s="9">
        <v>0</v>
      </c>
      <c r="K330" s="9">
        <v>0</v>
      </c>
      <c r="L330" s="8">
        <v>980</v>
      </c>
      <c r="M330" s="9">
        <v>10</v>
      </c>
      <c r="N330" s="9">
        <f t="shared" si="50"/>
        <v>969</v>
      </c>
      <c r="O330" s="9">
        <f t="shared" si="51"/>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55"/>
        <v>0.16500000000000004</v>
      </c>
      <c r="AH330" s="38">
        <v>1</v>
      </c>
      <c r="AI330" s="15">
        <v>0</v>
      </c>
      <c r="AJ330">
        <v>0</v>
      </c>
      <c r="AK330" s="36">
        <v>1</v>
      </c>
      <c r="AL330">
        <v>8.5300000000000001E-2</v>
      </c>
      <c r="AM330" s="36">
        <f t="shared" si="54"/>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35">
      <c r="A331">
        <v>330</v>
      </c>
      <c r="B331">
        <v>22</v>
      </c>
      <c r="C331" s="22" t="s">
        <v>223</v>
      </c>
      <c r="D331" s="11">
        <v>4.5999999999999996</v>
      </c>
      <c r="E331" s="12">
        <f t="shared" si="52"/>
        <v>1.0772833723653397</v>
      </c>
      <c r="F331" s="7">
        <v>4.2699999999999996</v>
      </c>
      <c r="G331" s="8">
        <v>0</v>
      </c>
      <c r="H331" s="9">
        <v>0</v>
      </c>
      <c r="I331" s="9">
        <v>1</v>
      </c>
      <c r="J331" s="9">
        <v>0</v>
      </c>
      <c r="K331" s="9">
        <v>0</v>
      </c>
      <c r="L331" s="8">
        <v>514</v>
      </c>
      <c r="M331" s="9">
        <v>5</v>
      </c>
      <c r="N331" s="9">
        <f t="shared" si="50"/>
        <v>508</v>
      </c>
      <c r="O331" s="9">
        <f t="shared" si="51"/>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55"/>
        <v>9.9999999999999978E-2</v>
      </c>
      <c r="AH331" s="38">
        <v>1</v>
      </c>
      <c r="AI331" s="15">
        <v>0</v>
      </c>
      <c r="AJ331">
        <v>0</v>
      </c>
      <c r="AK331" s="36">
        <v>1</v>
      </c>
      <c r="AL331">
        <v>8.5300000000000001E-2</v>
      </c>
      <c r="AM331" s="36">
        <f t="shared" si="54"/>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35">
      <c r="A332">
        <v>331</v>
      </c>
      <c r="B332">
        <v>22</v>
      </c>
      <c r="C332" s="22" t="s">
        <v>223</v>
      </c>
      <c r="D332" s="11">
        <v>3.9</v>
      </c>
      <c r="E332" s="12">
        <f t="shared" si="52"/>
        <v>1.7647058823529411</v>
      </c>
      <c r="F332" s="7">
        <v>2.21</v>
      </c>
      <c r="G332" s="8">
        <v>0</v>
      </c>
      <c r="H332" s="9">
        <v>0</v>
      </c>
      <c r="I332" s="9">
        <v>1</v>
      </c>
      <c r="J332" s="9">
        <v>0</v>
      </c>
      <c r="K332" s="9">
        <v>0</v>
      </c>
      <c r="L332" s="8">
        <v>937</v>
      </c>
      <c r="M332" s="9">
        <v>10</v>
      </c>
      <c r="N332" s="9">
        <f t="shared" si="50"/>
        <v>926</v>
      </c>
      <c r="O332" s="9">
        <f t="shared" si="51"/>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55"/>
        <v>9.9999999999999978E-2</v>
      </c>
      <c r="AH332" s="38">
        <v>1</v>
      </c>
      <c r="AI332" s="15">
        <v>0</v>
      </c>
      <c r="AJ332">
        <v>0</v>
      </c>
      <c r="AK332" s="36">
        <v>1</v>
      </c>
      <c r="AL332">
        <v>8.5300000000000001E-2</v>
      </c>
      <c r="AM332" s="36">
        <f t="shared" si="54"/>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35">
      <c r="A333">
        <v>332</v>
      </c>
      <c r="B333">
        <v>22</v>
      </c>
      <c r="C333" s="22" t="s">
        <v>223</v>
      </c>
      <c r="D333" s="11">
        <v>5.0999999999999996</v>
      </c>
      <c r="E333" s="12">
        <f t="shared" si="52"/>
        <v>1.2718204488778055</v>
      </c>
      <c r="F333" s="7">
        <v>4.01</v>
      </c>
      <c r="G333" s="8">
        <v>0</v>
      </c>
      <c r="H333" s="9">
        <v>0</v>
      </c>
      <c r="I333" s="9">
        <v>1</v>
      </c>
      <c r="J333" s="9">
        <v>0</v>
      </c>
      <c r="K333" s="9">
        <v>0</v>
      </c>
      <c r="L333" s="8">
        <v>452</v>
      </c>
      <c r="M333" s="9">
        <v>5</v>
      </c>
      <c r="N333" s="9">
        <f t="shared" si="50"/>
        <v>446</v>
      </c>
      <c r="O333" s="9">
        <f t="shared" si="51"/>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55"/>
        <v>0.16500000000000004</v>
      </c>
      <c r="AH333" s="38">
        <v>1</v>
      </c>
      <c r="AI333" s="15">
        <v>0</v>
      </c>
      <c r="AJ333">
        <v>0</v>
      </c>
      <c r="AK333" s="36">
        <v>1</v>
      </c>
      <c r="AL333">
        <v>8.5300000000000001E-2</v>
      </c>
      <c r="AM333" s="36">
        <f t="shared" si="54"/>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35">
      <c r="A334">
        <v>333</v>
      </c>
      <c r="B334">
        <v>22</v>
      </c>
      <c r="C334" s="22" t="s">
        <v>223</v>
      </c>
      <c r="D334" s="11">
        <v>5.5</v>
      </c>
      <c r="E334" s="12">
        <f t="shared" si="52"/>
        <v>2.4336283185840708</v>
      </c>
      <c r="F334" s="7">
        <v>2.2599999999999998</v>
      </c>
      <c r="G334" s="8">
        <v>0</v>
      </c>
      <c r="H334" s="9">
        <v>0</v>
      </c>
      <c r="I334" s="9">
        <v>1</v>
      </c>
      <c r="J334" s="9">
        <v>0</v>
      </c>
      <c r="K334" s="9">
        <v>0</v>
      </c>
      <c r="L334" s="8">
        <v>771</v>
      </c>
      <c r="M334" s="9">
        <v>10</v>
      </c>
      <c r="N334" s="9">
        <f t="shared" si="50"/>
        <v>760</v>
      </c>
      <c r="O334" s="9">
        <f t="shared" si="51"/>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55"/>
        <v>0.16500000000000004</v>
      </c>
      <c r="AH334" s="38">
        <v>1</v>
      </c>
      <c r="AI334" s="15">
        <v>0</v>
      </c>
      <c r="AJ334">
        <v>0</v>
      </c>
      <c r="AK334" s="36">
        <v>1</v>
      </c>
      <c r="AL334">
        <v>8.5300000000000001E-2</v>
      </c>
      <c r="AM334" s="36">
        <f t="shared" si="54"/>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35">
      <c r="A335">
        <v>334</v>
      </c>
      <c r="B335">
        <v>22</v>
      </c>
      <c r="C335" s="22" t="s">
        <v>223</v>
      </c>
      <c r="D335" s="11">
        <v>2.4</v>
      </c>
      <c r="E335" s="12">
        <f t="shared" si="52"/>
        <v>1.1162790697674418</v>
      </c>
      <c r="F335" s="7">
        <v>2.15</v>
      </c>
      <c r="G335" s="8">
        <v>0</v>
      </c>
      <c r="H335" s="9">
        <v>0</v>
      </c>
      <c r="I335" s="9">
        <v>1</v>
      </c>
      <c r="J335" s="9">
        <v>0</v>
      </c>
      <c r="K335" s="9">
        <v>0</v>
      </c>
      <c r="L335" s="8">
        <v>1019</v>
      </c>
      <c r="M335" s="9">
        <v>5</v>
      </c>
      <c r="N335" s="9">
        <f t="shared" si="50"/>
        <v>1013</v>
      </c>
      <c r="O335" s="9">
        <f t="shared" si="51"/>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55"/>
        <v>0.15700000000000003</v>
      </c>
      <c r="AH335" s="38">
        <v>1</v>
      </c>
      <c r="AI335" s="15">
        <v>0</v>
      </c>
      <c r="AJ335">
        <v>1</v>
      </c>
      <c r="AK335" s="36">
        <v>0</v>
      </c>
      <c r="AL335">
        <v>8.5300000000000001E-2</v>
      </c>
      <c r="AM335" s="36">
        <f t="shared" si="54"/>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35">
      <c r="A336">
        <v>335</v>
      </c>
      <c r="B336">
        <v>22</v>
      </c>
      <c r="C336" s="22" t="s">
        <v>223</v>
      </c>
      <c r="D336" s="11">
        <v>-1.6</v>
      </c>
      <c r="E336" s="12">
        <f t="shared" si="52"/>
        <v>1.8181818181818183</v>
      </c>
      <c r="F336" s="7">
        <v>-0.88</v>
      </c>
      <c r="G336" s="8">
        <v>0</v>
      </c>
      <c r="H336" s="9">
        <v>0</v>
      </c>
      <c r="I336" s="9">
        <v>1</v>
      </c>
      <c r="J336" s="9">
        <v>0</v>
      </c>
      <c r="K336" s="9">
        <v>0</v>
      </c>
      <c r="L336" s="8">
        <v>1372</v>
      </c>
      <c r="M336" s="9">
        <v>10</v>
      </c>
      <c r="N336" s="9">
        <f t="shared" si="50"/>
        <v>1361</v>
      </c>
      <c r="O336" s="9">
        <f t="shared" si="51"/>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55"/>
        <v>0.15700000000000003</v>
      </c>
      <c r="AH336" s="38">
        <v>1</v>
      </c>
      <c r="AI336" s="15">
        <v>0</v>
      </c>
      <c r="AJ336">
        <v>1</v>
      </c>
      <c r="AK336" s="36">
        <v>0</v>
      </c>
      <c r="AL336">
        <v>8.5300000000000001E-2</v>
      </c>
      <c r="AM336" s="36">
        <f t="shared" si="54"/>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35">
      <c r="A337">
        <v>336</v>
      </c>
      <c r="B337">
        <v>22</v>
      </c>
      <c r="C337" s="22" t="s">
        <v>223</v>
      </c>
      <c r="D337" s="11">
        <v>0.7</v>
      </c>
      <c r="E337" s="12">
        <f t="shared" si="52"/>
        <v>1.044776119402985</v>
      </c>
      <c r="F337" s="7">
        <v>0.67</v>
      </c>
      <c r="G337" s="8">
        <v>0</v>
      </c>
      <c r="H337" s="9">
        <v>0</v>
      </c>
      <c r="I337" s="9">
        <v>1</v>
      </c>
      <c r="J337" s="9">
        <v>0</v>
      </c>
      <c r="K337" s="9">
        <v>0</v>
      </c>
      <c r="L337" s="8">
        <v>818</v>
      </c>
      <c r="M337" s="9">
        <v>5</v>
      </c>
      <c r="N337" s="9">
        <f t="shared" si="50"/>
        <v>812</v>
      </c>
      <c r="O337" s="9">
        <f t="shared" si="51"/>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55"/>
        <v>0.22100000000000009</v>
      </c>
      <c r="AH337" s="38">
        <v>1</v>
      </c>
      <c r="AI337" s="15">
        <v>0</v>
      </c>
      <c r="AJ337">
        <v>1</v>
      </c>
      <c r="AK337" s="36">
        <v>0</v>
      </c>
      <c r="AL337">
        <v>8.5300000000000001E-2</v>
      </c>
      <c r="AM337" s="36">
        <f t="shared" si="54"/>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35">
      <c r="A338">
        <v>337</v>
      </c>
      <c r="B338">
        <v>22</v>
      </c>
      <c r="C338" s="22" t="s">
        <v>223</v>
      </c>
      <c r="D338" s="11">
        <v>0.6</v>
      </c>
      <c r="E338" s="12">
        <f t="shared" si="52"/>
        <v>2.1428571428571428</v>
      </c>
      <c r="F338" s="7">
        <v>0.28000000000000003</v>
      </c>
      <c r="G338" s="8">
        <v>0</v>
      </c>
      <c r="H338" s="9">
        <v>0</v>
      </c>
      <c r="I338" s="9">
        <v>1</v>
      </c>
      <c r="J338" s="9">
        <v>0</v>
      </c>
      <c r="K338" s="9">
        <v>0</v>
      </c>
      <c r="L338" s="8">
        <v>958</v>
      </c>
      <c r="M338" s="9">
        <v>10</v>
      </c>
      <c r="N338" s="9">
        <f t="shared" si="50"/>
        <v>947</v>
      </c>
      <c r="O338" s="9">
        <f t="shared" si="51"/>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55"/>
        <v>0.22100000000000009</v>
      </c>
      <c r="AH338" s="38">
        <v>1</v>
      </c>
      <c r="AI338" s="15">
        <v>0</v>
      </c>
      <c r="AJ338">
        <v>1</v>
      </c>
      <c r="AK338" s="36">
        <v>0</v>
      </c>
      <c r="AL338">
        <v>8.5300000000000001E-2</v>
      </c>
      <c r="AM338" s="36">
        <f t="shared" si="54"/>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35">
      <c r="A339">
        <v>338</v>
      </c>
      <c r="B339">
        <v>22</v>
      </c>
      <c r="C339" s="22" t="s">
        <v>223</v>
      </c>
      <c r="D339" s="11">
        <v>2.9</v>
      </c>
      <c r="E339" s="12">
        <f t="shared" si="52"/>
        <v>0.85545722713864303</v>
      </c>
      <c r="F339" s="7">
        <v>3.39</v>
      </c>
      <c r="G339" s="8">
        <v>0</v>
      </c>
      <c r="H339" s="9">
        <v>0</v>
      </c>
      <c r="I339" s="9">
        <v>1</v>
      </c>
      <c r="J339" s="9">
        <v>0</v>
      </c>
      <c r="K339" s="9">
        <v>0</v>
      </c>
      <c r="L339" s="8">
        <v>664</v>
      </c>
      <c r="M339" s="9">
        <v>5</v>
      </c>
      <c r="N339" s="9">
        <f t="shared" si="50"/>
        <v>658</v>
      </c>
      <c r="O339" s="9">
        <f t="shared" si="51"/>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55"/>
        <v>0.15700000000000003</v>
      </c>
      <c r="AH339" s="38">
        <v>1</v>
      </c>
      <c r="AI339" s="15">
        <v>0</v>
      </c>
      <c r="AJ339">
        <v>1</v>
      </c>
      <c r="AK339" s="36">
        <v>0</v>
      </c>
      <c r="AL339">
        <v>8.5300000000000001E-2</v>
      </c>
      <c r="AM339" s="36">
        <f t="shared" si="54"/>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35">
      <c r="A340">
        <v>339</v>
      </c>
      <c r="B340">
        <v>22</v>
      </c>
      <c r="C340" s="22" t="s">
        <v>223</v>
      </c>
      <c r="D340" s="11">
        <v>3.9</v>
      </c>
      <c r="E340" s="12">
        <f t="shared" si="52"/>
        <v>1.4285714285714286</v>
      </c>
      <c r="F340" s="7">
        <v>2.73</v>
      </c>
      <c r="G340" s="8">
        <v>0</v>
      </c>
      <c r="H340" s="9">
        <v>0</v>
      </c>
      <c r="I340" s="9">
        <v>1</v>
      </c>
      <c r="J340" s="9">
        <v>0</v>
      </c>
      <c r="K340" s="9">
        <v>0</v>
      </c>
      <c r="L340" s="8">
        <v>1031</v>
      </c>
      <c r="M340" s="9">
        <v>10</v>
      </c>
      <c r="N340" s="9">
        <f t="shared" si="50"/>
        <v>1020</v>
      </c>
      <c r="O340" s="9">
        <f t="shared" si="51"/>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55"/>
        <v>0.15700000000000003</v>
      </c>
      <c r="AH340" s="38">
        <v>1</v>
      </c>
      <c r="AI340" s="15">
        <v>0</v>
      </c>
      <c r="AJ340">
        <v>1</v>
      </c>
      <c r="AK340" s="36">
        <v>0</v>
      </c>
      <c r="AL340">
        <v>8.5300000000000001E-2</v>
      </c>
      <c r="AM340" s="36">
        <f t="shared" si="54"/>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35">
      <c r="A341">
        <v>340</v>
      </c>
      <c r="B341">
        <v>22</v>
      </c>
      <c r="C341" s="22" t="s">
        <v>223</v>
      </c>
      <c r="D341" s="11">
        <v>5.2</v>
      </c>
      <c r="E341" s="12">
        <f t="shared" si="52"/>
        <v>1.0526315789473684</v>
      </c>
      <c r="F341" s="7">
        <v>4.9400000000000004</v>
      </c>
      <c r="G341" s="8">
        <v>0</v>
      </c>
      <c r="H341" s="9">
        <v>0</v>
      </c>
      <c r="I341" s="9">
        <v>1</v>
      </c>
      <c r="J341" s="9">
        <v>0</v>
      </c>
      <c r="K341" s="9">
        <v>0</v>
      </c>
      <c r="L341" s="8">
        <v>611</v>
      </c>
      <c r="M341" s="9">
        <v>5</v>
      </c>
      <c r="N341" s="9">
        <f t="shared" si="50"/>
        <v>605</v>
      </c>
      <c r="O341" s="9">
        <f t="shared" si="51"/>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55"/>
        <v>0.22100000000000009</v>
      </c>
      <c r="AH341" s="38">
        <v>1</v>
      </c>
      <c r="AI341" s="15">
        <v>0</v>
      </c>
      <c r="AJ341">
        <v>1</v>
      </c>
      <c r="AK341" s="36">
        <v>0</v>
      </c>
      <c r="AL341">
        <v>8.5300000000000001E-2</v>
      </c>
      <c r="AM341" s="36">
        <f t="shared" si="54"/>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35">
      <c r="A342">
        <v>341</v>
      </c>
      <c r="B342">
        <v>22</v>
      </c>
      <c r="C342" s="22" t="s">
        <v>223</v>
      </c>
      <c r="D342" s="11">
        <v>5.5</v>
      </c>
      <c r="E342" s="12">
        <f t="shared" si="52"/>
        <v>2.477477477477477</v>
      </c>
      <c r="F342" s="7">
        <v>2.2200000000000002</v>
      </c>
      <c r="G342" s="8">
        <v>0</v>
      </c>
      <c r="H342" s="9">
        <v>0</v>
      </c>
      <c r="I342" s="9">
        <v>1</v>
      </c>
      <c r="J342" s="9">
        <v>0</v>
      </c>
      <c r="K342" s="9">
        <v>0</v>
      </c>
      <c r="L342" s="8">
        <v>827</v>
      </c>
      <c r="M342" s="9">
        <v>10</v>
      </c>
      <c r="N342" s="9">
        <f t="shared" si="50"/>
        <v>816</v>
      </c>
      <c r="O342" s="9">
        <f t="shared" si="51"/>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55"/>
        <v>0.22100000000000009</v>
      </c>
      <c r="AH342" s="38">
        <v>1</v>
      </c>
      <c r="AI342" s="15">
        <v>0</v>
      </c>
      <c r="AJ342">
        <v>1</v>
      </c>
      <c r="AK342" s="36">
        <v>0</v>
      </c>
      <c r="AL342">
        <v>8.5300000000000001E-2</v>
      </c>
      <c r="AM342" s="36">
        <f t="shared" si="54"/>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35">
      <c r="A343">
        <v>342</v>
      </c>
      <c r="B343">
        <v>22</v>
      </c>
      <c r="C343" s="22" t="s">
        <v>223</v>
      </c>
      <c r="D343" s="11">
        <v>2.2000000000000002</v>
      </c>
      <c r="E343" s="12">
        <f t="shared" si="52"/>
        <v>0.54590570719602982</v>
      </c>
      <c r="F343" s="7">
        <v>4.03</v>
      </c>
      <c r="G343" s="8">
        <v>0</v>
      </c>
      <c r="H343" s="9">
        <v>0</v>
      </c>
      <c r="I343" s="9">
        <v>1</v>
      </c>
      <c r="J343" s="9">
        <v>0</v>
      </c>
      <c r="K343" s="9">
        <v>0</v>
      </c>
      <c r="L343" s="8">
        <v>5589</v>
      </c>
      <c r="M343" s="9">
        <v>17</v>
      </c>
      <c r="N343" s="9">
        <f t="shared" si="50"/>
        <v>5571</v>
      </c>
      <c r="O343" s="9">
        <f t="shared" si="51"/>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54"/>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35">
      <c r="A344">
        <v>343</v>
      </c>
      <c r="B344">
        <v>22</v>
      </c>
      <c r="C344" s="22" t="s">
        <v>223</v>
      </c>
      <c r="D344" s="11">
        <v>2.7</v>
      </c>
      <c r="E344" s="12">
        <f t="shared" si="52"/>
        <v>0.54655870445344124</v>
      </c>
      <c r="F344" s="7">
        <v>4.9400000000000004</v>
      </c>
      <c r="G344" s="8">
        <v>0</v>
      </c>
      <c r="H344" s="9">
        <v>0</v>
      </c>
      <c r="I344" s="9">
        <v>1</v>
      </c>
      <c r="J344" s="9">
        <v>0</v>
      </c>
      <c r="K344" s="9">
        <v>0</v>
      </c>
      <c r="L344" s="8">
        <v>5589</v>
      </c>
      <c r="M344" s="9">
        <v>11</v>
      </c>
      <c r="N344" s="9">
        <f t="shared" si="50"/>
        <v>5577</v>
      </c>
      <c r="O344" s="9">
        <f t="shared" si="51"/>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54"/>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35">
      <c r="A345">
        <v>344</v>
      </c>
      <c r="B345">
        <v>22</v>
      </c>
      <c r="C345" s="22" t="s">
        <v>223</v>
      </c>
      <c r="D345" s="11">
        <v>4.5999999999999996</v>
      </c>
      <c r="E345" s="12">
        <f t="shared" si="52"/>
        <v>1.1084337349397588</v>
      </c>
      <c r="F345" s="7">
        <v>4.1500000000000004</v>
      </c>
      <c r="G345" s="8">
        <v>0</v>
      </c>
      <c r="H345" s="9">
        <v>0</v>
      </c>
      <c r="I345" s="9">
        <v>1</v>
      </c>
      <c r="J345" s="9">
        <v>0</v>
      </c>
      <c r="K345" s="9">
        <v>0</v>
      </c>
      <c r="L345" s="8">
        <v>5589</v>
      </c>
      <c r="M345" s="9">
        <v>12</v>
      </c>
      <c r="N345" s="9">
        <f t="shared" si="50"/>
        <v>5576</v>
      </c>
      <c r="O345" s="9">
        <f t="shared" si="51"/>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54"/>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35">
      <c r="A346" s="47">
        <v>345</v>
      </c>
      <c r="B346" s="47">
        <v>22</v>
      </c>
      <c r="C346" s="48" t="s">
        <v>223</v>
      </c>
      <c r="D346" s="49">
        <v>1.2</v>
      </c>
      <c r="E346" s="50">
        <f t="shared" si="52"/>
        <v>1.5789473684210527</v>
      </c>
      <c r="F346" s="51">
        <v>0.76</v>
      </c>
      <c r="G346" s="53">
        <v>0</v>
      </c>
      <c r="H346" s="54">
        <v>0</v>
      </c>
      <c r="I346" s="54">
        <v>1</v>
      </c>
      <c r="J346" s="54">
        <v>0</v>
      </c>
      <c r="K346" s="54">
        <v>0</v>
      </c>
      <c r="L346" s="53">
        <v>5589</v>
      </c>
      <c r="M346" s="54">
        <v>17</v>
      </c>
      <c r="N346" s="54">
        <f t="shared" si="50"/>
        <v>5571</v>
      </c>
      <c r="O346" s="54">
        <f t="shared" si="51"/>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54"/>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35">
      <c r="A347">
        <v>346</v>
      </c>
      <c r="B347">
        <v>23</v>
      </c>
      <c r="C347" s="22" t="s">
        <v>224</v>
      </c>
      <c r="D347" s="11">
        <v>17.8</v>
      </c>
      <c r="E347" s="12">
        <v>0.70399999999999996</v>
      </c>
      <c r="F347" s="7">
        <f t="shared" ref="F347:F362" si="56">D347/E347</f>
        <v>25.28409090909091</v>
      </c>
      <c r="G347" s="8">
        <v>0</v>
      </c>
      <c r="H347" s="9">
        <v>0</v>
      </c>
      <c r="I347" s="9">
        <v>0</v>
      </c>
      <c r="J347" s="9">
        <v>1</v>
      </c>
      <c r="K347" s="9">
        <v>0</v>
      </c>
      <c r="L347" s="8">
        <v>5109</v>
      </c>
      <c r="M347" s="9">
        <v>5</v>
      </c>
      <c r="N347" s="9">
        <f t="shared" si="50"/>
        <v>5103</v>
      </c>
      <c r="O347" s="9">
        <f t="shared" si="51"/>
        <v>15</v>
      </c>
      <c r="P347" s="7">
        <v>7.0203000000000007</v>
      </c>
      <c r="Q347" s="7">
        <f t="shared" ref="Q347:Q361" si="57">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35">
      <c r="A348">
        <v>347</v>
      </c>
      <c r="B348">
        <v>23</v>
      </c>
      <c r="C348" s="22" t="s">
        <v>224</v>
      </c>
      <c r="D348" s="11">
        <v>14.7</v>
      </c>
      <c r="E348" s="12">
        <v>4.71</v>
      </c>
      <c r="F348" s="7">
        <f t="shared" si="56"/>
        <v>3.1210191082802545</v>
      </c>
      <c r="G348" s="8">
        <v>0</v>
      </c>
      <c r="H348" s="9">
        <v>0</v>
      </c>
      <c r="I348" s="9">
        <v>0</v>
      </c>
      <c r="J348" s="9">
        <v>1</v>
      </c>
      <c r="K348" s="9">
        <v>0</v>
      </c>
      <c r="L348" s="8">
        <v>5109</v>
      </c>
      <c r="M348" s="9">
        <v>5</v>
      </c>
      <c r="N348" s="9">
        <f t="shared" si="50"/>
        <v>5103</v>
      </c>
      <c r="O348" s="9">
        <f t="shared" si="51"/>
        <v>15</v>
      </c>
      <c r="P348" s="7">
        <v>7.0203000000000007</v>
      </c>
      <c r="Q348" s="7">
        <f t="shared" si="57"/>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35">
      <c r="A349">
        <v>348</v>
      </c>
      <c r="B349">
        <v>23</v>
      </c>
      <c r="C349" s="22" t="s">
        <v>224</v>
      </c>
      <c r="D349" s="11">
        <v>15.1</v>
      </c>
      <c r="E349" s="12">
        <v>4.12</v>
      </c>
      <c r="F349" s="7">
        <f t="shared" si="56"/>
        <v>3.6650485436893203</v>
      </c>
      <c r="G349" s="8">
        <v>0</v>
      </c>
      <c r="H349" s="9">
        <v>0</v>
      </c>
      <c r="I349" s="9">
        <v>0</v>
      </c>
      <c r="J349" s="9">
        <v>1</v>
      </c>
      <c r="K349" s="9">
        <v>0</v>
      </c>
      <c r="L349" s="8">
        <v>5109</v>
      </c>
      <c r="M349" s="9">
        <v>5</v>
      </c>
      <c r="N349" s="9">
        <f t="shared" si="50"/>
        <v>5103</v>
      </c>
      <c r="O349" s="9">
        <f t="shared" si="51"/>
        <v>15</v>
      </c>
      <c r="P349" s="7">
        <v>7.0203000000000007</v>
      </c>
      <c r="Q349" s="7">
        <f t="shared" si="57"/>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35">
      <c r="A350">
        <v>349</v>
      </c>
      <c r="B350">
        <v>23</v>
      </c>
      <c r="C350" s="22" t="s">
        <v>224</v>
      </c>
      <c r="D350" s="11">
        <v>17.899999999999999</v>
      </c>
      <c r="E350" s="12">
        <v>0.83599999999999997</v>
      </c>
      <c r="F350" s="7">
        <f t="shared" si="56"/>
        <v>21.411483253588514</v>
      </c>
      <c r="G350" s="8">
        <v>0</v>
      </c>
      <c r="H350" s="9">
        <v>0</v>
      </c>
      <c r="I350" s="9">
        <v>0</v>
      </c>
      <c r="J350" s="9">
        <v>1</v>
      </c>
      <c r="K350" s="9">
        <v>0</v>
      </c>
      <c r="L350" s="8">
        <v>3510</v>
      </c>
      <c r="M350" s="9">
        <v>4</v>
      </c>
      <c r="N350" s="9">
        <f t="shared" si="50"/>
        <v>3505</v>
      </c>
      <c r="O350" s="9">
        <f t="shared" si="51"/>
        <v>15</v>
      </c>
      <c r="P350" s="7">
        <v>7.0203000000000007</v>
      </c>
      <c r="Q350" s="7">
        <f t="shared" si="57"/>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35">
      <c r="A351">
        <v>350</v>
      </c>
      <c r="B351">
        <v>23</v>
      </c>
      <c r="C351" s="22" t="s">
        <v>224</v>
      </c>
      <c r="D351" s="11">
        <v>13</v>
      </c>
      <c r="E351" s="12">
        <v>4.0199999999999996</v>
      </c>
      <c r="F351" s="7">
        <f t="shared" si="56"/>
        <v>3.2338308457711444</v>
      </c>
      <c r="G351" s="8">
        <v>0</v>
      </c>
      <c r="H351" s="9">
        <v>0</v>
      </c>
      <c r="I351" s="9">
        <v>0</v>
      </c>
      <c r="J351" s="9">
        <v>1</v>
      </c>
      <c r="K351" s="9">
        <v>0</v>
      </c>
      <c r="L351" s="8">
        <v>3510</v>
      </c>
      <c r="M351" s="9">
        <v>4</v>
      </c>
      <c r="N351" s="9">
        <f t="shared" si="50"/>
        <v>3505</v>
      </c>
      <c r="O351" s="9">
        <f t="shared" si="51"/>
        <v>15</v>
      </c>
      <c r="P351" s="7">
        <v>7.0203000000000007</v>
      </c>
      <c r="Q351" s="7">
        <f t="shared" si="57"/>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35">
      <c r="A352">
        <v>351</v>
      </c>
      <c r="B352">
        <v>23</v>
      </c>
      <c r="C352" s="22" t="s">
        <v>224</v>
      </c>
      <c r="D352" s="11">
        <v>17.899999999999999</v>
      </c>
      <c r="E352" s="12">
        <v>0.83599999999999997</v>
      </c>
      <c r="F352" s="7">
        <f t="shared" si="56"/>
        <v>21.411483253588514</v>
      </c>
      <c r="G352" s="8">
        <v>0</v>
      </c>
      <c r="H352" s="9">
        <v>0</v>
      </c>
      <c r="I352" s="9">
        <v>0</v>
      </c>
      <c r="J352" s="9">
        <v>1</v>
      </c>
      <c r="K352" s="9">
        <v>0</v>
      </c>
      <c r="L352" s="8">
        <v>3510</v>
      </c>
      <c r="M352" s="9">
        <v>4</v>
      </c>
      <c r="N352" s="9">
        <f t="shared" si="50"/>
        <v>3505</v>
      </c>
      <c r="O352" s="9">
        <f t="shared" si="51"/>
        <v>15</v>
      </c>
      <c r="P352" s="7">
        <v>7.0203000000000007</v>
      </c>
      <c r="Q352" s="7">
        <f t="shared" si="57"/>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35">
      <c r="A353">
        <v>352</v>
      </c>
      <c r="B353">
        <v>23</v>
      </c>
      <c r="C353" s="22" t="s">
        <v>224</v>
      </c>
      <c r="D353" s="11">
        <v>16.7</v>
      </c>
      <c r="E353" s="12">
        <v>6.41</v>
      </c>
      <c r="F353" s="7">
        <f t="shared" si="56"/>
        <v>2.6053042121684866</v>
      </c>
      <c r="G353" s="8">
        <v>0</v>
      </c>
      <c r="H353" s="9">
        <v>0</v>
      </c>
      <c r="I353" s="9">
        <v>0</v>
      </c>
      <c r="J353" s="9">
        <v>1</v>
      </c>
      <c r="K353" s="9">
        <v>0</v>
      </c>
      <c r="L353" s="8">
        <v>1599</v>
      </c>
      <c r="M353" s="9">
        <v>4</v>
      </c>
      <c r="N353" s="9">
        <f t="shared" si="50"/>
        <v>1594</v>
      </c>
      <c r="O353" s="9">
        <f t="shared" si="51"/>
        <v>15</v>
      </c>
      <c r="P353" s="7">
        <v>7.0203000000000007</v>
      </c>
      <c r="Q353" s="7">
        <f t="shared" si="57"/>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35">
      <c r="A354">
        <v>353</v>
      </c>
      <c r="B354">
        <v>23</v>
      </c>
      <c r="C354" s="22" t="s">
        <v>224</v>
      </c>
      <c r="D354" s="11">
        <v>14.4</v>
      </c>
      <c r="E354" s="12">
        <v>1.4</v>
      </c>
      <c r="F354" s="7">
        <f t="shared" si="56"/>
        <v>10.285714285714286</v>
      </c>
      <c r="G354" s="8">
        <v>0</v>
      </c>
      <c r="H354" s="9">
        <v>0</v>
      </c>
      <c r="I354" s="9">
        <v>0</v>
      </c>
      <c r="J354" s="9">
        <v>1</v>
      </c>
      <c r="K354" s="9">
        <v>0</v>
      </c>
      <c r="L354" s="8">
        <v>890</v>
      </c>
      <c r="M354" s="9">
        <v>4</v>
      </c>
      <c r="N354" s="9">
        <f t="shared" si="50"/>
        <v>885</v>
      </c>
      <c r="O354" s="9">
        <f t="shared" si="51"/>
        <v>15</v>
      </c>
      <c r="P354" s="7">
        <v>7.0203000000000007</v>
      </c>
      <c r="Q354" s="7">
        <f t="shared" si="57"/>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35">
      <c r="A355">
        <v>354</v>
      </c>
      <c r="B355">
        <v>23</v>
      </c>
      <c r="C355" s="22" t="s">
        <v>224</v>
      </c>
      <c r="D355" s="11">
        <v>21.4</v>
      </c>
      <c r="E355" s="12">
        <v>4.41</v>
      </c>
      <c r="F355" s="7">
        <f t="shared" si="56"/>
        <v>4.8526077097505667</v>
      </c>
      <c r="G355" s="8">
        <v>0</v>
      </c>
      <c r="H355" s="9">
        <v>0</v>
      </c>
      <c r="I355" s="9">
        <v>0</v>
      </c>
      <c r="J355" s="9">
        <v>1</v>
      </c>
      <c r="K355" s="9">
        <v>0</v>
      </c>
      <c r="L355" s="8">
        <v>890</v>
      </c>
      <c r="M355" s="9">
        <v>3</v>
      </c>
      <c r="N355" s="9">
        <f t="shared" si="50"/>
        <v>886</v>
      </c>
      <c r="O355" s="9">
        <f t="shared" si="51"/>
        <v>15</v>
      </c>
      <c r="P355" s="7">
        <v>7.0203000000000007</v>
      </c>
      <c r="Q355" s="7">
        <f t="shared" si="57"/>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35">
      <c r="A356">
        <v>355</v>
      </c>
      <c r="B356">
        <v>23</v>
      </c>
      <c r="C356" s="22" t="s">
        <v>224</v>
      </c>
      <c r="D356" s="11">
        <v>14.4</v>
      </c>
      <c r="E356" s="12">
        <v>1.4</v>
      </c>
      <c r="F356" s="7">
        <f t="shared" si="56"/>
        <v>10.285714285714286</v>
      </c>
      <c r="G356" s="8">
        <v>0</v>
      </c>
      <c r="H356" s="9">
        <v>0</v>
      </c>
      <c r="I356" s="9">
        <v>0</v>
      </c>
      <c r="J356" s="9">
        <v>1</v>
      </c>
      <c r="K356" s="9">
        <v>0</v>
      </c>
      <c r="L356" s="8">
        <v>890</v>
      </c>
      <c r="M356" s="9">
        <v>4</v>
      </c>
      <c r="N356" s="9">
        <f t="shared" si="50"/>
        <v>885</v>
      </c>
      <c r="O356" s="9">
        <f t="shared" si="51"/>
        <v>15</v>
      </c>
      <c r="P356" s="7">
        <v>7.0203000000000007</v>
      </c>
      <c r="Q356" s="7">
        <f t="shared" si="57"/>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35">
      <c r="A357">
        <v>356</v>
      </c>
      <c r="B357">
        <v>23</v>
      </c>
      <c r="C357" s="22" t="s">
        <v>224</v>
      </c>
      <c r="D357" s="11">
        <v>34.5</v>
      </c>
      <c r="E357" s="12">
        <v>5.26</v>
      </c>
      <c r="F357" s="7">
        <f t="shared" si="56"/>
        <v>6.5589353612167303</v>
      </c>
      <c r="G357" s="8">
        <v>0</v>
      </c>
      <c r="H357" s="9">
        <v>0</v>
      </c>
      <c r="I357" s="9">
        <v>0</v>
      </c>
      <c r="J357" s="9">
        <v>1</v>
      </c>
      <c r="K357" s="9">
        <v>0</v>
      </c>
      <c r="L357" s="8">
        <v>4219</v>
      </c>
      <c r="M357" s="9">
        <v>3</v>
      </c>
      <c r="N357" s="9">
        <f t="shared" si="50"/>
        <v>4215</v>
      </c>
      <c r="O357" s="9">
        <f t="shared" si="51"/>
        <v>15</v>
      </c>
      <c r="P357" s="7">
        <v>7.0203000000000007</v>
      </c>
      <c r="Q357" s="7">
        <f t="shared" si="57"/>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35">
      <c r="A358">
        <v>357</v>
      </c>
      <c r="B358">
        <v>23</v>
      </c>
      <c r="C358" s="22" t="s">
        <v>224</v>
      </c>
      <c r="D358" s="11">
        <v>5.62</v>
      </c>
      <c r="E358" s="12">
        <v>2.2999999999999998</v>
      </c>
      <c r="F358" s="7">
        <f t="shared" si="56"/>
        <v>2.4434782608695653</v>
      </c>
      <c r="G358" s="8">
        <v>0</v>
      </c>
      <c r="H358" s="9">
        <v>0</v>
      </c>
      <c r="I358" s="9">
        <v>0</v>
      </c>
      <c r="J358" s="9">
        <v>1</v>
      </c>
      <c r="K358" s="9">
        <v>0</v>
      </c>
      <c r="L358" s="8">
        <v>592</v>
      </c>
      <c r="M358" s="9">
        <v>3</v>
      </c>
      <c r="N358" s="9">
        <f t="shared" si="50"/>
        <v>588</v>
      </c>
      <c r="O358" s="9">
        <f t="shared" si="51"/>
        <v>15</v>
      </c>
      <c r="P358" s="7">
        <v>7.0203000000000007</v>
      </c>
      <c r="Q358" s="7">
        <f t="shared" si="57"/>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35">
      <c r="A359">
        <v>358</v>
      </c>
      <c r="B359">
        <v>23</v>
      </c>
      <c r="C359" s="22" t="s">
        <v>224</v>
      </c>
      <c r="D359" s="11">
        <v>4.5999999999999996</v>
      </c>
      <c r="E359" s="12">
        <v>8.3699999999999992</v>
      </c>
      <c r="F359" s="7">
        <f t="shared" si="56"/>
        <v>0.54958183990442055</v>
      </c>
      <c r="G359" s="8">
        <v>0</v>
      </c>
      <c r="H359" s="9">
        <v>0</v>
      </c>
      <c r="I359" s="9">
        <v>0</v>
      </c>
      <c r="J359" s="9">
        <v>1</v>
      </c>
      <c r="K359" s="9">
        <v>0</v>
      </c>
      <c r="L359" s="8">
        <v>798</v>
      </c>
      <c r="M359" s="9">
        <v>3</v>
      </c>
      <c r="N359" s="9">
        <f t="shared" si="50"/>
        <v>794</v>
      </c>
      <c r="O359" s="9">
        <f t="shared" si="51"/>
        <v>15</v>
      </c>
      <c r="P359" s="7">
        <v>7.0203000000000007</v>
      </c>
      <c r="Q359" s="7">
        <f t="shared" si="57"/>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35">
      <c r="A360">
        <v>359</v>
      </c>
      <c r="B360">
        <v>23</v>
      </c>
      <c r="C360" s="22" t="s">
        <v>224</v>
      </c>
      <c r="D360" s="11">
        <v>15.5</v>
      </c>
      <c r="E360" s="12">
        <v>4.87</v>
      </c>
      <c r="F360" s="7">
        <f t="shared" si="56"/>
        <v>3.1827515400410675</v>
      </c>
      <c r="G360" s="8">
        <v>0</v>
      </c>
      <c r="H360" s="9">
        <v>0</v>
      </c>
      <c r="I360" s="9">
        <v>0</v>
      </c>
      <c r="J360" s="9">
        <v>1</v>
      </c>
      <c r="K360" s="9">
        <v>0</v>
      </c>
      <c r="L360" s="8">
        <v>1582</v>
      </c>
      <c r="M360" s="9">
        <v>3</v>
      </c>
      <c r="N360" s="9">
        <f t="shared" si="50"/>
        <v>1578</v>
      </c>
      <c r="O360" s="9">
        <f t="shared" si="51"/>
        <v>15</v>
      </c>
      <c r="P360" s="7">
        <v>7.0203000000000007</v>
      </c>
      <c r="Q360" s="7">
        <f t="shared" si="57"/>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35">
      <c r="A361" s="47">
        <v>360</v>
      </c>
      <c r="B361" s="47">
        <v>23</v>
      </c>
      <c r="C361" s="48" t="s">
        <v>224</v>
      </c>
      <c r="D361" s="49">
        <v>37.700000000000003</v>
      </c>
      <c r="E361" s="50">
        <v>5.13</v>
      </c>
      <c r="F361" s="51">
        <f t="shared" si="56"/>
        <v>7.3489278752436658</v>
      </c>
      <c r="G361" s="53">
        <v>0</v>
      </c>
      <c r="H361" s="54">
        <v>0</v>
      </c>
      <c r="I361" s="54">
        <v>0</v>
      </c>
      <c r="J361" s="54">
        <v>1</v>
      </c>
      <c r="K361" s="54">
        <v>0</v>
      </c>
      <c r="L361" s="53">
        <v>2137</v>
      </c>
      <c r="M361" s="54">
        <v>3</v>
      </c>
      <c r="N361" s="54">
        <f t="shared" si="50"/>
        <v>2133</v>
      </c>
      <c r="O361" s="54">
        <f t="shared" si="51"/>
        <v>15</v>
      </c>
      <c r="P361" s="51">
        <v>7.0203000000000007</v>
      </c>
      <c r="Q361" s="51">
        <f t="shared" si="57"/>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35">
      <c r="A362">
        <v>361</v>
      </c>
      <c r="B362">
        <v>24</v>
      </c>
      <c r="C362" s="22" t="s">
        <v>235</v>
      </c>
      <c r="D362" s="11">
        <v>7.2</v>
      </c>
      <c r="E362" s="12">
        <v>0.5</v>
      </c>
      <c r="F362" s="7">
        <f t="shared" si="56"/>
        <v>14.4</v>
      </c>
      <c r="G362" s="8">
        <v>0</v>
      </c>
      <c r="H362" s="9">
        <v>0</v>
      </c>
      <c r="I362" s="9">
        <v>1</v>
      </c>
      <c r="J362" s="9">
        <v>0</v>
      </c>
      <c r="K362" s="9">
        <v>0</v>
      </c>
      <c r="L362" s="8">
        <v>11501</v>
      </c>
      <c r="M362" s="9">
        <v>10</v>
      </c>
      <c r="N362" s="9">
        <f t="shared" si="50"/>
        <v>11490</v>
      </c>
      <c r="O362" s="9">
        <f t="shared" si="51"/>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8">1-(SUM(AD362:AF362))</f>
        <v>0.10799999999999998</v>
      </c>
      <c r="AH362" s="38">
        <v>0.57999999999999996</v>
      </c>
      <c r="AI362" s="15">
        <v>0.42</v>
      </c>
      <c r="AJ362">
        <v>1</v>
      </c>
      <c r="AK362" s="36">
        <v>0</v>
      </c>
      <c r="AL362" t="s">
        <v>94</v>
      </c>
      <c r="AM362" s="36" t="s">
        <v>94</v>
      </c>
      <c r="AN362">
        <v>0</v>
      </c>
      <c r="AO362" s="15">
        <v>1</v>
      </c>
      <c r="AP362">
        <f t="shared" ref="AP362:AP397" si="59">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3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50"/>
        <v>11483</v>
      </c>
      <c r="O363" s="9">
        <f t="shared" si="51"/>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8"/>
        <v>0.10799999999999998</v>
      </c>
      <c r="AH363" s="38">
        <v>0.57999999999999996</v>
      </c>
      <c r="AI363" s="15">
        <v>0.42</v>
      </c>
      <c r="AJ363">
        <v>1</v>
      </c>
      <c r="AK363" s="36">
        <v>0</v>
      </c>
      <c r="AL363" t="s">
        <v>94</v>
      </c>
      <c r="AM363" s="36" t="s">
        <v>94</v>
      </c>
      <c r="AN363">
        <v>0</v>
      </c>
      <c r="AO363" s="15">
        <v>1</v>
      </c>
      <c r="AP363">
        <f t="shared" si="59"/>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3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50"/>
        <v>11483</v>
      </c>
      <c r="O364" s="9">
        <f t="shared" si="51"/>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8"/>
        <v>0.10799999999999998</v>
      </c>
      <c r="AH364" s="38">
        <v>0.57999999999999996</v>
      </c>
      <c r="AI364" s="15">
        <v>0.42</v>
      </c>
      <c r="AJ364">
        <v>1</v>
      </c>
      <c r="AK364" s="36">
        <v>0</v>
      </c>
      <c r="AL364" t="s">
        <v>94</v>
      </c>
      <c r="AM364" s="36" t="s">
        <v>94</v>
      </c>
      <c r="AN364">
        <v>0</v>
      </c>
      <c r="AO364" s="15">
        <v>1</v>
      </c>
      <c r="AP364">
        <f t="shared" si="59"/>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3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50"/>
        <v>11483</v>
      </c>
      <c r="O365" s="9">
        <f t="shared" si="51"/>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8"/>
        <v>0.10799999999999998</v>
      </c>
      <c r="AH365" s="38">
        <v>0.57999999999999996</v>
      </c>
      <c r="AI365" s="15">
        <v>0.42</v>
      </c>
      <c r="AJ365">
        <v>1</v>
      </c>
      <c r="AK365" s="36">
        <v>0</v>
      </c>
      <c r="AL365" t="s">
        <v>94</v>
      </c>
      <c r="AM365" s="36" t="s">
        <v>94</v>
      </c>
      <c r="AN365">
        <v>0</v>
      </c>
      <c r="AO365" s="15">
        <v>1</v>
      </c>
      <c r="AP365">
        <f t="shared" si="59"/>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3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50"/>
        <v>11483</v>
      </c>
      <c r="O366" s="9">
        <f t="shared" si="51"/>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8"/>
        <v>0.10799999999999998</v>
      </c>
      <c r="AH366" s="38">
        <v>0.57999999999999996</v>
      </c>
      <c r="AI366" s="15">
        <v>0.42</v>
      </c>
      <c r="AJ366">
        <v>1</v>
      </c>
      <c r="AK366" s="36">
        <v>0</v>
      </c>
      <c r="AL366" t="s">
        <v>94</v>
      </c>
      <c r="AM366" s="36" t="s">
        <v>94</v>
      </c>
      <c r="AN366">
        <v>0</v>
      </c>
      <c r="AO366" s="15">
        <v>1</v>
      </c>
      <c r="AP366">
        <f t="shared" si="59"/>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3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50"/>
        <v>11483</v>
      </c>
      <c r="O367" s="9">
        <f t="shared" si="51"/>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8"/>
        <v>0.10799999999999998</v>
      </c>
      <c r="AH367" s="38">
        <v>0.57999999999999996</v>
      </c>
      <c r="AI367" s="15">
        <v>0.42</v>
      </c>
      <c r="AJ367">
        <v>1</v>
      </c>
      <c r="AK367" s="36">
        <v>0</v>
      </c>
      <c r="AL367" t="s">
        <v>94</v>
      </c>
      <c r="AM367" s="36" t="s">
        <v>94</v>
      </c>
      <c r="AN367">
        <v>0</v>
      </c>
      <c r="AO367" s="15">
        <v>1</v>
      </c>
      <c r="AP367">
        <f t="shared" si="59"/>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3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50"/>
        <v>11483</v>
      </c>
      <c r="O368" s="9">
        <f t="shared" si="51"/>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8"/>
        <v>0.10799999999999998</v>
      </c>
      <c r="AH368" s="38">
        <v>0.57999999999999996</v>
      </c>
      <c r="AI368" s="15">
        <v>0.42</v>
      </c>
      <c r="AJ368">
        <v>1</v>
      </c>
      <c r="AK368" s="36">
        <v>0</v>
      </c>
      <c r="AL368" t="s">
        <v>94</v>
      </c>
      <c r="AM368" s="36" t="s">
        <v>94</v>
      </c>
      <c r="AN368">
        <v>0</v>
      </c>
      <c r="AO368" s="15">
        <v>1</v>
      </c>
      <c r="AP368">
        <f t="shared" si="59"/>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3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50"/>
        <v>2007</v>
      </c>
      <c r="O369" s="9">
        <f t="shared" si="51"/>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8"/>
        <v>0.127</v>
      </c>
      <c r="AH369" s="38">
        <v>0.16</v>
      </c>
      <c r="AI369" s="15">
        <v>0.84</v>
      </c>
      <c r="AJ369">
        <v>0</v>
      </c>
      <c r="AK369" s="36">
        <v>1</v>
      </c>
      <c r="AL369" t="s">
        <v>94</v>
      </c>
      <c r="AM369" s="36" t="s">
        <v>94</v>
      </c>
      <c r="AN369">
        <v>0</v>
      </c>
      <c r="AO369" s="15">
        <v>1</v>
      </c>
      <c r="AP369">
        <f t="shared" si="59"/>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3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50"/>
        <v>2000</v>
      </c>
      <c r="O370" s="9">
        <f t="shared" si="51"/>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8"/>
        <v>0.127</v>
      </c>
      <c r="AH370" s="38">
        <v>0.16</v>
      </c>
      <c r="AI370" s="15">
        <v>0.84</v>
      </c>
      <c r="AJ370">
        <v>0</v>
      </c>
      <c r="AK370" s="36">
        <v>1</v>
      </c>
      <c r="AL370" t="s">
        <v>94</v>
      </c>
      <c r="AM370" s="36" t="s">
        <v>94</v>
      </c>
      <c r="AN370">
        <v>0</v>
      </c>
      <c r="AO370" s="15">
        <v>1</v>
      </c>
      <c r="AP370">
        <f t="shared" si="59"/>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3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50"/>
        <v>2000</v>
      </c>
      <c r="O371" s="9">
        <f t="shared" si="51"/>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8"/>
        <v>0.127</v>
      </c>
      <c r="AH371" s="38">
        <v>0.16</v>
      </c>
      <c r="AI371" s="15">
        <v>0.84</v>
      </c>
      <c r="AJ371">
        <v>0</v>
      </c>
      <c r="AK371" s="36">
        <v>1</v>
      </c>
      <c r="AL371" t="s">
        <v>94</v>
      </c>
      <c r="AM371" s="36" t="s">
        <v>94</v>
      </c>
      <c r="AN371">
        <v>0</v>
      </c>
      <c r="AO371" s="15">
        <v>1</v>
      </c>
      <c r="AP371">
        <f t="shared" si="59"/>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3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50"/>
        <v>2000</v>
      </c>
      <c r="O372" s="9">
        <f t="shared" si="51"/>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8"/>
        <v>0.127</v>
      </c>
      <c r="AH372" s="38">
        <v>0.16</v>
      </c>
      <c r="AI372" s="15">
        <v>0.84</v>
      </c>
      <c r="AJ372">
        <v>0</v>
      </c>
      <c r="AK372" s="36">
        <v>1</v>
      </c>
      <c r="AL372" t="s">
        <v>94</v>
      </c>
      <c r="AM372" s="36" t="s">
        <v>94</v>
      </c>
      <c r="AN372">
        <v>0</v>
      </c>
      <c r="AO372" s="15">
        <v>1</v>
      </c>
      <c r="AP372">
        <f t="shared" si="59"/>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3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50"/>
        <v>2000</v>
      </c>
      <c r="O373" s="9">
        <f t="shared" si="51"/>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8"/>
        <v>0.127</v>
      </c>
      <c r="AH373" s="38">
        <v>0.16</v>
      </c>
      <c r="AI373" s="15">
        <v>0.84</v>
      </c>
      <c r="AJ373">
        <v>0</v>
      </c>
      <c r="AK373" s="36">
        <v>1</v>
      </c>
      <c r="AL373" t="s">
        <v>94</v>
      </c>
      <c r="AM373" s="36" t="s">
        <v>94</v>
      </c>
      <c r="AN373">
        <v>0</v>
      </c>
      <c r="AO373" s="15">
        <v>1</v>
      </c>
      <c r="AP373">
        <f t="shared" si="59"/>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3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50"/>
        <v>2000</v>
      </c>
      <c r="O374" s="9">
        <f t="shared" si="51"/>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8"/>
        <v>0.127</v>
      </c>
      <c r="AH374" s="38">
        <v>0.16</v>
      </c>
      <c r="AI374" s="15">
        <v>0.84</v>
      </c>
      <c r="AJ374">
        <v>0</v>
      </c>
      <c r="AK374" s="36">
        <v>1</v>
      </c>
      <c r="AL374" t="s">
        <v>94</v>
      </c>
      <c r="AM374" s="36" t="s">
        <v>94</v>
      </c>
      <c r="AN374">
        <v>0</v>
      </c>
      <c r="AO374" s="15">
        <v>1</v>
      </c>
      <c r="AP374">
        <f t="shared" si="59"/>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3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50"/>
        <v>2000</v>
      </c>
      <c r="O375" s="9">
        <f t="shared" si="51"/>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8"/>
        <v>0.127</v>
      </c>
      <c r="AH375" s="38">
        <v>0.16</v>
      </c>
      <c r="AI375" s="15">
        <v>0.84</v>
      </c>
      <c r="AJ375">
        <v>0</v>
      </c>
      <c r="AK375" s="36">
        <v>1</v>
      </c>
      <c r="AL375" t="s">
        <v>94</v>
      </c>
      <c r="AM375" s="36" t="s">
        <v>94</v>
      </c>
      <c r="AN375">
        <v>0</v>
      </c>
      <c r="AO375" s="15">
        <v>1</v>
      </c>
      <c r="AP375">
        <f t="shared" si="59"/>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35">
      <c r="A376">
        <v>375</v>
      </c>
      <c r="B376">
        <v>24</v>
      </c>
      <c r="C376" s="22" t="s">
        <v>235</v>
      </c>
      <c r="D376" s="11">
        <v>6.4</v>
      </c>
      <c r="E376" s="12">
        <v>0.5</v>
      </c>
      <c r="F376" s="7">
        <f>D376/E376</f>
        <v>12.8</v>
      </c>
      <c r="G376" s="8">
        <v>0</v>
      </c>
      <c r="H376" s="9">
        <v>0</v>
      </c>
      <c r="I376" s="9">
        <v>1</v>
      </c>
      <c r="J376" s="9">
        <v>0</v>
      </c>
      <c r="K376" s="9">
        <v>0</v>
      </c>
      <c r="L376" s="8">
        <v>11501</v>
      </c>
      <c r="M376" s="9">
        <v>11</v>
      </c>
      <c r="N376" s="9">
        <f t="shared" si="50"/>
        <v>11489</v>
      </c>
      <c r="O376" s="9">
        <f t="shared" si="51"/>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8"/>
        <v>0.10799999999999998</v>
      </c>
      <c r="AH376" s="38">
        <v>0.57999999999999996</v>
      </c>
      <c r="AI376" s="15">
        <v>0.42</v>
      </c>
      <c r="AJ376">
        <v>1</v>
      </c>
      <c r="AK376" s="36">
        <v>0</v>
      </c>
      <c r="AL376" t="s">
        <v>94</v>
      </c>
      <c r="AM376" s="36" t="s">
        <v>94</v>
      </c>
      <c r="AN376">
        <v>0</v>
      </c>
      <c r="AO376" s="15">
        <v>1</v>
      </c>
      <c r="AP376">
        <f t="shared" si="59"/>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3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50"/>
        <v>11482</v>
      </c>
      <c r="O377" s="9">
        <f t="shared" si="51"/>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8"/>
        <v>0.10799999999999998</v>
      </c>
      <c r="AH377" s="38">
        <v>0.57999999999999996</v>
      </c>
      <c r="AI377" s="15">
        <v>0.42</v>
      </c>
      <c r="AJ377">
        <v>1</v>
      </c>
      <c r="AK377" s="36">
        <v>0</v>
      </c>
      <c r="AL377" t="s">
        <v>94</v>
      </c>
      <c r="AM377" s="36" t="s">
        <v>94</v>
      </c>
      <c r="AN377">
        <v>0</v>
      </c>
      <c r="AO377" s="15">
        <v>1</v>
      </c>
      <c r="AP377">
        <f t="shared" si="59"/>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3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50"/>
        <v>11482</v>
      </c>
      <c r="O378" s="9">
        <f t="shared" si="51"/>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8"/>
        <v>0.10799999999999998</v>
      </c>
      <c r="AH378" s="38">
        <v>0.57999999999999996</v>
      </c>
      <c r="AI378" s="15">
        <v>0.42</v>
      </c>
      <c r="AJ378">
        <v>1</v>
      </c>
      <c r="AK378" s="36">
        <v>0</v>
      </c>
      <c r="AL378" t="s">
        <v>94</v>
      </c>
      <c r="AM378" s="36" t="s">
        <v>94</v>
      </c>
      <c r="AN378">
        <v>0</v>
      </c>
      <c r="AO378" s="15">
        <v>1</v>
      </c>
      <c r="AP378">
        <f t="shared" si="59"/>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3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50"/>
        <v>11482</v>
      </c>
      <c r="O379" s="9">
        <f t="shared" si="51"/>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8"/>
        <v>0.10799999999999998</v>
      </c>
      <c r="AH379" s="38">
        <v>0.57999999999999996</v>
      </c>
      <c r="AI379" s="15">
        <v>0.42</v>
      </c>
      <c r="AJ379">
        <v>1</v>
      </c>
      <c r="AK379" s="36">
        <v>0</v>
      </c>
      <c r="AL379" t="s">
        <v>94</v>
      </c>
      <c r="AM379" s="36" t="s">
        <v>94</v>
      </c>
      <c r="AN379">
        <v>0</v>
      </c>
      <c r="AO379" s="15">
        <v>1</v>
      </c>
      <c r="AP379">
        <f t="shared" si="59"/>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3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50"/>
        <v>11482</v>
      </c>
      <c r="O380" s="9">
        <f t="shared" si="51"/>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8"/>
        <v>0.10799999999999998</v>
      </c>
      <c r="AH380" s="38">
        <v>0.57999999999999996</v>
      </c>
      <c r="AI380" s="15">
        <v>0.42</v>
      </c>
      <c r="AJ380">
        <v>1</v>
      </c>
      <c r="AK380" s="36">
        <v>0</v>
      </c>
      <c r="AL380" t="s">
        <v>94</v>
      </c>
      <c r="AM380" s="36" t="s">
        <v>94</v>
      </c>
      <c r="AN380">
        <v>0</v>
      </c>
      <c r="AO380" s="15">
        <v>1</v>
      </c>
      <c r="AP380">
        <f t="shared" si="59"/>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3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50"/>
        <v>11482</v>
      </c>
      <c r="O381" s="9">
        <f t="shared" si="51"/>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8"/>
        <v>0.10799999999999998</v>
      </c>
      <c r="AH381" s="38">
        <v>0.57999999999999996</v>
      </c>
      <c r="AI381" s="15">
        <v>0.42</v>
      </c>
      <c r="AJ381">
        <v>1</v>
      </c>
      <c r="AK381" s="36">
        <v>0</v>
      </c>
      <c r="AL381" t="s">
        <v>94</v>
      </c>
      <c r="AM381" s="36" t="s">
        <v>94</v>
      </c>
      <c r="AN381">
        <v>0</v>
      </c>
      <c r="AO381" s="15">
        <v>1</v>
      </c>
      <c r="AP381">
        <f t="shared" si="59"/>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3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50"/>
        <v>11482</v>
      </c>
      <c r="O382" s="9">
        <f t="shared" si="51"/>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8"/>
        <v>0.10799999999999998</v>
      </c>
      <c r="AH382" s="38">
        <v>0.57999999999999996</v>
      </c>
      <c r="AI382" s="15">
        <v>0.42</v>
      </c>
      <c r="AJ382">
        <v>1</v>
      </c>
      <c r="AK382" s="36">
        <v>0</v>
      </c>
      <c r="AL382" t="s">
        <v>94</v>
      </c>
      <c r="AM382" s="36" t="s">
        <v>94</v>
      </c>
      <c r="AN382">
        <v>0</v>
      </c>
      <c r="AO382" s="15">
        <v>1</v>
      </c>
      <c r="AP382">
        <f t="shared" si="59"/>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35">
      <c r="A383">
        <v>382</v>
      </c>
      <c r="B383">
        <v>24</v>
      </c>
      <c r="C383" s="22" t="s">
        <v>235</v>
      </c>
      <c r="D383" s="11">
        <v>14.2</v>
      </c>
      <c r="E383" s="12">
        <v>1</v>
      </c>
      <c r="F383" s="7">
        <f>D383/E383</f>
        <v>14.2</v>
      </c>
      <c r="G383" s="8">
        <v>0</v>
      </c>
      <c r="H383" s="9">
        <v>0</v>
      </c>
      <c r="I383" s="9">
        <v>1</v>
      </c>
      <c r="J383" s="9">
        <v>0</v>
      </c>
      <c r="K383" s="9">
        <v>0</v>
      </c>
      <c r="L383" s="8">
        <v>2018</v>
      </c>
      <c r="M383" s="9">
        <v>11</v>
      </c>
      <c r="N383" s="9">
        <f t="shared" si="50"/>
        <v>2006</v>
      </c>
      <c r="O383" s="9">
        <f t="shared" si="51"/>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8"/>
        <v>0.127</v>
      </c>
      <c r="AH383" s="38">
        <v>0.16</v>
      </c>
      <c r="AI383" s="15">
        <v>0.84</v>
      </c>
      <c r="AJ383">
        <v>0</v>
      </c>
      <c r="AK383" s="36">
        <v>1</v>
      </c>
      <c r="AL383" t="s">
        <v>94</v>
      </c>
      <c r="AM383" s="36" t="s">
        <v>94</v>
      </c>
      <c r="AN383">
        <v>0</v>
      </c>
      <c r="AO383" s="15">
        <v>1</v>
      </c>
      <c r="AP383">
        <f t="shared" si="59"/>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3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50"/>
        <v>1999</v>
      </c>
      <c r="O384" s="9">
        <f t="shared" si="51"/>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8"/>
        <v>0.127</v>
      </c>
      <c r="AH384" s="38">
        <v>0.16</v>
      </c>
      <c r="AI384" s="15">
        <v>0.84</v>
      </c>
      <c r="AJ384">
        <v>0</v>
      </c>
      <c r="AK384" s="36">
        <v>1</v>
      </c>
      <c r="AL384" t="s">
        <v>94</v>
      </c>
      <c r="AM384" s="36" t="s">
        <v>94</v>
      </c>
      <c r="AN384">
        <v>0</v>
      </c>
      <c r="AO384" s="15">
        <v>1</v>
      </c>
      <c r="AP384">
        <f t="shared" si="59"/>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3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50"/>
        <v>1999</v>
      </c>
      <c r="O385" s="9">
        <f t="shared" si="51"/>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8"/>
        <v>0.127</v>
      </c>
      <c r="AH385" s="38">
        <v>0.16</v>
      </c>
      <c r="AI385" s="15">
        <v>0.84</v>
      </c>
      <c r="AJ385">
        <v>0</v>
      </c>
      <c r="AK385" s="36">
        <v>1</v>
      </c>
      <c r="AL385" t="s">
        <v>94</v>
      </c>
      <c r="AM385" s="36" t="s">
        <v>94</v>
      </c>
      <c r="AN385">
        <v>0</v>
      </c>
      <c r="AO385" s="15">
        <v>1</v>
      </c>
      <c r="AP385">
        <f t="shared" si="59"/>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3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60">L386-M386-1</f>
        <v>1999</v>
      </c>
      <c r="O386" s="9">
        <f t="shared" ref="O386:O449" si="61">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8"/>
        <v>0.127</v>
      </c>
      <c r="AH386" s="38">
        <v>0.16</v>
      </c>
      <c r="AI386" s="15">
        <v>0.84</v>
      </c>
      <c r="AJ386">
        <v>0</v>
      </c>
      <c r="AK386" s="36">
        <v>1</v>
      </c>
      <c r="AL386" t="s">
        <v>94</v>
      </c>
      <c r="AM386" s="36" t="s">
        <v>94</v>
      </c>
      <c r="AN386">
        <v>0</v>
      </c>
      <c r="AO386" s="15">
        <v>1</v>
      </c>
      <c r="AP386">
        <f t="shared" si="59"/>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3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60"/>
        <v>1999</v>
      </c>
      <c r="O387" s="9">
        <f t="shared" si="61"/>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8"/>
        <v>0.127</v>
      </c>
      <c r="AH387" s="38">
        <v>0.16</v>
      </c>
      <c r="AI387" s="15">
        <v>0.84</v>
      </c>
      <c r="AJ387">
        <v>0</v>
      </c>
      <c r="AK387" s="36">
        <v>1</v>
      </c>
      <c r="AL387" t="s">
        <v>94</v>
      </c>
      <c r="AM387" s="36" t="s">
        <v>94</v>
      </c>
      <c r="AN387">
        <v>0</v>
      </c>
      <c r="AO387" s="15">
        <v>1</v>
      </c>
      <c r="AP387">
        <f t="shared" si="59"/>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3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60"/>
        <v>1999</v>
      </c>
      <c r="O388" s="9">
        <f t="shared" si="61"/>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8"/>
        <v>0.127</v>
      </c>
      <c r="AH388" s="38">
        <v>0.16</v>
      </c>
      <c r="AI388" s="15">
        <v>0.84</v>
      </c>
      <c r="AJ388">
        <v>0</v>
      </c>
      <c r="AK388" s="36">
        <v>1</v>
      </c>
      <c r="AL388" t="s">
        <v>94</v>
      </c>
      <c r="AM388" s="36" t="s">
        <v>94</v>
      </c>
      <c r="AN388">
        <v>0</v>
      </c>
      <c r="AO388" s="15">
        <v>1</v>
      </c>
      <c r="AP388">
        <f t="shared" si="59"/>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3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60"/>
        <v>1999</v>
      </c>
      <c r="O389" s="9">
        <f t="shared" si="61"/>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8"/>
        <v>0.127</v>
      </c>
      <c r="AH389" s="38">
        <v>0.16</v>
      </c>
      <c r="AI389" s="15">
        <v>0.84</v>
      </c>
      <c r="AJ389">
        <v>0</v>
      </c>
      <c r="AK389" s="36">
        <v>1</v>
      </c>
      <c r="AL389" t="s">
        <v>94</v>
      </c>
      <c r="AM389" s="36" t="s">
        <v>94</v>
      </c>
      <c r="AN389">
        <v>0</v>
      </c>
      <c r="AO389" s="15">
        <v>1</v>
      </c>
      <c r="AP389">
        <f t="shared" si="59"/>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35">
      <c r="A390">
        <v>389</v>
      </c>
      <c r="B390">
        <v>24</v>
      </c>
      <c r="C390" s="22" t="s">
        <v>235</v>
      </c>
      <c r="D390" s="11">
        <v>9.9</v>
      </c>
      <c r="E390" s="12">
        <v>1</v>
      </c>
      <c r="F390" s="7">
        <f t="shared" ref="F390:F409" si="62">D390/E390</f>
        <v>9.9</v>
      </c>
      <c r="G390" s="8">
        <v>0</v>
      </c>
      <c r="H390" s="9">
        <v>0</v>
      </c>
      <c r="I390" s="9">
        <v>1</v>
      </c>
      <c r="J390" s="9">
        <v>0</v>
      </c>
      <c r="K390" s="9">
        <v>0</v>
      </c>
      <c r="L390" s="8">
        <v>4155</v>
      </c>
      <c r="M390" s="9">
        <v>10</v>
      </c>
      <c r="N390" s="9">
        <f t="shared" si="60"/>
        <v>4144</v>
      </c>
      <c r="O390" s="9">
        <f t="shared" si="61"/>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8"/>
        <v>0.10799999999999998</v>
      </c>
      <c r="AH390" s="38">
        <v>0.57999999999999996</v>
      </c>
      <c r="AI390" s="15">
        <v>0.42</v>
      </c>
      <c r="AJ390">
        <v>1</v>
      </c>
      <c r="AK390" s="36">
        <v>0</v>
      </c>
      <c r="AL390" t="s">
        <v>94</v>
      </c>
      <c r="AM390" s="36" t="s">
        <v>94</v>
      </c>
      <c r="AN390">
        <v>0</v>
      </c>
      <c r="AO390" s="15">
        <v>1</v>
      </c>
      <c r="AP390">
        <f t="shared" si="59"/>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35">
      <c r="A391">
        <v>390</v>
      </c>
      <c r="B391">
        <v>24</v>
      </c>
      <c r="C391" s="22" t="s">
        <v>235</v>
      </c>
      <c r="D391" s="11">
        <v>10.6</v>
      </c>
      <c r="E391" s="12">
        <v>0.5</v>
      </c>
      <c r="F391" s="7">
        <f t="shared" si="62"/>
        <v>21.2</v>
      </c>
      <c r="G391" s="8">
        <v>0</v>
      </c>
      <c r="H391" s="9">
        <v>0</v>
      </c>
      <c r="I391" s="9">
        <v>1</v>
      </c>
      <c r="J391" s="9">
        <v>0</v>
      </c>
      <c r="K391" s="9">
        <v>0</v>
      </c>
      <c r="L391" s="8">
        <v>5590</v>
      </c>
      <c r="M391" s="9">
        <v>10</v>
      </c>
      <c r="N391" s="9">
        <f t="shared" si="60"/>
        <v>5579</v>
      </c>
      <c r="O391" s="9">
        <f t="shared" si="61"/>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8"/>
        <v>0.10799999999999998</v>
      </c>
      <c r="AH391" s="38">
        <v>0.57999999999999996</v>
      </c>
      <c r="AI391" s="15">
        <v>0.42</v>
      </c>
      <c r="AJ391">
        <v>1</v>
      </c>
      <c r="AK391" s="36">
        <v>0</v>
      </c>
      <c r="AL391" t="s">
        <v>94</v>
      </c>
      <c r="AM391" s="36" t="s">
        <v>94</v>
      </c>
      <c r="AN391">
        <v>0</v>
      </c>
      <c r="AO391" s="15">
        <v>1</v>
      </c>
      <c r="AP391">
        <f t="shared" si="59"/>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35">
      <c r="A392">
        <v>391</v>
      </c>
      <c r="B392">
        <v>24</v>
      </c>
      <c r="C392" s="22" t="s">
        <v>235</v>
      </c>
      <c r="D392" s="11">
        <v>16.899999999999999</v>
      </c>
      <c r="E392" s="12">
        <v>3</v>
      </c>
      <c r="F392" s="7">
        <f t="shared" si="62"/>
        <v>5.6333333333333329</v>
      </c>
      <c r="G392" s="8">
        <v>0</v>
      </c>
      <c r="H392" s="9">
        <v>0</v>
      </c>
      <c r="I392" s="9">
        <v>1</v>
      </c>
      <c r="J392" s="9">
        <v>0</v>
      </c>
      <c r="K392" s="9">
        <v>0</v>
      </c>
      <c r="L392" s="8">
        <v>493</v>
      </c>
      <c r="M392" s="9">
        <v>8</v>
      </c>
      <c r="N392" s="9">
        <f t="shared" si="60"/>
        <v>484</v>
      </c>
      <c r="O392" s="9">
        <f t="shared" si="61"/>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8"/>
        <v>0.127</v>
      </c>
      <c r="AH392" s="38">
        <v>0.16</v>
      </c>
      <c r="AI392" s="15">
        <v>0.84</v>
      </c>
      <c r="AJ392">
        <v>0</v>
      </c>
      <c r="AK392" s="36">
        <v>1</v>
      </c>
      <c r="AL392" t="s">
        <v>94</v>
      </c>
      <c r="AM392" s="36" t="s">
        <v>94</v>
      </c>
      <c r="AN392">
        <v>0</v>
      </c>
      <c r="AO392" s="15">
        <v>1</v>
      </c>
      <c r="AP392">
        <f t="shared" si="59"/>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35">
      <c r="A393" s="47">
        <v>392</v>
      </c>
      <c r="B393" s="47">
        <v>24</v>
      </c>
      <c r="C393" s="48" t="s">
        <v>235</v>
      </c>
      <c r="D393" s="49">
        <v>17.600000000000001</v>
      </c>
      <c r="E393" s="50">
        <v>1</v>
      </c>
      <c r="F393" s="51">
        <f t="shared" si="62"/>
        <v>17.600000000000001</v>
      </c>
      <c r="G393" s="53">
        <v>0</v>
      </c>
      <c r="H393" s="54">
        <v>0</v>
      </c>
      <c r="I393" s="54">
        <v>1</v>
      </c>
      <c r="J393" s="54">
        <v>0</v>
      </c>
      <c r="K393" s="54">
        <v>0</v>
      </c>
      <c r="L393" s="53">
        <v>903</v>
      </c>
      <c r="M393" s="54">
        <v>9</v>
      </c>
      <c r="N393" s="54">
        <f t="shared" si="60"/>
        <v>893</v>
      </c>
      <c r="O393" s="54">
        <f t="shared" si="61"/>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8"/>
        <v>0.127</v>
      </c>
      <c r="AH393" s="58">
        <v>0.16</v>
      </c>
      <c r="AI393" s="59">
        <v>0.84</v>
      </c>
      <c r="AJ393" s="47">
        <v>0</v>
      </c>
      <c r="AK393" s="60">
        <v>1</v>
      </c>
      <c r="AL393" s="47" t="s">
        <v>94</v>
      </c>
      <c r="AM393" s="60" t="s">
        <v>94</v>
      </c>
      <c r="AN393">
        <v>0</v>
      </c>
      <c r="AO393" s="59">
        <v>1</v>
      </c>
      <c r="AP393" s="47">
        <f t="shared" si="59"/>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35">
      <c r="A394">
        <v>393</v>
      </c>
      <c r="B394">
        <v>25</v>
      </c>
      <c r="C394" s="22" t="s">
        <v>247</v>
      </c>
      <c r="D394" s="11">
        <v>8.61</v>
      </c>
      <c r="E394" s="12">
        <v>9.5899999999999999E-2</v>
      </c>
      <c r="F394" s="7">
        <f t="shared" si="62"/>
        <v>89.78102189781022</v>
      </c>
      <c r="G394" s="8">
        <v>0</v>
      </c>
      <c r="H394" s="9">
        <v>0</v>
      </c>
      <c r="I394" s="9">
        <v>0</v>
      </c>
      <c r="J394" s="9">
        <v>1</v>
      </c>
      <c r="K394" s="9">
        <v>0</v>
      </c>
      <c r="L394" s="8">
        <v>54759</v>
      </c>
      <c r="M394" s="9">
        <v>7</v>
      </c>
      <c r="N394" s="9">
        <f t="shared" si="60"/>
        <v>54751</v>
      </c>
      <c r="O394" s="9">
        <f t="shared" si="61"/>
        <v>4</v>
      </c>
      <c r="P394" s="7">
        <v>8.5079999999999991</v>
      </c>
      <c r="Q394" s="7">
        <f t="shared" ref="Q394:Q409" si="63">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9"/>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35">
      <c r="A395">
        <v>394</v>
      </c>
      <c r="B395">
        <v>25</v>
      </c>
      <c r="C395" s="22" t="s">
        <v>247</v>
      </c>
      <c r="D395" s="11">
        <v>7.11</v>
      </c>
      <c r="E395" s="12">
        <v>2.7</v>
      </c>
      <c r="F395" s="7">
        <f t="shared" si="62"/>
        <v>2.6333333333333333</v>
      </c>
      <c r="G395" s="8">
        <v>0</v>
      </c>
      <c r="H395" s="9">
        <v>0</v>
      </c>
      <c r="I395" s="9">
        <v>0</v>
      </c>
      <c r="J395" s="9">
        <v>1</v>
      </c>
      <c r="K395" s="9">
        <v>0</v>
      </c>
      <c r="L395" s="8">
        <v>54759</v>
      </c>
      <c r="M395" s="9">
        <v>7</v>
      </c>
      <c r="N395" s="9">
        <f t="shared" si="60"/>
        <v>54751</v>
      </c>
      <c r="O395" s="9">
        <f t="shared" si="61"/>
        <v>4</v>
      </c>
      <c r="P395" s="7">
        <v>8.5079999999999991</v>
      </c>
      <c r="Q395" s="7">
        <f t="shared" si="63"/>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9"/>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35">
      <c r="A396">
        <v>395</v>
      </c>
      <c r="B396">
        <v>25</v>
      </c>
      <c r="C396" s="22" t="s">
        <v>247</v>
      </c>
      <c r="D396" s="11">
        <v>8.5299999999999994</v>
      </c>
      <c r="E396" s="12">
        <v>3.6</v>
      </c>
      <c r="F396" s="7">
        <f t="shared" si="62"/>
        <v>2.369444444444444</v>
      </c>
      <c r="G396" s="8">
        <v>0</v>
      </c>
      <c r="H396" s="9">
        <v>0</v>
      </c>
      <c r="I396" s="9">
        <v>0</v>
      </c>
      <c r="J396" s="9">
        <v>1</v>
      </c>
      <c r="K396" s="9">
        <v>0</v>
      </c>
      <c r="L396" s="8">
        <v>54759</v>
      </c>
      <c r="M396" s="9">
        <v>7</v>
      </c>
      <c r="N396" s="9">
        <f t="shared" si="60"/>
        <v>54751</v>
      </c>
      <c r="O396" s="9">
        <f t="shared" si="61"/>
        <v>4</v>
      </c>
      <c r="P396" s="7">
        <v>8.5079999999999991</v>
      </c>
      <c r="Q396" s="7">
        <f t="shared" si="63"/>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9"/>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35">
      <c r="A397" s="47">
        <v>396</v>
      </c>
      <c r="B397" s="47">
        <v>25</v>
      </c>
      <c r="C397" s="48" t="s">
        <v>247</v>
      </c>
      <c r="D397" s="49">
        <v>4.4000000000000004</v>
      </c>
      <c r="E397" s="50">
        <v>0.28999999999999998</v>
      </c>
      <c r="F397" s="51">
        <f t="shared" si="62"/>
        <v>15.17241379310345</v>
      </c>
      <c r="G397" s="53">
        <v>0</v>
      </c>
      <c r="H397" s="54">
        <v>0</v>
      </c>
      <c r="I397" s="54">
        <v>0</v>
      </c>
      <c r="J397" s="54">
        <v>1</v>
      </c>
      <c r="K397" s="54">
        <v>0</v>
      </c>
      <c r="L397" s="53">
        <v>18912</v>
      </c>
      <c r="M397" s="54">
        <v>3</v>
      </c>
      <c r="N397" s="54">
        <f t="shared" si="60"/>
        <v>18908</v>
      </c>
      <c r="O397" s="54">
        <f t="shared" si="61"/>
        <v>4</v>
      </c>
      <c r="P397" s="51">
        <v>8.5079999999999991</v>
      </c>
      <c r="Q397" s="51">
        <f t="shared" si="63"/>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9"/>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35">
      <c r="A398">
        <v>397</v>
      </c>
      <c r="B398">
        <v>26</v>
      </c>
      <c r="C398" s="22" t="s">
        <v>248</v>
      </c>
      <c r="D398" s="11">
        <v>14.5</v>
      </c>
      <c r="E398" s="12">
        <v>0.41699999999999998</v>
      </c>
      <c r="F398" s="7">
        <f t="shared" si="62"/>
        <v>34.772182254196643</v>
      </c>
      <c r="G398" s="8">
        <v>0</v>
      </c>
      <c r="H398" s="9">
        <v>0</v>
      </c>
      <c r="I398" s="9">
        <v>0</v>
      </c>
      <c r="J398" s="9">
        <v>1</v>
      </c>
      <c r="K398" s="9">
        <v>0</v>
      </c>
      <c r="L398" s="8">
        <v>199833</v>
      </c>
      <c r="M398" s="9">
        <v>23</v>
      </c>
      <c r="N398" s="9">
        <f t="shared" si="60"/>
        <v>199809</v>
      </c>
      <c r="O398" s="9">
        <f t="shared" si="61"/>
        <v>12</v>
      </c>
      <c r="P398" s="7">
        <v>7.2</v>
      </c>
      <c r="Q398" s="7">
        <f t="shared" si="63"/>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35">
      <c r="A399">
        <v>398</v>
      </c>
      <c r="B399">
        <v>26</v>
      </c>
      <c r="C399" s="22" t="s">
        <v>248</v>
      </c>
      <c r="D399" s="11">
        <v>15.1</v>
      </c>
      <c r="E399" s="12">
        <v>0.47299999999999998</v>
      </c>
      <c r="F399" s="7">
        <f t="shared" si="62"/>
        <v>31.923890063424949</v>
      </c>
      <c r="G399" s="8">
        <v>0</v>
      </c>
      <c r="H399" s="9">
        <v>0</v>
      </c>
      <c r="I399" s="9">
        <v>0</v>
      </c>
      <c r="J399" s="9">
        <v>1</v>
      </c>
      <c r="K399" s="9">
        <v>0</v>
      </c>
      <c r="L399" s="8">
        <v>199833</v>
      </c>
      <c r="M399" s="9">
        <v>23</v>
      </c>
      <c r="N399" s="9">
        <f t="shared" si="60"/>
        <v>199809</v>
      </c>
      <c r="O399" s="9">
        <f t="shared" si="61"/>
        <v>12</v>
      </c>
      <c r="P399" s="7">
        <v>7.2</v>
      </c>
      <c r="Q399" s="7">
        <f t="shared" si="63"/>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35">
      <c r="A400">
        <v>399</v>
      </c>
      <c r="B400">
        <v>26</v>
      </c>
      <c r="C400" s="22" t="s">
        <v>248</v>
      </c>
      <c r="D400" s="11">
        <v>14.9</v>
      </c>
      <c r="E400" s="12">
        <v>0.54700000000000004</v>
      </c>
      <c r="F400" s="7">
        <f t="shared" si="62"/>
        <v>27.239488117001827</v>
      </c>
      <c r="G400" s="8">
        <v>0</v>
      </c>
      <c r="H400" s="9">
        <v>0</v>
      </c>
      <c r="I400" s="9">
        <v>0</v>
      </c>
      <c r="J400" s="9">
        <v>1</v>
      </c>
      <c r="K400" s="9">
        <v>0</v>
      </c>
      <c r="L400" s="8">
        <v>199833</v>
      </c>
      <c r="M400" s="9">
        <v>23</v>
      </c>
      <c r="N400" s="9">
        <f t="shared" si="60"/>
        <v>199809</v>
      </c>
      <c r="O400" s="9">
        <f t="shared" si="61"/>
        <v>12</v>
      </c>
      <c r="P400" s="7">
        <v>7.2</v>
      </c>
      <c r="Q400" s="7">
        <f t="shared" si="63"/>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35">
      <c r="A401">
        <v>400</v>
      </c>
      <c r="B401">
        <v>26</v>
      </c>
      <c r="C401" s="22" t="s">
        <v>248</v>
      </c>
      <c r="D401" s="11">
        <v>16.100000000000001</v>
      </c>
      <c r="E401" s="12">
        <v>0.625</v>
      </c>
      <c r="F401" s="7">
        <f t="shared" si="62"/>
        <v>25.76</v>
      </c>
      <c r="G401" s="8">
        <v>0</v>
      </c>
      <c r="H401" s="9">
        <v>0</v>
      </c>
      <c r="I401" s="9">
        <v>0</v>
      </c>
      <c r="J401" s="9">
        <v>1</v>
      </c>
      <c r="K401" s="9">
        <v>0</v>
      </c>
      <c r="L401" s="8">
        <v>199833</v>
      </c>
      <c r="M401" s="9">
        <v>23</v>
      </c>
      <c r="N401" s="9">
        <f t="shared" si="60"/>
        <v>199809</v>
      </c>
      <c r="O401" s="9">
        <f t="shared" si="61"/>
        <v>12</v>
      </c>
      <c r="P401" s="7">
        <v>7.2</v>
      </c>
      <c r="Q401" s="7">
        <f t="shared" si="63"/>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35">
      <c r="A402">
        <v>401</v>
      </c>
      <c r="B402">
        <v>26</v>
      </c>
      <c r="C402" s="22" t="s">
        <v>248</v>
      </c>
      <c r="D402" s="11">
        <v>12</v>
      </c>
      <c r="E402" s="12">
        <v>0.64800000000000002</v>
      </c>
      <c r="F402" s="7">
        <f t="shared" si="62"/>
        <v>18.518518518518519</v>
      </c>
      <c r="G402" s="8">
        <v>0</v>
      </c>
      <c r="H402" s="9">
        <v>0</v>
      </c>
      <c r="I402" s="9">
        <v>0</v>
      </c>
      <c r="J402" s="9">
        <v>1</v>
      </c>
      <c r="K402" s="9">
        <v>0</v>
      </c>
      <c r="L402" s="8">
        <v>112419</v>
      </c>
      <c r="M402" s="9">
        <v>23</v>
      </c>
      <c r="N402" s="9">
        <f t="shared" si="60"/>
        <v>112395</v>
      </c>
      <c r="O402" s="9">
        <f t="shared" si="61"/>
        <v>12</v>
      </c>
      <c r="P402" s="7">
        <v>7.2</v>
      </c>
      <c r="Q402" s="7">
        <f t="shared" si="63"/>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35">
      <c r="A403">
        <v>402</v>
      </c>
      <c r="B403">
        <v>26</v>
      </c>
      <c r="C403" s="22" t="s">
        <v>248</v>
      </c>
      <c r="D403" s="11">
        <v>12.8</v>
      </c>
      <c r="E403" s="12">
        <v>0.747</v>
      </c>
      <c r="F403" s="7">
        <f t="shared" si="62"/>
        <v>17.13520749665328</v>
      </c>
      <c r="G403" s="8">
        <v>0</v>
      </c>
      <c r="H403" s="9">
        <v>0</v>
      </c>
      <c r="I403" s="9">
        <v>0</v>
      </c>
      <c r="J403" s="9">
        <v>1</v>
      </c>
      <c r="K403" s="9">
        <v>0</v>
      </c>
      <c r="L403" s="8">
        <v>112419</v>
      </c>
      <c r="M403" s="9">
        <v>23</v>
      </c>
      <c r="N403" s="9">
        <f t="shared" si="60"/>
        <v>112395</v>
      </c>
      <c r="O403" s="9">
        <f t="shared" si="61"/>
        <v>12</v>
      </c>
      <c r="P403" s="7">
        <v>7.2</v>
      </c>
      <c r="Q403" s="7">
        <f t="shared" si="63"/>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35">
      <c r="A404">
        <v>403</v>
      </c>
      <c r="B404">
        <v>26</v>
      </c>
      <c r="C404" s="22" t="s">
        <v>248</v>
      </c>
      <c r="D404" s="11">
        <v>16.7</v>
      </c>
      <c r="E404" s="12">
        <v>0.61</v>
      </c>
      <c r="F404" s="7">
        <f t="shared" si="62"/>
        <v>27.377049180327869</v>
      </c>
      <c r="G404" s="8">
        <v>0</v>
      </c>
      <c r="H404" s="9">
        <v>0</v>
      </c>
      <c r="I404" s="9">
        <v>0</v>
      </c>
      <c r="J404" s="9">
        <v>1</v>
      </c>
      <c r="K404" s="9">
        <v>0</v>
      </c>
      <c r="L404" s="8">
        <v>87414</v>
      </c>
      <c r="M404" s="9">
        <v>23</v>
      </c>
      <c r="N404" s="9">
        <f t="shared" si="60"/>
        <v>87390</v>
      </c>
      <c r="O404" s="9">
        <f t="shared" si="61"/>
        <v>12</v>
      </c>
      <c r="P404" s="7">
        <v>7.2</v>
      </c>
      <c r="Q404" s="7">
        <f t="shared" si="63"/>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35">
      <c r="A405">
        <v>404</v>
      </c>
      <c r="B405">
        <v>26</v>
      </c>
      <c r="C405" s="22" t="s">
        <v>248</v>
      </c>
      <c r="D405" s="11">
        <v>16.399999999999999</v>
      </c>
      <c r="E405" s="12">
        <v>0.65200000000000002</v>
      </c>
      <c r="F405" s="7">
        <f t="shared" si="62"/>
        <v>25.153374233128833</v>
      </c>
      <c r="G405" s="8">
        <v>0</v>
      </c>
      <c r="H405" s="9">
        <v>0</v>
      </c>
      <c r="I405" s="9">
        <v>0</v>
      </c>
      <c r="J405" s="9">
        <v>1</v>
      </c>
      <c r="K405" s="9">
        <v>0</v>
      </c>
      <c r="L405" s="8">
        <v>87414</v>
      </c>
      <c r="M405" s="9">
        <v>23</v>
      </c>
      <c r="N405" s="9">
        <f t="shared" si="60"/>
        <v>87390</v>
      </c>
      <c r="O405" s="9">
        <f t="shared" si="61"/>
        <v>12</v>
      </c>
      <c r="P405" s="7">
        <v>7.2</v>
      </c>
      <c r="Q405" s="7">
        <f t="shared" si="63"/>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35">
      <c r="A406">
        <v>405</v>
      </c>
      <c r="B406">
        <v>26</v>
      </c>
      <c r="C406" s="22" t="s">
        <v>248</v>
      </c>
      <c r="D406" s="11">
        <v>14.6</v>
      </c>
      <c r="E406" s="12">
        <v>0.60099999999999998</v>
      </c>
      <c r="F406" s="7">
        <f t="shared" si="62"/>
        <v>24.292845257903494</v>
      </c>
      <c r="G406" s="8">
        <v>0</v>
      </c>
      <c r="H406" s="9">
        <v>0</v>
      </c>
      <c r="I406" s="9">
        <v>0</v>
      </c>
      <c r="J406" s="9">
        <v>1</v>
      </c>
      <c r="K406" s="9">
        <v>0</v>
      </c>
      <c r="L406" s="8">
        <v>135248</v>
      </c>
      <c r="M406" s="9">
        <v>23</v>
      </c>
      <c r="N406" s="9">
        <f t="shared" si="60"/>
        <v>135224</v>
      </c>
      <c r="O406" s="9">
        <f t="shared" si="61"/>
        <v>12</v>
      </c>
      <c r="P406" s="7">
        <v>7.2</v>
      </c>
      <c r="Q406" s="7">
        <f t="shared" si="63"/>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35">
      <c r="A407">
        <v>406</v>
      </c>
      <c r="B407">
        <v>26</v>
      </c>
      <c r="C407" s="22" t="s">
        <v>248</v>
      </c>
      <c r="D407" s="11">
        <v>15.8</v>
      </c>
      <c r="E407" s="12">
        <v>0.627</v>
      </c>
      <c r="F407" s="7">
        <f t="shared" si="62"/>
        <v>25.199362041467307</v>
      </c>
      <c r="G407" s="8">
        <v>0</v>
      </c>
      <c r="H407" s="9">
        <v>0</v>
      </c>
      <c r="I407" s="9">
        <v>0</v>
      </c>
      <c r="J407" s="9">
        <v>1</v>
      </c>
      <c r="K407" s="9">
        <v>0</v>
      </c>
      <c r="L407" s="8">
        <v>135248</v>
      </c>
      <c r="M407" s="9">
        <v>23</v>
      </c>
      <c r="N407" s="9">
        <f t="shared" si="60"/>
        <v>135224</v>
      </c>
      <c r="O407" s="9">
        <f t="shared" si="61"/>
        <v>12</v>
      </c>
      <c r="P407" s="7">
        <v>7.2</v>
      </c>
      <c r="Q407" s="7">
        <f t="shared" si="63"/>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35">
      <c r="A408">
        <v>407</v>
      </c>
      <c r="B408">
        <v>26</v>
      </c>
      <c r="C408" s="22" t="s">
        <v>248</v>
      </c>
      <c r="D408" s="11">
        <v>14.1</v>
      </c>
      <c r="E408" s="12">
        <v>0.57799999999999996</v>
      </c>
      <c r="F408" s="7">
        <f t="shared" si="62"/>
        <v>24.394463667820069</v>
      </c>
      <c r="G408" s="8">
        <v>0</v>
      </c>
      <c r="H408" s="9">
        <v>0</v>
      </c>
      <c r="I408" s="9">
        <v>0</v>
      </c>
      <c r="J408" s="9">
        <v>1</v>
      </c>
      <c r="K408" s="9">
        <v>0</v>
      </c>
      <c r="L408" s="8">
        <v>64585</v>
      </c>
      <c r="M408" s="9">
        <v>23</v>
      </c>
      <c r="N408" s="9">
        <f t="shared" si="60"/>
        <v>64561</v>
      </c>
      <c r="O408" s="9">
        <f t="shared" si="61"/>
        <v>12</v>
      </c>
      <c r="P408" s="7">
        <v>7.2</v>
      </c>
      <c r="Q408" s="7">
        <f t="shared" si="63"/>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35">
      <c r="A409">
        <v>408</v>
      </c>
      <c r="B409" s="47">
        <v>26</v>
      </c>
      <c r="C409" s="48" t="s">
        <v>248</v>
      </c>
      <c r="D409" s="49">
        <v>16.3</v>
      </c>
      <c r="E409" s="50">
        <v>0.71099999999999997</v>
      </c>
      <c r="F409" s="51">
        <f t="shared" si="62"/>
        <v>22.925457102672294</v>
      </c>
      <c r="G409" s="53">
        <v>0</v>
      </c>
      <c r="H409" s="54">
        <v>0</v>
      </c>
      <c r="I409" s="54">
        <v>0</v>
      </c>
      <c r="J409" s="54">
        <v>1</v>
      </c>
      <c r="K409" s="54">
        <v>0</v>
      </c>
      <c r="L409" s="53">
        <v>64585</v>
      </c>
      <c r="M409" s="54">
        <v>23</v>
      </c>
      <c r="N409" s="54">
        <f t="shared" si="60"/>
        <v>64561</v>
      </c>
      <c r="O409" s="54">
        <f t="shared" si="61"/>
        <v>12</v>
      </c>
      <c r="P409" s="51">
        <v>7.2</v>
      </c>
      <c r="Q409" s="51">
        <f t="shared" si="63"/>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35">
      <c r="A410">
        <v>409</v>
      </c>
      <c r="B410">
        <v>27</v>
      </c>
      <c r="C410" s="22" t="s">
        <v>393</v>
      </c>
      <c r="D410" s="11">
        <v>4.5999999999999996</v>
      </c>
      <c r="E410" s="12">
        <f t="shared" ref="E410:E417" si="64">D410/F410</f>
        <v>0.13855421686746985</v>
      </c>
      <c r="F410" s="7">
        <v>33.200000000000003</v>
      </c>
      <c r="G410" s="8">
        <v>0</v>
      </c>
      <c r="H410" s="9">
        <v>0</v>
      </c>
      <c r="I410" s="9">
        <v>0</v>
      </c>
      <c r="J410" s="9">
        <v>1</v>
      </c>
      <c r="K410" s="9">
        <v>0</v>
      </c>
      <c r="L410" s="8">
        <v>9065</v>
      </c>
      <c r="M410" s="9">
        <v>5</v>
      </c>
      <c r="N410" s="9">
        <f t="shared" si="60"/>
        <v>9059</v>
      </c>
      <c r="O410" s="9">
        <f t="shared" si="61"/>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35">
      <c r="A411">
        <v>410</v>
      </c>
      <c r="B411">
        <v>27</v>
      </c>
      <c r="C411" s="22" t="s">
        <v>393</v>
      </c>
      <c r="D411" s="11">
        <v>5.3</v>
      </c>
      <c r="E411" s="12">
        <f t="shared" si="64"/>
        <v>0.2264957264957265</v>
      </c>
      <c r="F411" s="7">
        <v>23.4</v>
      </c>
      <c r="G411" s="8">
        <v>0</v>
      </c>
      <c r="H411" s="9">
        <v>0</v>
      </c>
      <c r="I411" s="9">
        <v>0</v>
      </c>
      <c r="J411" s="9">
        <v>1</v>
      </c>
      <c r="K411" s="9">
        <v>0</v>
      </c>
      <c r="L411" s="8">
        <v>3135</v>
      </c>
      <c r="M411" s="9">
        <v>5</v>
      </c>
      <c r="N411" s="9">
        <f t="shared" si="60"/>
        <v>3129</v>
      </c>
      <c r="O411" s="9">
        <f t="shared" si="61"/>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35">
      <c r="A412">
        <v>411</v>
      </c>
      <c r="B412">
        <v>27</v>
      </c>
      <c r="C412" s="22" t="s">
        <v>393</v>
      </c>
      <c r="D412" s="11">
        <v>3.6</v>
      </c>
      <c r="E412" s="12">
        <f t="shared" si="64"/>
        <v>6.4285714285714293E-2</v>
      </c>
      <c r="F412" s="7">
        <v>56</v>
      </c>
      <c r="G412" s="8">
        <v>0</v>
      </c>
      <c r="H412" s="9">
        <v>0</v>
      </c>
      <c r="I412" s="9">
        <v>0</v>
      </c>
      <c r="J412" s="9">
        <v>1</v>
      </c>
      <c r="K412" s="9">
        <v>0</v>
      </c>
      <c r="L412" s="8">
        <v>55135</v>
      </c>
      <c r="M412" s="9">
        <v>5</v>
      </c>
      <c r="N412" s="9">
        <f t="shared" si="60"/>
        <v>55129</v>
      </c>
      <c r="O412" s="9">
        <f t="shared" si="61"/>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35">
      <c r="A413">
        <v>412</v>
      </c>
      <c r="B413">
        <v>27</v>
      </c>
      <c r="C413" s="22" t="s">
        <v>393</v>
      </c>
      <c r="D413" s="11">
        <v>2.8</v>
      </c>
      <c r="E413" s="12">
        <f t="shared" si="64"/>
        <v>9.3023255813953473E-2</v>
      </c>
      <c r="F413" s="7">
        <v>30.1</v>
      </c>
      <c r="G413" s="8">
        <v>0</v>
      </c>
      <c r="H413" s="9">
        <v>0</v>
      </c>
      <c r="I413" s="9">
        <v>0</v>
      </c>
      <c r="J413" s="9">
        <v>1</v>
      </c>
      <c r="K413" s="9">
        <v>0</v>
      </c>
      <c r="L413" s="8">
        <v>24826</v>
      </c>
      <c r="M413" s="9">
        <v>5</v>
      </c>
      <c r="N413" s="9">
        <f t="shared" si="60"/>
        <v>24820</v>
      </c>
      <c r="O413" s="9">
        <f t="shared" si="61"/>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35">
      <c r="A414">
        <v>413</v>
      </c>
      <c r="B414">
        <v>27</v>
      </c>
      <c r="C414" s="22" t="s">
        <v>393</v>
      </c>
      <c r="D414" s="11">
        <v>2.5</v>
      </c>
      <c r="E414" s="12">
        <f t="shared" si="64"/>
        <v>0.39936102236421728</v>
      </c>
      <c r="F414" s="7">
        <v>6.26</v>
      </c>
      <c r="G414" s="8">
        <v>0</v>
      </c>
      <c r="H414" s="9">
        <v>0</v>
      </c>
      <c r="I414" s="9">
        <v>0</v>
      </c>
      <c r="J414" s="9">
        <v>1</v>
      </c>
      <c r="K414" s="9">
        <v>0</v>
      </c>
      <c r="L414" s="8">
        <v>9065</v>
      </c>
      <c r="M414" s="9">
        <v>5</v>
      </c>
      <c r="N414" s="9">
        <f t="shared" si="60"/>
        <v>9059</v>
      </c>
      <c r="O414" s="9">
        <f t="shared" si="61"/>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35">
      <c r="A415">
        <v>414</v>
      </c>
      <c r="B415">
        <v>27</v>
      </c>
      <c r="C415" s="22" t="s">
        <v>393</v>
      </c>
      <c r="D415" s="11">
        <v>2.4</v>
      </c>
      <c r="E415" s="12">
        <f t="shared" si="64"/>
        <v>0.69364161849710981</v>
      </c>
      <c r="F415" s="7">
        <v>3.46</v>
      </c>
      <c r="G415" s="8">
        <v>0</v>
      </c>
      <c r="H415" s="9">
        <v>0</v>
      </c>
      <c r="I415" s="9">
        <v>0</v>
      </c>
      <c r="J415" s="9">
        <v>1</v>
      </c>
      <c r="K415" s="9">
        <v>0</v>
      </c>
      <c r="L415" s="8">
        <v>3135</v>
      </c>
      <c r="M415" s="9">
        <v>5</v>
      </c>
      <c r="N415" s="9">
        <f t="shared" si="60"/>
        <v>3129</v>
      </c>
      <c r="O415" s="9">
        <f t="shared" si="61"/>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35">
      <c r="A416">
        <v>415</v>
      </c>
      <c r="B416">
        <v>27</v>
      </c>
      <c r="C416" s="22" t="s">
        <v>393</v>
      </c>
      <c r="D416" s="11">
        <v>3.2</v>
      </c>
      <c r="E416" s="12">
        <f t="shared" si="64"/>
        <v>0.11228070175438597</v>
      </c>
      <c r="F416" s="7">
        <v>28.5</v>
      </c>
      <c r="G416" s="8">
        <v>0</v>
      </c>
      <c r="H416" s="9">
        <v>0</v>
      </c>
      <c r="I416" s="9">
        <v>0</v>
      </c>
      <c r="J416" s="9">
        <v>1</v>
      </c>
      <c r="K416" s="9">
        <v>0</v>
      </c>
      <c r="L416" s="8">
        <v>55135</v>
      </c>
      <c r="M416" s="9">
        <v>5</v>
      </c>
      <c r="N416" s="9">
        <f t="shared" si="60"/>
        <v>55129</v>
      </c>
      <c r="O416" s="9">
        <f t="shared" si="61"/>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35">
      <c r="A417" s="47">
        <v>416</v>
      </c>
      <c r="B417" s="47">
        <v>27</v>
      </c>
      <c r="C417" s="48" t="s">
        <v>393</v>
      </c>
      <c r="D417" s="49">
        <v>1.9</v>
      </c>
      <c r="E417" s="50">
        <f t="shared" si="64"/>
        <v>0.14843749999999997</v>
      </c>
      <c r="F417" s="51">
        <v>12.8</v>
      </c>
      <c r="G417" s="53">
        <v>0</v>
      </c>
      <c r="H417" s="54">
        <v>0</v>
      </c>
      <c r="I417" s="54">
        <v>0</v>
      </c>
      <c r="J417" s="54">
        <v>1</v>
      </c>
      <c r="K417" s="54">
        <v>0</v>
      </c>
      <c r="L417" s="53">
        <v>24826</v>
      </c>
      <c r="M417" s="54">
        <v>5</v>
      </c>
      <c r="N417" s="54">
        <f t="shared" si="60"/>
        <v>24820</v>
      </c>
      <c r="O417" s="54">
        <f t="shared" si="61"/>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35">
      <c r="A418">
        <v>417</v>
      </c>
      <c r="B418">
        <v>28</v>
      </c>
      <c r="C418" s="22" t="s">
        <v>261</v>
      </c>
      <c r="D418" s="11">
        <v>4.8</v>
      </c>
      <c r="E418" s="12">
        <v>0.3</v>
      </c>
      <c r="F418" s="7">
        <f t="shared" ref="F418:F426" si="65">D418/E418</f>
        <v>16</v>
      </c>
      <c r="G418" s="8">
        <v>0</v>
      </c>
      <c r="H418" s="9">
        <v>0</v>
      </c>
      <c r="I418" s="9">
        <v>0</v>
      </c>
      <c r="J418" s="9">
        <v>0</v>
      </c>
      <c r="K418" s="9">
        <v>1</v>
      </c>
      <c r="L418" s="8">
        <v>1629</v>
      </c>
      <c r="M418" s="9">
        <v>3</v>
      </c>
      <c r="N418" s="9">
        <f t="shared" si="60"/>
        <v>1625</v>
      </c>
      <c r="O418" s="9">
        <f t="shared" si="61"/>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66">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35">
      <c r="A419">
        <v>418</v>
      </c>
      <c r="B419">
        <v>28</v>
      </c>
      <c r="C419" s="22" t="s">
        <v>261</v>
      </c>
      <c r="D419" s="11">
        <v>4.5999999999999996</v>
      </c>
      <c r="E419" s="12">
        <v>0.3</v>
      </c>
      <c r="F419" s="7">
        <f t="shared" si="65"/>
        <v>15.333333333333332</v>
      </c>
      <c r="G419" s="8">
        <v>0</v>
      </c>
      <c r="H419" s="9">
        <v>0</v>
      </c>
      <c r="I419" s="9">
        <v>0</v>
      </c>
      <c r="J419" s="9">
        <v>0</v>
      </c>
      <c r="K419" s="9">
        <v>1</v>
      </c>
      <c r="L419" s="8">
        <v>2041</v>
      </c>
      <c r="M419" s="9">
        <v>3</v>
      </c>
      <c r="N419" s="9">
        <f t="shared" si="60"/>
        <v>2037</v>
      </c>
      <c r="O419" s="9">
        <f t="shared" si="61"/>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66"/>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35">
      <c r="A420">
        <v>419</v>
      </c>
      <c r="B420">
        <v>28</v>
      </c>
      <c r="C420" s="22" t="s">
        <v>261</v>
      </c>
      <c r="D420" s="11">
        <v>5.3</v>
      </c>
      <c r="E420" s="12">
        <v>0.3</v>
      </c>
      <c r="F420" s="7">
        <f t="shared" si="65"/>
        <v>17.666666666666668</v>
      </c>
      <c r="G420" s="8">
        <v>0</v>
      </c>
      <c r="H420" s="9">
        <v>0</v>
      </c>
      <c r="I420" s="9">
        <v>0</v>
      </c>
      <c r="J420" s="9">
        <v>0</v>
      </c>
      <c r="K420" s="9">
        <v>1</v>
      </c>
      <c r="L420" s="8">
        <v>2949</v>
      </c>
      <c r="M420" s="9">
        <v>3</v>
      </c>
      <c r="N420" s="9">
        <f t="shared" si="60"/>
        <v>2945</v>
      </c>
      <c r="O420" s="9">
        <f t="shared" si="61"/>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66"/>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35">
      <c r="A421">
        <v>420</v>
      </c>
      <c r="B421">
        <v>28</v>
      </c>
      <c r="C421" s="22" t="s">
        <v>261</v>
      </c>
      <c r="D421" s="11">
        <v>7</v>
      </c>
      <c r="E421" s="12">
        <v>0.6</v>
      </c>
      <c r="F421" s="7">
        <f t="shared" si="65"/>
        <v>11.666666666666668</v>
      </c>
      <c r="G421" s="8">
        <v>0</v>
      </c>
      <c r="H421" s="9">
        <v>0</v>
      </c>
      <c r="I421" s="9">
        <v>0</v>
      </c>
      <c r="J421" s="9">
        <v>0</v>
      </c>
      <c r="K421" s="9">
        <v>1</v>
      </c>
      <c r="L421" s="8">
        <v>1556</v>
      </c>
      <c r="M421" s="9">
        <v>3</v>
      </c>
      <c r="N421" s="9">
        <f t="shared" si="60"/>
        <v>1552</v>
      </c>
      <c r="O421" s="9">
        <f t="shared" si="61"/>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66"/>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35">
      <c r="A422">
        <v>421</v>
      </c>
      <c r="B422">
        <v>28</v>
      </c>
      <c r="C422" s="22" t="s">
        <v>261</v>
      </c>
      <c r="D422" s="11">
        <v>9.1</v>
      </c>
      <c r="E422" s="12">
        <v>0.4</v>
      </c>
      <c r="F422" s="7">
        <f t="shared" si="65"/>
        <v>22.749999999999996</v>
      </c>
      <c r="G422" s="8">
        <v>0</v>
      </c>
      <c r="H422" s="9">
        <v>0</v>
      </c>
      <c r="I422" s="9">
        <v>0</v>
      </c>
      <c r="J422" s="9">
        <v>0</v>
      </c>
      <c r="K422" s="9">
        <v>1</v>
      </c>
      <c r="L422" s="8">
        <v>2132</v>
      </c>
      <c r="M422" s="9">
        <v>3</v>
      </c>
      <c r="N422" s="9">
        <f t="shared" si="60"/>
        <v>2128</v>
      </c>
      <c r="O422" s="9">
        <f t="shared" si="61"/>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66"/>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35">
      <c r="A423">
        <v>422</v>
      </c>
      <c r="B423">
        <v>28</v>
      </c>
      <c r="C423" s="22" t="s">
        <v>261</v>
      </c>
      <c r="D423" s="11">
        <v>8.1</v>
      </c>
      <c r="E423" s="12">
        <v>0.2</v>
      </c>
      <c r="F423" s="7">
        <f t="shared" si="65"/>
        <v>40.499999999999993</v>
      </c>
      <c r="G423" s="8">
        <v>0</v>
      </c>
      <c r="H423" s="9">
        <v>0</v>
      </c>
      <c r="I423" s="9">
        <v>0</v>
      </c>
      <c r="J423" s="9">
        <v>0</v>
      </c>
      <c r="K423" s="9">
        <v>1</v>
      </c>
      <c r="L423" s="8">
        <v>7408</v>
      </c>
      <c r="M423" s="9">
        <v>3</v>
      </c>
      <c r="N423" s="9">
        <f t="shared" si="60"/>
        <v>7404</v>
      </c>
      <c r="O423" s="9">
        <f t="shared" si="61"/>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66"/>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35">
      <c r="A424">
        <v>423</v>
      </c>
      <c r="B424">
        <v>28</v>
      </c>
      <c r="C424" s="22" t="s">
        <v>261</v>
      </c>
      <c r="D424" s="11">
        <v>6.5</v>
      </c>
      <c r="E424" s="12">
        <v>0.2</v>
      </c>
      <c r="F424" s="7">
        <f t="shared" si="65"/>
        <v>32.5</v>
      </c>
      <c r="G424" s="8">
        <v>0</v>
      </c>
      <c r="H424" s="9">
        <v>0</v>
      </c>
      <c r="I424" s="9">
        <v>0</v>
      </c>
      <c r="J424" s="9">
        <v>0</v>
      </c>
      <c r="K424" s="9">
        <v>1</v>
      </c>
      <c r="L424" s="8">
        <v>7754</v>
      </c>
      <c r="M424" s="9">
        <v>3</v>
      </c>
      <c r="N424" s="9">
        <f t="shared" si="60"/>
        <v>7750</v>
      </c>
      <c r="O424" s="9">
        <f t="shared" si="61"/>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66"/>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35">
      <c r="A425">
        <v>424</v>
      </c>
      <c r="B425">
        <v>28</v>
      </c>
      <c r="C425" s="22" t="s">
        <v>261</v>
      </c>
      <c r="D425" s="11">
        <v>9.3000000000000007</v>
      </c>
      <c r="E425" s="12">
        <v>0.3</v>
      </c>
      <c r="F425" s="7">
        <f t="shared" si="65"/>
        <v>31.000000000000004</v>
      </c>
      <c r="G425" s="8">
        <v>0</v>
      </c>
      <c r="H425" s="9">
        <v>0</v>
      </c>
      <c r="I425" s="9">
        <v>0</v>
      </c>
      <c r="J425" s="9">
        <v>0</v>
      </c>
      <c r="K425" s="9">
        <v>1</v>
      </c>
      <c r="L425" s="8">
        <v>10782</v>
      </c>
      <c r="M425" s="9">
        <v>3</v>
      </c>
      <c r="N425" s="9">
        <f t="shared" si="60"/>
        <v>10778</v>
      </c>
      <c r="O425" s="9">
        <f t="shared" si="61"/>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66"/>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35">
      <c r="A426">
        <v>425</v>
      </c>
      <c r="B426">
        <v>28</v>
      </c>
      <c r="C426" s="22" t="s">
        <v>261</v>
      </c>
      <c r="D426" s="11">
        <v>11.6</v>
      </c>
      <c r="E426" s="12">
        <v>0.3</v>
      </c>
      <c r="F426" s="7">
        <f t="shared" si="65"/>
        <v>38.666666666666664</v>
      </c>
      <c r="G426" s="8">
        <v>0</v>
      </c>
      <c r="H426" s="9">
        <v>0</v>
      </c>
      <c r="I426" s="9">
        <v>0</v>
      </c>
      <c r="J426" s="9">
        <v>0</v>
      </c>
      <c r="K426" s="9">
        <v>1</v>
      </c>
      <c r="L426" s="8">
        <v>4687</v>
      </c>
      <c r="M426" s="9">
        <v>3</v>
      </c>
      <c r="N426" s="9">
        <f t="shared" si="60"/>
        <v>4683</v>
      </c>
      <c r="O426" s="9">
        <f t="shared" si="61"/>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66"/>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3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60"/>
        <v>1688</v>
      </c>
      <c r="O427" s="9">
        <f t="shared" si="61"/>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66"/>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3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60"/>
        <v>1688</v>
      </c>
      <c r="O428" s="9">
        <f t="shared" si="61"/>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66"/>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3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60"/>
        <v>1688</v>
      </c>
      <c r="O429" s="9">
        <f t="shared" si="61"/>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66"/>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3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60"/>
        <v>2087</v>
      </c>
      <c r="O430" s="9">
        <f t="shared" si="61"/>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66"/>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3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60"/>
        <v>2087</v>
      </c>
      <c r="O431" s="9">
        <f t="shared" si="61"/>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66"/>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3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60"/>
        <v>2087</v>
      </c>
      <c r="O432" s="9">
        <f t="shared" si="61"/>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66"/>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3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60"/>
        <v>2958</v>
      </c>
      <c r="O433" s="9">
        <f t="shared" si="61"/>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66"/>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3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60"/>
        <v>2958</v>
      </c>
      <c r="O434" s="9">
        <f t="shared" si="61"/>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66"/>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3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60"/>
        <v>2958</v>
      </c>
      <c r="O435" s="9">
        <f t="shared" si="61"/>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66"/>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3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60"/>
        <v>1549</v>
      </c>
      <c r="O436" s="9">
        <f t="shared" si="61"/>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66"/>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3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60"/>
        <v>1549</v>
      </c>
      <c r="O437" s="9">
        <f t="shared" si="61"/>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66"/>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3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60"/>
        <v>1549</v>
      </c>
      <c r="O438" s="9">
        <f t="shared" si="61"/>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66"/>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3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60"/>
        <v>2125</v>
      </c>
      <c r="O439" s="9">
        <f t="shared" si="61"/>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66"/>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3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60"/>
        <v>2125</v>
      </c>
      <c r="O440" s="9">
        <f t="shared" si="61"/>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66"/>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3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60"/>
        <v>2125</v>
      </c>
      <c r="O441" s="9">
        <f t="shared" si="61"/>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66"/>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3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60"/>
        <v>7401</v>
      </c>
      <c r="O442" s="9">
        <f t="shared" si="61"/>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66"/>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3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60"/>
        <v>7401</v>
      </c>
      <c r="O443" s="9">
        <f t="shared" si="61"/>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66"/>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3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60"/>
        <v>7401</v>
      </c>
      <c r="O444" s="54">
        <f t="shared" si="61"/>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66"/>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35">
      <c r="A445">
        <v>444</v>
      </c>
      <c r="B445">
        <v>29</v>
      </c>
      <c r="C445" s="22" t="s">
        <v>9</v>
      </c>
      <c r="D445" s="11">
        <v>6.94</v>
      </c>
      <c r="E445" s="12">
        <v>0.59</v>
      </c>
      <c r="F445" s="7">
        <f t="shared" ref="F445:F454" si="67">D445/E445</f>
        <v>11.76271186440678</v>
      </c>
      <c r="G445" s="8">
        <v>0</v>
      </c>
      <c r="H445" s="9">
        <v>0</v>
      </c>
      <c r="I445" s="9">
        <v>1</v>
      </c>
      <c r="J445" s="9">
        <v>0</v>
      </c>
      <c r="K445" s="9">
        <v>0</v>
      </c>
      <c r="L445" s="8">
        <v>2276</v>
      </c>
      <c r="M445" s="9">
        <v>4</v>
      </c>
      <c r="N445" s="9">
        <f t="shared" si="60"/>
        <v>2271</v>
      </c>
      <c r="O445" s="9">
        <f t="shared" si="61"/>
        <v>10</v>
      </c>
      <c r="P445" s="7">
        <v>13.2</v>
      </c>
      <c r="Q445" s="7">
        <f t="shared" ref="Q445:Q454" si="68">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9">1-AD445-AE445-AG445</f>
        <v>0.59399999999999997</v>
      </c>
      <c r="AG445" s="39">
        <v>0.39900000000000002</v>
      </c>
      <c r="AH445" s="38">
        <v>1</v>
      </c>
      <c r="AI445" s="15">
        <v>0</v>
      </c>
      <c r="AJ445">
        <v>0.59599999999999997</v>
      </c>
      <c r="AK445" s="36">
        <f>1-AJ445</f>
        <v>0.40400000000000003</v>
      </c>
      <c r="AL445" s="35">
        <f t="shared" si="66"/>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35">
      <c r="A446">
        <v>445</v>
      </c>
      <c r="B446">
        <v>29</v>
      </c>
      <c r="C446" s="22" t="s">
        <v>9</v>
      </c>
      <c r="D446" s="11">
        <v>8.19</v>
      </c>
      <c r="E446" s="12">
        <v>0.77</v>
      </c>
      <c r="F446" s="7">
        <f t="shared" si="67"/>
        <v>10.636363636363635</v>
      </c>
      <c r="G446" s="8">
        <v>0</v>
      </c>
      <c r="H446" s="9">
        <v>0</v>
      </c>
      <c r="I446" s="9">
        <v>1</v>
      </c>
      <c r="J446" s="9">
        <v>0</v>
      </c>
      <c r="K446" s="9">
        <v>0</v>
      </c>
      <c r="L446" s="8">
        <v>1357</v>
      </c>
      <c r="M446" s="9">
        <v>3</v>
      </c>
      <c r="N446" s="9">
        <f t="shared" si="60"/>
        <v>1353</v>
      </c>
      <c r="O446" s="9">
        <f t="shared" si="61"/>
        <v>10</v>
      </c>
      <c r="P446" s="7">
        <v>12.9</v>
      </c>
      <c r="Q446" s="7">
        <f t="shared" si="68"/>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9"/>
        <v>0.65100000000000002</v>
      </c>
      <c r="AG446" s="39">
        <v>0.34200000000000003</v>
      </c>
      <c r="AH446" s="38">
        <v>1</v>
      </c>
      <c r="AI446" s="15">
        <v>0</v>
      </c>
      <c r="AJ446">
        <v>1</v>
      </c>
      <c r="AK446" s="36">
        <v>0</v>
      </c>
      <c r="AL446" s="35">
        <f t="shared" si="66"/>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35">
      <c r="A447">
        <v>446</v>
      </c>
      <c r="B447">
        <v>29</v>
      </c>
      <c r="C447" s="22" t="s">
        <v>9</v>
      </c>
      <c r="D447" s="11">
        <v>5.09</v>
      </c>
      <c r="E447" s="12">
        <v>0.88</v>
      </c>
      <c r="F447" s="7">
        <f t="shared" si="67"/>
        <v>5.7840909090909092</v>
      </c>
      <c r="G447" s="8">
        <v>0</v>
      </c>
      <c r="H447" s="9">
        <v>0</v>
      </c>
      <c r="I447" s="9">
        <v>1</v>
      </c>
      <c r="J447" s="9">
        <v>0</v>
      </c>
      <c r="K447" s="9">
        <v>0</v>
      </c>
      <c r="L447" s="8">
        <v>919</v>
      </c>
      <c r="M447" s="9">
        <v>3</v>
      </c>
      <c r="N447" s="9">
        <f t="shared" si="60"/>
        <v>915</v>
      </c>
      <c r="O447" s="9">
        <f t="shared" si="61"/>
        <v>10</v>
      </c>
      <c r="P447" s="7">
        <v>13.6</v>
      </c>
      <c r="Q447" s="7">
        <f t="shared" si="68"/>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9"/>
        <v>0.51200000000000001</v>
      </c>
      <c r="AG447" s="39">
        <v>0.48299999999999998</v>
      </c>
      <c r="AH447" s="38">
        <v>1</v>
      </c>
      <c r="AI447" s="15">
        <v>0</v>
      </c>
      <c r="AJ447">
        <v>0</v>
      </c>
      <c r="AK447" s="36">
        <v>1</v>
      </c>
      <c r="AL447" s="35">
        <f t="shared" si="66"/>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35">
      <c r="A448">
        <v>447</v>
      </c>
      <c r="B448">
        <v>29</v>
      </c>
      <c r="C448" s="22" t="s">
        <v>9</v>
      </c>
      <c r="D448" s="11">
        <v>6.8</v>
      </c>
      <c r="E448" s="12">
        <v>0.6</v>
      </c>
      <c r="F448" s="7">
        <f t="shared" si="67"/>
        <v>11.333333333333334</v>
      </c>
      <c r="G448" s="8">
        <v>0</v>
      </c>
      <c r="H448" s="9">
        <v>0</v>
      </c>
      <c r="I448" s="9">
        <v>1</v>
      </c>
      <c r="J448" s="9">
        <v>0</v>
      </c>
      <c r="K448" s="9">
        <v>0</v>
      </c>
      <c r="L448" s="8">
        <v>2276</v>
      </c>
      <c r="M448" s="9">
        <v>15</v>
      </c>
      <c r="N448" s="9">
        <f t="shared" si="60"/>
        <v>2260</v>
      </c>
      <c r="O448" s="9">
        <f t="shared" si="61"/>
        <v>10</v>
      </c>
      <c r="P448" s="7">
        <v>13.2</v>
      </c>
      <c r="Q448" s="7">
        <f t="shared" si="68"/>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9"/>
        <v>0.59399999999999997</v>
      </c>
      <c r="AG448" s="39">
        <v>0.39900000000000002</v>
      </c>
      <c r="AH448" s="38">
        <v>1</v>
      </c>
      <c r="AI448" s="15">
        <v>0</v>
      </c>
      <c r="AJ448">
        <v>0.59599999999999997</v>
      </c>
      <c r="AK448" s="36">
        <f>1-AJ448</f>
        <v>0.40400000000000003</v>
      </c>
      <c r="AL448" s="35">
        <f t="shared" si="66"/>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35">
      <c r="A449">
        <v>448</v>
      </c>
      <c r="B449">
        <v>29</v>
      </c>
      <c r="C449" s="22" t="s">
        <v>9</v>
      </c>
      <c r="D449" s="11">
        <v>7.06</v>
      </c>
      <c r="E449" s="12">
        <v>0.78</v>
      </c>
      <c r="F449" s="7">
        <f t="shared" si="67"/>
        <v>9.0512820512820511</v>
      </c>
      <c r="G449" s="8">
        <v>0</v>
      </c>
      <c r="H449" s="9">
        <v>0</v>
      </c>
      <c r="I449" s="9">
        <v>1</v>
      </c>
      <c r="J449" s="9">
        <v>0</v>
      </c>
      <c r="K449" s="9">
        <v>0</v>
      </c>
      <c r="L449" s="8">
        <v>1357</v>
      </c>
      <c r="M449" s="9">
        <v>14</v>
      </c>
      <c r="N449" s="9">
        <f t="shared" si="60"/>
        <v>1342</v>
      </c>
      <c r="O449" s="9">
        <f t="shared" si="61"/>
        <v>10</v>
      </c>
      <c r="P449" s="7">
        <v>12.9</v>
      </c>
      <c r="Q449" s="7">
        <f t="shared" si="68"/>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9"/>
        <v>0.65100000000000002</v>
      </c>
      <c r="AG449" s="39">
        <v>0.34200000000000003</v>
      </c>
      <c r="AH449" s="38">
        <v>1</v>
      </c>
      <c r="AI449" s="15">
        <v>0</v>
      </c>
      <c r="AJ449">
        <v>1</v>
      </c>
      <c r="AK449" s="36">
        <v>0</v>
      </c>
      <c r="AL449" s="35">
        <f t="shared" si="66"/>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35">
      <c r="A450">
        <v>449</v>
      </c>
      <c r="B450">
        <v>29</v>
      </c>
      <c r="C450" s="22" t="s">
        <v>9</v>
      </c>
      <c r="D450" s="11">
        <v>6.21</v>
      </c>
      <c r="E450" s="12">
        <v>0.94</v>
      </c>
      <c r="F450" s="7">
        <f t="shared" si="67"/>
        <v>6.6063829787234045</v>
      </c>
      <c r="G450" s="8">
        <v>0</v>
      </c>
      <c r="H450" s="9">
        <v>0</v>
      </c>
      <c r="I450" s="9">
        <v>1</v>
      </c>
      <c r="J450" s="9">
        <v>0</v>
      </c>
      <c r="K450" s="9">
        <v>0</v>
      </c>
      <c r="L450" s="8">
        <v>919</v>
      </c>
      <c r="M450" s="9">
        <v>14</v>
      </c>
      <c r="N450" s="9">
        <f t="shared" ref="N450:N513" si="70">L450-M450-1</f>
        <v>904</v>
      </c>
      <c r="O450" s="9">
        <f t="shared" ref="O450:O513" si="71">COUNTIF(B:B,B450)</f>
        <v>10</v>
      </c>
      <c r="P450" s="7">
        <v>13.6</v>
      </c>
      <c r="Q450" s="7">
        <f t="shared" si="68"/>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9"/>
        <v>0.51200000000000001</v>
      </c>
      <c r="AG450" s="39">
        <v>0.48299999999999998</v>
      </c>
      <c r="AH450" s="38">
        <v>1</v>
      </c>
      <c r="AI450" s="15">
        <v>0</v>
      </c>
      <c r="AJ450">
        <v>0</v>
      </c>
      <c r="AK450" s="36">
        <v>1</v>
      </c>
      <c r="AL450" s="35">
        <f t="shared" si="66"/>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35">
      <c r="A451">
        <v>450</v>
      </c>
      <c r="B451">
        <v>29</v>
      </c>
      <c r="C451" s="22" t="s">
        <v>9</v>
      </c>
      <c r="D451" s="11">
        <v>6.16</v>
      </c>
      <c r="E451" s="12">
        <v>0.86</v>
      </c>
      <c r="F451" s="7">
        <f t="shared" si="67"/>
        <v>7.1627906976744189</v>
      </c>
      <c r="G451" s="8">
        <v>0</v>
      </c>
      <c r="H451" s="9">
        <v>0</v>
      </c>
      <c r="I451" s="9">
        <v>1</v>
      </c>
      <c r="J451" s="9">
        <v>0</v>
      </c>
      <c r="K451" s="9">
        <v>0</v>
      </c>
      <c r="L451" s="8">
        <v>1357</v>
      </c>
      <c r="M451" s="9">
        <v>14</v>
      </c>
      <c r="N451" s="9">
        <f t="shared" si="70"/>
        <v>1342</v>
      </c>
      <c r="O451" s="9">
        <f t="shared" si="71"/>
        <v>10</v>
      </c>
      <c r="P451" s="7">
        <v>12.9</v>
      </c>
      <c r="Q451" s="7">
        <f t="shared" si="68"/>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9"/>
        <v>0.65100000000000002</v>
      </c>
      <c r="AG451" s="39">
        <v>0.34200000000000003</v>
      </c>
      <c r="AH451" s="38">
        <v>1</v>
      </c>
      <c r="AI451" s="15">
        <v>0</v>
      </c>
      <c r="AJ451">
        <v>1</v>
      </c>
      <c r="AK451" s="36">
        <v>0</v>
      </c>
      <c r="AL451" s="35">
        <f t="shared" si="66"/>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35">
      <c r="A452">
        <v>451</v>
      </c>
      <c r="B452">
        <v>29</v>
      </c>
      <c r="C452" s="22" t="s">
        <v>9</v>
      </c>
      <c r="D452" s="11">
        <v>5.48</v>
      </c>
      <c r="E452" s="12">
        <v>1.3</v>
      </c>
      <c r="F452" s="7">
        <f t="shared" si="67"/>
        <v>4.2153846153846155</v>
      </c>
      <c r="G452" s="8">
        <v>0</v>
      </c>
      <c r="H452" s="9">
        <v>0</v>
      </c>
      <c r="I452" s="9">
        <v>1</v>
      </c>
      <c r="J452" s="9">
        <v>0</v>
      </c>
      <c r="K452" s="9">
        <v>0</v>
      </c>
      <c r="L452" s="8">
        <v>919</v>
      </c>
      <c r="M452" s="9">
        <v>14</v>
      </c>
      <c r="N452" s="9">
        <f t="shared" si="70"/>
        <v>904</v>
      </c>
      <c r="O452" s="9">
        <f t="shared" si="71"/>
        <v>10</v>
      </c>
      <c r="P452" s="7">
        <v>13.6</v>
      </c>
      <c r="Q452" s="7">
        <f t="shared" si="68"/>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9"/>
        <v>0.51200000000000001</v>
      </c>
      <c r="AG452" s="39">
        <v>0.48299999999999998</v>
      </c>
      <c r="AH452" s="38">
        <v>1</v>
      </c>
      <c r="AI452" s="15">
        <v>0</v>
      </c>
      <c r="AJ452">
        <v>0</v>
      </c>
      <c r="AK452" s="36">
        <v>1</v>
      </c>
      <c r="AL452" s="35">
        <f t="shared" si="66"/>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35">
      <c r="A453">
        <v>452</v>
      </c>
      <c r="B453">
        <v>29</v>
      </c>
      <c r="C453" s="22" t="s">
        <v>9</v>
      </c>
      <c r="D453" s="11">
        <v>6</v>
      </c>
      <c r="E453" s="12">
        <v>1.2</v>
      </c>
      <c r="F453" s="7">
        <f t="shared" si="67"/>
        <v>5</v>
      </c>
      <c r="G453" s="8">
        <v>0</v>
      </c>
      <c r="H453" s="9">
        <v>0</v>
      </c>
      <c r="I453" s="9">
        <v>1</v>
      </c>
      <c r="J453" s="9">
        <v>0</v>
      </c>
      <c r="K453" s="9">
        <v>0</v>
      </c>
      <c r="L453" s="8">
        <v>897</v>
      </c>
      <c r="M453" s="9">
        <v>14</v>
      </c>
      <c r="N453" s="9">
        <f t="shared" si="70"/>
        <v>882</v>
      </c>
      <c r="O453" s="9">
        <f t="shared" si="71"/>
        <v>10</v>
      </c>
      <c r="P453" s="7">
        <v>13.3</v>
      </c>
      <c r="Q453" s="7">
        <f t="shared" si="68"/>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9"/>
        <v>0.56800000000000006</v>
      </c>
      <c r="AG453" s="39">
        <v>0.42399999999999999</v>
      </c>
      <c r="AH453" s="38">
        <v>1</v>
      </c>
      <c r="AI453" s="15">
        <v>0</v>
      </c>
      <c r="AJ453">
        <v>1</v>
      </c>
      <c r="AK453" s="36">
        <v>0</v>
      </c>
      <c r="AL453" s="35">
        <f t="shared" si="66"/>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35">
      <c r="A454" s="47">
        <v>453</v>
      </c>
      <c r="B454" s="47">
        <v>29</v>
      </c>
      <c r="C454" s="48" t="s">
        <v>9</v>
      </c>
      <c r="D454" s="49">
        <v>6.29</v>
      </c>
      <c r="E454" s="50">
        <v>1.6</v>
      </c>
      <c r="F454" s="51">
        <f t="shared" si="67"/>
        <v>3.9312499999999999</v>
      </c>
      <c r="G454" s="53">
        <v>0</v>
      </c>
      <c r="H454" s="54">
        <v>0</v>
      </c>
      <c r="I454" s="54">
        <v>1</v>
      </c>
      <c r="J454" s="54">
        <v>0</v>
      </c>
      <c r="K454" s="54">
        <v>0</v>
      </c>
      <c r="L454" s="53">
        <v>729</v>
      </c>
      <c r="M454" s="54">
        <v>14</v>
      </c>
      <c r="N454" s="54">
        <f t="shared" si="70"/>
        <v>714</v>
      </c>
      <c r="O454" s="54">
        <f t="shared" si="71"/>
        <v>10</v>
      </c>
      <c r="P454" s="51">
        <v>14</v>
      </c>
      <c r="Q454" s="51">
        <f t="shared" si="68"/>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9"/>
        <v>0.43899999999999995</v>
      </c>
      <c r="AG454" s="57">
        <v>0.55800000000000005</v>
      </c>
      <c r="AH454" s="58">
        <v>1</v>
      </c>
      <c r="AI454" s="59">
        <v>0</v>
      </c>
      <c r="AJ454" s="47">
        <v>0</v>
      </c>
      <c r="AK454" s="60">
        <v>1</v>
      </c>
      <c r="AL454" s="61">
        <f t="shared" si="66"/>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35">
      <c r="A455">
        <v>454</v>
      </c>
      <c r="B455">
        <v>30</v>
      </c>
      <c r="C455" s="22" t="s">
        <v>298</v>
      </c>
      <c r="D455" s="11">
        <v>14.7</v>
      </c>
      <c r="E455" s="12">
        <f t="shared" ref="E455:E482" si="72">D455/F455</f>
        <v>0.8207705192629815</v>
      </c>
      <c r="F455" s="7">
        <v>17.91</v>
      </c>
      <c r="G455" s="8">
        <v>0</v>
      </c>
      <c r="H455" s="9">
        <v>1</v>
      </c>
      <c r="I455" s="9">
        <v>0</v>
      </c>
      <c r="J455" s="9">
        <v>0</v>
      </c>
      <c r="K455" s="9">
        <v>0</v>
      </c>
      <c r="L455" s="8">
        <v>1476</v>
      </c>
      <c r="M455" s="9">
        <v>7</v>
      </c>
      <c r="N455" s="9">
        <f t="shared" si="70"/>
        <v>1468</v>
      </c>
      <c r="O455" s="9">
        <f t="shared" si="71"/>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73">1-AK455</f>
        <v>0.63200000000000001</v>
      </c>
      <c r="AK455" s="36">
        <v>0.36799999999999999</v>
      </c>
      <c r="AL455" s="35">
        <f t="shared" si="66"/>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35">
      <c r="A456">
        <v>455</v>
      </c>
      <c r="B456">
        <v>30</v>
      </c>
      <c r="C456" s="22" t="s">
        <v>298</v>
      </c>
      <c r="D456" s="11">
        <v>19.3</v>
      </c>
      <c r="E456" s="12">
        <f t="shared" si="72"/>
        <v>1.2363869314541962</v>
      </c>
      <c r="F456" s="7">
        <v>15.61</v>
      </c>
      <c r="G456" s="8">
        <v>0</v>
      </c>
      <c r="H456" s="9">
        <v>1</v>
      </c>
      <c r="I456" s="9">
        <v>0</v>
      </c>
      <c r="J456" s="9">
        <v>0</v>
      </c>
      <c r="K456" s="9">
        <v>0</v>
      </c>
      <c r="L456" s="8">
        <v>1476</v>
      </c>
      <c r="M456" s="9">
        <v>7</v>
      </c>
      <c r="N456" s="9">
        <f t="shared" si="70"/>
        <v>1468</v>
      </c>
      <c r="O456" s="9">
        <f t="shared" si="71"/>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73"/>
        <v>0.63200000000000001</v>
      </c>
      <c r="AK456" s="36">
        <v>0.36799999999999999</v>
      </c>
      <c r="AL456" s="35">
        <f t="shared" si="66"/>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35">
      <c r="A457">
        <v>456</v>
      </c>
      <c r="B457">
        <v>30</v>
      </c>
      <c r="C457" s="22" t="s">
        <v>298</v>
      </c>
      <c r="D457" s="11">
        <v>18.899999999999999</v>
      </c>
      <c r="E457" s="12">
        <f t="shared" si="72"/>
        <v>0.84074733096085397</v>
      </c>
      <c r="F457" s="7">
        <v>22.48</v>
      </c>
      <c r="G457" s="8">
        <v>0</v>
      </c>
      <c r="H457" s="9">
        <v>1</v>
      </c>
      <c r="I457" s="9">
        <v>0</v>
      </c>
      <c r="J457" s="9">
        <v>0</v>
      </c>
      <c r="K457" s="9">
        <v>0</v>
      </c>
      <c r="L457" s="8">
        <v>1476</v>
      </c>
      <c r="M457" s="9">
        <v>7</v>
      </c>
      <c r="N457" s="9">
        <f t="shared" si="70"/>
        <v>1468</v>
      </c>
      <c r="O457" s="9">
        <f t="shared" si="71"/>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73"/>
        <v>0.63200000000000001</v>
      </c>
      <c r="AK457" s="36">
        <v>0.36799999999999999</v>
      </c>
      <c r="AL457" s="35">
        <f t="shared" si="66"/>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35">
      <c r="A458">
        <v>457</v>
      </c>
      <c r="B458">
        <v>30</v>
      </c>
      <c r="C458" s="22" t="s">
        <v>298</v>
      </c>
      <c r="D458" s="11">
        <v>15.2</v>
      </c>
      <c r="E458" s="12">
        <f t="shared" si="72"/>
        <v>0.58800773694390707</v>
      </c>
      <c r="F458" s="7">
        <v>25.85</v>
      </c>
      <c r="G458" s="8">
        <v>0</v>
      </c>
      <c r="H458" s="9">
        <v>1</v>
      </c>
      <c r="I458" s="9">
        <v>0</v>
      </c>
      <c r="J458" s="9">
        <v>0</v>
      </c>
      <c r="K458" s="9">
        <v>0</v>
      </c>
      <c r="L458" s="8">
        <v>1476</v>
      </c>
      <c r="M458" s="9">
        <v>7</v>
      </c>
      <c r="N458" s="9">
        <f t="shared" si="70"/>
        <v>1468</v>
      </c>
      <c r="O458" s="9">
        <f t="shared" si="71"/>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73"/>
        <v>0.63200000000000001</v>
      </c>
      <c r="AK458" s="36">
        <v>0.36799999999999999</v>
      </c>
      <c r="AL458" s="35">
        <f t="shared" si="66"/>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35">
      <c r="A459">
        <v>458</v>
      </c>
      <c r="B459">
        <v>30</v>
      </c>
      <c r="C459" s="22" t="s">
        <v>298</v>
      </c>
      <c r="D459" s="11">
        <v>12.1</v>
      </c>
      <c r="E459" s="12">
        <f t="shared" si="72"/>
        <v>0.57318806252960686</v>
      </c>
      <c r="F459" s="7">
        <v>21.11</v>
      </c>
      <c r="G459" s="8">
        <v>0</v>
      </c>
      <c r="H459" s="9">
        <v>1</v>
      </c>
      <c r="I459" s="9">
        <v>0</v>
      </c>
      <c r="J459" s="9">
        <v>0</v>
      </c>
      <c r="K459" s="9">
        <v>0</v>
      </c>
      <c r="L459" s="8">
        <v>1476</v>
      </c>
      <c r="M459" s="9">
        <v>7</v>
      </c>
      <c r="N459" s="9">
        <f t="shared" si="70"/>
        <v>1468</v>
      </c>
      <c r="O459" s="9">
        <f t="shared" si="71"/>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73"/>
        <v>0.63200000000000001</v>
      </c>
      <c r="AK459" s="36">
        <v>0.36799999999999999</v>
      </c>
      <c r="AL459" s="35">
        <f t="shared" si="66"/>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35">
      <c r="A460">
        <v>459</v>
      </c>
      <c r="B460">
        <v>30</v>
      </c>
      <c r="C460" s="22" t="s">
        <v>298</v>
      </c>
      <c r="D460" s="11">
        <v>10.9</v>
      </c>
      <c r="E460" s="12">
        <f t="shared" si="72"/>
        <v>1.0976837865055389</v>
      </c>
      <c r="F460" s="7">
        <v>9.93</v>
      </c>
      <c r="G460" s="8">
        <v>0</v>
      </c>
      <c r="H460" s="9">
        <v>1</v>
      </c>
      <c r="I460" s="9">
        <v>0</v>
      </c>
      <c r="J460" s="9">
        <v>0</v>
      </c>
      <c r="K460" s="9">
        <v>0</v>
      </c>
      <c r="L460" s="8">
        <v>1476</v>
      </c>
      <c r="M460" s="9">
        <v>7</v>
      </c>
      <c r="N460" s="9">
        <f t="shared" si="70"/>
        <v>1468</v>
      </c>
      <c r="O460" s="9">
        <f t="shared" si="71"/>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73"/>
        <v>0.63200000000000001</v>
      </c>
      <c r="AK460" s="36">
        <v>0.36799999999999999</v>
      </c>
      <c r="AL460" s="35">
        <f t="shared" si="66"/>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35">
      <c r="A461">
        <v>460</v>
      </c>
      <c r="B461">
        <v>30</v>
      </c>
      <c r="C461" s="22" t="s">
        <v>298</v>
      </c>
      <c r="D461" s="11">
        <v>13.7</v>
      </c>
      <c r="E461" s="12">
        <f t="shared" si="72"/>
        <v>3.3171912832929782</v>
      </c>
      <c r="F461" s="7">
        <v>4.13</v>
      </c>
      <c r="G461" s="8">
        <v>0</v>
      </c>
      <c r="H461" s="9">
        <v>1</v>
      </c>
      <c r="I461" s="9">
        <v>0</v>
      </c>
      <c r="J461" s="9">
        <v>0</v>
      </c>
      <c r="K461" s="9">
        <v>0</v>
      </c>
      <c r="L461" s="8">
        <v>1476</v>
      </c>
      <c r="M461" s="9">
        <v>7</v>
      </c>
      <c r="N461" s="9">
        <f t="shared" si="70"/>
        <v>1468</v>
      </c>
      <c r="O461" s="9">
        <f t="shared" si="71"/>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73"/>
        <v>0.63200000000000001</v>
      </c>
      <c r="AK461" s="36">
        <v>0.36799999999999999</v>
      </c>
      <c r="AL461" s="35">
        <f t="shared" si="66"/>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35">
      <c r="A462">
        <v>461</v>
      </c>
      <c r="B462">
        <v>30</v>
      </c>
      <c r="C462" s="22" t="s">
        <v>298</v>
      </c>
      <c r="D462" s="11">
        <v>12.6</v>
      </c>
      <c r="E462" s="12">
        <f t="shared" si="72"/>
        <v>5.25</v>
      </c>
      <c r="F462" s="7">
        <v>2.4</v>
      </c>
      <c r="G462" s="8">
        <v>0</v>
      </c>
      <c r="H462" s="9">
        <v>1</v>
      </c>
      <c r="I462" s="9">
        <v>0</v>
      </c>
      <c r="J462" s="9">
        <v>0</v>
      </c>
      <c r="K462" s="9">
        <v>0</v>
      </c>
      <c r="L462" s="8">
        <v>1476</v>
      </c>
      <c r="M462" s="9">
        <v>7</v>
      </c>
      <c r="N462" s="9">
        <f t="shared" si="70"/>
        <v>1468</v>
      </c>
      <c r="O462" s="9">
        <f t="shared" si="71"/>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73"/>
        <v>0.63200000000000001</v>
      </c>
      <c r="AK462" s="36">
        <v>0.36799999999999999</v>
      </c>
      <c r="AL462" s="35">
        <f t="shared" si="66"/>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35">
      <c r="A463">
        <v>462</v>
      </c>
      <c r="B463">
        <v>30</v>
      </c>
      <c r="C463" s="22" t="s">
        <v>298</v>
      </c>
      <c r="D463" s="11">
        <v>19.600000000000001</v>
      </c>
      <c r="E463" s="12">
        <f t="shared" si="72"/>
        <v>2.5000000000000004</v>
      </c>
      <c r="F463" s="7">
        <v>7.84</v>
      </c>
      <c r="G463" s="8">
        <v>0</v>
      </c>
      <c r="H463" s="9">
        <v>1</v>
      </c>
      <c r="I463" s="9">
        <v>0</v>
      </c>
      <c r="J463" s="9">
        <v>0</v>
      </c>
      <c r="K463" s="9">
        <v>0</v>
      </c>
      <c r="L463" s="8">
        <v>1476</v>
      </c>
      <c r="M463" s="9">
        <v>7</v>
      </c>
      <c r="N463" s="9">
        <f t="shared" si="70"/>
        <v>1468</v>
      </c>
      <c r="O463" s="9">
        <f t="shared" si="71"/>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73"/>
        <v>0.63200000000000001</v>
      </c>
      <c r="AK463" s="36">
        <v>0.36799999999999999</v>
      </c>
      <c r="AL463" s="35">
        <f t="shared" si="66"/>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35">
      <c r="A464">
        <v>463</v>
      </c>
      <c r="B464">
        <v>30</v>
      </c>
      <c r="C464" s="22" t="s">
        <v>298</v>
      </c>
      <c r="D464" s="11">
        <v>18.600000000000001</v>
      </c>
      <c r="E464" s="12">
        <f t="shared" si="72"/>
        <v>2.4281984334203655</v>
      </c>
      <c r="F464" s="7">
        <v>7.66</v>
      </c>
      <c r="G464" s="8">
        <v>0</v>
      </c>
      <c r="H464" s="9">
        <v>1</v>
      </c>
      <c r="I464" s="9">
        <v>0</v>
      </c>
      <c r="J464" s="9">
        <v>0</v>
      </c>
      <c r="K464" s="9">
        <v>0</v>
      </c>
      <c r="L464" s="8">
        <v>1476</v>
      </c>
      <c r="M464" s="9">
        <v>7</v>
      </c>
      <c r="N464" s="9">
        <f t="shared" si="70"/>
        <v>1468</v>
      </c>
      <c r="O464" s="9">
        <f t="shared" si="71"/>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73"/>
        <v>0.63200000000000001</v>
      </c>
      <c r="AK464" s="36">
        <v>0.36799999999999999</v>
      </c>
      <c r="AL464" s="35">
        <f t="shared" si="66"/>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35">
      <c r="A465">
        <v>464</v>
      </c>
      <c r="B465">
        <v>30</v>
      </c>
      <c r="C465" s="22" t="s">
        <v>298</v>
      </c>
      <c r="D465" s="11">
        <v>10.7</v>
      </c>
      <c r="E465" s="12">
        <f t="shared" si="72"/>
        <v>1.9814814814814812</v>
      </c>
      <c r="F465" s="7">
        <v>5.4</v>
      </c>
      <c r="G465" s="8">
        <v>0</v>
      </c>
      <c r="H465" s="9">
        <v>1</v>
      </c>
      <c r="I465" s="9">
        <v>0</v>
      </c>
      <c r="J465" s="9">
        <v>0</v>
      </c>
      <c r="K465" s="9">
        <v>0</v>
      </c>
      <c r="L465" s="8">
        <v>1476</v>
      </c>
      <c r="M465" s="9">
        <v>7</v>
      </c>
      <c r="N465" s="9">
        <f t="shared" si="70"/>
        <v>1468</v>
      </c>
      <c r="O465" s="9">
        <f t="shared" si="71"/>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73"/>
        <v>0.63200000000000001</v>
      </c>
      <c r="AK465" s="36">
        <v>0.36799999999999999</v>
      </c>
      <c r="AL465" s="35">
        <f t="shared" si="66"/>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35">
      <c r="A466" s="47">
        <v>465</v>
      </c>
      <c r="B466" s="47">
        <v>30</v>
      </c>
      <c r="C466" s="48" t="s">
        <v>298</v>
      </c>
      <c r="D466" s="49">
        <v>9.1999999999999993</v>
      </c>
      <c r="E466" s="50">
        <f t="shared" si="72"/>
        <v>4.7179487179487181</v>
      </c>
      <c r="F466" s="51">
        <v>1.95</v>
      </c>
      <c r="G466" s="53">
        <v>0</v>
      </c>
      <c r="H466" s="54">
        <v>1</v>
      </c>
      <c r="I466" s="54">
        <v>0</v>
      </c>
      <c r="J466" s="54">
        <v>0</v>
      </c>
      <c r="K466" s="54">
        <v>0</v>
      </c>
      <c r="L466" s="53">
        <v>1476</v>
      </c>
      <c r="M466" s="54">
        <v>7</v>
      </c>
      <c r="N466" s="54">
        <f t="shared" si="70"/>
        <v>1468</v>
      </c>
      <c r="O466" s="54">
        <f t="shared" si="71"/>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73"/>
        <v>0.63200000000000001</v>
      </c>
      <c r="AK466" s="60">
        <v>0.36799999999999999</v>
      </c>
      <c r="AL466" s="61">
        <f t="shared" si="66"/>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35">
      <c r="A467">
        <v>466</v>
      </c>
      <c r="B467">
        <v>31</v>
      </c>
      <c r="C467" s="22" t="s">
        <v>297</v>
      </c>
      <c r="D467" s="11">
        <v>6.3</v>
      </c>
      <c r="E467" s="12">
        <f t="shared" si="72"/>
        <v>0.83776595744680848</v>
      </c>
      <c r="F467" s="7">
        <v>7.52</v>
      </c>
      <c r="G467" s="8">
        <v>1</v>
      </c>
      <c r="H467" s="9">
        <v>0</v>
      </c>
      <c r="I467" s="9">
        <v>0</v>
      </c>
      <c r="J467" s="9">
        <v>0</v>
      </c>
      <c r="K467" s="9">
        <v>0</v>
      </c>
      <c r="L467" s="8">
        <v>1023</v>
      </c>
      <c r="M467" s="9">
        <v>5</v>
      </c>
      <c r="N467" s="9">
        <f t="shared" si="70"/>
        <v>1017</v>
      </c>
      <c r="O467" s="9">
        <f t="shared" si="71"/>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35">
      <c r="A468">
        <v>467</v>
      </c>
      <c r="B468">
        <v>31</v>
      </c>
      <c r="C468" t="s">
        <v>297</v>
      </c>
      <c r="D468" s="11">
        <v>6.1</v>
      </c>
      <c r="E468" s="12">
        <f t="shared" si="72"/>
        <v>0.8276797829036634</v>
      </c>
      <c r="F468" s="7">
        <v>7.37</v>
      </c>
      <c r="G468" s="8">
        <v>1</v>
      </c>
      <c r="H468" s="9">
        <v>0</v>
      </c>
      <c r="I468" s="9">
        <v>0</v>
      </c>
      <c r="J468" s="9">
        <v>0</v>
      </c>
      <c r="K468" s="9">
        <v>0</v>
      </c>
      <c r="L468" s="8">
        <v>1023</v>
      </c>
      <c r="M468" s="9">
        <v>6</v>
      </c>
      <c r="N468" s="9">
        <f t="shared" si="70"/>
        <v>1016</v>
      </c>
      <c r="O468" s="9">
        <f t="shared" si="71"/>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35">
      <c r="A469">
        <v>468</v>
      </c>
      <c r="B469">
        <v>31</v>
      </c>
      <c r="C469" s="22" t="s">
        <v>297</v>
      </c>
      <c r="D469" s="11">
        <v>6.5</v>
      </c>
      <c r="E469" s="12">
        <f t="shared" si="72"/>
        <v>0.8904109589041096</v>
      </c>
      <c r="F469" s="7">
        <v>7.3</v>
      </c>
      <c r="G469" s="8">
        <v>1</v>
      </c>
      <c r="H469" s="9">
        <v>0</v>
      </c>
      <c r="I469" s="9">
        <v>0</v>
      </c>
      <c r="J469" s="9">
        <v>0</v>
      </c>
      <c r="K469" s="9">
        <v>0</v>
      </c>
      <c r="L469" s="8">
        <v>986</v>
      </c>
      <c r="M469" s="9">
        <v>8</v>
      </c>
      <c r="N469" s="9">
        <f t="shared" si="70"/>
        <v>977</v>
      </c>
      <c r="O469" s="9">
        <f t="shared" si="71"/>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35">
      <c r="A470">
        <v>469</v>
      </c>
      <c r="B470">
        <v>31</v>
      </c>
      <c r="C470" s="22" t="s">
        <v>297</v>
      </c>
      <c r="D470" s="11">
        <v>6.4</v>
      </c>
      <c r="E470" s="12">
        <f t="shared" si="72"/>
        <v>0.86838534599728634</v>
      </c>
      <c r="F470" s="7">
        <v>7.37</v>
      </c>
      <c r="G470" s="8">
        <v>1</v>
      </c>
      <c r="H470" s="9">
        <v>0</v>
      </c>
      <c r="I470" s="9">
        <v>0</v>
      </c>
      <c r="J470" s="9">
        <v>0</v>
      </c>
      <c r="K470" s="9">
        <v>0</v>
      </c>
      <c r="L470" s="8">
        <v>3364</v>
      </c>
      <c r="M470" s="9">
        <v>6</v>
      </c>
      <c r="N470" s="9">
        <f t="shared" si="70"/>
        <v>3357</v>
      </c>
      <c r="O470" s="9">
        <f t="shared" si="71"/>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35">
      <c r="A471">
        <v>470</v>
      </c>
      <c r="B471">
        <v>31</v>
      </c>
      <c r="C471" s="22" t="s">
        <v>297</v>
      </c>
      <c r="D471" s="11">
        <v>4.3</v>
      </c>
      <c r="E471" s="12">
        <f t="shared" si="72"/>
        <v>1.4625850340136055</v>
      </c>
      <c r="F471" s="7">
        <v>2.94</v>
      </c>
      <c r="G471" s="8">
        <v>1</v>
      </c>
      <c r="H471" s="9">
        <v>0</v>
      </c>
      <c r="I471" s="9">
        <v>0</v>
      </c>
      <c r="J471" s="9">
        <v>0</v>
      </c>
      <c r="K471" s="9">
        <v>0</v>
      </c>
      <c r="L471" s="8">
        <v>3364</v>
      </c>
      <c r="M471" s="9">
        <v>6</v>
      </c>
      <c r="N471" s="9">
        <f t="shared" si="70"/>
        <v>3357</v>
      </c>
      <c r="O471" s="9">
        <f t="shared" si="71"/>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35">
      <c r="A472">
        <v>471</v>
      </c>
      <c r="B472">
        <v>31</v>
      </c>
      <c r="C472" s="22" t="s">
        <v>297</v>
      </c>
      <c r="D472" s="11">
        <v>7.8</v>
      </c>
      <c r="E472" s="12">
        <f t="shared" si="72"/>
        <v>1.1854103343465046</v>
      </c>
      <c r="F472" s="7">
        <v>6.58</v>
      </c>
      <c r="G472" s="8">
        <v>1</v>
      </c>
      <c r="H472" s="9">
        <v>0</v>
      </c>
      <c r="I472" s="9">
        <v>0</v>
      </c>
      <c r="J472" s="9">
        <v>0</v>
      </c>
      <c r="K472" s="9">
        <v>0</v>
      </c>
      <c r="L472" s="8">
        <v>3364</v>
      </c>
      <c r="M472" s="9">
        <v>6</v>
      </c>
      <c r="N472" s="9">
        <f t="shared" si="70"/>
        <v>3357</v>
      </c>
      <c r="O472" s="9">
        <f t="shared" si="71"/>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35">
      <c r="A473">
        <v>472</v>
      </c>
      <c r="B473">
        <v>31</v>
      </c>
      <c r="C473" s="22" t="s">
        <v>297</v>
      </c>
      <c r="D473" s="11">
        <v>10.5</v>
      </c>
      <c r="E473" s="12">
        <f t="shared" si="72"/>
        <v>1.2804878048780488</v>
      </c>
      <c r="F473" s="7">
        <v>8.1999999999999993</v>
      </c>
      <c r="G473" s="8">
        <v>1</v>
      </c>
      <c r="H473" s="9">
        <v>0</v>
      </c>
      <c r="I473" s="9">
        <v>0</v>
      </c>
      <c r="J473" s="9">
        <v>0</v>
      </c>
      <c r="K473" s="9">
        <v>0</v>
      </c>
      <c r="L473" s="8">
        <v>1515</v>
      </c>
      <c r="M473" s="9">
        <v>6</v>
      </c>
      <c r="N473" s="9">
        <f t="shared" si="70"/>
        <v>1508</v>
      </c>
      <c r="O473" s="9">
        <f t="shared" si="71"/>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35">
      <c r="A474">
        <v>473</v>
      </c>
      <c r="B474">
        <v>31</v>
      </c>
      <c r="C474" s="22" t="s">
        <v>297</v>
      </c>
      <c r="D474" s="11">
        <v>8.9</v>
      </c>
      <c r="E474" s="12">
        <f t="shared" si="72"/>
        <v>2.8253968253968256</v>
      </c>
      <c r="F474" s="7">
        <v>3.15</v>
      </c>
      <c r="G474" s="8">
        <v>1</v>
      </c>
      <c r="H474" s="9">
        <v>0</v>
      </c>
      <c r="I474" s="9">
        <v>0</v>
      </c>
      <c r="J474" s="9">
        <v>0</v>
      </c>
      <c r="K474" s="9">
        <v>0</v>
      </c>
      <c r="L474" s="8">
        <v>1515</v>
      </c>
      <c r="M474" s="9">
        <v>6</v>
      </c>
      <c r="N474" s="9">
        <f t="shared" si="70"/>
        <v>1508</v>
      </c>
      <c r="O474" s="9">
        <f t="shared" si="71"/>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35">
      <c r="A475">
        <v>474</v>
      </c>
      <c r="B475">
        <v>31</v>
      </c>
      <c r="C475" s="22" t="s">
        <v>297</v>
      </c>
      <c r="D475" s="11">
        <v>11.7</v>
      </c>
      <c r="E475" s="12">
        <f t="shared" si="72"/>
        <v>1.4516129032258063</v>
      </c>
      <c r="F475" s="7">
        <v>8.06</v>
      </c>
      <c r="G475" s="8">
        <v>1</v>
      </c>
      <c r="H475" s="9">
        <v>0</v>
      </c>
      <c r="I475" s="9">
        <v>0</v>
      </c>
      <c r="J475" s="9">
        <v>0</v>
      </c>
      <c r="K475" s="9">
        <v>0</v>
      </c>
      <c r="L475" s="8">
        <v>1515</v>
      </c>
      <c r="M475" s="9">
        <v>6</v>
      </c>
      <c r="N475" s="9">
        <f t="shared" si="70"/>
        <v>1508</v>
      </c>
      <c r="O475" s="9">
        <f t="shared" si="71"/>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35">
      <c r="A476">
        <v>475</v>
      </c>
      <c r="B476">
        <v>31</v>
      </c>
      <c r="C476" s="22" t="s">
        <v>297</v>
      </c>
      <c r="D476" s="11">
        <v>2.9</v>
      </c>
      <c r="E476" s="12">
        <f t="shared" si="72"/>
        <v>1.5025906735751295</v>
      </c>
      <c r="F476" s="7">
        <v>1.93</v>
      </c>
      <c r="G476" s="8">
        <v>1</v>
      </c>
      <c r="H476" s="9">
        <v>0</v>
      </c>
      <c r="I476" s="9">
        <v>0</v>
      </c>
      <c r="J476" s="9">
        <v>0</v>
      </c>
      <c r="K476" s="9">
        <v>0</v>
      </c>
      <c r="L476" s="8">
        <v>1906</v>
      </c>
      <c r="M476" s="9">
        <v>6</v>
      </c>
      <c r="N476" s="9">
        <f t="shared" si="70"/>
        <v>1899</v>
      </c>
      <c r="O476" s="9">
        <f t="shared" si="71"/>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35">
      <c r="A477">
        <v>476</v>
      </c>
      <c r="B477">
        <v>31</v>
      </c>
      <c r="C477" s="22" t="s">
        <v>297</v>
      </c>
      <c r="D477" s="11">
        <v>2.6</v>
      </c>
      <c r="E477" s="12">
        <f t="shared" si="72"/>
        <v>1.8978102189781021</v>
      </c>
      <c r="F477" s="7">
        <v>1.37</v>
      </c>
      <c r="G477" s="8">
        <v>1</v>
      </c>
      <c r="H477" s="9">
        <v>0</v>
      </c>
      <c r="I477" s="9">
        <v>0</v>
      </c>
      <c r="J477" s="9">
        <v>0</v>
      </c>
      <c r="K477" s="9">
        <v>0</v>
      </c>
      <c r="L477" s="8">
        <v>1906</v>
      </c>
      <c r="M477" s="9">
        <v>6</v>
      </c>
      <c r="N477" s="9">
        <f t="shared" si="70"/>
        <v>1899</v>
      </c>
      <c r="O477" s="9">
        <f t="shared" si="71"/>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35">
      <c r="A478">
        <v>477</v>
      </c>
      <c r="B478">
        <v>31</v>
      </c>
      <c r="C478" s="22" t="s">
        <v>297</v>
      </c>
      <c r="D478" s="11">
        <v>-1</v>
      </c>
      <c r="E478" s="12">
        <f t="shared" si="72"/>
        <v>3.8461538461538458</v>
      </c>
      <c r="F478" s="7">
        <v>-0.26</v>
      </c>
      <c r="G478" s="8">
        <v>1</v>
      </c>
      <c r="H478" s="9">
        <v>0</v>
      </c>
      <c r="I478" s="9">
        <v>0</v>
      </c>
      <c r="J478" s="9">
        <v>0</v>
      </c>
      <c r="K478" s="9">
        <v>0</v>
      </c>
      <c r="L478" s="8">
        <v>1906</v>
      </c>
      <c r="M478" s="9">
        <v>6</v>
      </c>
      <c r="N478" s="9">
        <f t="shared" si="70"/>
        <v>1899</v>
      </c>
      <c r="O478" s="9">
        <f t="shared" si="71"/>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35">
      <c r="A479">
        <v>478</v>
      </c>
      <c r="B479">
        <v>31</v>
      </c>
      <c r="C479" s="22" t="s">
        <v>297</v>
      </c>
      <c r="D479" s="11">
        <v>3.9</v>
      </c>
      <c r="E479" s="12">
        <f t="shared" si="72"/>
        <v>1.9509754877438719</v>
      </c>
      <c r="F479" s="7">
        <v>1.9990000000000001</v>
      </c>
      <c r="G479" s="8">
        <v>1</v>
      </c>
      <c r="H479" s="9">
        <v>0</v>
      </c>
      <c r="I479" s="9">
        <v>0</v>
      </c>
      <c r="J479" s="9">
        <v>0</v>
      </c>
      <c r="K479" s="9">
        <v>0</v>
      </c>
      <c r="L479" s="8">
        <v>1023</v>
      </c>
      <c r="M479" s="9">
        <v>7</v>
      </c>
      <c r="N479" s="9">
        <f t="shared" si="70"/>
        <v>1015</v>
      </c>
      <c r="O479" s="9">
        <f t="shared" si="71"/>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35">
      <c r="A480">
        <v>479</v>
      </c>
      <c r="B480">
        <v>31</v>
      </c>
      <c r="C480" s="22" t="s">
        <v>297</v>
      </c>
      <c r="D480" s="11">
        <v>7.4</v>
      </c>
      <c r="E480" s="12">
        <f t="shared" si="72"/>
        <v>1.1297709923664123</v>
      </c>
      <c r="F480" s="7">
        <v>6.55</v>
      </c>
      <c r="G480" s="8">
        <v>1</v>
      </c>
      <c r="H480" s="9">
        <v>0</v>
      </c>
      <c r="I480" s="9">
        <v>0</v>
      </c>
      <c r="J480" s="9">
        <v>0</v>
      </c>
      <c r="K480" s="9">
        <v>0</v>
      </c>
      <c r="L480" s="8">
        <v>1023</v>
      </c>
      <c r="M480" s="9">
        <v>7</v>
      </c>
      <c r="N480" s="9">
        <f t="shared" si="70"/>
        <v>1015</v>
      </c>
      <c r="O480" s="9">
        <f t="shared" si="71"/>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35">
      <c r="A481">
        <v>480</v>
      </c>
      <c r="B481">
        <v>31</v>
      </c>
      <c r="C481" s="22" t="s">
        <v>297</v>
      </c>
      <c r="D481" s="11">
        <v>6</v>
      </c>
      <c r="E481" s="12">
        <f t="shared" si="72"/>
        <v>3.333333333333333</v>
      </c>
      <c r="F481" s="7">
        <v>1.8</v>
      </c>
      <c r="G481" s="8">
        <v>1</v>
      </c>
      <c r="H481" s="9">
        <v>0</v>
      </c>
      <c r="I481" s="9">
        <v>0</v>
      </c>
      <c r="J481" s="9">
        <v>0</v>
      </c>
      <c r="K481" s="9">
        <v>0</v>
      </c>
      <c r="L481" s="8">
        <v>672</v>
      </c>
      <c r="M481" s="9">
        <v>7</v>
      </c>
      <c r="N481" s="9">
        <f t="shared" si="70"/>
        <v>664</v>
      </c>
      <c r="O481" s="9">
        <f t="shared" si="71"/>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35">
      <c r="A482" s="47">
        <v>481</v>
      </c>
      <c r="B482" s="47">
        <v>31</v>
      </c>
      <c r="C482" s="48" t="s">
        <v>297</v>
      </c>
      <c r="D482" s="49">
        <v>11.5</v>
      </c>
      <c r="E482" s="50">
        <f t="shared" si="72"/>
        <v>1.4631043256997456</v>
      </c>
      <c r="F482" s="51">
        <v>7.86</v>
      </c>
      <c r="G482" s="53">
        <v>1</v>
      </c>
      <c r="H482" s="54">
        <v>0</v>
      </c>
      <c r="I482" s="54">
        <v>0</v>
      </c>
      <c r="J482" s="54">
        <v>0</v>
      </c>
      <c r="K482" s="54">
        <v>0</v>
      </c>
      <c r="L482" s="53">
        <v>672</v>
      </c>
      <c r="M482" s="54">
        <v>7</v>
      </c>
      <c r="N482" s="54">
        <f t="shared" si="70"/>
        <v>664</v>
      </c>
      <c r="O482" s="54">
        <f t="shared" si="71"/>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35">
      <c r="A483">
        <v>482</v>
      </c>
      <c r="B483">
        <v>32</v>
      </c>
      <c r="C483" s="22" t="s">
        <v>299</v>
      </c>
      <c r="D483" s="11">
        <v>6.62</v>
      </c>
      <c r="E483" s="12">
        <v>0.39</v>
      </c>
      <c r="F483" s="7">
        <f t="shared" ref="F483:F488" si="74">D483/E483</f>
        <v>16.974358974358974</v>
      </c>
      <c r="G483" s="8">
        <v>1</v>
      </c>
      <c r="H483" s="9">
        <v>0</v>
      </c>
      <c r="I483" s="9">
        <v>0</v>
      </c>
      <c r="J483" s="9">
        <v>0</v>
      </c>
      <c r="K483" s="9">
        <v>0</v>
      </c>
      <c r="L483" s="8">
        <v>237</v>
      </c>
      <c r="M483" s="9">
        <v>4</v>
      </c>
      <c r="N483" s="9">
        <f t="shared" si="70"/>
        <v>232</v>
      </c>
      <c r="O483" s="9">
        <f t="shared" si="71"/>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75">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35">
      <c r="A484">
        <v>483</v>
      </c>
      <c r="B484">
        <v>32</v>
      </c>
      <c r="C484" s="22" t="s">
        <v>299</v>
      </c>
      <c r="D484" s="11">
        <v>9.9700000000000006</v>
      </c>
      <c r="E484" s="12">
        <v>1.1100000000000001</v>
      </c>
      <c r="F484" s="7">
        <f t="shared" si="74"/>
        <v>8.9819819819819813</v>
      </c>
      <c r="G484" s="8">
        <v>1</v>
      </c>
      <c r="H484" s="9">
        <v>0</v>
      </c>
      <c r="I484" s="9">
        <v>0</v>
      </c>
      <c r="J484" s="9">
        <v>0</v>
      </c>
      <c r="K484" s="9">
        <v>0</v>
      </c>
      <c r="L484" s="8">
        <v>237</v>
      </c>
      <c r="M484" s="9">
        <v>7</v>
      </c>
      <c r="N484" s="9">
        <f t="shared" si="70"/>
        <v>229</v>
      </c>
      <c r="O484" s="9">
        <f t="shared" si="71"/>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75"/>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35">
      <c r="A485">
        <v>484</v>
      </c>
      <c r="B485">
        <v>32</v>
      </c>
      <c r="C485" s="22" t="s">
        <v>299</v>
      </c>
      <c r="D485" s="11">
        <v>5.72</v>
      </c>
      <c r="E485" s="12">
        <v>0.67</v>
      </c>
      <c r="F485" s="7">
        <f t="shared" si="74"/>
        <v>8.5373134328358198</v>
      </c>
      <c r="G485" s="8">
        <v>1</v>
      </c>
      <c r="H485" s="9">
        <v>0</v>
      </c>
      <c r="I485" s="9">
        <v>0</v>
      </c>
      <c r="J485" s="9">
        <v>0</v>
      </c>
      <c r="K485" s="9">
        <v>0</v>
      </c>
      <c r="L485" s="8">
        <v>237</v>
      </c>
      <c r="M485" s="9">
        <v>8</v>
      </c>
      <c r="N485" s="9">
        <f t="shared" si="70"/>
        <v>228</v>
      </c>
      <c r="O485" s="9">
        <f t="shared" si="71"/>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75"/>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35">
      <c r="A486">
        <v>485</v>
      </c>
      <c r="B486">
        <v>32</v>
      </c>
      <c r="C486" s="22" t="s">
        <v>299</v>
      </c>
      <c r="D486" s="11">
        <v>5.28</v>
      </c>
      <c r="E486" s="12">
        <v>0.7</v>
      </c>
      <c r="F486" s="7">
        <f t="shared" si="74"/>
        <v>7.5428571428571436</v>
      </c>
      <c r="G486" s="8">
        <v>1</v>
      </c>
      <c r="H486" s="9">
        <v>0</v>
      </c>
      <c r="I486" s="9">
        <v>0</v>
      </c>
      <c r="J486" s="9">
        <v>0</v>
      </c>
      <c r="K486" s="9">
        <v>0</v>
      </c>
      <c r="L486" s="8">
        <v>237</v>
      </c>
      <c r="M486" s="9">
        <v>8</v>
      </c>
      <c r="N486" s="9">
        <f t="shared" si="70"/>
        <v>228</v>
      </c>
      <c r="O486" s="9">
        <f t="shared" si="71"/>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75"/>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35">
      <c r="A487">
        <v>486</v>
      </c>
      <c r="B487">
        <v>32</v>
      </c>
      <c r="C487" s="22" t="s">
        <v>299</v>
      </c>
      <c r="D487" s="11">
        <v>8.99</v>
      </c>
      <c r="E487" s="12">
        <v>1.39</v>
      </c>
      <c r="F487" s="7">
        <f t="shared" si="74"/>
        <v>6.4676258992805762</v>
      </c>
      <c r="G487" s="8">
        <v>1</v>
      </c>
      <c r="H487" s="9">
        <v>0</v>
      </c>
      <c r="I487" s="9">
        <v>0</v>
      </c>
      <c r="J487" s="9">
        <v>0</v>
      </c>
      <c r="K487" s="9">
        <v>0</v>
      </c>
      <c r="L487" s="8">
        <v>237</v>
      </c>
      <c r="M487" s="9">
        <v>8</v>
      </c>
      <c r="N487" s="9">
        <f t="shared" si="70"/>
        <v>228</v>
      </c>
      <c r="O487" s="9">
        <f t="shared" si="71"/>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75"/>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35">
      <c r="A488" s="47">
        <v>487</v>
      </c>
      <c r="B488" s="47">
        <v>32</v>
      </c>
      <c r="C488" s="48" t="s">
        <v>299</v>
      </c>
      <c r="D488" s="49">
        <v>7.98</v>
      </c>
      <c r="E488" s="50">
        <v>1.8</v>
      </c>
      <c r="F488" s="51">
        <f t="shared" si="74"/>
        <v>4.4333333333333336</v>
      </c>
      <c r="G488" s="53">
        <v>1</v>
      </c>
      <c r="H488" s="54">
        <v>0</v>
      </c>
      <c r="I488" s="54">
        <v>0</v>
      </c>
      <c r="J488" s="54">
        <v>0</v>
      </c>
      <c r="K488" s="54">
        <v>0</v>
      </c>
      <c r="L488" s="53">
        <v>237</v>
      </c>
      <c r="M488" s="54">
        <v>8</v>
      </c>
      <c r="N488" s="54">
        <f t="shared" si="70"/>
        <v>228</v>
      </c>
      <c r="O488" s="54">
        <f t="shared" si="71"/>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75"/>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3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70"/>
        <v>43596</v>
      </c>
      <c r="O489" s="9">
        <f t="shared" si="71"/>
        <v>16</v>
      </c>
      <c r="P489" s="7">
        <v>16</v>
      </c>
      <c r="Q489" s="7">
        <f t="shared" ref="Q489:Q528" si="76">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77">1-AK489</f>
        <v>0.42900000000000005</v>
      </c>
      <c r="AK489" s="36">
        <v>0.57099999999999995</v>
      </c>
      <c r="AL489">
        <v>0.61499999999999999</v>
      </c>
      <c r="AM489" s="36">
        <f t="shared" ref="AM489:AM504" si="78">1-AL489</f>
        <v>0.38500000000000001</v>
      </c>
      <c r="AN489">
        <v>0</v>
      </c>
      <c r="AO489" s="15">
        <v>1</v>
      </c>
      <c r="AP489">
        <f t="shared" ref="AP489:AP504" si="79">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3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70"/>
        <v>43596</v>
      </c>
      <c r="O490" s="9">
        <f t="shared" si="71"/>
        <v>16</v>
      </c>
      <c r="P490" s="7">
        <v>18</v>
      </c>
      <c r="Q490" s="7">
        <f t="shared" si="76"/>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77"/>
        <v>0.42900000000000005</v>
      </c>
      <c r="AK490" s="36">
        <v>0.57099999999999995</v>
      </c>
      <c r="AL490">
        <v>0.61499999999999999</v>
      </c>
      <c r="AM490" s="36">
        <f t="shared" si="78"/>
        <v>0.38500000000000001</v>
      </c>
      <c r="AN490">
        <v>0</v>
      </c>
      <c r="AO490" s="15">
        <v>1</v>
      </c>
      <c r="AP490">
        <f t="shared" si="79"/>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3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70"/>
        <v>43595</v>
      </c>
      <c r="O491" s="9">
        <f t="shared" si="71"/>
        <v>16</v>
      </c>
      <c r="P491" s="7">
        <v>16</v>
      </c>
      <c r="Q491" s="7">
        <f t="shared" si="76"/>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77"/>
        <v>0.42900000000000005</v>
      </c>
      <c r="AK491" s="36">
        <v>0.57099999999999995</v>
      </c>
      <c r="AL491">
        <v>0.61499999999999999</v>
      </c>
      <c r="AM491" s="36">
        <f t="shared" si="78"/>
        <v>0.38500000000000001</v>
      </c>
      <c r="AN491">
        <v>0</v>
      </c>
      <c r="AO491" s="15">
        <v>1</v>
      </c>
      <c r="AP491">
        <f t="shared" si="79"/>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3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70"/>
        <v>43595</v>
      </c>
      <c r="O492" s="9">
        <f t="shared" si="71"/>
        <v>16</v>
      </c>
      <c r="P492" s="7">
        <v>18</v>
      </c>
      <c r="Q492" s="7">
        <f t="shared" si="76"/>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77"/>
        <v>0.42900000000000005</v>
      </c>
      <c r="AK492" s="36">
        <v>0.57099999999999995</v>
      </c>
      <c r="AL492">
        <v>0.61499999999999999</v>
      </c>
      <c r="AM492" s="36">
        <f t="shared" si="78"/>
        <v>0.38500000000000001</v>
      </c>
      <c r="AN492">
        <v>0</v>
      </c>
      <c r="AO492" s="15">
        <v>1</v>
      </c>
      <c r="AP492">
        <f t="shared" si="79"/>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3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70"/>
        <v>43594</v>
      </c>
      <c r="O493" s="9">
        <f t="shared" si="71"/>
        <v>16</v>
      </c>
      <c r="P493" s="7">
        <v>16</v>
      </c>
      <c r="Q493" s="7">
        <f t="shared" si="76"/>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77"/>
        <v>0.42900000000000005</v>
      </c>
      <c r="AK493" s="36">
        <v>0.57099999999999995</v>
      </c>
      <c r="AL493">
        <v>0.61499999999999999</v>
      </c>
      <c r="AM493" s="36">
        <f t="shared" si="78"/>
        <v>0.38500000000000001</v>
      </c>
      <c r="AN493">
        <v>0</v>
      </c>
      <c r="AO493" s="15">
        <v>1</v>
      </c>
      <c r="AP493">
        <f t="shared" si="79"/>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3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70"/>
        <v>43594</v>
      </c>
      <c r="O494" s="9">
        <f t="shared" si="71"/>
        <v>16</v>
      </c>
      <c r="P494" s="7">
        <v>18</v>
      </c>
      <c r="Q494" s="7">
        <f t="shared" si="76"/>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77"/>
        <v>0.42900000000000005</v>
      </c>
      <c r="AK494" s="36">
        <v>0.57099999999999995</v>
      </c>
      <c r="AL494">
        <v>0.61499999999999999</v>
      </c>
      <c r="AM494" s="36">
        <f t="shared" si="78"/>
        <v>0.38500000000000001</v>
      </c>
      <c r="AN494">
        <v>0</v>
      </c>
      <c r="AO494" s="15">
        <v>1</v>
      </c>
      <c r="AP494">
        <f t="shared" si="79"/>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3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70"/>
        <v>43593</v>
      </c>
      <c r="O495" s="9">
        <f t="shared" si="71"/>
        <v>16</v>
      </c>
      <c r="P495" s="7">
        <v>16</v>
      </c>
      <c r="Q495" s="7">
        <f t="shared" si="76"/>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77"/>
        <v>0.42900000000000005</v>
      </c>
      <c r="AK495" s="36">
        <v>0.57099999999999995</v>
      </c>
      <c r="AL495">
        <v>0.61499999999999999</v>
      </c>
      <c r="AM495" s="36">
        <f t="shared" si="78"/>
        <v>0.38500000000000001</v>
      </c>
      <c r="AN495">
        <v>0</v>
      </c>
      <c r="AO495" s="15">
        <v>1</v>
      </c>
      <c r="AP495">
        <f t="shared" si="79"/>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3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70"/>
        <v>43593</v>
      </c>
      <c r="O496" s="9">
        <f t="shared" si="71"/>
        <v>16</v>
      </c>
      <c r="P496" s="7">
        <v>18</v>
      </c>
      <c r="Q496" s="7">
        <f t="shared" si="76"/>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77"/>
        <v>0.42900000000000005</v>
      </c>
      <c r="AK496" s="36">
        <v>0.57099999999999995</v>
      </c>
      <c r="AL496">
        <v>0.61499999999999999</v>
      </c>
      <c r="AM496" s="36">
        <f t="shared" si="78"/>
        <v>0.38500000000000001</v>
      </c>
      <c r="AN496">
        <v>0</v>
      </c>
      <c r="AO496" s="15">
        <v>1</v>
      </c>
      <c r="AP496">
        <f t="shared" si="79"/>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3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70"/>
        <v>39740</v>
      </c>
      <c r="O497" s="9">
        <f t="shared" si="71"/>
        <v>16</v>
      </c>
      <c r="P497" s="7">
        <v>16</v>
      </c>
      <c r="Q497" s="7">
        <f t="shared" si="76"/>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77"/>
        <v>0.42900000000000005</v>
      </c>
      <c r="AK497" s="36">
        <v>0.57099999999999995</v>
      </c>
      <c r="AL497">
        <v>0.61499999999999999</v>
      </c>
      <c r="AM497" s="36">
        <f t="shared" si="78"/>
        <v>0.38500000000000001</v>
      </c>
      <c r="AN497">
        <v>0</v>
      </c>
      <c r="AO497" s="15">
        <v>1</v>
      </c>
      <c r="AP497">
        <f t="shared" si="79"/>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3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70"/>
        <v>39740</v>
      </c>
      <c r="O498" s="9">
        <f t="shared" si="71"/>
        <v>16</v>
      </c>
      <c r="P498" s="7">
        <v>18</v>
      </c>
      <c r="Q498" s="7">
        <f t="shared" si="76"/>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77"/>
        <v>0.42900000000000005</v>
      </c>
      <c r="AK498" s="36">
        <v>0.57099999999999995</v>
      </c>
      <c r="AL498">
        <v>0.61499999999999999</v>
      </c>
      <c r="AM498" s="36">
        <f t="shared" si="78"/>
        <v>0.38500000000000001</v>
      </c>
      <c r="AN498">
        <v>0</v>
      </c>
      <c r="AO498" s="15">
        <v>1</v>
      </c>
      <c r="AP498">
        <f t="shared" si="79"/>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3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70"/>
        <v>3839</v>
      </c>
      <c r="O499" s="9">
        <f t="shared" si="71"/>
        <v>16</v>
      </c>
      <c r="P499" s="7">
        <v>16</v>
      </c>
      <c r="Q499" s="7">
        <f t="shared" si="76"/>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77"/>
        <v>0.42900000000000005</v>
      </c>
      <c r="AK499" s="36">
        <v>0.57099999999999995</v>
      </c>
      <c r="AL499">
        <v>0.61499999999999999</v>
      </c>
      <c r="AM499" s="36">
        <f t="shared" si="78"/>
        <v>0.38500000000000001</v>
      </c>
      <c r="AN499">
        <v>0</v>
      </c>
      <c r="AO499" s="15">
        <v>1</v>
      </c>
      <c r="AP499">
        <f t="shared" si="79"/>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3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70"/>
        <v>3839</v>
      </c>
      <c r="O500" s="9">
        <f t="shared" si="71"/>
        <v>16</v>
      </c>
      <c r="P500" s="7">
        <v>18</v>
      </c>
      <c r="Q500" s="7">
        <f t="shared" si="76"/>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77"/>
        <v>0.42900000000000005</v>
      </c>
      <c r="AK500" s="36">
        <v>0.57099999999999995</v>
      </c>
      <c r="AL500">
        <v>0.61499999999999999</v>
      </c>
      <c r="AM500" s="36">
        <f t="shared" si="78"/>
        <v>0.38500000000000001</v>
      </c>
      <c r="AN500">
        <v>0</v>
      </c>
      <c r="AO500" s="15">
        <v>1</v>
      </c>
      <c r="AP500">
        <f t="shared" si="79"/>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3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70"/>
        <v>18699</v>
      </c>
      <c r="O501" s="9">
        <f t="shared" si="71"/>
        <v>16</v>
      </c>
      <c r="P501" s="7">
        <v>16</v>
      </c>
      <c r="Q501" s="7">
        <f t="shared" si="76"/>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8"/>
        <v>0.38500000000000001</v>
      </c>
      <c r="AN501">
        <v>0</v>
      </c>
      <c r="AO501" s="15">
        <v>1</v>
      </c>
      <c r="AP501">
        <f t="shared" si="79"/>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3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70"/>
        <v>18699</v>
      </c>
      <c r="O502" s="9">
        <f t="shared" si="71"/>
        <v>16</v>
      </c>
      <c r="P502" s="7">
        <v>18</v>
      </c>
      <c r="Q502" s="7">
        <f t="shared" si="76"/>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8"/>
        <v>0.38500000000000001</v>
      </c>
      <c r="AN502">
        <v>0</v>
      </c>
      <c r="AO502" s="15">
        <v>1</v>
      </c>
      <c r="AP502">
        <f t="shared" si="79"/>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3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70"/>
        <v>24881</v>
      </c>
      <c r="O503" s="9">
        <f t="shared" si="71"/>
        <v>16</v>
      </c>
      <c r="P503" s="7">
        <v>16</v>
      </c>
      <c r="Q503" s="7">
        <f t="shared" si="76"/>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8"/>
        <v>0.38500000000000001</v>
      </c>
      <c r="AN503">
        <v>0</v>
      </c>
      <c r="AO503" s="15">
        <v>1</v>
      </c>
      <c r="AP503">
        <f t="shared" si="79"/>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3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70"/>
        <v>24881</v>
      </c>
      <c r="O504" s="9">
        <f t="shared" si="71"/>
        <v>16</v>
      </c>
      <c r="P504" s="7">
        <v>18</v>
      </c>
      <c r="Q504" s="7">
        <f t="shared" si="76"/>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8"/>
        <v>0.38500000000000001</v>
      </c>
      <c r="AN504">
        <v>0</v>
      </c>
      <c r="AO504" s="15">
        <v>1</v>
      </c>
      <c r="AP504">
        <f t="shared" si="79"/>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35">
      <c r="A505" s="85">
        <v>504</v>
      </c>
      <c r="B505" s="85">
        <v>34</v>
      </c>
      <c r="C505" s="86" t="s">
        <v>307</v>
      </c>
      <c r="D505" s="87">
        <v>8.07</v>
      </c>
      <c r="E505" s="88">
        <v>0.36</v>
      </c>
      <c r="F505" s="89">
        <f t="shared" ref="F505:F528" si="80">D505/E505</f>
        <v>22.416666666666668</v>
      </c>
      <c r="G505" s="91">
        <v>0</v>
      </c>
      <c r="H505" s="92">
        <v>0</v>
      </c>
      <c r="I505" s="92">
        <v>1</v>
      </c>
      <c r="J505" s="92">
        <v>0</v>
      </c>
      <c r="K505" s="92">
        <v>0</v>
      </c>
      <c r="L505" s="91">
        <v>27356</v>
      </c>
      <c r="M505" s="92">
        <v>73</v>
      </c>
      <c r="N505" s="92">
        <f t="shared" si="70"/>
        <v>27282</v>
      </c>
      <c r="O505" s="92">
        <f t="shared" si="71"/>
        <v>24</v>
      </c>
      <c r="P505" s="89">
        <v>5</v>
      </c>
      <c r="Q505" s="89">
        <f t="shared" si="76"/>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81">1-SUM(AE505:AG505)</f>
        <v>0.28200000000000003</v>
      </c>
      <c r="AE505" s="90">
        <v>0.1472</v>
      </c>
      <c r="AF505" s="90">
        <v>0.43049999999999999</v>
      </c>
      <c r="AG505" s="95">
        <v>0.14030000000000001</v>
      </c>
      <c r="AH505" s="96">
        <f t="shared" ref="AH505:AH528" si="82">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83">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35">
      <c r="A506">
        <v>505</v>
      </c>
      <c r="B506">
        <v>34</v>
      </c>
      <c r="C506" s="22" t="s">
        <v>307</v>
      </c>
      <c r="D506" s="11">
        <v>5.0999999999999996</v>
      </c>
      <c r="E506" s="12">
        <v>0.47</v>
      </c>
      <c r="F506" s="7">
        <f t="shared" si="80"/>
        <v>10.851063829787234</v>
      </c>
      <c r="G506" s="8">
        <v>0</v>
      </c>
      <c r="H506" s="9">
        <v>0</v>
      </c>
      <c r="I506" s="9">
        <v>1</v>
      </c>
      <c r="J506" s="9">
        <v>0</v>
      </c>
      <c r="K506" s="9">
        <v>0</v>
      </c>
      <c r="L506" s="8">
        <v>26387</v>
      </c>
      <c r="M506" s="9">
        <v>73</v>
      </c>
      <c r="N506" s="9">
        <f t="shared" si="70"/>
        <v>26313</v>
      </c>
      <c r="O506" s="9">
        <f t="shared" si="71"/>
        <v>24</v>
      </c>
      <c r="P506" s="7">
        <v>5</v>
      </c>
      <c r="Q506" s="7">
        <f t="shared" si="76"/>
        <v>25.769599999999997</v>
      </c>
      <c r="R506" s="9">
        <v>1</v>
      </c>
      <c r="S506" s="9">
        <v>0</v>
      </c>
      <c r="T506" s="9">
        <v>1</v>
      </c>
      <c r="U506" s="9">
        <v>0</v>
      </c>
      <c r="V506" s="9">
        <v>0</v>
      </c>
      <c r="W506" s="27">
        <v>0</v>
      </c>
      <c r="X506" s="9">
        <v>0</v>
      </c>
      <c r="Y506" s="9">
        <v>1</v>
      </c>
      <c r="Z506" s="27">
        <v>0</v>
      </c>
      <c r="AA506" s="9">
        <v>0</v>
      </c>
      <c r="AB506" s="27">
        <v>1</v>
      </c>
      <c r="AC506" s="18">
        <v>1993</v>
      </c>
      <c r="AD506" s="29">
        <f t="shared" si="81"/>
        <v>0.19130000000000003</v>
      </c>
      <c r="AE506" s="29">
        <v>0.1027</v>
      </c>
      <c r="AF506" s="29">
        <v>0.4718</v>
      </c>
      <c r="AG506" s="39">
        <v>0.23419999999999999</v>
      </c>
      <c r="AH506" s="38">
        <f t="shared" si="82"/>
        <v>0.52929399999999993</v>
      </c>
      <c r="AI506" s="15">
        <f>(0.622*AP506+0.4104*AQ506)</f>
        <v>0.47070600000000001</v>
      </c>
      <c r="AJ506">
        <v>1</v>
      </c>
      <c r="AK506" s="36">
        <v>0</v>
      </c>
      <c r="AL506" t="s">
        <v>94</v>
      </c>
      <c r="AM506" s="36" t="s">
        <v>94</v>
      </c>
      <c r="AN506">
        <v>0</v>
      </c>
      <c r="AO506" s="15">
        <v>1</v>
      </c>
      <c r="AP506">
        <v>0.28499999999999998</v>
      </c>
      <c r="AQ506" s="15">
        <f t="shared" si="83"/>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35">
      <c r="A507">
        <v>506</v>
      </c>
      <c r="B507">
        <v>34</v>
      </c>
      <c r="C507" s="22" t="s">
        <v>307</v>
      </c>
      <c r="D507" s="11">
        <v>5.6</v>
      </c>
      <c r="E507" s="12">
        <v>0.55999999999999994</v>
      </c>
      <c r="F507" s="7">
        <f t="shared" si="80"/>
        <v>10</v>
      </c>
      <c r="G507" s="8">
        <v>0</v>
      </c>
      <c r="H507" s="9">
        <v>0</v>
      </c>
      <c r="I507" s="9">
        <v>1</v>
      </c>
      <c r="J507" s="9">
        <v>0</v>
      </c>
      <c r="K507" s="9">
        <v>0</v>
      </c>
      <c r="L507" s="8">
        <v>27295</v>
      </c>
      <c r="M507" s="9">
        <v>73</v>
      </c>
      <c r="N507" s="9">
        <f t="shared" si="70"/>
        <v>27221</v>
      </c>
      <c r="O507" s="9">
        <f t="shared" si="71"/>
        <v>24</v>
      </c>
      <c r="P507" s="7">
        <v>5</v>
      </c>
      <c r="Q507" s="7">
        <f t="shared" si="76"/>
        <v>26.110999999999997</v>
      </c>
      <c r="R507" s="9">
        <v>1</v>
      </c>
      <c r="S507" s="9">
        <v>0</v>
      </c>
      <c r="T507" s="9">
        <v>1</v>
      </c>
      <c r="U507" s="9">
        <v>0</v>
      </c>
      <c r="V507" s="9">
        <v>0</v>
      </c>
      <c r="W507" s="27">
        <v>0</v>
      </c>
      <c r="X507" s="9">
        <v>0</v>
      </c>
      <c r="Y507" s="9">
        <v>1</v>
      </c>
      <c r="Z507" s="27">
        <v>0</v>
      </c>
      <c r="AA507" s="9">
        <v>0</v>
      </c>
      <c r="AB507" s="27">
        <v>1</v>
      </c>
      <c r="AC507" s="18">
        <v>1999</v>
      </c>
      <c r="AD507" s="29">
        <f t="shared" si="81"/>
        <v>0.16289999999999993</v>
      </c>
      <c r="AE507" s="29">
        <v>9.69E-2</v>
      </c>
      <c r="AF507" s="29">
        <v>0.49940000000000001</v>
      </c>
      <c r="AG507" s="39">
        <v>0.24079999999999999</v>
      </c>
      <c r="AH507" s="38">
        <f t="shared" si="82"/>
        <v>0.53514991000000001</v>
      </c>
      <c r="AI507" s="15">
        <f>(0.5965*AP507+0.4124*AQ507)</f>
        <v>0.46485008999999999</v>
      </c>
      <c r="AJ507">
        <v>1</v>
      </c>
      <c r="AK507" s="36">
        <v>0</v>
      </c>
      <c r="AL507" t="s">
        <v>94</v>
      </c>
      <c r="AM507" s="36" t="s">
        <v>94</v>
      </c>
      <c r="AN507">
        <v>0</v>
      </c>
      <c r="AO507" s="15">
        <v>1</v>
      </c>
      <c r="AP507">
        <v>0.28489999999999999</v>
      </c>
      <c r="AQ507" s="15">
        <f t="shared" si="83"/>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35">
      <c r="A508">
        <v>507</v>
      </c>
      <c r="B508">
        <v>34</v>
      </c>
      <c r="C508" s="22" t="s">
        <v>307</v>
      </c>
      <c r="D508" s="11">
        <v>3.42</v>
      </c>
      <c r="E508" s="12">
        <v>0.26</v>
      </c>
      <c r="F508" s="7">
        <f t="shared" si="80"/>
        <v>13.153846153846153</v>
      </c>
      <c r="G508" s="8">
        <v>0</v>
      </c>
      <c r="H508" s="9">
        <v>0</v>
      </c>
      <c r="I508" s="9">
        <v>1</v>
      </c>
      <c r="J508" s="9">
        <v>0</v>
      </c>
      <c r="K508" s="9">
        <v>0</v>
      </c>
      <c r="L508" s="8">
        <v>27356</v>
      </c>
      <c r="M508" s="9">
        <v>73</v>
      </c>
      <c r="N508" s="9">
        <f t="shared" si="70"/>
        <v>27282</v>
      </c>
      <c r="O508" s="9">
        <f t="shared" si="71"/>
        <v>24</v>
      </c>
      <c r="P508" s="7">
        <v>8</v>
      </c>
      <c r="Q508" s="7">
        <f t="shared" si="76"/>
        <v>20.878999999999998</v>
      </c>
      <c r="R508" s="9">
        <v>1</v>
      </c>
      <c r="S508" s="9">
        <v>0</v>
      </c>
      <c r="T508" s="9">
        <v>1</v>
      </c>
      <c r="U508" s="9">
        <v>0</v>
      </c>
      <c r="V508" s="9">
        <v>0</v>
      </c>
      <c r="W508" s="27">
        <v>0</v>
      </c>
      <c r="X508" s="9">
        <v>0</v>
      </c>
      <c r="Y508" s="9">
        <v>1</v>
      </c>
      <c r="Z508" s="27">
        <v>0</v>
      </c>
      <c r="AA508" s="9">
        <v>0</v>
      </c>
      <c r="AB508" s="27">
        <v>1</v>
      </c>
      <c r="AC508" s="18">
        <v>1983</v>
      </c>
      <c r="AD508" s="29">
        <f t="shared" si="81"/>
        <v>0.28200000000000003</v>
      </c>
      <c r="AE508" s="29">
        <v>0.1472</v>
      </c>
      <c r="AF508" s="29">
        <v>0.43049999999999999</v>
      </c>
      <c r="AG508" s="39">
        <v>0.14030000000000001</v>
      </c>
      <c r="AH508" s="38">
        <f t="shared" si="82"/>
        <v>0.54134831999999999</v>
      </c>
      <c r="AI508" s="15">
        <v>0.45865168000000001</v>
      </c>
      <c r="AJ508">
        <v>1</v>
      </c>
      <c r="AK508" s="36">
        <v>0</v>
      </c>
      <c r="AL508" t="s">
        <v>94</v>
      </c>
      <c r="AM508" s="36" t="s">
        <v>94</v>
      </c>
      <c r="AN508">
        <v>0</v>
      </c>
      <c r="AO508" s="15">
        <v>1</v>
      </c>
      <c r="AP508">
        <v>0.30980000000000002</v>
      </c>
      <c r="AQ508" s="15">
        <f t="shared" si="83"/>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35">
      <c r="A509">
        <v>508</v>
      </c>
      <c r="B509">
        <v>34</v>
      </c>
      <c r="C509" s="22" t="s">
        <v>307</v>
      </c>
      <c r="D509" s="11">
        <v>3.14</v>
      </c>
      <c r="E509" s="12">
        <v>0.32</v>
      </c>
      <c r="F509" s="7">
        <f t="shared" si="80"/>
        <v>9.8125</v>
      </c>
      <c r="G509" s="8">
        <v>0</v>
      </c>
      <c r="H509" s="9">
        <v>0</v>
      </c>
      <c r="I509" s="9">
        <v>1</v>
      </c>
      <c r="J509" s="9">
        <v>0</v>
      </c>
      <c r="K509" s="9">
        <v>0</v>
      </c>
      <c r="L509" s="8">
        <v>26387</v>
      </c>
      <c r="M509" s="9">
        <v>73</v>
      </c>
      <c r="N509" s="9">
        <f t="shared" si="70"/>
        <v>26313</v>
      </c>
      <c r="O509" s="9">
        <f t="shared" si="71"/>
        <v>24</v>
      </c>
      <c r="P509" s="7">
        <v>8</v>
      </c>
      <c r="Q509" s="7">
        <f t="shared" si="76"/>
        <v>22.769599999999997</v>
      </c>
      <c r="R509" s="9">
        <v>1</v>
      </c>
      <c r="S509" s="9">
        <v>0</v>
      </c>
      <c r="T509" s="9">
        <v>1</v>
      </c>
      <c r="U509" s="9">
        <v>0</v>
      </c>
      <c r="V509" s="9">
        <v>0</v>
      </c>
      <c r="W509" s="27">
        <v>0</v>
      </c>
      <c r="X509" s="9">
        <v>0</v>
      </c>
      <c r="Y509" s="9">
        <v>1</v>
      </c>
      <c r="Z509" s="27">
        <v>0</v>
      </c>
      <c r="AA509" s="9">
        <v>0</v>
      </c>
      <c r="AB509" s="27">
        <v>1</v>
      </c>
      <c r="AC509" s="18">
        <v>1993</v>
      </c>
      <c r="AD509" s="29">
        <f t="shared" si="81"/>
        <v>0.19130000000000003</v>
      </c>
      <c r="AE509" s="29">
        <v>0.1027</v>
      </c>
      <c r="AF509" s="29">
        <v>0.4718</v>
      </c>
      <c r="AG509" s="39">
        <v>0.23419999999999999</v>
      </c>
      <c r="AH509" s="38">
        <f t="shared" si="82"/>
        <v>0.52929399999999993</v>
      </c>
      <c r="AI509" s="15">
        <v>0.47070600000000001</v>
      </c>
      <c r="AJ509">
        <v>1</v>
      </c>
      <c r="AK509" s="36">
        <v>0</v>
      </c>
      <c r="AL509" t="s">
        <v>94</v>
      </c>
      <c r="AM509" s="36" t="s">
        <v>94</v>
      </c>
      <c r="AN509">
        <v>0</v>
      </c>
      <c r="AO509" s="15">
        <v>1</v>
      </c>
      <c r="AP509">
        <v>0.28499999999999998</v>
      </c>
      <c r="AQ509" s="15">
        <f t="shared" si="83"/>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35">
      <c r="A510">
        <v>509</v>
      </c>
      <c r="B510">
        <v>34</v>
      </c>
      <c r="C510" s="22" t="s">
        <v>307</v>
      </c>
      <c r="D510" s="11">
        <v>3.53</v>
      </c>
      <c r="E510" s="12">
        <v>0.36</v>
      </c>
      <c r="F510" s="7">
        <f t="shared" si="80"/>
        <v>9.8055555555555554</v>
      </c>
      <c r="G510" s="8">
        <v>0</v>
      </c>
      <c r="H510" s="9">
        <v>0</v>
      </c>
      <c r="I510" s="9">
        <v>1</v>
      </c>
      <c r="J510" s="9">
        <v>0</v>
      </c>
      <c r="K510" s="9">
        <v>0</v>
      </c>
      <c r="L510" s="8">
        <v>27295</v>
      </c>
      <c r="M510" s="9">
        <v>73</v>
      </c>
      <c r="N510" s="9">
        <f t="shared" si="70"/>
        <v>27221</v>
      </c>
      <c r="O510" s="9">
        <f t="shared" si="71"/>
        <v>24</v>
      </c>
      <c r="P510" s="7">
        <v>8</v>
      </c>
      <c r="Q510" s="7">
        <f t="shared" si="76"/>
        <v>23.110999999999997</v>
      </c>
      <c r="R510" s="9">
        <v>1</v>
      </c>
      <c r="S510" s="9">
        <v>0</v>
      </c>
      <c r="T510" s="9">
        <v>1</v>
      </c>
      <c r="U510" s="9">
        <v>0</v>
      </c>
      <c r="V510" s="9">
        <v>0</v>
      </c>
      <c r="W510" s="27">
        <v>0</v>
      </c>
      <c r="X510" s="9">
        <v>0</v>
      </c>
      <c r="Y510" s="9">
        <v>1</v>
      </c>
      <c r="Z510" s="27">
        <v>0</v>
      </c>
      <c r="AA510" s="9">
        <v>0</v>
      </c>
      <c r="AB510" s="27">
        <v>1</v>
      </c>
      <c r="AC510" s="18">
        <v>1999</v>
      </c>
      <c r="AD510" s="29">
        <f t="shared" si="81"/>
        <v>0.16289999999999993</v>
      </c>
      <c r="AE510" s="29">
        <v>9.69E-2</v>
      </c>
      <c r="AF510" s="29">
        <v>0.49940000000000001</v>
      </c>
      <c r="AG510" s="39">
        <v>0.24079999999999999</v>
      </c>
      <c r="AH510" s="38">
        <f t="shared" si="82"/>
        <v>0.53514991000000001</v>
      </c>
      <c r="AI510" s="15">
        <v>0.46485008999999999</v>
      </c>
      <c r="AJ510">
        <v>1</v>
      </c>
      <c r="AK510" s="36">
        <v>0</v>
      </c>
      <c r="AL510" t="s">
        <v>94</v>
      </c>
      <c r="AM510" s="36" t="s">
        <v>94</v>
      </c>
      <c r="AN510">
        <v>0</v>
      </c>
      <c r="AO510" s="15">
        <v>1</v>
      </c>
      <c r="AP510">
        <v>0.28489999999999999</v>
      </c>
      <c r="AQ510" s="15">
        <f t="shared" si="83"/>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35">
      <c r="A511">
        <v>510</v>
      </c>
      <c r="B511">
        <v>34</v>
      </c>
      <c r="C511" s="22" t="s">
        <v>307</v>
      </c>
      <c r="D511" s="11">
        <v>6</v>
      </c>
      <c r="E511" s="12">
        <v>0.18</v>
      </c>
      <c r="F511" s="7">
        <f t="shared" si="80"/>
        <v>33.333333333333336</v>
      </c>
      <c r="G511" s="8">
        <v>0</v>
      </c>
      <c r="H511" s="9">
        <v>0</v>
      </c>
      <c r="I511" s="9">
        <v>1</v>
      </c>
      <c r="J511" s="9">
        <v>0</v>
      </c>
      <c r="K511" s="9">
        <v>0</v>
      </c>
      <c r="L511" s="8">
        <v>27356</v>
      </c>
      <c r="M511" s="9">
        <v>73</v>
      </c>
      <c r="N511" s="9">
        <f t="shared" si="70"/>
        <v>27282</v>
      </c>
      <c r="O511" s="9">
        <f t="shared" si="71"/>
        <v>24</v>
      </c>
      <c r="P511" s="7">
        <v>12</v>
      </c>
      <c r="Q511" s="7">
        <f t="shared" si="76"/>
        <v>16.878999999999998</v>
      </c>
      <c r="R511" s="9">
        <v>1</v>
      </c>
      <c r="S511" s="9">
        <v>0</v>
      </c>
      <c r="T511" s="9">
        <v>1</v>
      </c>
      <c r="U511" s="9">
        <v>0</v>
      </c>
      <c r="V511" s="9">
        <v>0</v>
      </c>
      <c r="W511" s="27">
        <v>0</v>
      </c>
      <c r="X511" s="9">
        <v>0</v>
      </c>
      <c r="Y511" s="9">
        <v>1</v>
      </c>
      <c r="Z511" s="27">
        <v>0</v>
      </c>
      <c r="AA511" s="9">
        <v>0</v>
      </c>
      <c r="AB511" s="27">
        <v>1</v>
      </c>
      <c r="AC511" s="18">
        <v>1983</v>
      </c>
      <c r="AD511" s="29">
        <f t="shared" si="81"/>
        <v>0.28200000000000003</v>
      </c>
      <c r="AE511" s="29">
        <v>0.1472</v>
      </c>
      <c r="AF511" s="29">
        <v>0.43049999999999999</v>
      </c>
      <c r="AG511" s="39">
        <v>0.14030000000000001</v>
      </c>
      <c r="AH511" s="38">
        <f t="shared" si="82"/>
        <v>0.54134831999999999</v>
      </c>
      <c r="AI511" s="15">
        <v>0.45865168000000001</v>
      </c>
      <c r="AJ511">
        <v>1</v>
      </c>
      <c r="AK511" s="36">
        <v>0</v>
      </c>
      <c r="AL511" t="s">
        <v>94</v>
      </c>
      <c r="AM511" s="36" t="s">
        <v>94</v>
      </c>
      <c r="AN511">
        <v>0</v>
      </c>
      <c r="AO511" s="15">
        <v>1</v>
      </c>
      <c r="AP511">
        <v>0.30980000000000002</v>
      </c>
      <c r="AQ511" s="15">
        <f t="shared" si="83"/>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35">
      <c r="A512">
        <v>511</v>
      </c>
      <c r="B512">
        <v>34</v>
      </c>
      <c r="C512" s="22" t="s">
        <v>307</v>
      </c>
      <c r="D512" s="11">
        <v>5.37</v>
      </c>
      <c r="E512" s="12">
        <v>0.2</v>
      </c>
      <c r="F512" s="7">
        <f t="shared" si="80"/>
        <v>26.849999999999998</v>
      </c>
      <c r="G512" s="8">
        <v>0</v>
      </c>
      <c r="H512" s="9">
        <v>0</v>
      </c>
      <c r="I512" s="9">
        <v>1</v>
      </c>
      <c r="J512" s="9">
        <v>0</v>
      </c>
      <c r="K512" s="9">
        <v>0</v>
      </c>
      <c r="L512" s="8">
        <v>26387</v>
      </c>
      <c r="M512" s="9">
        <v>73</v>
      </c>
      <c r="N512" s="9">
        <f t="shared" si="70"/>
        <v>26313</v>
      </c>
      <c r="O512" s="9">
        <f t="shared" si="71"/>
        <v>24</v>
      </c>
      <c r="P512" s="7">
        <v>12</v>
      </c>
      <c r="Q512" s="7">
        <f t="shared" si="76"/>
        <v>18.769599999999997</v>
      </c>
      <c r="R512" s="9">
        <v>1</v>
      </c>
      <c r="S512" s="9">
        <v>0</v>
      </c>
      <c r="T512" s="9">
        <v>1</v>
      </c>
      <c r="U512" s="9">
        <v>0</v>
      </c>
      <c r="V512" s="9">
        <v>0</v>
      </c>
      <c r="W512" s="27">
        <v>0</v>
      </c>
      <c r="X512" s="9">
        <v>0</v>
      </c>
      <c r="Y512" s="9">
        <v>1</v>
      </c>
      <c r="Z512" s="27">
        <v>0</v>
      </c>
      <c r="AA512" s="9">
        <v>0</v>
      </c>
      <c r="AB512" s="27">
        <v>1</v>
      </c>
      <c r="AC512" s="18">
        <v>1993</v>
      </c>
      <c r="AD512" s="29">
        <f t="shared" si="81"/>
        <v>0.19130000000000003</v>
      </c>
      <c r="AE512" s="29">
        <v>0.1027</v>
      </c>
      <c r="AF512" s="29">
        <v>0.4718</v>
      </c>
      <c r="AG512" s="39">
        <v>0.23419999999999999</v>
      </c>
      <c r="AH512" s="38">
        <f t="shared" si="82"/>
        <v>0.52929399999999993</v>
      </c>
      <c r="AI512" s="15">
        <v>0.47070600000000001</v>
      </c>
      <c r="AJ512">
        <v>1</v>
      </c>
      <c r="AK512" s="36">
        <v>0</v>
      </c>
      <c r="AL512" t="s">
        <v>94</v>
      </c>
      <c r="AM512" s="36" t="s">
        <v>94</v>
      </c>
      <c r="AN512">
        <v>0</v>
      </c>
      <c r="AO512" s="15">
        <v>1</v>
      </c>
      <c r="AP512">
        <v>0.28499999999999998</v>
      </c>
      <c r="AQ512" s="15">
        <f t="shared" si="83"/>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35">
      <c r="A513">
        <v>512</v>
      </c>
      <c r="B513">
        <v>34</v>
      </c>
      <c r="C513" s="22" t="s">
        <v>307</v>
      </c>
      <c r="D513" s="11">
        <v>6.12</v>
      </c>
      <c r="E513" s="12">
        <v>0.21</v>
      </c>
      <c r="F513" s="7">
        <f t="shared" si="80"/>
        <v>29.142857142857146</v>
      </c>
      <c r="G513" s="8">
        <v>0</v>
      </c>
      <c r="H513" s="9">
        <v>0</v>
      </c>
      <c r="I513" s="9">
        <v>1</v>
      </c>
      <c r="J513" s="9">
        <v>0</v>
      </c>
      <c r="K513" s="9">
        <v>0</v>
      </c>
      <c r="L513" s="8">
        <v>27295</v>
      </c>
      <c r="M513" s="9">
        <v>73</v>
      </c>
      <c r="N513" s="9">
        <f t="shared" si="70"/>
        <v>27221</v>
      </c>
      <c r="O513" s="9">
        <f t="shared" si="71"/>
        <v>24</v>
      </c>
      <c r="P513" s="7">
        <v>12</v>
      </c>
      <c r="Q513" s="7">
        <f t="shared" si="76"/>
        <v>19.110999999999997</v>
      </c>
      <c r="R513" s="9">
        <v>1</v>
      </c>
      <c r="S513" s="9">
        <v>0</v>
      </c>
      <c r="T513" s="9">
        <v>1</v>
      </c>
      <c r="U513" s="9">
        <v>0</v>
      </c>
      <c r="V513" s="9">
        <v>0</v>
      </c>
      <c r="W513" s="27">
        <v>0</v>
      </c>
      <c r="X513" s="9">
        <v>0</v>
      </c>
      <c r="Y513" s="9">
        <v>1</v>
      </c>
      <c r="Z513" s="27">
        <v>0</v>
      </c>
      <c r="AA513" s="9">
        <v>0</v>
      </c>
      <c r="AB513" s="27">
        <v>1</v>
      </c>
      <c r="AC513" s="18">
        <v>1999</v>
      </c>
      <c r="AD513" s="29">
        <f t="shared" si="81"/>
        <v>0.16289999999999993</v>
      </c>
      <c r="AE513" s="29">
        <v>9.69E-2</v>
      </c>
      <c r="AF513" s="29">
        <v>0.49940000000000001</v>
      </c>
      <c r="AG513" s="39">
        <v>0.24079999999999999</v>
      </c>
      <c r="AH513" s="38">
        <f t="shared" si="82"/>
        <v>0.53514991000000001</v>
      </c>
      <c r="AI513" s="15">
        <v>0.46485008999999999</v>
      </c>
      <c r="AJ513">
        <v>1</v>
      </c>
      <c r="AK513" s="36">
        <v>0</v>
      </c>
      <c r="AL513" t="s">
        <v>94</v>
      </c>
      <c r="AM513" s="36" t="s">
        <v>94</v>
      </c>
      <c r="AN513">
        <v>0</v>
      </c>
      <c r="AO513" s="15">
        <v>1</v>
      </c>
      <c r="AP513">
        <v>0.28489999999999999</v>
      </c>
      <c r="AQ513" s="15">
        <f t="shared" si="83"/>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35">
      <c r="A514">
        <v>513</v>
      </c>
      <c r="B514">
        <v>34</v>
      </c>
      <c r="C514" s="22" t="s">
        <v>307</v>
      </c>
      <c r="D514" s="11">
        <v>9.9700000000000006</v>
      </c>
      <c r="E514" s="12">
        <v>0.28000000000000003</v>
      </c>
      <c r="F514" s="7">
        <f t="shared" si="80"/>
        <v>35.607142857142854</v>
      </c>
      <c r="G514" s="8">
        <v>0</v>
      </c>
      <c r="H514" s="9">
        <v>0</v>
      </c>
      <c r="I514" s="9">
        <v>1</v>
      </c>
      <c r="J514" s="9">
        <v>0</v>
      </c>
      <c r="K514" s="9">
        <v>0</v>
      </c>
      <c r="L514" s="8">
        <v>27356</v>
      </c>
      <c r="M514" s="9">
        <v>73</v>
      </c>
      <c r="N514" s="9">
        <f t="shared" ref="N514:N577" si="84">L514-M514-1</f>
        <v>27282</v>
      </c>
      <c r="O514" s="9">
        <f t="shared" ref="O514:O577" si="85">COUNTIF(B:B,B514)</f>
        <v>24</v>
      </c>
      <c r="P514" s="7">
        <v>15.5</v>
      </c>
      <c r="Q514" s="7">
        <f t="shared" si="76"/>
        <v>13.378999999999998</v>
      </c>
      <c r="R514" s="9">
        <v>1</v>
      </c>
      <c r="S514" s="9">
        <v>0</v>
      </c>
      <c r="T514" s="9">
        <v>1</v>
      </c>
      <c r="U514" s="9">
        <v>0</v>
      </c>
      <c r="V514" s="9">
        <v>0</v>
      </c>
      <c r="W514" s="27">
        <v>0</v>
      </c>
      <c r="X514" s="9">
        <v>0</v>
      </c>
      <c r="Y514" s="9">
        <v>1</v>
      </c>
      <c r="Z514" s="27">
        <v>0</v>
      </c>
      <c r="AA514" s="9">
        <v>0</v>
      </c>
      <c r="AB514" s="27">
        <v>1</v>
      </c>
      <c r="AC514" s="18">
        <v>1983</v>
      </c>
      <c r="AD514" s="29">
        <f t="shared" si="81"/>
        <v>0.28200000000000003</v>
      </c>
      <c r="AE514" s="29">
        <v>0.1472</v>
      </c>
      <c r="AF514" s="29">
        <v>0.43049999999999999</v>
      </c>
      <c r="AG514" s="39">
        <v>0.14030000000000001</v>
      </c>
      <c r="AH514" s="38">
        <f t="shared" si="82"/>
        <v>0.54134831999999999</v>
      </c>
      <c r="AI514" s="15">
        <v>0.45865168000000001</v>
      </c>
      <c r="AJ514">
        <v>1</v>
      </c>
      <c r="AK514" s="36">
        <v>0</v>
      </c>
      <c r="AL514" t="s">
        <v>94</v>
      </c>
      <c r="AM514" s="36" t="s">
        <v>94</v>
      </c>
      <c r="AN514">
        <v>0</v>
      </c>
      <c r="AO514" s="15">
        <v>1</v>
      </c>
      <c r="AP514">
        <v>0.30980000000000002</v>
      </c>
      <c r="AQ514" s="15">
        <f t="shared" si="83"/>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35">
      <c r="A515">
        <v>514</v>
      </c>
      <c r="B515">
        <v>34</v>
      </c>
      <c r="C515" s="22" t="s">
        <v>307</v>
      </c>
      <c r="D515" s="11">
        <v>10.94</v>
      </c>
      <c r="E515" s="12">
        <v>0.28000000000000003</v>
      </c>
      <c r="F515" s="7">
        <f t="shared" si="80"/>
        <v>39.071428571428569</v>
      </c>
      <c r="G515" s="8">
        <v>0</v>
      </c>
      <c r="H515" s="9">
        <v>0</v>
      </c>
      <c r="I515" s="9">
        <v>1</v>
      </c>
      <c r="J515" s="9">
        <v>0</v>
      </c>
      <c r="K515" s="9">
        <v>0</v>
      </c>
      <c r="L515" s="8">
        <v>26387</v>
      </c>
      <c r="M515" s="9">
        <v>73</v>
      </c>
      <c r="N515" s="9">
        <f t="shared" si="84"/>
        <v>26313</v>
      </c>
      <c r="O515" s="9">
        <f t="shared" si="85"/>
        <v>24</v>
      </c>
      <c r="P515" s="7">
        <v>15.5</v>
      </c>
      <c r="Q515" s="7">
        <f t="shared" si="76"/>
        <v>15.269599999999997</v>
      </c>
      <c r="R515" s="9">
        <v>1</v>
      </c>
      <c r="S515" s="9">
        <v>0</v>
      </c>
      <c r="T515" s="9">
        <v>1</v>
      </c>
      <c r="U515" s="9">
        <v>0</v>
      </c>
      <c r="V515" s="9">
        <v>0</v>
      </c>
      <c r="W515" s="27">
        <v>0</v>
      </c>
      <c r="X515" s="9">
        <v>0</v>
      </c>
      <c r="Y515" s="9">
        <v>1</v>
      </c>
      <c r="Z515" s="27">
        <v>0</v>
      </c>
      <c r="AA515" s="9">
        <v>0</v>
      </c>
      <c r="AB515" s="27">
        <v>1</v>
      </c>
      <c r="AC515" s="18">
        <v>1993</v>
      </c>
      <c r="AD515" s="29">
        <f t="shared" si="81"/>
        <v>0.19130000000000003</v>
      </c>
      <c r="AE515" s="29">
        <v>0.1027</v>
      </c>
      <c r="AF515" s="29">
        <v>0.4718</v>
      </c>
      <c r="AG515" s="39">
        <v>0.23419999999999999</v>
      </c>
      <c r="AH515" s="38">
        <f t="shared" si="82"/>
        <v>0.52929399999999993</v>
      </c>
      <c r="AI515" s="15">
        <v>0.47070600000000001</v>
      </c>
      <c r="AJ515">
        <v>1</v>
      </c>
      <c r="AK515" s="36">
        <v>0</v>
      </c>
      <c r="AL515" t="s">
        <v>94</v>
      </c>
      <c r="AM515" s="36" t="s">
        <v>94</v>
      </c>
      <c r="AN515">
        <v>0</v>
      </c>
      <c r="AO515" s="15">
        <v>1</v>
      </c>
      <c r="AP515">
        <v>0.28499999999999998</v>
      </c>
      <c r="AQ515" s="15">
        <f t="shared" si="83"/>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35">
      <c r="A516">
        <v>515</v>
      </c>
      <c r="B516">
        <v>34</v>
      </c>
      <c r="C516" s="22" t="s">
        <v>307</v>
      </c>
      <c r="D516" s="11">
        <v>12.29</v>
      </c>
      <c r="E516" s="12">
        <v>0.28000000000000003</v>
      </c>
      <c r="F516" s="7">
        <f t="shared" si="80"/>
        <v>43.892857142857139</v>
      </c>
      <c r="G516" s="8">
        <v>0</v>
      </c>
      <c r="H516" s="9">
        <v>0</v>
      </c>
      <c r="I516" s="9">
        <v>1</v>
      </c>
      <c r="J516" s="9">
        <v>0</v>
      </c>
      <c r="K516" s="9">
        <v>0</v>
      </c>
      <c r="L516" s="8">
        <v>27295</v>
      </c>
      <c r="M516" s="9">
        <v>73</v>
      </c>
      <c r="N516" s="9">
        <f t="shared" si="84"/>
        <v>27221</v>
      </c>
      <c r="O516" s="9">
        <f t="shared" si="85"/>
        <v>24</v>
      </c>
      <c r="P516" s="7">
        <v>15.5</v>
      </c>
      <c r="Q516" s="7">
        <f t="shared" si="76"/>
        <v>15.610999999999997</v>
      </c>
      <c r="R516" s="9">
        <v>1</v>
      </c>
      <c r="S516" s="9">
        <v>0</v>
      </c>
      <c r="T516" s="9">
        <v>1</v>
      </c>
      <c r="U516" s="9">
        <v>0</v>
      </c>
      <c r="V516" s="9">
        <v>0</v>
      </c>
      <c r="W516" s="27">
        <v>0</v>
      </c>
      <c r="X516" s="9">
        <v>0</v>
      </c>
      <c r="Y516" s="9">
        <v>1</v>
      </c>
      <c r="Z516" s="27">
        <v>0</v>
      </c>
      <c r="AA516" s="9">
        <v>0</v>
      </c>
      <c r="AB516" s="27">
        <v>1</v>
      </c>
      <c r="AC516" s="18">
        <v>1999</v>
      </c>
      <c r="AD516" s="29">
        <f t="shared" si="81"/>
        <v>0.16289999999999993</v>
      </c>
      <c r="AE516" s="29">
        <v>9.69E-2</v>
      </c>
      <c r="AF516" s="29">
        <v>0.49940000000000001</v>
      </c>
      <c r="AG516" s="39">
        <v>0.24079999999999999</v>
      </c>
      <c r="AH516" s="38">
        <f t="shared" si="82"/>
        <v>0.53514991000000001</v>
      </c>
      <c r="AI516" s="15">
        <v>0.46485008999999999</v>
      </c>
      <c r="AJ516">
        <v>1</v>
      </c>
      <c r="AK516" s="36">
        <v>0</v>
      </c>
      <c r="AL516" t="s">
        <v>94</v>
      </c>
      <c r="AM516" s="36" t="s">
        <v>94</v>
      </c>
      <c r="AN516">
        <v>0</v>
      </c>
      <c r="AO516" s="15">
        <v>1</v>
      </c>
      <c r="AP516">
        <v>0.28489999999999999</v>
      </c>
      <c r="AQ516" s="15">
        <f t="shared" si="83"/>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35">
      <c r="A517">
        <v>516</v>
      </c>
      <c r="B517">
        <v>34</v>
      </c>
      <c r="C517" s="22" t="s">
        <v>307</v>
      </c>
      <c r="D517" s="11">
        <v>5.17</v>
      </c>
      <c r="E517" s="12">
        <v>0.24</v>
      </c>
      <c r="F517" s="7">
        <f t="shared" si="80"/>
        <v>21.541666666666668</v>
      </c>
      <c r="G517" s="8">
        <v>0</v>
      </c>
      <c r="H517" s="9">
        <v>0</v>
      </c>
      <c r="I517" s="9">
        <v>1</v>
      </c>
      <c r="J517" s="9">
        <v>0</v>
      </c>
      <c r="K517" s="9">
        <v>0</v>
      </c>
      <c r="L517" s="8">
        <v>28855</v>
      </c>
      <c r="M517" s="9">
        <v>73</v>
      </c>
      <c r="N517" s="9">
        <f t="shared" si="84"/>
        <v>28781</v>
      </c>
      <c r="O517" s="9">
        <f t="shared" si="85"/>
        <v>24</v>
      </c>
      <c r="P517" s="7">
        <v>5</v>
      </c>
      <c r="Q517" s="7">
        <f t="shared" si="76"/>
        <v>21.476599999999998</v>
      </c>
      <c r="R517" s="9">
        <v>1</v>
      </c>
      <c r="S517" s="9">
        <v>0</v>
      </c>
      <c r="T517" s="9">
        <v>1</v>
      </c>
      <c r="U517" s="9">
        <v>0</v>
      </c>
      <c r="V517" s="9">
        <v>0</v>
      </c>
      <c r="W517" s="27">
        <v>0</v>
      </c>
      <c r="X517" s="9">
        <v>0</v>
      </c>
      <c r="Y517" s="9">
        <v>1</v>
      </c>
      <c r="Z517" s="27">
        <v>0</v>
      </c>
      <c r="AA517" s="9">
        <v>0</v>
      </c>
      <c r="AB517" s="27">
        <v>1</v>
      </c>
      <c r="AC517" s="18">
        <v>1983</v>
      </c>
      <c r="AD517" s="29">
        <f t="shared" si="81"/>
        <v>0.75960000000000005</v>
      </c>
      <c r="AE517" s="29">
        <v>0.14369999999999999</v>
      </c>
      <c r="AF517" s="29">
        <v>9.5100000000000004E-2</v>
      </c>
      <c r="AG517" s="39">
        <v>1.6000000000000001E-3</v>
      </c>
      <c r="AH517" s="38">
        <f t="shared" si="82"/>
        <v>0.54134831999999999</v>
      </c>
      <c r="AI517" s="15">
        <v>0.45865168000000001</v>
      </c>
      <c r="AJ517">
        <v>1</v>
      </c>
      <c r="AK517" s="36">
        <v>0</v>
      </c>
      <c r="AL517" t="s">
        <v>94</v>
      </c>
      <c r="AM517" s="36" t="s">
        <v>94</v>
      </c>
      <c r="AN517">
        <v>0</v>
      </c>
      <c r="AO517" s="15">
        <v>1</v>
      </c>
      <c r="AP517">
        <v>0.79579999999999995</v>
      </c>
      <c r="AQ517" s="15">
        <f t="shared" si="83"/>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35">
      <c r="A518">
        <v>517</v>
      </c>
      <c r="B518">
        <v>34</v>
      </c>
      <c r="C518" s="22" t="s">
        <v>307</v>
      </c>
      <c r="D518" s="11">
        <v>5.09</v>
      </c>
      <c r="E518" s="12">
        <v>0.25</v>
      </c>
      <c r="F518" s="7">
        <f t="shared" si="80"/>
        <v>20.36</v>
      </c>
      <c r="G518" s="8">
        <v>0</v>
      </c>
      <c r="H518" s="9">
        <v>0</v>
      </c>
      <c r="I518" s="9">
        <v>1</v>
      </c>
      <c r="J518" s="9">
        <v>0</v>
      </c>
      <c r="K518" s="9">
        <v>0</v>
      </c>
      <c r="L518" s="8">
        <v>26398</v>
      </c>
      <c r="M518" s="9">
        <v>73</v>
      </c>
      <c r="N518" s="9">
        <f t="shared" si="84"/>
        <v>26324</v>
      </c>
      <c r="O518" s="9">
        <f t="shared" si="85"/>
        <v>24</v>
      </c>
      <c r="P518" s="7">
        <v>5</v>
      </c>
      <c r="Q518" s="7">
        <f t="shared" si="76"/>
        <v>22.099899999999998</v>
      </c>
      <c r="R518" s="9">
        <v>1</v>
      </c>
      <c r="S518" s="9">
        <v>0</v>
      </c>
      <c r="T518" s="9">
        <v>1</v>
      </c>
      <c r="U518" s="9">
        <v>0</v>
      </c>
      <c r="V518" s="9">
        <v>0</v>
      </c>
      <c r="W518" s="27">
        <v>0</v>
      </c>
      <c r="X518" s="9">
        <v>0</v>
      </c>
      <c r="Y518" s="9">
        <v>1</v>
      </c>
      <c r="Z518" s="27">
        <v>0</v>
      </c>
      <c r="AA518" s="9">
        <v>0</v>
      </c>
      <c r="AB518" s="27">
        <v>1</v>
      </c>
      <c r="AC518" s="18">
        <v>1993</v>
      </c>
      <c r="AD518" s="29">
        <f t="shared" si="81"/>
        <v>0.69320000000000004</v>
      </c>
      <c r="AE518" s="29">
        <v>0.1447</v>
      </c>
      <c r="AF518" s="29">
        <v>0.1585</v>
      </c>
      <c r="AG518" s="39">
        <v>3.5999999999999999E-3</v>
      </c>
      <c r="AH518" s="38">
        <f t="shared" si="82"/>
        <v>0.52929399999999993</v>
      </c>
      <c r="AI518" s="15">
        <v>0.47070600000000001</v>
      </c>
      <c r="AJ518">
        <v>1</v>
      </c>
      <c r="AK518" s="36">
        <v>0</v>
      </c>
      <c r="AL518" t="s">
        <v>94</v>
      </c>
      <c r="AM518" s="36" t="s">
        <v>94</v>
      </c>
      <c r="AN518">
        <v>0</v>
      </c>
      <c r="AO518" s="15">
        <v>1</v>
      </c>
      <c r="AP518">
        <v>0.76400000000000001</v>
      </c>
      <c r="AQ518" s="15">
        <f t="shared" si="83"/>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35">
      <c r="A519">
        <v>518</v>
      </c>
      <c r="B519">
        <v>34</v>
      </c>
      <c r="C519" s="22" t="s">
        <v>307</v>
      </c>
      <c r="D519" s="11">
        <v>5.15</v>
      </c>
      <c r="E519" s="12">
        <v>0.25</v>
      </c>
      <c r="F519" s="7">
        <f t="shared" si="80"/>
        <v>20.6</v>
      </c>
      <c r="G519" s="8">
        <v>0</v>
      </c>
      <c r="H519" s="9">
        <v>0</v>
      </c>
      <c r="I519" s="9">
        <v>1</v>
      </c>
      <c r="J519" s="9">
        <v>0</v>
      </c>
      <c r="K519" s="9">
        <v>0</v>
      </c>
      <c r="L519" s="8">
        <v>29805</v>
      </c>
      <c r="M519" s="9">
        <v>73</v>
      </c>
      <c r="N519" s="9">
        <f t="shared" si="84"/>
        <v>29731</v>
      </c>
      <c r="O519" s="9">
        <f t="shared" si="85"/>
        <v>24</v>
      </c>
      <c r="P519" s="7">
        <v>5</v>
      </c>
      <c r="Q519" s="7">
        <f t="shared" si="76"/>
        <v>22.079599999999999</v>
      </c>
      <c r="R519" s="9">
        <v>1</v>
      </c>
      <c r="S519" s="9">
        <v>0</v>
      </c>
      <c r="T519" s="9">
        <v>1</v>
      </c>
      <c r="U519" s="9">
        <v>0</v>
      </c>
      <c r="V519" s="9">
        <v>0</v>
      </c>
      <c r="W519" s="27">
        <v>0</v>
      </c>
      <c r="X519" s="9">
        <v>0</v>
      </c>
      <c r="Y519" s="9">
        <v>1</v>
      </c>
      <c r="Z519" s="27">
        <v>0</v>
      </c>
      <c r="AA519" s="9">
        <v>0</v>
      </c>
      <c r="AB519" s="27">
        <v>1</v>
      </c>
      <c r="AC519" s="18">
        <v>1999</v>
      </c>
      <c r="AD519" s="29">
        <f t="shared" si="81"/>
        <v>0.61990000000000001</v>
      </c>
      <c r="AE519" s="29">
        <v>0.14649999999999999</v>
      </c>
      <c r="AF519" s="29">
        <v>0.22819999999999999</v>
      </c>
      <c r="AG519" s="39">
        <v>5.4000000000000003E-3</v>
      </c>
      <c r="AH519" s="38">
        <f t="shared" si="82"/>
        <v>0.53514991000000001</v>
      </c>
      <c r="AI519" s="15">
        <v>0.46485008999999999</v>
      </c>
      <c r="AJ519">
        <v>1</v>
      </c>
      <c r="AK519" s="36">
        <v>0</v>
      </c>
      <c r="AL519" t="s">
        <v>94</v>
      </c>
      <c r="AM519" s="36" t="s">
        <v>94</v>
      </c>
      <c r="AN519">
        <v>0</v>
      </c>
      <c r="AO519" s="15">
        <v>1</v>
      </c>
      <c r="AP519">
        <v>0.75</v>
      </c>
      <c r="AQ519" s="15">
        <f t="shared" si="83"/>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35">
      <c r="A520">
        <v>519</v>
      </c>
      <c r="B520">
        <v>34</v>
      </c>
      <c r="C520" s="22" t="s">
        <v>307</v>
      </c>
      <c r="D520" s="11">
        <v>0.82</v>
      </c>
      <c r="E520" s="12">
        <v>0.26</v>
      </c>
      <c r="F520" s="7">
        <f t="shared" si="80"/>
        <v>3.1538461538461537</v>
      </c>
      <c r="G520" s="8">
        <v>0</v>
      </c>
      <c r="H520" s="9">
        <v>0</v>
      </c>
      <c r="I520" s="9">
        <v>1</v>
      </c>
      <c r="J520" s="9">
        <v>0</v>
      </c>
      <c r="K520" s="9">
        <v>0</v>
      </c>
      <c r="L520" s="8">
        <v>28855</v>
      </c>
      <c r="M520" s="9">
        <v>73</v>
      </c>
      <c r="N520" s="9">
        <f t="shared" si="84"/>
        <v>28781</v>
      </c>
      <c r="O520" s="9">
        <f t="shared" si="85"/>
        <v>24</v>
      </c>
      <c r="P520" s="7">
        <v>8</v>
      </c>
      <c r="Q520" s="7">
        <f t="shared" si="76"/>
        <v>20.878999999999998</v>
      </c>
      <c r="R520" s="9">
        <v>1</v>
      </c>
      <c r="S520" s="9">
        <v>0</v>
      </c>
      <c r="T520" s="9">
        <v>1</v>
      </c>
      <c r="U520" s="9">
        <v>0</v>
      </c>
      <c r="V520" s="9">
        <v>0</v>
      </c>
      <c r="W520" s="27">
        <v>0</v>
      </c>
      <c r="X520" s="9">
        <v>0</v>
      </c>
      <c r="Y520" s="9">
        <v>1</v>
      </c>
      <c r="Z520" s="27">
        <v>0</v>
      </c>
      <c r="AA520" s="9">
        <v>0</v>
      </c>
      <c r="AB520" s="27">
        <v>1</v>
      </c>
      <c r="AC520" s="18">
        <v>1983</v>
      </c>
      <c r="AD520" s="29">
        <f t="shared" si="81"/>
        <v>0.75960000000000005</v>
      </c>
      <c r="AE520" s="29">
        <v>0.14369999999999999</v>
      </c>
      <c r="AF520" s="29">
        <v>9.5100000000000004E-2</v>
      </c>
      <c r="AG520" s="39">
        <v>1.6000000000000001E-3</v>
      </c>
      <c r="AH520" s="38">
        <f t="shared" si="82"/>
        <v>0.54134831999999999</v>
      </c>
      <c r="AI520" s="15">
        <v>0.45865168000000001</v>
      </c>
      <c r="AJ520">
        <v>1</v>
      </c>
      <c r="AK520" s="36">
        <v>0</v>
      </c>
      <c r="AL520" t="s">
        <v>94</v>
      </c>
      <c r="AM520" s="36" t="s">
        <v>94</v>
      </c>
      <c r="AN520">
        <v>0</v>
      </c>
      <c r="AO520" s="15">
        <v>1</v>
      </c>
      <c r="AP520">
        <v>0.30980000000000002</v>
      </c>
      <c r="AQ520" s="15">
        <f t="shared" si="83"/>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35">
      <c r="A521">
        <v>520</v>
      </c>
      <c r="B521">
        <v>34</v>
      </c>
      <c r="C521" s="22" t="s">
        <v>307</v>
      </c>
      <c r="D521" s="11">
        <v>0.72</v>
      </c>
      <c r="E521" s="12">
        <v>0.24</v>
      </c>
      <c r="F521" s="7">
        <f t="shared" si="80"/>
        <v>3</v>
      </c>
      <c r="G521" s="8">
        <v>0</v>
      </c>
      <c r="H521" s="9">
        <v>0</v>
      </c>
      <c r="I521" s="9">
        <v>1</v>
      </c>
      <c r="J521" s="9">
        <v>0</v>
      </c>
      <c r="K521" s="9">
        <v>0</v>
      </c>
      <c r="L521" s="8">
        <v>26398</v>
      </c>
      <c r="M521" s="9">
        <v>73</v>
      </c>
      <c r="N521" s="9">
        <f t="shared" si="84"/>
        <v>26324</v>
      </c>
      <c r="O521" s="9">
        <f t="shared" si="85"/>
        <v>24</v>
      </c>
      <c r="P521" s="7">
        <v>8</v>
      </c>
      <c r="Q521" s="7">
        <f t="shared" si="76"/>
        <v>22.769599999999997</v>
      </c>
      <c r="R521" s="9">
        <v>1</v>
      </c>
      <c r="S521" s="9">
        <v>0</v>
      </c>
      <c r="T521" s="9">
        <v>1</v>
      </c>
      <c r="U521" s="9">
        <v>0</v>
      </c>
      <c r="V521" s="9">
        <v>0</v>
      </c>
      <c r="W521" s="27">
        <v>0</v>
      </c>
      <c r="X521" s="9">
        <v>0</v>
      </c>
      <c r="Y521" s="9">
        <v>1</v>
      </c>
      <c r="Z521" s="27">
        <v>0</v>
      </c>
      <c r="AA521" s="9">
        <v>0</v>
      </c>
      <c r="AB521" s="27">
        <v>1</v>
      </c>
      <c r="AC521" s="18">
        <v>1993</v>
      </c>
      <c r="AD521" s="29">
        <f t="shared" si="81"/>
        <v>0.69320000000000004</v>
      </c>
      <c r="AE521" s="29">
        <v>0.1447</v>
      </c>
      <c r="AF521" s="29">
        <v>0.1585</v>
      </c>
      <c r="AG521" s="39">
        <v>3.5999999999999999E-3</v>
      </c>
      <c r="AH521" s="38">
        <f t="shared" si="82"/>
        <v>0.52929399999999993</v>
      </c>
      <c r="AI521" s="15">
        <v>0.47070600000000001</v>
      </c>
      <c r="AJ521">
        <v>1</v>
      </c>
      <c r="AK521" s="36">
        <v>0</v>
      </c>
      <c r="AL521" t="s">
        <v>94</v>
      </c>
      <c r="AM521" s="36" t="s">
        <v>94</v>
      </c>
      <c r="AN521">
        <v>0</v>
      </c>
      <c r="AO521" s="15">
        <v>1</v>
      </c>
      <c r="AP521">
        <v>0.28499999999999998</v>
      </c>
      <c r="AQ521" s="15">
        <f t="shared" si="83"/>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35">
      <c r="A522">
        <v>521</v>
      </c>
      <c r="B522">
        <v>34</v>
      </c>
      <c r="C522" s="22" t="s">
        <v>307</v>
      </c>
      <c r="D522" s="11">
        <v>0.72</v>
      </c>
      <c r="E522" s="12">
        <v>0.22</v>
      </c>
      <c r="F522" s="7">
        <f t="shared" si="80"/>
        <v>3.2727272727272725</v>
      </c>
      <c r="G522" s="8">
        <v>0</v>
      </c>
      <c r="H522" s="9">
        <v>0</v>
      </c>
      <c r="I522" s="9">
        <v>1</v>
      </c>
      <c r="J522" s="9">
        <v>0</v>
      </c>
      <c r="K522" s="9">
        <v>0</v>
      </c>
      <c r="L522" s="8">
        <v>29805</v>
      </c>
      <c r="M522" s="9">
        <v>73</v>
      </c>
      <c r="N522" s="9">
        <f t="shared" si="84"/>
        <v>29731</v>
      </c>
      <c r="O522" s="9">
        <f t="shared" si="85"/>
        <v>24</v>
      </c>
      <c r="P522" s="7">
        <v>8</v>
      </c>
      <c r="Q522" s="7">
        <f t="shared" si="76"/>
        <v>23.110999999999997</v>
      </c>
      <c r="R522" s="9">
        <v>1</v>
      </c>
      <c r="S522" s="9">
        <v>0</v>
      </c>
      <c r="T522" s="9">
        <v>1</v>
      </c>
      <c r="U522" s="9">
        <v>0</v>
      </c>
      <c r="V522" s="9">
        <v>0</v>
      </c>
      <c r="W522" s="27">
        <v>0</v>
      </c>
      <c r="X522" s="9">
        <v>0</v>
      </c>
      <c r="Y522" s="9">
        <v>1</v>
      </c>
      <c r="Z522" s="27">
        <v>0</v>
      </c>
      <c r="AA522" s="9">
        <v>0</v>
      </c>
      <c r="AB522" s="27">
        <v>1</v>
      </c>
      <c r="AC522" s="18">
        <v>1999</v>
      </c>
      <c r="AD522" s="29">
        <f t="shared" si="81"/>
        <v>0.61990000000000001</v>
      </c>
      <c r="AE522" s="29">
        <v>0.14649999999999999</v>
      </c>
      <c r="AF522" s="29">
        <v>0.22819999999999999</v>
      </c>
      <c r="AG522" s="39">
        <v>5.4000000000000003E-3</v>
      </c>
      <c r="AH522" s="38">
        <f t="shared" si="82"/>
        <v>0.53514991000000001</v>
      </c>
      <c r="AI522" s="15">
        <v>0.46485008999999999</v>
      </c>
      <c r="AJ522">
        <v>1</v>
      </c>
      <c r="AK522" s="36">
        <v>0</v>
      </c>
      <c r="AL522" t="s">
        <v>94</v>
      </c>
      <c r="AM522" s="36" t="s">
        <v>94</v>
      </c>
      <c r="AN522">
        <v>0</v>
      </c>
      <c r="AO522" s="15">
        <v>1</v>
      </c>
      <c r="AP522">
        <v>0.28489999999999999</v>
      </c>
      <c r="AQ522" s="15">
        <f t="shared" si="83"/>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35">
      <c r="A523">
        <v>522</v>
      </c>
      <c r="B523">
        <v>34</v>
      </c>
      <c r="C523" s="22" t="s">
        <v>307</v>
      </c>
      <c r="D523" s="11">
        <v>0.69</v>
      </c>
      <c r="E523" s="12">
        <v>0.36</v>
      </c>
      <c r="F523" s="7">
        <f t="shared" si="80"/>
        <v>1.9166666666666665</v>
      </c>
      <c r="G523" s="8">
        <v>0</v>
      </c>
      <c r="H523" s="9">
        <v>0</v>
      </c>
      <c r="I523" s="9">
        <v>1</v>
      </c>
      <c r="J523" s="9">
        <v>0</v>
      </c>
      <c r="K523" s="9">
        <v>0</v>
      </c>
      <c r="L523" s="8">
        <v>28855</v>
      </c>
      <c r="M523" s="9">
        <v>73</v>
      </c>
      <c r="N523" s="9">
        <f t="shared" si="84"/>
        <v>28781</v>
      </c>
      <c r="O523" s="9">
        <f t="shared" si="85"/>
        <v>24</v>
      </c>
      <c r="P523" s="7">
        <v>12</v>
      </c>
      <c r="Q523" s="7">
        <f t="shared" si="76"/>
        <v>16.878999999999998</v>
      </c>
      <c r="R523" s="9">
        <v>1</v>
      </c>
      <c r="S523" s="9">
        <v>0</v>
      </c>
      <c r="T523" s="9">
        <v>1</v>
      </c>
      <c r="U523" s="9">
        <v>0</v>
      </c>
      <c r="V523" s="9">
        <v>0</v>
      </c>
      <c r="W523" s="27">
        <v>0</v>
      </c>
      <c r="X523" s="9">
        <v>0</v>
      </c>
      <c r="Y523" s="9">
        <v>1</v>
      </c>
      <c r="Z523" s="27">
        <v>0</v>
      </c>
      <c r="AA523" s="9">
        <v>0</v>
      </c>
      <c r="AB523" s="27">
        <v>1</v>
      </c>
      <c r="AC523" s="18">
        <v>1983</v>
      </c>
      <c r="AD523" s="29">
        <f t="shared" si="81"/>
        <v>0.75960000000000005</v>
      </c>
      <c r="AE523" s="29">
        <v>0.14369999999999999</v>
      </c>
      <c r="AF523" s="29">
        <v>9.5100000000000004E-2</v>
      </c>
      <c r="AG523" s="39">
        <v>1.6000000000000001E-3</v>
      </c>
      <c r="AH523" s="38">
        <f t="shared" si="82"/>
        <v>0.54134831999999999</v>
      </c>
      <c r="AI523" s="15">
        <v>0.45865168000000001</v>
      </c>
      <c r="AJ523">
        <v>1</v>
      </c>
      <c r="AK523" s="36">
        <v>0</v>
      </c>
      <c r="AL523" t="s">
        <v>94</v>
      </c>
      <c r="AM523" s="36" t="s">
        <v>94</v>
      </c>
      <c r="AN523">
        <v>0</v>
      </c>
      <c r="AO523" s="15">
        <v>1</v>
      </c>
      <c r="AP523">
        <v>0.30980000000000002</v>
      </c>
      <c r="AQ523" s="15">
        <f t="shared" si="83"/>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35">
      <c r="A524">
        <v>523</v>
      </c>
      <c r="B524">
        <v>34</v>
      </c>
      <c r="C524" s="22" t="s">
        <v>307</v>
      </c>
      <c r="D524" s="11">
        <f>0.47</f>
        <v>0.47</v>
      </c>
      <c r="E524" s="12">
        <v>0.26</v>
      </c>
      <c r="F524" s="7">
        <f t="shared" si="80"/>
        <v>1.8076923076923075</v>
      </c>
      <c r="G524" s="8">
        <v>0</v>
      </c>
      <c r="H524" s="9">
        <v>0</v>
      </c>
      <c r="I524" s="9">
        <v>1</v>
      </c>
      <c r="J524" s="9">
        <v>0</v>
      </c>
      <c r="K524" s="9">
        <v>0</v>
      </c>
      <c r="L524" s="8">
        <v>26398</v>
      </c>
      <c r="M524" s="9">
        <v>73</v>
      </c>
      <c r="N524" s="9">
        <f t="shared" si="84"/>
        <v>26324</v>
      </c>
      <c r="O524" s="9">
        <f t="shared" si="85"/>
        <v>24</v>
      </c>
      <c r="P524" s="7">
        <v>12</v>
      </c>
      <c r="Q524" s="7">
        <f t="shared" si="76"/>
        <v>18.769599999999997</v>
      </c>
      <c r="R524" s="9">
        <v>1</v>
      </c>
      <c r="S524" s="9">
        <v>0</v>
      </c>
      <c r="T524" s="9">
        <v>1</v>
      </c>
      <c r="U524" s="9">
        <v>0</v>
      </c>
      <c r="V524" s="9">
        <v>0</v>
      </c>
      <c r="W524" s="27">
        <v>0</v>
      </c>
      <c r="X524" s="9">
        <v>0</v>
      </c>
      <c r="Y524" s="9">
        <v>1</v>
      </c>
      <c r="Z524" s="27">
        <v>0</v>
      </c>
      <c r="AA524" s="9">
        <v>0</v>
      </c>
      <c r="AB524" s="27">
        <v>1</v>
      </c>
      <c r="AC524" s="18">
        <v>1993</v>
      </c>
      <c r="AD524" s="29">
        <f t="shared" si="81"/>
        <v>0.69320000000000004</v>
      </c>
      <c r="AE524" s="29">
        <v>0.1447</v>
      </c>
      <c r="AF524" s="29">
        <v>0.1585</v>
      </c>
      <c r="AG524" s="39">
        <v>3.5999999999999999E-3</v>
      </c>
      <c r="AH524" s="38">
        <f t="shared" si="82"/>
        <v>0.52929399999999993</v>
      </c>
      <c r="AI524" s="15">
        <v>0.47070600000000001</v>
      </c>
      <c r="AJ524">
        <v>1</v>
      </c>
      <c r="AK524" s="36">
        <v>0</v>
      </c>
      <c r="AL524" t="s">
        <v>94</v>
      </c>
      <c r="AM524" s="36" t="s">
        <v>94</v>
      </c>
      <c r="AN524">
        <v>0</v>
      </c>
      <c r="AO524" s="15">
        <v>1</v>
      </c>
      <c r="AP524">
        <v>0.28499999999999998</v>
      </c>
      <c r="AQ524" s="15">
        <f t="shared" si="83"/>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35">
      <c r="A525">
        <v>524</v>
      </c>
      <c r="B525">
        <v>34</v>
      </c>
      <c r="C525" s="22" t="s">
        <v>307</v>
      </c>
      <c r="D525" s="11">
        <v>0.16</v>
      </c>
      <c r="E525" s="12">
        <v>0.21</v>
      </c>
      <c r="F525" s="7">
        <f t="shared" si="80"/>
        <v>0.76190476190476197</v>
      </c>
      <c r="G525" s="8">
        <v>0</v>
      </c>
      <c r="H525" s="9">
        <v>0</v>
      </c>
      <c r="I525" s="9">
        <v>1</v>
      </c>
      <c r="J525" s="9">
        <v>0</v>
      </c>
      <c r="K525" s="9">
        <v>0</v>
      </c>
      <c r="L525" s="8">
        <v>29805</v>
      </c>
      <c r="M525" s="9">
        <v>73</v>
      </c>
      <c r="N525" s="9">
        <f t="shared" si="84"/>
        <v>29731</v>
      </c>
      <c r="O525" s="9">
        <f t="shared" si="85"/>
        <v>24</v>
      </c>
      <c r="P525" s="7">
        <v>12</v>
      </c>
      <c r="Q525" s="7">
        <f t="shared" si="76"/>
        <v>19.110999999999997</v>
      </c>
      <c r="R525" s="9">
        <v>1</v>
      </c>
      <c r="S525" s="9">
        <v>0</v>
      </c>
      <c r="T525" s="9">
        <v>1</v>
      </c>
      <c r="U525" s="9">
        <v>0</v>
      </c>
      <c r="V525" s="9">
        <v>0</v>
      </c>
      <c r="W525" s="27">
        <v>0</v>
      </c>
      <c r="X525" s="9">
        <v>0</v>
      </c>
      <c r="Y525" s="9">
        <v>1</v>
      </c>
      <c r="Z525" s="27">
        <v>0</v>
      </c>
      <c r="AA525" s="9">
        <v>0</v>
      </c>
      <c r="AB525" s="27">
        <v>1</v>
      </c>
      <c r="AC525" s="18">
        <v>1999</v>
      </c>
      <c r="AD525" s="29">
        <f t="shared" si="81"/>
        <v>0.61990000000000001</v>
      </c>
      <c r="AE525" s="29">
        <v>0.14649999999999999</v>
      </c>
      <c r="AF525" s="29">
        <v>0.22819999999999999</v>
      </c>
      <c r="AG525" s="39">
        <v>5.4000000000000003E-3</v>
      </c>
      <c r="AH525" s="38">
        <f t="shared" si="82"/>
        <v>0.53514991000000001</v>
      </c>
      <c r="AI525" s="15">
        <v>0.46485008999999999</v>
      </c>
      <c r="AJ525">
        <v>1</v>
      </c>
      <c r="AK525" s="36">
        <v>0</v>
      </c>
      <c r="AL525" t="s">
        <v>94</v>
      </c>
      <c r="AM525" s="36" t="s">
        <v>94</v>
      </c>
      <c r="AN525">
        <v>0</v>
      </c>
      <c r="AO525" s="15">
        <v>1</v>
      </c>
      <c r="AP525">
        <v>0.28489999999999999</v>
      </c>
      <c r="AQ525" s="15">
        <f t="shared" si="83"/>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35">
      <c r="A526">
        <v>525</v>
      </c>
      <c r="B526">
        <v>34</v>
      </c>
      <c r="C526" s="22" t="s">
        <v>307</v>
      </c>
      <c r="D526" s="11">
        <v>2.1800000000000002</v>
      </c>
      <c r="E526" s="12">
        <v>1.84</v>
      </c>
      <c r="F526" s="7">
        <f t="shared" si="80"/>
        <v>1.1847826086956521</v>
      </c>
      <c r="G526" s="8">
        <v>0</v>
      </c>
      <c r="H526" s="9">
        <v>0</v>
      </c>
      <c r="I526" s="9">
        <v>1</v>
      </c>
      <c r="J526" s="9">
        <v>0</v>
      </c>
      <c r="K526" s="9">
        <v>0</v>
      </c>
      <c r="L526" s="8">
        <v>28855</v>
      </c>
      <c r="M526" s="9">
        <v>73</v>
      </c>
      <c r="N526" s="9">
        <f t="shared" si="84"/>
        <v>28781</v>
      </c>
      <c r="O526" s="9">
        <f t="shared" si="85"/>
        <v>24</v>
      </c>
      <c r="P526" s="7">
        <v>15.5</v>
      </c>
      <c r="Q526" s="7">
        <f t="shared" si="76"/>
        <v>13.378999999999998</v>
      </c>
      <c r="R526" s="9">
        <v>1</v>
      </c>
      <c r="S526" s="9">
        <v>0</v>
      </c>
      <c r="T526" s="9">
        <v>1</v>
      </c>
      <c r="U526" s="9">
        <v>0</v>
      </c>
      <c r="V526" s="9">
        <v>0</v>
      </c>
      <c r="W526" s="27">
        <v>0</v>
      </c>
      <c r="X526" s="9">
        <v>0</v>
      </c>
      <c r="Y526" s="9">
        <v>1</v>
      </c>
      <c r="Z526" s="27">
        <v>0</v>
      </c>
      <c r="AA526" s="9">
        <v>0</v>
      </c>
      <c r="AB526" s="27">
        <v>1</v>
      </c>
      <c r="AC526" s="18">
        <v>1983</v>
      </c>
      <c r="AD526" s="29">
        <f t="shared" si="81"/>
        <v>0.75960000000000005</v>
      </c>
      <c r="AE526" s="29">
        <v>0.14369999999999999</v>
      </c>
      <c r="AF526" s="29">
        <v>9.5100000000000004E-2</v>
      </c>
      <c r="AG526" s="39">
        <v>1.6000000000000001E-3</v>
      </c>
      <c r="AH526" s="38">
        <f t="shared" si="82"/>
        <v>0.54134831999999999</v>
      </c>
      <c r="AI526" s="15">
        <v>0.45865168000000001</v>
      </c>
      <c r="AJ526">
        <v>1</v>
      </c>
      <c r="AK526" s="36">
        <v>0</v>
      </c>
      <c r="AL526" t="s">
        <v>94</v>
      </c>
      <c r="AM526" s="36" t="s">
        <v>94</v>
      </c>
      <c r="AN526">
        <v>0</v>
      </c>
      <c r="AO526" s="15">
        <v>1</v>
      </c>
      <c r="AP526">
        <v>0.30980000000000002</v>
      </c>
      <c r="AQ526" s="15">
        <f t="shared" si="83"/>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35">
      <c r="A527">
        <v>526</v>
      </c>
      <c r="B527">
        <v>34</v>
      </c>
      <c r="C527" s="22" t="s">
        <v>307</v>
      </c>
      <c r="D527" s="11">
        <v>-2.11</v>
      </c>
      <c r="E527" s="12">
        <v>1.1499999999999999</v>
      </c>
      <c r="F527" s="7">
        <f t="shared" si="80"/>
        <v>-1.8347826086956522</v>
      </c>
      <c r="G527" s="8">
        <v>0</v>
      </c>
      <c r="H527" s="9">
        <v>0</v>
      </c>
      <c r="I527" s="9">
        <v>1</v>
      </c>
      <c r="J527" s="9">
        <v>0</v>
      </c>
      <c r="K527" s="9">
        <v>0</v>
      </c>
      <c r="L527" s="8">
        <v>26398</v>
      </c>
      <c r="M527" s="9">
        <v>73</v>
      </c>
      <c r="N527" s="9">
        <f t="shared" si="84"/>
        <v>26324</v>
      </c>
      <c r="O527" s="9">
        <f t="shared" si="85"/>
        <v>24</v>
      </c>
      <c r="P527" s="7">
        <v>15.5</v>
      </c>
      <c r="Q527" s="7">
        <f t="shared" si="76"/>
        <v>15.269599999999997</v>
      </c>
      <c r="R527" s="9">
        <v>1</v>
      </c>
      <c r="S527" s="9">
        <v>0</v>
      </c>
      <c r="T527" s="9">
        <v>1</v>
      </c>
      <c r="U527" s="9">
        <v>0</v>
      </c>
      <c r="V527" s="9">
        <v>0</v>
      </c>
      <c r="W527" s="27">
        <v>0</v>
      </c>
      <c r="X527" s="9">
        <v>0</v>
      </c>
      <c r="Y527" s="9">
        <v>1</v>
      </c>
      <c r="Z527" s="27">
        <v>0</v>
      </c>
      <c r="AA527" s="9">
        <v>0</v>
      </c>
      <c r="AB527" s="27">
        <v>1</v>
      </c>
      <c r="AC527" s="18">
        <v>1993</v>
      </c>
      <c r="AD527" s="29">
        <f t="shared" si="81"/>
        <v>0.69320000000000004</v>
      </c>
      <c r="AE527" s="29">
        <v>0.1447</v>
      </c>
      <c r="AF527" s="29">
        <v>0.1585</v>
      </c>
      <c r="AG527" s="39">
        <v>3.5999999999999999E-3</v>
      </c>
      <c r="AH527" s="38">
        <f t="shared" si="82"/>
        <v>0.52929399999999993</v>
      </c>
      <c r="AI527" s="15">
        <v>0.47070600000000001</v>
      </c>
      <c r="AJ527">
        <v>1</v>
      </c>
      <c r="AK527" s="36">
        <v>0</v>
      </c>
      <c r="AL527" t="s">
        <v>94</v>
      </c>
      <c r="AM527" s="36" t="s">
        <v>94</v>
      </c>
      <c r="AN527">
        <v>0</v>
      </c>
      <c r="AO527" s="15">
        <v>1</v>
      </c>
      <c r="AP527">
        <v>0.28499999999999998</v>
      </c>
      <c r="AQ527" s="15">
        <f t="shared" si="83"/>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35">
      <c r="A528">
        <v>527</v>
      </c>
      <c r="B528">
        <v>34</v>
      </c>
      <c r="C528" s="22" t="s">
        <v>307</v>
      </c>
      <c r="D528" s="11">
        <v>-7.0000000000000007E-2</v>
      </c>
      <c r="E528" s="12">
        <v>0.95</v>
      </c>
      <c r="F528" s="7">
        <f t="shared" si="80"/>
        <v>-7.3684210526315796E-2</v>
      </c>
      <c r="G528" s="8">
        <v>0</v>
      </c>
      <c r="H528" s="9">
        <v>0</v>
      </c>
      <c r="I528" s="9">
        <v>1</v>
      </c>
      <c r="J528" s="9">
        <v>0</v>
      </c>
      <c r="K528" s="9">
        <v>0</v>
      </c>
      <c r="L528" s="8">
        <v>29805</v>
      </c>
      <c r="M528" s="9">
        <v>73</v>
      </c>
      <c r="N528" s="9">
        <f t="shared" si="84"/>
        <v>29731</v>
      </c>
      <c r="O528" s="9">
        <f t="shared" si="85"/>
        <v>24</v>
      </c>
      <c r="P528" s="7">
        <v>15.5</v>
      </c>
      <c r="Q528" s="7">
        <f t="shared" si="76"/>
        <v>15.610999999999997</v>
      </c>
      <c r="R528" s="9">
        <v>1</v>
      </c>
      <c r="S528" s="9">
        <v>0</v>
      </c>
      <c r="T528" s="9">
        <v>1</v>
      </c>
      <c r="U528" s="9">
        <v>0</v>
      </c>
      <c r="V528" s="9">
        <v>0</v>
      </c>
      <c r="W528" s="27">
        <v>0</v>
      </c>
      <c r="X528" s="9">
        <v>0</v>
      </c>
      <c r="Y528" s="9">
        <v>1</v>
      </c>
      <c r="Z528" s="27">
        <v>0</v>
      </c>
      <c r="AA528" s="9">
        <v>0</v>
      </c>
      <c r="AB528" s="27">
        <v>1</v>
      </c>
      <c r="AC528" s="18">
        <v>1999</v>
      </c>
      <c r="AD528" s="29">
        <f t="shared" si="81"/>
        <v>0.61990000000000001</v>
      </c>
      <c r="AE528" s="29">
        <v>0.14649999999999999</v>
      </c>
      <c r="AF528" s="29">
        <v>0.22819999999999999</v>
      </c>
      <c r="AG528" s="39">
        <v>5.4000000000000003E-3</v>
      </c>
      <c r="AH528" s="38">
        <f t="shared" si="82"/>
        <v>0.53514991000000001</v>
      </c>
      <c r="AI528" s="15">
        <v>0.46485008999999999</v>
      </c>
      <c r="AJ528">
        <v>1</v>
      </c>
      <c r="AK528" s="36">
        <v>0</v>
      </c>
      <c r="AL528" t="s">
        <v>94</v>
      </c>
      <c r="AM528" s="36" t="s">
        <v>94</v>
      </c>
      <c r="AN528">
        <v>0</v>
      </c>
      <c r="AO528" s="15">
        <v>1</v>
      </c>
      <c r="AP528">
        <v>0.28489999999999999</v>
      </c>
      <c r="AQ528" s="15">
        <f t="shared" si="83"/>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35">
      <c r="A529" s="85">
        <v>528</v>
      </c>
      <c r="B529" s="85">
        <v>35</v>
      </c>
      <c r="C529" s="86" t="s">
        <v>311</v>
      </c>
      <c r="D529" s="87">
        <v>11.1</v>
      </c>
      <c r="E529" s="88">
        <f t="shared" ref="E529:E543" si="86">D529/F529</f>
        <v>0.44758064516129031</v>
      </c>
      <c r="F529" s="89">
        <v>24.8</v>
      </c>
      <c r="G529" s="91">
        <v>0</v>
      </c>
      <c r="H529" s="92">
        <v>0</v>
      </c>
      <c r="I529" s="92">
        <v>0</v>
      </c>
      <c r="J529" s="92">
        <v>1</v>
      </c>
      <c r="K529" s="92">
        <v>0</v>
      </c>
      <c r="L529" s="91">
        <v>1510</v>
      </c>
      <c r="M529" s="92">
        <v>4</v>
      </c>
      <c r="N529" s="92">
        <f t="shared" si="84"/>
        <v>1505</v>
      </c>
      <c r="O529" s="92">
        <f t="shared" si="85"/>
        <v>15</v>
      </c>
      <c r="P529" s="89">
        <f>(7.477*$AJ529+9.003*$AK529)</f>
        <v>7.66012</v>
      </c>
      <c r="Q529" s="89">
        <f t="shared" ref="Q529:Q543" si="87">(17.561*$AJ529+11.448*$AK529)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88">1-AM529</f>
        <v>0.54400000000000004</v>
      </c>
      <c r="AM529" s="98">
        <f t="shared" ref="AM529:AM543" si="89">(0.45*$AJ529+0.5*$AK529)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90">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35">
      <c r="A530">
        <v>529</v>
      </c>
      <c r="B530">
        <v>35</v>
      </c>
      <c r="C530" s="22" t="s">
        <v>311</v>
      </c>
      <c r="D530" s="11">
        <v>10.9</v>
      </c>
      <c r="E530" s="12">
        <f t="shared" si="86"/>
        <v>0.47996477322765302</v>
      </c>
      <c r="F530" s="7">
        <v>22.71</v>
      </c>
      <c r="G530" s="8">
        <v>0</v>
      </c>
      <c r="H530" s="9">
        <v>0</v>
      </c>
      <c r="I530" s="9">
        <v>0</v>
      </c>
      <c r="J530" s="9">
        <v>1</v>
      </c>
      <c r="K530" s="9">
        <v>0</v>
      </c>
      <c r="L530" s="8">
        <v>1220</v>
      </c>
      <c r="M530" s="9">
        <v>4</v>
      </c>
      <c r="N530" s="9">
        <f t="shared" si="84"/>
        <v>1215</v>
      </c>
      <c r="O530" s="9">
        <f t="shared" si="85"/>
        <v>15</v>
      </c>
      <c r="P530" s="7">
        <f t="shared" ref="P530:P543" si="91">(7.477*AJ530+9.003*AK530)</f>
        <v>7.4770000000000003</v>
      </c>
      <c r="Q530" s="7">
        <f t="shared" si="87"/>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88"/>
        <v>0.55000000000000004</v>
      </c>
      <c r="AM530" s="36">
        <f t="shared" si="89"/>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90"/>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35">
      <c r="A531">
        <v>530</v>
      </c>
      <c r="B531">
        <v>35</v>
      </c>
      <c r="C531" s="22" t="s">
        <v>311</v>
      </c>
      <c r="D531" s="11">
        <v>12.8</v>
      </c>
      <c r="E531" s="12">
        <f t="shared" si="86"/>
        <v>1.2598425196850394</v>
      </c>
      <c r="F531" s="7">
        <v>10.16</v>
      </c>
      <c r="G531" s="8">
        <v>0</v>
      </c>
      <c r="H531" s="9">
        <v>0</v>
      </c>
      <c r="I531" s="9">
        <v>0</v>
      </c>
      <c r="J531" s="9">
        <v>1</v>
      </c>
      <c r="K531" s="9">
        <v>0</v>
      </c>
      <c r="L531" s="8">
        <v>290</v>
      </c>
      <c r="M531" s="9">
        <v>4</v>
      </c>
      <c r="N531" s="9">
        <f t="shared" si="84"/>
        <v>285</v>
      </c>
      <c r="O531" s="9">
        <f t="shared" si="85"/>
        <v>15</v>
      </c>
      <c r="P531" s="7">
        <f t="shared" si="91"/>
        <v>9.0030000000000001</v>
      </c>
      <c r="Q531" s="7">
        <f t="shared" si="87"/>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88"/>
        <v>0.5</v>
      </c>
      <c r="AM531" s="36">
        <f t="shared" si="89"/>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90"/>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35">
      <c r="A532">
        <v>531</v>
      </c>
      <c r="B532">
        <v>35</v>
      </c>
      <c r="C532" s="22" t="s">
        <v>311</v>
      </c>
      <c r="D532" s="11">
        <v>6.5</v>
      </c>
      <c r="E532" s="12">
        <f t="shared" si="86"/>
        <v>0.93525179856115104</v>
      </c>
      <c r="F532" s="7">
        <v>6.95</v>
      </c>
      <c r="G532" s="8">
        <v>0</v>
      </c>
      <c r="H532" s="9">
        <v>0</v>
      </c>
      <c r="I532" s="9">
        <v>0</v>
      </c>
      <c r="J532" s="9">
        <v>1</v>
      </c>
      <c r="K532" s="9">
        <v>0</v>
      </c>
      <c r="L532" s="8">
        <v>1510</v>
      </c>
      <c r="M532" s="9">
        <v>7</v>
      </c>
      <c r="N532" s="9">
        <f t="shared" si="84"/>
        <v>1502</v>
      </c>
      <c r="O532" s="9">
        <f t="shared" si="85"/>
        <v>15</v>
      </c>
      <c r="P532" s="7">
        <f t="shared" si="91"/>
        <v>7.66012</v>
      </c>
      <c r="Q532" s="7">
        <f t="shared" si="87"/>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92">1-AJ532</f>
        <v>0.12</v>
      </c>
      <c r="AL532" s="35">
        <f t="shared" si="88"/>
        <v>0.54400000000000004</v>
      </c>
      <c r="AM532" s="36">
        <f t="shared" si="89"/>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90"/>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35">
      <c r="A533">
        <v>532</v>
      </c>
      <c r="B533">
        <v>35</v>
      </c>
      <c r="C533" s="22" t="s">
        <v>311</v>
      </c>
      <c r="D533" s="11">
        <v>7.4</v>
      </c>
      <c r="E533" s="12">
        <f t="shared" si="86"/>
        <v>0.95238095238095244</v>
      </c>
      <c r="F533" s="7">
        <v>7.77</v>
      </c>
      <c r="G533" s="8">
        <v>0</v>
      </c>
      <c r="H533" s="9">
        <v>0</v>
      </c>
      <c r="I533" s="9">
        <v>0</v>
      </c>
      <c r="J533" s="9">
        <v>1</v>
      </c>
      <c r="K533" s="9">
        <v>0</v>
      </c>
      <c r="L533" s="8">
        <v>1510</v>
      </c>
      <c r="M533" s="9">
        <v>7</v>
      </c>
      <c r="N533" s="9">
        <f t="shared" si="84"/>
        <v>1502</v>
      </c>
      <c r="O533" s="9">
        <f t="shared" si="85"/>
        <v>15</v>
      </c>
      <c r="P533" s="7">
        <f t="shared" si="91"/>
        <v>7.66012</v>
      </c>
      <c r="Q533" s="7">
        <f t="shared" si="87"/>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92"/>
        <v>0.12</v>
      </c>
      <c r="AL533" s="35">
        <f t="shared" si="88"/>
        <v>0.54400000000000004</v>
      </c>
      <c r="AM533" s="36">
        <f t="shared" si="89"/>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90"/>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35">
      <c r="A534">
        <v>533</v>
      </c>
      <c r="B534">
        <v>35</v>
      </c>
      <c r="C534" s="22" t="s">
        <v>311</v>
      </c>
      <c r="D534" s="11">
        <v>7.5</v>
      </c>
      <c r="E534" s="12">
        <f t="shared" si="86"/>
        <v>0.96030729833546735</v>
      </c>
      <c r="F534" s="7">
        <v>7.81</v>
      </c>
      <c r="G534" s="8">
        <v>0</v>
      </c>
      <c r="H534" s="9">
        <v>0</v>
      </c>
      <c r="I534" s="9">
        <v>0</v>
      </c>
      <c r="J534" s="9">
        <v>1</v>
      </c>
      <c r="K534" s="9">
        <v>0</v>
      </c>
      <c r="L534" s="8">
        <v>1510</v>
      </c>
      <c r="M534" s="9">
        <v>7</v>
      </c>
      <c r="N534" s="9">
        <f t="shared" si="84"/>
        <v>1502</v>
      </c>
      <c r="O534" s="9">
        <f t="shared" si="85"/>
        <v>15</v>
      </c>
      <c r="P534" s="7">
        <f t="shared" si="91"/>
        <v>7.66012</v>
      </c>
      <c r="Q534" s="7">
        <f t="shared" si="87"/>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92"/>
        <v>0.12</v>
      </c>
      <c r="AL534" s="35">
        <f t="shared" si="88"/>
        <v>0.54400000000000004</v>
      </c>
      <c r="AM534" s="36">
        <f t="shared" si="89"/>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90"/>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35">
      <c r="A535">
        <v>534</v>
      </c>
      <c r="B535">
        <v>35</v>
      </c>
      <c r="C535" s="22" t="s">
        <v>311</v>
      </c>
      <c r="D535" s="11">
        <v>7.3</v>
      </c>
      <c r="E535" s="12">
        <f t="shared" si="86"/>
        <v>0.96052631578947367</v>
      </c>
      <c r="F535" s="7">
        <v>7.6</v>
      </c>
      <c r="G535" s="8">
        <v>0</v>
      </c>
      <c r="H535" s="9">
        <v>0</v>
      </c>
      <c r="I535" s="9">
        <v>0</v>
      </c>
      <c r="J535" s="9">
        <v>1</v>
      </c>
      <c r="K535" s="9">
        <v>0</v>
      </c>
      <c r="L535" s="8">
        <v>1510</v>
      </c>
      <c r="M535" s="9">
        <v>7</v>
      </c>
      <c r="N535" s="9">
        <f t="shared" si="84"/>
        <v>1502</v>
      </c>
      <c r="O535" s="9">
        <f t="shared" si="85"/>
        <v>15</v>
      </c>
      <c r="P535" s="7">
        <f t="shared" si="91"/>
        <v>7.66012</v>
      </c>
      <c r="Q535" s="7">
        <f t="shared" si="87"/>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92"/>
        <v>0.12</v>
      </c>
      <c r="AL535" s="35">
        <f t="shared" si="88"/>
        <v>0.54400000000000004</v>
      </c>
      <c r="AM535" s="36">
        <f t="shared" si="89"/>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90"/>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35">
      <c r="A536">
        <v>535</v>
      </c>
      <c r="B536">
        <v>35</v>
      </c>
      <c r="C536" s="22" t="s">
        <v>311</v>
      </c>
      <c r="D536" s="11">
        <v>7.1</v>
      </c>
      <c r="E536" s="12">
        <f t="shared" si="86"/>
        <v>0.94164456233421745</v>
      </c>
      <c r="F536" s="7">
        <v>7.54</v>
      </c>
      <c r="G536" s="8">
        <v>0</v>
      </c>
      <c r="H536" s="9">
        <v>0</v>
      </c>
      <c r="I536" s="9">
        <v>0</v>
      </c>
      <c r="J536" s="9">
        <v>1</v>
      </c>
      <c r="K536" s="9">
        <v>0</v>
      </c>
      <c r="L536" s="8">
        <v>1510</v>
      </c>
      <c r="M536" s="9">
        <v>7</v>
      </c>
      <c r="N536" s="9">
        <f t="shared" si="84"/>
        <v>1502</v>
      </c>
      <c r="O536" s="9">
        <f t="shared" si="85"/>
        <v>15</v>
      </c>
      <c r="P536" s="7">
        <f t="shared" si="91"/>
        <v>7.66012</v>
      </c>
      <c r="Q536" s="7">
        <f t="shared" si="87"/>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92"/>
        <v>0.12</v>
      </c>
      <c r="AL536" s="35">
        <f t="shared" si="88"/>
        <v>0.54400000000000004</v>
      </c>
      <c r="AM536" s="36">
        <f t="shared" si="89"/>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90"/>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35">
      <c r="A537">
        <v>536</v>
      </c>
      <c r="B537">
        <v>35</v>
      </c>
      <c r="C537" s="22" t="s">
        <v>311</v>
      </c>
      <c r="D537" s="11">
        <v>6</v>
      </c>
      <c r="E537" s="12">
        <f t="shared" si="86"/>
        <v>0.90361445783132532</v>
      </c>
      <c r="F537" s="7">
        <v>6.64</v>
      </c>
      <c r="G537" s="8">
        <v>0</v>
      </c>
      <c r="H537" s="9">
        <v>0</v>
      </c>
      <c r="I537" s="9">
        <v>0</v>
      </c>
      <c r="J537" s="9">
        <v>1</v>
      </c>
      <c r="K537" s="9">
        <v>0</v>
      </c>
      <c r="L537" s="8">
        <v>1510</v>
      </c>
      <c r="M537" s="9">
        <v>7</v>
      </c>
      <c r="N537" s="9">
        <f t="shared" si="84"/>
        <v>1502</v>
      </c>
      <c r="O537" s="9">
        <f t="shared" si="85"/>
        <v>15</v>
      </c>
      <c r="P537" s="7">
        <f t="shared" si="91"/>
        <v>7.66012</v>
      </c>
      <c r="Q537" s="7">
        <f t="shared" si="87"/>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92"/>
        <v>0.12</v>
      </c>
      <c r="AL537" s="35">
        <f t="shared" si="88"/>
        <v>0.54400000000000004</v>
      </c>
      <c r="AM537" s="36">
        <f t="shared" si="89"/>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90"/>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35">
      <c r="A538">
        <v>537</v>
      </c>
      <c r="B538">
        <v>35</v>
      </c>
      <c r="C538" s="22" t="s">
        <v>311</v>
      </c>
      <c r="D538" s="11">
        <v>8.4</v>
      </c>
      <c r="E538" s="12">
        <f t="shared" si="86"/>
        <v>0.98707403055229148</v>
      </c>
      <c r="F538" s="7">
        <v>8.51</v>
      </c>
      <c r="G538" s="8">
        <v>0</v>
      </c>
      <c r="H538" s="9">
        <v>0</v>
      </c>
      <c r="I538" s="9">
        <v>0</v>
      </c>
      <c r="J538" s="9">
        <v>1</v>
      </c>
      <c r="K538" s="9">
        <v>0</v>
      </c>
      <c r="L538" s="8">
        <v>1510</v>
      </c>
      <c r="M538" s="9">
        <v>6</v>
      </c>
      <c r="N538" s="9">
        <f t="shared" si="84"/>
        <v>1503</v>
      </c>
      <c r="O538" s="9">
        <f t="shared" si="85"/>
        <v>15</v>
      </c>
      <c r="P538" s="7">
        <f t="shared" si="91"/>
        <v>7.66012</v>
      </c>
      <c r="Q538" s="7">
        <f t="shared" si="87"/>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92"/>
        <v>0.12</v>
      </c>
      <c r="AL538" s="35">
        <f t="shared" si="88"/>
        <v>0.54400000000000004</v>
      </c>
      <c r="AM538" s="36">
        <f t="shared" si="89"/>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90"/>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35">
      <c r="A539">
        <v>538</v>
      </c>
      <c r="B539">
        <v>35</v>
      </c>
      <c r="C539" s="22" t="s">
        <v>311</v>
      </c>
      <c r="D539" s="11">
        <v>7.4</v>
      </c>
      <c r="E539" s="12">
        <f t="shared" si="86"/>
        <v>1.0407876230661042</v>
      </c>
      <c r="F539" s="7">
        <v>7.11</v>
      </c>
      <c r="G539" s="8">
        <v>0</v>
      </c>
      <c r="H539" s="9">
        <v>0</v>
      </c>
      <c r="I539" s="9">
        <v>0</v>
      </c>
      <c r="J539" s="9">
        <v>1</v>
      </c>
      <c r="K539" s="9">
        <v>0</v>
      </c>
      <c r="L539" s="8">
        <v>1220</v>
      </c>
      <c r="M539" s="9">
        <v>5</v>
      </c>
      <c r="N539" s="9">
        <f t="shared" si="84"/>
        <v>1214</v>
      </c>
      <c r="O539" s="9">
        <f t="shared" si="85"/>
        <v>15</v>
      </c>
      <c r="P539" s="7">
        <f t="shared" si="91"/>
        <v>7.4770000000000003</v>
      </c>
      <c r="Q539" s="7">
        <f t="shared" si="87"/>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88"/>
        <v>0.55000000000000004</v>
      </c>
      <c r="AM539" s="36">
        <f t="shared" si="89"/>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90"/>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35">
      <c r="A540">
        <v>539</v>
      </c>
      <c r="B540">
        <v>35</v>
      </c>
      <c r="C540" s="22" t="s">
        <v>311</v>
      </c>
      <c r="D540" s="11">
        <v>7.6</v>
      </c>
      <c r="E540" s="12">
        <f t="shared" si="86"/>
        <v>3.1275720164609049</v>
      </c>
      <c r="F540" s="7">
        <v>2.4300000000000002</v>
      </c>
      <c r="G540" s="8">
        <v>0</v>
      </c>
      <c r="H540" s="9">
        <v>0</v>
      </c>
      <c r="I540" s="9">
        <v>0</v>
      </c>
      <c r="J540" s="9">
        <v>1</v>
      </c>
      <c r="K540" s="9">
        <v>0</v>
      </c>
      <c r="L540" s="8">
        <v>1577</v>
      </c>
      <c r="M540" s="9">
        <v>5</v>
      </c>
      <c r="N540" s="9">
        <f t="shared" si="84"/>
        <v>1571</v>
      </c>
      <c r="O540" s="9">
        <f t="shared" si="85"/>
        <v>15</v>
      </c>
      <c r="P540" s="7">
        <f t="shared" si="91"/>
        <v>9.0030000000000001</v>
      </c>
      <c r="Q540" s="7">
        <f t="shared" si="87"/>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88"/>
        <v>0.5</v>
      </c>
      <c r="AM540" s="36">
        <f t="shared" si="89"/>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90"/>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35">
      <c r="A541">
        <v>540</v>
      </c>
      <c r="B541">
        <v>35</v>
      </c>
      <c r="C541" s="22" t="s">
        <v>311</v>
      </c>
      <c r="D541" s="11">
        <v>6.7</v>
      </c>
      <c r="E541" s="12">
        <f t="shared" si="86"/>
        <v>0.93314763231197773</v>
      </c>
      <c r="F541" s="7">
        <v>7.18</v>
      </c>
      <c r="G541" s="8">
        <v>0</v>
      </c>
      <c r="H541" s="9">
        <v>0</v>
      </c>
      <c r="I541" s="9">
        <v>0</v>
      </c>
      <c r="J541" s="9">
        <v>1</v>
      </c>
      <c r="K541" s="9">
        <v>0</v>
      </c>
      <c r="L541" s="8">
        <v>1510</v>
      </c>
      <c r="M541" s="9">
        <v>11</v>
      </c>
      <c r="N541" s="9">
        <f t="shared" si="84"/>
        <v>1498</v>
      </c>
      <c r="O541" s="9">
        <f t="shared" si="85"/>
        <v>15</v>
      </c>
      <c r="P541" s="7">
        <f t="shared" si="91"/>
        <v>7.66012</v>
      </c>
      <c r="Q541" s="7">
        <f t="shared" si="87"/>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88"/>
        <v>0.54400000000000004</v>
      </c>
      <c r="AM541" s="36">
        <f t="shared" si="89"/>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90"/>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35">
      <c r="A542">
        <v>541</v>
      </c>
      <c r="B542">
        <v>35</v>
      </c>
      <c r="C542" s="22" t="s">
        <v>311</v>
      </c>
      <c r="D542" s="11">
        <v>5.9</v>
      </c>
      <c r="E542" s="12">
        <f t="shared" si="86"/>
        <v>0.94855305466237949</v>
      </c>
      <c r="F542" s="7">
        <v>6.22</v>
      </c>
      <c r="G542" s="8">
        <v>0</v>
      </c>
      <c r="H542" s="9">
        <v>0</v>
      </c>
      <c r="I542" s="9">
        <v>0</v>
      </c>
      <c r="J542" s="9">
        <v>1</v>
      </c>
      <c r="K542" s="9">
        <v>0</v>
      </c>
      <c r="L542" s="8">
        <v>1220</v>
      </c>
      <c r="M542" s="9">
        <v>10</v>
      </c>
      <c r="N542" s="9">
        <f t="shared" si="84"/>
        <v>1209</v>
      </c>
      <c r="O542" s="9">
        <f t="shared" si="85"/>
        <v>15</v>
      </c>
      <c r="P542" s="7">
        <f t="shared" si="91"/>
        <v>7.4770000000000003</v>
      </c>
      <c r="Q542" s="7">
        <f t="shared" si="87"/>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88"/>
        <v>0.55000000000000004</v>
      </c>
      <c r="AM542" s="36">
        <f t="shared" si="89"/>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90"/>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35">
      <c r="A543">
        <v>542</v>
      </c>
      <c r="B543">
        <v>35</v>
      </c>
      <c r="C543" s="22" t="s">
        <v>311</v>
      </c>
      <c r="D543" s="11">
        <v>6.6</v>
      </c>
      <c r="E543" s="12">
        <f t="shared" si="86"/>
        <v>3.1132075471698109</v>
      </c>
      <c r="F543" s="7">
        <v>2.12</v>
      </c>
      <c r="G543" s="8">
        <v>0</v>
      </c>
      <c r="H543" s="9">
        <v>0</v>
      </c>
      <c r="I543" s="9">
        <v>0</v>
      </c>
      <c r="J543" s="9">
        <v>1</v>
      </c>
      <c r="K543" s="9">
        <v>0</v>
      </c>
      <c r="L543" s="8">
        <v>290</v>
      </c>
      <c r="M543" s="9">
        <v>10</v>
      </c>
      <c r="N543" s="9">
        <f t="shared" si="84"/>
        <v>279</v>
      </c>
      <c r="O543" s="9">
        <f t="shared" si="85"/>
        <v>15</v>
      </c>
      <c r="P543" s="7">
        <f t="shared" si="91"/>
        <v>9.0030000000000001</v>
      </c>
      <c r="Q543" s="7">
        <f t="shared" si="87"/>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88"/>
        <v>0.5</v>
      </c>
      <c r="AM543" s="36">
        <f t="shared" si="89"/>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90"/>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35">
      <c r="A544" s="85">
        <v>543</v>
      </c>
      <c r="B544" s="85">
        <v>36</v>
      </c>
      <c r="C544" s="86" t="s">
        <v>312</v>
      </c>
      <c r="D544" s="87">
        <v>11.1</v>
      </c>
      <c r="E544" s="88">
        <v>0.5</v>
      </c>
      <c r="F544" s="89">
        <f t="shared" ref="F544:F575" si="93">D544/E544</f>
        <v>22.2</v>
      </c>
      <c r="G544" s="91">
        <v>0</v>
      </c>
      <c r="H544" s="92">
        <v>0</v>
      </c>
      <c r="I544" s="92">
        <v>1</v>
      </c>
      <c r="J544" s="92">
        <v>0</v>
      </c>
      <c r="K544" s="92">
        <v>0</v>
      </c>
      <c r="L544" s="91">
        <v>2717</v>
      </c>
      <c r="M544" s="92">
        <v>9</v>
      </c>
      <c r="N544" s="92">
        <f t="shared" si="84"/>
        <v>2707</v>
      </c>
      <c r="O544" s="92">
        <f t="shared" si="85"/>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94">1-AL544</f>
        <v>0.37</v>
      </c>
      <c r="AN544">
        <v>0</v>
      </c>
      <c r="AO544" s="97">
        <v>1</v>
      </c>
      <c r="AP544" s="99">
        <v>0.15</v>
      </c>
      <c r="AQ544" s="98">
        <f t="shared" ref="AQ544:AQ549" si="95">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96">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35">
      <c r="A545">
        <v>544</v>
      </c>
      <c r="B545">
        <v>36</v>
      </c>
      <c r="C545" s="22" t="s">
        <v>312</v>
      </c>
      <c r="D545" s="11">
        <v>10.3</v>
      </c>
      <c r="E545" s="12">
        <v>0.8</v>
      </c>
      <c r="F545" s="7">
        <f t="shared" si="93"/>
        <v>12.875</v>
      </c>
      <c r="G545" s="8">
        <v>0</v>
      </c>
      <c r="H545" s="9">
        <v>0</v>
      </c>
      <c r="I545" s="9">
        <v>1</v>
      </c>
      <c r="J545" s="9">
        <v>0</v>
      </c>
      <c r="K545" s="9">
        <v>0</v>
      </c>
      <c r="L545" s="8">
        <v>7655</v>
      </c>
      <c r="M545" s="9">
        <v>9</v>
      </c>
      <c r="N545" s="9">
        <f t="shared" si="84"/>
        <v>7645</v>
      </c>
      <c r="O545" s="9">
        <f t="shared" si="85"/>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94"/>
        <v>0.29000000000000004</v>
      </c>
      <c r="AN545">
        <v>0</v>
      </c>
      <c r="AO545" s="15">
        <v>1</v>
      </c>
      <c r="AP545" s="35">
        <v>0.25</v>
      </c>
      <c r="AQ545" s="36">
        <f t="shared" si="95"/>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96"/>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35">
      <c r="A546">
        <v>545</v>
      </c>
      <c r="B546">
        <v>36</v>
      </c>
      <c r="C546" s="22" t="s">
        <v>312</v>
      </c>
      <c r="D546" s="11">
        <v>10.3</v>
      </c>
      <c r="E546" s="12">
        <v>0.4</v>
      </c>
      <c r="F546" s="7">
        <f t="shared" si="93"/>
        <v>25.75</v>
      </c>
      <c r="G546" s="8">
        <v>0</v>
      </c>
      <c r="H546" s="9">
        <v>0</v>
      </c>
      <c r="I546" s="9">
        <v>1</v>
      </c>
      <c r="J546" s="9">
        <v>0</v>
      </c>
      <c r="K546" s="9">
        <v>0</v>
      </c>
      <c r="L546" s="8">
        <v>6493</v>
      </c>
      <c r="M546" s="9">
        <v>9</v>
      </c>
      <c r="N546" s="9">
        <f t="shared" si="84"/>
        <v>6483</v>
      </c>
      <c r="O546" s="9">
        <f t="shared" si="85"/>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94"/>
        <v>0.31000000000000005</v>
      </c>
      <c r="AN546">
        <v>0</v>
      </c>
      <c r="AO546" s="15">
        <v>1</v>
      </c>
      <c r="AP546" s="35">
        <v>0.25</v>
      </c>
      <c r="AQ546" s="36">
        <f t="shared" si="95"/>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96"/>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35">
      <c r="A547">
        <v>546</v>
      </c>
      <c r="B547">
        <v>36</v>
      </c>
      <c r="C547" s="22" t="s">
        <v>312</v>
      </c>
      <c r="D547" s="11">
        <v>10.8</v>
      </c>
      <c r="E547" s="12">
        <v>0.8</v>
      </c>
      <c r="F547" s="7">
        <f t="shared" si="93"/>
        <v>13.5</v>
      </c>
      <c r="G547" s="8">
        <v>0</v>
      </c>
      <c r="H547" s="9">
        <v>0</v>
      </c>
      <c r="I547" s="9">
        <v>1</v>
      </c>
      <c r="J547" s="9">
        <v>0</v>
      </c>
      <c r="K547" s="9">
        <v>0</v>
      </c>
      <c r="L547" s="8">
        <v>2159</v>
      </c>
      <c r="M547" s="9">
        <v>9</v>
      </c>
      <c r="N547" s="9">
        <f t="shared" si="84"/>
        <v>2149</v>
      </c>
      <c r="O547" s="9">
        <f t="shared" si="85"/>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94"/>
        <v>0.36</v>
      </c>
      <c r="AN547">
        <v>0</v>
      </c>
      <c r="AO547" s="15">
        <v>1</v>
      </c>
      <c r="AP547" s="35">
        <v>0.12</v>
      </c>
      <c r="AQ547" s="36">
        <f t="shared" si="95"/>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96"/>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35">
      <c r="A548">
        <v>547</v>
      </c>
      <c r="B548">
        <v>36</v>
      </c>
      <c r="C548" s="22" t="s">
        <v>312</v>
      </c>
      <c r="D548" s="11">
        <v>10.3</v>
      </c>
      <c r="E548" s="12">
        <v>0.4</v>
      </c>
      <c r="F548" s="7">
        <f t="shared" si="93"/>
        <v>25.75</v>
      </c>
      <c r="G548" s="8">
        <v>0</v>
      </c>
      <c r="H548" s="9">
        <v>0</v>
      </c>
      <c r="I548" s="9">
        <v>1</v>
      </c>
      <c r="J548" s="9">
        <v>0</v>
      </c>
      <c r="K548" s="9">
        <v>0</v>
      </c>
      <c r="L548" s="8">
        <v>6644</v>
      </c>
      <c r="M548" s="9">
        <v>9</v>
      </c>
      <c r="N548" s="9">
        <f t="shared" si="84"/>
        <v>6634</v>
      </c>
      <c r="O548" s="9">
        <f t="shared" si="85"/>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94"/>
        <v>0.31999999999999995</v>
      </c>
      <c r="AN548">
        <v>0</v>
      </c>
      <c r="AO548" s="15">
        <v>1</v>
      </c>
      <c r="AP548" s="35">
        <v>0.22</v>
      </c>
      <c r="AQ548" s="36">
        <f t="shared" si="95"/>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96"/>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35">
      <c r="A549">
        <v>548</v>
      </c>
      <c r="B549">
        <v>36</v>
      </c>
      <c r="C549" s="22" t="s">
        <v>312</v>
      </c>
      <c r="D549" s="11">
        <v>10.7</v>
      </c>
      <c r="E549" s="12">
        <v>0.4</v>
      </c>
      <c r="F549" s="7">
        <f t="shared" si="93"/>
        <v>26.749999999999996</v>
      </c>
      <c r="G549" s="8">
        <v>0</v>
      </c>
      <c r="H549" s="9">
        <v>0</v>
      </c>
      <c r="I549" s="9">
        <v>1</v>
      </c>
      <c r="J549" s="9">
        <v>0</v>
      </c>
      <c r="K549" s="9">
        <v>0</v>
      </c>
      <c r="L549" s="8">
        <v>6109</v>
      </c>
      <c r="M549" s="9">
        <v>9</v>
      </c>
      <c r="N549" s="9">
        <f t="shared" si="84"/>
        <v>6099</v>
      </c>
      <c r="O549" s="9">
        <f t="shared" si="85"/>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94"/>
        <v>0.30000000000000004</v>
      </c>
      <c r="AN549">
        <v>0</v>
      </c>
      <c r="AO549" s="15">
        <v>1</v>
      </c>
      <c r="AP549" s="35">
        <v>0.23</v>
      </c>
      <c r="AQ549" s="36">
        <f t="shared" si="95"/>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96"/>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35">
      <c r="A550" s="85">
        <v>549</v>
      </c>
      <c r="B550" s="85">
        <v>37</v>
      </c>
      <c r="C550" s="86" t="s">
        <v>14</v>
      </c>
      <c r="D550" s="87">
        <v>10.7</v>
      </c>
      <c r="E550" s="88">
        <v>0.4</v>
      </c>
      <c r="F550" s="89">
        <f t="shared" si="93"/>
        <v>26.749999999999996</v>
      </c>
      <c r="G550" s="91">
        <v>0</v>
      </c>
      <c r="H550" s="92">
        <v>0</v>
      </c>
      <c r="I550" s="92">
        <v>1</v>
      </c>
      <c r="J550" s="92">
        <v>0</v>
      </c>
      <c r="K550" s="92">
        <v>0</v>
      </c>
      <c r="L550" s="91">
        <v>7892</v>
      </c>
      <c r="M550" s="92">
        <v>4</v>
      </c>
      <c r="N550" s="92">
        <f t="shared" si="84"/>
        <v>7887</v>
      </c>
      <c r="O550" s="92">
        <f t="shared" si="85"/>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97">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96"/>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35">
      <c r="A551">
        <v>550</v>
      </c>
      <c r="B551">
        <v>37</v>
      </c>
      <c r="C551" s="22" t="s">
        <v>14</v>
      </c>
      <c r="D551" s="11">
        <v>5.7</v>
      </c>
      <c r="E551" s="12">
        <v>4.9000000000000004</v>
      </c>
      <c r="F551" s="7">
        <f t="shared" si="93"/>
        <v>1.1632653061224489</v>
      </c>
      <c r="G551" s="8">
        <v>0</v>
      </c>
      <c r="H551" s="9">
        <v>0</v>
      </c>
      <c r="I551" s="9">
        <v>1</v>
      </c>
      <c r="J551" s="9">
        <v>0</v>
      </c>
      <c r="K551" s="9">
        <v>0</v>
      </c>
      <c r="L551" s="8">
        <v>7892</v>
      </c>
      <c r="M551" s="9">
        <v>4</v>
      </c>
      <c r="N551" s="9">
        <f t="shared" si="84"/>
        <v>7887</v>
      </c>
      <c r="O551" s="9">
        <f t="shared" si="85"/>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97"/>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96"/>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35">
      <c r="A552">
        <v>551</v>
      </c>
      <c r="B552">
        <v>37</v>
      </c>
      <c r="C552" s="22" t="s">
        <v>14</v>
      </c>
      <c r="D552" s="11">
        <v>9.6</v>
      </c>
      <c r="E552" s="12">
        <v>0.4</v>
      </c>
      <c r="F552" s="7">
        <f t="shared" si="93"/>
        <v>23.999999999999996</v>
      </c>
      <c r="G552" s="8">
        <v>0</v>
      </c>
      <c r="H552" s="9">
        <v>0</v>
      </c>
      <c r="I552" s="9">
        <v>1</v>
      </c>
      <c r="J552" s="9">
        <v>0</v>
      </c>
      <c r="K552" s="9">
        <v>0</v>
      </c>
      <c r="L552" s="8">
        <v>7892</v>
      </c>
      <c r="M552" s="9">
        <v>4</v>
      </c>
      <c r="N552" s="9">
        <f t="shared" si="84"/>
        <v>7887</v>
      </c>
      <c r="O552" s="9">
        <f t="shared" si="85"/>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97"/>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96"/>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35">
      <c r="A553">
        <v>552</v>
      </c>
      <c r="B553">
        <v>37</v>
      </c>
      <c r="C553" s="22" t="s">
        <v>14</v>
      </c>
      <c r="D553" s="11">
        <v>12.1</v>
      </c>
      <c r="E553" s="12">
        <v>0.7</v>
      </c>
      <c r="F553" s="7">
        <f t="shared" si="93"/>
        <v>17.285714285714285</v>
      </c>
      <c r="G553" s="8">
        <v>0</v>
      </c>
      <c r="H553" s="9">
        <v>0</v>
      </c>
      <c r="I553" s="9">
        <v>1</v>
      </c>
      <c r="J553" s="9">
        <v>0</v>
      </c>
      <c r="K553" s="9">
        <v>0</v>
      </c>
      <c r="L553" s="8">
        <v>7892</v>
      </c>
      <c r="M553" s="9">
        <v>4</v>
      </c>
      <c r="N553" s="9">
        <f t="shared" si="84"/>
        <v>7887</v>
      </c>
      <c r="O553" s="9">
        <f t="shared" si="85"/>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97"/>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96"/>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35">
      <c r="A554">
        <v>553</v>
      </c>
      <c r="B554">
        <v>37</v>
      </c>
      <c r="C554" s="22" t="s">
        <v>14</v>
      </c>
      <c r="D554" s="11">
        <v>11.5</v>
      </c>
      <c r="E554" s="12">
        <v>0.4</v>
      </c>
      <c r="F554" s="7">
        <f t="shared" si="93"/>
        <v>28.75</v>
      </c>
      <c r="G554" s="8">
        <v>0</v>
      </c>
      <c r="H554" s="9">
        <v>0</v>
      </c>
      <c r="I554" s="9">
        <v>1</v>
      </c>
      <c r="J554" s="9">
        <v>0</v>
      </c>
      <c r="K554" s="9">
        <v>0</v>
      </c>
      <c r="L554" s="8">
        <v>7892</v>
      </c>
      <c r="M554" s="9">
        <v>4</v>
      </c>
      <c r="N554" s="9">
        <f t="shared" si="84"/>
        <v>7887</v>
      </c>
      <c r="O554" s="9">
        <f t="shared" si="85"/>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97"/>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96"/>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35">
      <c r="A555">
        <v>554</v>
      </c>
      <c r="B555">
        <v>37</v>
      </c>
      <c r="C555" s="22" t="s">
        <v>14</v>
      </c>
      <c r="D555" s="11">
        <v>12.1</v>
      </c>
      <c r="E555" s="12">
        <v>0.3</v>
      </c>
      <c r="F555" s="7">
        <f t="shared" si="93"/>
        <v>40.333333333333336</v>
      </c>
      <c r="G555" s="8">
        <v>0</v>
      </c>
      <c r="H555" s="9">
        <v>0</v>
      </c>
      <c r="I555" s="9">
        <v>1</v>
      </c>
      <c r="J555" s="9">
        <v>0</v>
      </c>
      <c r="K555" s="9">
        <v>0</v>
      </c>
      <c r="L555" s="8">
        <v>7892</v>
      </c>
      <c r="M555" s="9">
        <v>4</v>
      </c>
      <c r="N555" s="9">
        <f t="shared" si="84"/>
        <v>7887</v>
      </c>
      <c r="O555" s="9">
        <f t="shared" si="85"/>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97"/>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96"/>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35">
      <c r="A556">
        <v>555</v>
      </c>
      <c r="B556">
        <v>37</v>
      </c>
      <c r="C556" s="22" t="s">
        <v>14</v>
      </c>
      <c r="D556" s="11">
        <v>11.4</v>
      </c>
      <c r="E556" s="12">
        <v>0.3</v>
      </c>
      <c r="F556" s="7">
        <f t="shared" si="93"/>
        <v>38</v>
      </c>
      <c r="G556" s="8">
        <v>0</v>
      </c>
      <c r="H556" s="9">
        <v>0</v>
      </c>
      <c r="I556" s="9">
        <v>1</v>
      </c>
      <c r="J556" s="9">
        <v>0</v>
      </c>
      <c r="K556" s="9">
        <v>0</v>
      </c>
      <c r="L556" s="8">
        <v>7892</v>
      </c>
      <c r="M556" s="9">
        <v>4</v>
      </c>
      <c r="N556" s="9">
        <f t="shared" si="84"/>
        <v>7887</v>
      </c>
      <c r="O556" s="9">
        <f t="shared" si="85"/>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97"/>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96"/>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35">
      <c r="A557">
        <v>556</v>
      </c>
      <c r="B557">
        <v>37</v>
      </c>
      <c r="C557" s="22" t="s">
        <v>14</v>
      </c>
      <c r="D557" s="11">
        <v>9.6</v>
      </c>
      <c r="E557" s="12">
        <v>0.5</v>
      </c>
      <c r="F557" s="7">
        <f t="shared" si="93"/>
        <v>19.2</v>
      </c>
      <c r="G557" s="8">
        <v>0</v>
      </c>
      <c r="H557" s="9">
        <v>0</v>
      </c>
      <c r="I557" s="9">
        <v>1</v>
      </c>
      <c r="J557" s="9">
        <v>0</v>
      </c>
      <c r="K557" s="9">
        <v>0</v>
      </c>
      <c r="L557" s="8">
        <v>7892</v>
      </c>
      <c r="M557" s="9">
        <v>4</v>
      </c>
      <c r="N557" s="9">
        <f t="shared" si="84"/>
        <v>7887</v>
      </c>
      <c r="O557" s="9">
        <f t="shared" si="85"/>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97"/>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96"/>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35">
      <c r="A558">
        <v>557</v>
      </c>
      <c r="B558">
        <v>37</v>
      </c>
      <c r="C558" s="22" t="s">
        <v>14</v>
      </c>
      <c r="D558" s="11">
        <v>12.5</v>
      </c>
      <c r="E558" s="12">
        <v>0.4</v>
      </c>
      <c r="F558" s="7">
        <f t="shared" si="93"/>
        <v>31.25</v>
      </c>
      <c r="G558" s="8">
        <v>0</v>
      </c>
      <c r="H558" s="9">
        <v>0</v>
      </c>
      <c r="I558" s="9">
        <v>1</v>
      </c>
      <c r="J558" s="9">
        <v>0</v>
      </c>
      <c r="K558" s="9">
        <v>0</v>
      </c>
      <c r="L558" s="8">
        <v>7892</v>
      </c>
      <c r="M558" s="9">
        <v>4</v>
      </c>
      <c r="N558" s="9">
        <f t="shared" si="84"/>
        <v>7887</v>
      </c>
      <c r="O558" s="9">
        <f t="shared" si="85"/>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97"/>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96"/>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35">
      <c r="A559">
        <v>558</v>
      </c>
      <c r="B559">
        <v>37</v>
      </c>
      <c r="C559" s="22" t="s">
        <v>14</v>
      </c>
      <c r="D559" s="11">
        <v>6.1</v>
      </c>
      <c r="E559" s="12">
        <v>1</v>
      </c>
      <c r="F559" s="7">
        <f t="shared" si="93"/>
        <v>6.1</v>
      </c>
      <c r="G559" s="8">
        <v>0</v>
      </c>
      <c r="H559" s="9">
        <v>0</v>
      </c>
      <c r="I559" s="9">
        <v>1</v>
      </c>
      <c r="J559" s="9">
        <v>0</v>
      </c>
      <c r="K559" s="9">
        <v>0</v>
      </c>
      <c r="L559" s="8">
        <v>2202</v>
      </c>
      <c r="M559" s="9">
        <v>4</v>
      </c>
      <c r="N559" s="9">
        <f t="shared" si="84"/>
        <v>2197</v>
      </c>
      <c r="O559" s="9">
        <f t="shared" si="85"/>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97"/>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96"/>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35">
      <c r="A560">
        <v>559</v>
      </c>
      <c r="B560">
        <v>37</v>
      </c>
      <c r="C560" s="22" t="s">
        <v>14</v>
      </c>
      <c r="D560" s="11">
        <v>13</v>
      </c>
      <c r="E560" s="12">
        <v>0.5</v>
      </c>
      <c r="F560" s="7">
        <f t="shared" si="93"/>
        <v>26</v>
      </c>
      <c r="G560" s="8">
        <v>0</v>
      </c>
      <c r="H560" s="9">
        <v>0</v>
      </c>
      <c r="I560" s="9">
        <v>1</v>
      </c>
      <c r="J560" s="9">
        <v>0</v>
      </c>
      <c r="K560" s="9">
        <v>0</v>
      </c>
      <c r="L560" s="8">
        <v>3382</v>
      </c>
      <c r="M560" s="9">
        <v>4</v>
      </c>
      <c r="N560" s="9">
        <f t="shared" si="84"/>
        <v>3377</v>
      </c>
      <c r="O560" s="9">
        <f t="shared" si="85"/>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97"/>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96"/>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35">
      <c r="A561">
        <v>560</v>
      </c>
      <c r="B561">
        <v>37</v>
      </c>
      <c r="C561" s="22" t="s">
        <v>14</v>
      </c>
      <c r="D561" s="11">
        <v>9.3000000000000007</v>
      </c>
      <c r="E561" s="12">
        <v>1.2</v>
      </c>
      <c r="F561" s="7">
        <f t="shared" si="93"/>
        <v>7.7500000000000009</v>
      </c>
      <c r="G561" s="8">
        <v>0</v>
      </c>
      <c r="H561" s="9">
        <v>0</v>
      </c>
      <c r="I561" s="9">
        <v>1</v>
      </c>
      <c r="J561" s="9">
        <v>0</v>
      </c>
      <c r="K561" s="9">
        <v>0</v>
      </c>
      <c r="L561" s="8">
        <v>435</v>
      </c>
      <c r="M561" s="9">
        <v>4</v>
      </c>
      <c r="N561" s="9">
        <f t="shared" si="84"/>
        <v>430</v>
      </c>
      <c r="O561" s="9">
        <f t="shared" si="85"/>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97"/>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96"/>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35">
      <c r="A562">
        <v>561</v>
      </c>
      <c r="B562">
        <v>37</v>
      </c>
      <c r="C562" s="22" t="s">
        <v>14</v>
      </c>
      <c r="D562" s="11">
        <v>8.4</v>
      </c>
      <c r="E562" s="12">
        <v>1.5</v>
      </c>
      <c r="F562" s="7">
        <f t="shared" si="93"/>
        <v>5.6000000000000005</v>
      </c>
      <c r="G562" s="8">
        <v>0</v>
      </c>
      <c r="H562" s="9">
        <v>0</v>
      </c>
      <c r="I562" s="9">
        <v>1</v>
      </c>
      <c r="J562" s="9">
        <v>0</v>
      </c>
      <c r="K562" s="9">
        <v>0</v>
      </c>
      <c r="L562" s="8">
        <v>436</v>
      </c>
      <c r="M562" s="9">
        <v>4</v>
      </c>
      <c r="N562" s="9">
        <f t="shared" si="84"/>
        <v>431</v>
      </c>
      <c r="O562" s="9">
        <f t="shared" si="85"/>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97"/>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96"/>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35">
      <c r="A563">
        <v>562</v>
      </c>
      <c r="B563">
        <v>37</v>
      </c>
      <c r="C563" s="22" t="s">
        <v>14</v>
      </c>
      <c r="D563" s="11">
        <v>11.2</v>
      </c>
      <c r="E563" s="12">
        <v>0.8</v>
      </c>
      <c r="F563" s="7">
        <f t="shared" si="93"/>
        <v>13.999999999999998</v>
      </c>
      <c r="G563" s="8">
        <v>0</v>
      </c>
      <c r="H563" s="9">
        <v>0</v>
      </c>
      <c r="I563" s="9">
        <v>1</v>
      </c>
      <c r="J563" s="9">
        <v>0</v>
      </c>
      <c r="K563" s="9">
        <v>0</v>
      </c>
      <c r="L563" s="8">
        <v>624</v>
      </c>
      <c r="M563" s="9">
        <v>4</v>
      </c>
      <c r="N563" s="9">
        <f t="shared" si="84"/>
        <v>619</v>
      </c>
      <c r="O563" s="9">
        <f t="shared" si="85"/>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97"/>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96"/>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35">
      <c r="A564" s="127">
        <v>563</v>
      </c>
      <c r="B564" s="127">
        <v>37</v>
      </c>
      <c r="C564" s="128" t="s">
        <v>14</v>
      </c>
      <c r="D564" s="129">
        <v>5.8</v>
      </c>
      <c r="E564" s="130">
        <v>1.7</v>
      </c>
      <c r="F564" s="131">
        <f t="shared" si="93"/>
        <v>3.4117647058823528</v>
      </c>
      <c r="G564" s="133">
        <v>0</v>
      </c>
      <c r="H564" s="134">
        <v>0</v>
      </c>
      <c r="I564" s="134">
        <v>1</v>
      </c>
      <c r="J564" s="134">
        <v>0</v>
      </c>
      <c r="K564" s="134">
        <v>0</v>
      </c>
      <c r="L564" s="133">
        <v>601</v>
      </c>
      <c r="M564" s="134">
        <v>4</v>
      </c>
      <c r="N564" s="134">
        <f t="shared" si="84"/>
        <v>596</v>
      </c>
      <c r="O564" s="134">
        <f t="shared" si="85"/>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97"/>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96"/>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35">
      <c r="A565">
        <v>564</v>
      </c>
      <c r="B565">
        <v>38</v>
      </c>
      <c r="C565" s="22" t="s">
        <v>314</v>
      </c>
      <c r="D565" s="11">
        <v>10.9</v>
      </c>
      <c r="E565" s="12">
        <v>0.2</v>
      </c>
      <c r="F565" s="7">
        <f t="shared" si="93"/>
        <v>54.5</v>
      </c>
      <c r="G565" s="8">
        <v>0</v>
      </c>
      <c r="H565" s="9">
        <v>0</v>
      </c>
      <c r="I565" s="9">
        <v>0</v>
      </c>
      <c r="J565" s="9">
        <v>1</v>
      </c>
      <c r="K565" s="9">
        <v>0</v>
      </c>
      <c r="L565" s="8">
        <v>10001</v>
      </c>
      <c r="M565" s="9">
        <v>4</v>
      </c>
      <c r="N565" s="9">
        <f t="shared" si="84"/>
        <v>9996</v>
      </c>
      <c r="O565" s="9">
        <f t="shared" si="85"/>
        <v>50</v>
      </c>
      <c r="P565" s="7">
        <f t="shared" ref="P565:P614" si="98">(AD565*0+AE565*6+AF565*11+14*AG565)</f>
        <v>9.4307999999999996</v>
      </c>
      <c r="Q565" s="7">
        <f t="shared" ref="Q565:Q596" si="99">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100">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35">
      <c r="A566">
        <v>565</v>
      </c>
      <c r="B566">
        <v>38</v>
      </c>
      <c r="C566" s="22" t="s">
        <v>314</v>
      </c>
      <c r="D566" s="11">
        <v>10.9</v>
      </c>
      <c r="E566" s="12">
        <v>0.2</v>
      </c>
      <c r="F566" s="7">
        <f t="shared" si="93"/>
        <v>54.5</v>
      </c>
      <c r="G566" s="8">
        <v>0</v>
      </c>
      <c r="H566" s="9">
        <v>0</v>
      </c>
      <c r="I566" s="9">
        <v>0</v>
      </c>
      <c r="J566" s="9">
        <v>1</v>
      </c>
      <c r="K566" s="9">
        <v>0</v>
      </c>
      <c r="L566" s="8">
        <v>9550</v>
      </c>
      <c r="M566" s="9">
        <v>4</v>
      </c>
      <c r="N566" s="9">
        <f t="shared" si="84"/>
        <v>9545</v>
      </c>
      <c r="O566" s="9">
        <f t="shared" si="85"/>
        <v>50</v>
      </c>
      <c r="P566" s="7">
        <f t="shared" si="98"/>
        <v>9.4307999999999996</v>
      </c>
      <c r="Q566" s="7">
        <f t="shared" si="99"/>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100"/>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35">
      <c r="A567">
        <v>566</v>
      </c>
      <c r="B567">
        <v>38</v>
      </c>
      <c r="C567" s="22" t="s">
        <v>314</v>
      </c>
      <c r="D567" s="11">
        <v>10.3</v>
      </c>
      <c r="E567" s="12">
        <v>0.2</v>
      </c>
      <c r="F567" s="7">
        <f t="shared" si="93"/>
        <v>51.5</v>
      </c>
      <c r="G567" s="8">
        <v>0</v>
      </c>
      <c r="H567" s="9">
        <v>0</v>
      </c>
      <c r="I567" s="9">
        <v>0</v>
      </c>
      <c r="J567" s="9">
        <v>1</v>
      </c>
      <c r="K567" s="9">
        <v>0</v>
      </c>
      <c r="L567" s="8">
        <v>10001</v>
      </c>
      <c r="M567" s="9">
        <v>4</v>
      </c>
      <c r="N567" s="9">
        <f t="shared" si="84"/>
        <v>9996</v>
      </c>
      <c r="O567" s="9">
        <f t="shared" si="85"/>
        <v>50</v>
      </c>
      <c r="P567" s="7">
        <f t="shared" si="98"/>
        <v>9.4307999999999996</v>
      </c>
      <c r="Q567" s="7">
        <f t="shared" si="99"/>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100"/>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35">
      <c r="A568">
        <v>567</v>
      </c>
      <c r="B568">
        <v>38</v>
      </c>
      <c r="C568" s="22" t="s">
        <v>314</v>
      </c>
      <c r="D568" s="11">
        <v>10.199999999999999</v>
      </c>
      <c r="E568" s="12">
        <v>0.3</v>
      </c>
      <c r="F568" s="7">
        <f t="shared" si="93"/>
        <v>34</v>
      </c>
      <c r="G568" s="8">
        <v>0</v>
      </c>
      <c r="H568" s="9">
        <v>0</v>
      </c>
      <c r="I568" s="9">
        <v>0</v>
      </c>
      <c r="J568" s="9">
        <v>1</v>
      </c>
      <c r="K568" s="9">
        <v>0</v>
      </c>
      <c r="L568" s="8">
        <v>9550</v>
      </c>
      <c r="M568" s="9">
        <v>4</v>
      </c>
      <c r="N568" s="9">
        <f t="shared" si="84"/>
        <v>9545</v>
      </c>
      <c r="O568" s="9">
        <f t="shared" si="85"/>
        <v>50</v>
      </c>
      <c r="P568" s="7">
        <f t="shared" si="98"/>
        <v>9.4307999999999996</v>
      </c>
      <c r="Q568" s="7">
        <f t="shared" si="99"/>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100"/>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35">
      <c r="A569">
        <v>568</v>
      </c>
      <c r="B569">
        <v>38</v>
      </c>
      <c r="C569" s="22" t="s">
        <v>314</v>
      </c>
      <c r="D569" s="11">
        <v>6.41</v>
      </c>
      <c r="E569" s="12">
        <v>0.2</v>
      </c>
      <c r="F569" s="7">
        <f t="shared" si="93"/>
        <v>32.049999999999997</v>
      </c>
      <c r="G569" s="8">
        <v>0</v>
      </c>
      <c r="H569" s="9">
        <v>0</v>
      </c>
      <c r="I569" s="9">
        <v>0</v>
      </c>
      <c r="J569" s="9">
        <v>1</v>
      </c>
      <c r="K569" s="9">
        <v>0</v>
      </c>
      <c r="L569" s="8">
        <v>10001</v>
      </c>
      <c r="M569" s="9">
        <v>13</v>
      </c>
      <c r="N569" s="9">
        <f t="shared" si="84"/>
        <v>9987</v>
      </c>
      <c r="O569" s="9">
        <f t="shared" si="85"/>
        <v>50</v>
      </c>
      <c r="P569" s="7">
        <f t="shared" si="98"/>
        <v>9.4307999999999996</v>
      </c>
      <c r="Q569" s="7">
        <f t="shared" si="99"/>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100"/>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35">
      <c r="A570">
        <v>569</v>
      </c>
      <c r="B570">
        <v>38</v>
      </c>
      <c r="C570" s="22" t="s">
        <v>314</v>
      </c>
      <c r="D570" s="11">
        <v>10.27</v>
      </c>
      <c r="E570" s="12">
        <v>0.2</v>
      </c>
      <c r="F570" s="7">
        <f t="shared" si="93"/>
        <v>51.349999999999994</v>
      </c>
      <c r="G570" s="8">
        <v>0</v>
      </c>
      <c r="H570" s="9">
        <v>0</v>
      </c>
      <c r="I570" s="9">
        <v>0</v>
      </c>
      <c r="J570" s="9">
        <v>1</v>
      </c>
      <c r="K570" s="9">
        <v>0</v>
      </c>
      <c r="L570" s="8">
        <v>9550</v>
      </c>
      <c r="M570" s="9">
        <v>13</v>
      </c>
      <c r="N570" s="9">
        <f t="shared" si="84"/>
        <v>9536</v>
      </c>
      <c r="O570" s="9">
        <f t="shared" si="85"/>
        <v>50</v>
      </c>
      <c r="P570" s="7">
        <f t="shared" si="98"/>
        <v>9.4307999999999996</v>
      </c>
      <c r="Q570" s="7">
        <f t="shared" si="99"/>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100"/>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35">
      <c r="A571">
        <v>570</v>
      </c>
      <c r="B571">
        <v>38</v>
      </c>
      <c r="C571" s="22" t="s">
        <v>314</v>
      </c>
      <c r="D571" s="11">
        <v>6.91</v>
      </c>
      <c r="E571" s="12">
        <v>0.3</v>
      </c>
      <c r="F571" s="7">
        <f t="shared" si="93"/>
        <v>23.033333333333335</v>
      </c>
      <c r="G571" s="8">
        <v>0</v>
      </c>
      <c r="H571" s="9">
        <v>0</v>
      </c>
      <c r="I571" s="9">
        <v>0</v>
      </c>
      <c r="J571" s="9">
        <v>1</v>
      </c>
      <c r="K571" s="9">
        <v>0</v>
      </c>
      <c r="L571" s="8">
        <v>10001</v>
      </c>
      <c r="M571" s="9">
        <v>13</v>
      </c>
      <c r="N571" s="9">
        <f t="shared" si="84"/>
        <v>9987</v>
      </c>
      <c r="O571" s="9">
        <f t="shared" si="85"/>
        <v>50</v>
      </c>
      <c r="P571" s="7">
        <f t="shared" si="98"/>
        <v>9.4307999999999996</v>
      </c>
      <c r="Q571" s="7">
        <f t="shared" si="99"/>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100"/>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35">
      <c r="A572">
        <v>571</v>
      </c>
      <c r="B572">
        <v>38</v>
      </c>
      <c r="C572" s="22" t="s">
        <v>314</v>
      </c>
      <c r="D572" s="11">
        <v>10.32</v>
      </c>
      <c r="E572" s="12">
        <v>0.2</v>
      </c>
      <c r="F572" s="7">
        <f t="shared" si="93"/>
        <v>51.6</v>
      </c>
      <c r="G572" s="8">
        <v>0</v>
      </c>
      <c r="H572" s="9">
        <v>0</v>
      </c>
      <c r="I572" s="9">
        <v>0</v>
      </c>
      <c r="J572" s="9">
        <v>1</v>
      </c>
      <c r="K572" s="9">
        <v>0</v>
      </c>
      <c r="L572" s="8">
        <v>9550</v>
      </c>
      <c r="M572" s="9">
        <v>13</v>
      </c>
      <c r="N572" s="9">
        <f t="shared" si="84"/>
        <v>9536</v>
      </c>
      <c r="O572" s="9">
        <f t="shared" si="85"/>
        <v>50</v>
      </c>
      <c r="P572" s="7">
        <f t="shared" si="98"/>
        <v>9.4307999999999996</v>
      </c>
      <c r="Q572" s="7">
        <f t="shared" si="99"/>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100"/>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35">
      <c r="A573">
        <v>572</v>
      </c>
      <c r="B573">
        <v>38</v>
      </c>
      <c r="C573" s="22" t="s">
        <v>314</v>
      </c>
      <c r="D573" s="11">
        <v>5.14</v>
      </c>
      <c r="E573" s="12">
        <v>0.8</v>
      </c>
      <c r="F573" s="7">
        <f t="shared" si="93"/>
        <v>6.4249999999999989</v>
      </c>
      <c r="G573" s="8">
        <v>0</v>
      </c>
      <c r="H573" s="9">
        <v>0</v>
      </c>
      <c r="I573" s="9">
        <v>0</v>
      </c>
      <c r="J573" s="9">
        <v>1</v>
      </c>
      <c r="K573" s="9">
        <v>0</v>
      </c>
      <c r="L573" s="8">
        <v>1717</v>
      </c>
      <c r="M573" s="9">
        <v>13</v>
      </c>
      <c r="N573" s="9">
        <f t="shared" si="84"/>
        <v>1703</v>
      </c>
      <c r="O573" s="9">
        <f t="shared" si="85"/>
        <v>50</v>
      </c>
      <c r="P573" s="7">
        <f t="shared" si="98"/>
        <v>9.4307999999999996</v>
      </c>
      <c r="Q573" s="7">
        <f t="shared" si="99"/>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100"/>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35">
      <c r="A574">
        <v>573</v>
      </c>
      <c r="B574">
        <v>38</v>
      </c>
      <c r="C574" s="22" t="s">
        <v>314</v>
      </c>
      <c r="D574" s="11">
        <v>7.63</v>
      </c>
      <c r="E574" s="12">
        <v>1.5</v>
      </c>
      <c r="F574" s="7">
        <f t="shared" si="93"/>
        <v>5.0866666666666669</v>
      </c>
      <c r="G574" s="8">
        <v>0</v>
      </c>
      <c r="H574" s="9">
        <v>0</v>
      </c>
      <c r="I574" s="9">
        <v>0</v>
      </c>
      <c r="J574" s="9">
        <v>1</v>
      </c>
      <c r="K574" s="9">
        <v>0</v>
      </c>
      <c r="L574" s="8">
        <v>563</v>
      </c>
      <c r="M574" s="9">
        <v>13</v>
      </c>
      <c r="N574" s="9">
        <f t="shared" si="84"/>
        <v>549</v>
      </c>
      <c r="O574" s="9">
        <f t="shared" si="85"/>
        <v>50</v>
      </c>
      <c r="P574" s="7">
        <f t="shared" si="98"/>
        <v>9.4307999999999996</v>
      </c>
      <c r="Q574" s="7">
        <f t="shared" si="99"/>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100"/>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35">
      <c r="A575">
        <v>574</v>
      </c>
      <c r="B575">
        <v>38</v>
      </c>
      <c r="C575" s="22" t="s">
        <v>314</v>
      </c>
      <c r="D575" s="11">
        <v>5.52</v>
      </c>
      <c r="E575" s="12">
        <v>2.2000000000000002</v>
      </c>
      <c r="F575" s="7">
        <f t="shared" si="93"/>
        <v>2.5090909090909088</v>
      </c>
      <c r="G575" s="8">
        <v>0</v>
      </c>
      <c r="H575" s="9">
        <v>0</v>
      </c>
      <c r="I575" s="9">
        <v>0</v>
      </c>
      <c r="J575" s="9">
        <v>1</v>
      </c>
      <c r="K575" s="9">
        <v>0</v>
      </c>
      <c r="L575" s="8">
        <v>1717</v>
      </c>
      <c r="M575" s="9">
        <v>13</v>
      </c>
      <c r="N575" s="9">
        <f t="shared" si="84"/>
        <v>1703</v>
      </c>
      <c r="O575" s="9">
        <f t="shared" si="85"/>
        <v>50</v>
      </c>
      <c r="P575" s="7">
        <f t="shared" si="98"/>
        <v>9.4307999999999996</v>
      </c>
      <c r="Q575" s="7">
        <f t="shared" si="99"/>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100"/>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35">
      <c r="A576">
        <v>575</v>
      </c>
      <c r="B576">
        <v>38</v>
      </c>
      <c r="C576" s="22" t="s">
        <v>314</v>
      </c>
      <c r="D576" s="11">
        <v>7.84</v>
      </c>
      <c r="E576" s="12">
        <v>6.6</v>
      </c>
      <c r="F576" s="7">
        <f t="shared" ref="F576:F607" si="101">D576/E576</f>
        <v>1.187878787878788</v>
      </c>
      <c r="G576" s="8">
        <v>0</v>
      </c>
      <c r="H576" s="9">
        <v>0</v>
      </c>
      <c r="I576" s="9">
        <v>0</v>
      </c>
      <c r="J576" s="9">
        <v>1</v>
      </c>
      <c r="K576" s="9">
        <v>0</v>
      </c>
      <c r="L576" s="8">
        <v>563</v>
      </c>
      <c r="M576" s="9">
        <v>13</v>
      </c>
      <c r="N576" s="9">
        <f t="shared" si="84"/>
        <v>549</v>
      </c>
      <c r="O576" s="9">
        <f t="shared" si="85"/>
        <v>50</v>
      </c>
      <c r="P576" s="7">
        <f t="shared" si="98"/>
        <v>9.4307999999999996</v>
      </c>
      <c r="Q576" s="7">
        <f t="shared" si="99"/>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100"/>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35">
      <c r="A577">
        <v>576</v>
      </c>
      <c r="B577">
        <v>38</v>
      </c>
      <c r="C577" s="22" t="s">
        <v>314</v>
      </c>
      <c r="D577" s="11">
        <v>10.7</v>
      </c>
      <c r="E577" s="12">
        <v>0.7</v>
      </c>
      <c r="F577" s="7">
        <f t="shared" si="101"/>
        <v>15.285714285714286</v>
      </c>
      <c r="G577" s="8">
        <v>0</v>
      </c>
      <c r="H577" s="9">
        <v>0</v>
      </c>
      <c r="I577" s="9">
        <v>0</v>
      </c>
      <c r="J577" s="9">
        <v>1</v>
      </c>
      <c r="K577" s="9">
        <v>0</v>
      </c>
      <c r="L577" s="8">
        <v>3169</v>
      </c>
      <c r="M577" s="9">
        <v>6</v>
      </c>
      <c r="N577" s="9">
        <f t="shared" si="84"/>
        <v>3162</v>
      </c>
      <c r="O577" s="9">
        <f t="shared" si="85"/>
        <v>50</v>
      </c>
      <c r="P577" s="7">
        <f t="shared" si="98"/>
        <v>9.4307999999999996</v>
      </c>
      <c r="Q577" s="7">
        <f t="shared" si="99"/>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100"/>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35">
      <c r="A578">
        <v>577</v>
      </c>
      <c r="B578">
        <v>38</v>
      </c>
      <c r="C578" s="22" t="s">
        <v>314</v>
      </c>
      <c r="D578" s="11">
        <v>6.1</v>
      </c>
      <c r="E578" s="12">
        <v>0.6</v>
      </c>
      <c r="F578" s="7">
        <f t="shared" si="101"/>
        <v>10.166666666666666</v>
      </c>
      <c r="G578" s="8">
        <v>0</v>
      </c>
      <c r="H578" s="9">
        <v>0</v>
      </c>
      <c r="I578" s="9">
        <v>0</v>
      </c>
      <c r="J578" s="9">
        <v>1</v>
      </c>
      <c r="K578" s="9">
        <v>0</v>
      </c>
      <c r="L578" s="8">
        <v>1981</v>
      </c>
      <c r="M578" s="9">
        <v>6</v>
      </c>
      <c r="N578" s="9">
        <f t="shared" ref="N578:N641" si="102">L578-M578-1</f>
        <v>1974</v>
      </c>
      <c r="O578" s="9">
        <f t="shared" ref="O578:O641" si="103">COUNTIF(B:B,B578)</f>
        <v>50</v>
      </c>
      <c r="P578" s="7">
        <f t="shared" si="98"/>
        <v>9.4307999999999996</v>
      </c>
      <c r="Q578" s="7">
        <f t="shared" si="99"/>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100"/>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35">
      <c r="A579">
        <v>578</v>
      </c>
      <c r="B579">
        <v>38</v>
      </c>
      <c r="C579" s="22" t="s">
        <v>314</v>
      </c>
      <c r="D579" s="11">
        <v>10.7</v>
      </c>
      <c r="E579" s="12">
        <v>0.7</v>
      </c>
      <c r="F579" s="7">
        <f t="shared" si="101"/>
        <v>15.285714285714286</v>
      </c>
      <c r="G579" s="8">
        <v>0</v>
      </c>
      <c r="H579" s="9">
        <v>0</v>
      </c>
      <c r="I579" s="9">
        <v>0</v>
      </c>
      <c r="J579" s="9">
        <v>1</v>
      </c>
      <c r="K579" s="9">
        <v>0</v>
      </c>
      <c r="L579" s="8">
        <v>3169</v>
      </c>
      <c r="M579" s="9">
        <v>6</v>
      </c>
      <c r="N579" s="9">
        <f t="shared" si="102"/>
        <v>3162</v>
      </c>
      <c r="O579" s="9">
        <f t="shared" si="103"/>
        <v>50</v>
      </c>
      <c r="P579" s="7">
        <f t="shared" si="98"/>
        <v>9.4307999999999996</v>
      </c>
      <c r="Q579" s="7">
        <f t="shared" si="99"/>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100"/>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35">
      <c r="A580">
        <v>579</v>
      </c>
      <c r="B580">
        <v>38</v>
      </c>
      <c r="C580" s="22" t="s">
        <v>314</v>
      </c>
      <c r="D580" s="11">
        <v>6.1</v>
      </c>
      <c r="E580" s="12">
        <v>0.6</v>
      </c>
      <c r="F580" s="7">
        <f t="shared" si="101"/>
        <v>10.166666666666666</v>
      </c>
      <c r="G580" s="8">
        <v>0</v>
      </c>
      <c r="H580" s="9">
        <v>0</v>
      </c>
      <c r="I580" s="9">
        <v>0</v>
      </c>
      <c r="J580" s="9">
        <v>1</v>
      </c>
      <c r="K580" s="9">
        <v>0</v>
      </c>
      <c r="L580" s="8">
        <v>1981</v>
      </c>
      <c r="M580" s="9">
        <v>6</v>
      </c>
      <c r="N580" s="9">
        <f t="shared" si="102"/>
        <v>1974</v>
      </c>
      <c r="O580" s="9">
        <f t="shared" si="103"/>
        <v>50</v>
      </c>
      <c r="P580" s="7">
        <f t="shared" si="98"/>
        <v>9.4307999999999996</v>
      </c>
      <c r="Q580" s="7">
        <f t="shared" si="99"/>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100"/>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35">
      <c r="A581">
        <v>580</v>
      </c>
      <c r="B581">
        <v>38</v>
      </c>
      <c r="C581" s="22" t="s">
        <v>314</v>
      </c>
      <c r="D581" s="11">
        <v>10.7</v>
      </c>
      <c r="E581" s="12">
        <v>0.7</v>
      </c>
      <c r="F581" s="7">
        <f t="shared" si="101"/>
        <v>15.285714285714286</v>
      </c>
      <c r="G581" s="8">
        <v>0</v>
      </c>
      <c r="H581" s="9">
        <v>0</v>
      </c>
      <c r="I581" s="9">
        <v>0</v>
      </c>
      <c r="J581" s="9">
        <v>1</v>
      </c>
      <c r="K581" s="9">
        <v>0</v>
      </c>
      <c r="L581" s="8">
        <v>3169</v>
      </c>
      <c r="M581" s="9">
        <v>6</v>
      </c>
      <c r="N581" s="9">
        <f t="shared" si="102"/>
        <v>3162</v>
      </c>
      <c r="O581" s="9">
        <f t="shared" si="103"/>
        <v>50</v>
      </c>
      <c r="P581" s="7">
        <f t="shared" si="98"/>
        <v>9.4307999999999996</v>
      </c>
      <c r="Q581" s="7">
        <f t="shared" si="99"/>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100"/>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35">
      <c r="A582">
        <v>581</v>
      </c>
      <c r="B582">
        <v>38</v>
      </c>
      <c r="C582" s="22" t="s">
        <v>314</v>
      </c>
      <c r="D582" s="11">
        <v>6.1</v>
      </c>
      <c r="E582" s="12">
        <v>0.6</v>
      </c>
      <c r="F582" s="7">
        <f t="shared" si="101"/>
        <v>10.166666666666666</v>
      </c>
      <c r="G582" s="8">
        <v>0</v>
      </c>
      <c r="H582" s="9">
        <v>0</v>
      </c>
      <c r="I582" s="9">
        <v>0</v>
      </c>
      <c r="J582" s="9">
        <v>1</v>
      </c>
      <c r="K582" s="9">
        <v>0</v>
      </c>
      <c r="L582" s="8">
        <v>1981</v>
      </c>
      <c r="M582" s="9">
        <v>6</v>
      </c>
      <c r="N582" s="9">
        <f t="shared" si="102"/>
        <v>1974</v>
      </c>
      <c r="O582" s="9">
        <f t="shared" si="103"/>
        <v>50</v>
      </c>
      <c r="P582" s="7">
        <f t="shared" si="98"/>
        <v>9.4307999999999996</v>
      </c>
      <c r="Q582" s="7">
        <f t="shared" si="99"/>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100"/>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35">
      <c r="A583">
        <v>582</v>
      </c>
      <c r="B583">
        <v>38</v>
      </c>
      <c r="C583" s="22" t="s">
        <v>314</v>
      </c>
      <c r="D583" s="11">
        <v>10.6</v>
      </c>
      <c r="E583" s="12">
        <v>1.4</v>
      </c>
      <c r="F583" s="7">
        <f t="shared" si="101"/>
        <v>7.5714285714285721</v>
      </c>
      <c r="G583" s="8">
        <v>0</v>
      </c>
      <c r="H583" s="9">
        <v>0</v>
      </c>
      <c r="I583" s="9">
        <v>0</v>
      </c>
      <c r="J583" s="9">
        <v>1</v>
      </c>
      <c r="K583" s="9">
        <v>0</v>
      </c>
      <c r="L583" s="8">
        <v>3169</v>
      </c>
      <c r="M583" s="9">
        <v>6</v>
      </c>
      <c r="N583" s="9">
        <f t="shared" si="102"/>
        <v>3162</v>
      </c>
      <c r="O583" s="9">
        <f t="shared" si="103"/>
        <v>50</v>
      </c>
      <c r="P583" s="7">
        <f t="shared" si="98"/>
        <v>9.4307999999999996</v>
      </c>
      <c r="Q583" s="7">
        <f t="shared" si="99"/>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100"/>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35">
      <c r="A584">
        <v>583</v>
      </c>
      <c r="B584">
        <v>38</v>
      </c>
      <c r="C584" s="22" t="s">
        <v>314</v>
      </c>
      <c r="D584" s="11">
        <v>8.9</v>
      </c>
      <c r="E584" s="12">
        <v>0.9</v>
      </c>
      <c r="F584" s="7">
        <f t="shared" si="101"/>
        <v>9.8888888888888893</v>
      </c>
      <c r="G584" s="8">
        <v>0</v>
      </c>
      <c r="H584" s="9">
        <v>0</v>
      </c>
      <c r="I584" s="9">
        <v>0</v>
      </c>
      <c r="J584" s="9">
        <v>1</v>
      </c>
      <c r="K584" s="9">
        <v>0</v>
      </c>
      <c r="L584" s="8">
        <v>1981</v>
      </c>
      <c r="M584" s="9">
        <v>6</v>
      </c>
      <c r="N584" s="9">
        <f t="shared" si="102"/>
        <v>1974</v>
      </c>
      <c r="O584" s="9">
        <f t="shared" si="103"/>
        <v>50</v>
      </c>
      <c r="P584" s="7">
        <f t="shared" si="98"/>
        <v>9.4307999999999996</v>
      </c>
      <c r="Q584" s="7">
        <f t="shared" si="99"/>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100"/>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35">
      <c r="A585">
        <v>584</v>
      </c>
      <c r="B585">
        <v>38</v>
      </c>
      <c r="C585" s="22" t="s">
        <v>314</v>
      </c>
      <c r="D585" s="11">
        <v>10</v>
      </c>
      <c r="E585" s="12">
        <v>0.8</v>
      </c>
      <c r="F585" s="7">
        <f t="shared" si="101"/>
        <v>12.5</v>
      </c>
      <c r="G585" s="8">
        <v>0</v>
      </c>
      <c r="H585" s="9">
        <v>0</v>
      </c>
      <c r="I585" s="9">
        <v>0</v>
      </c>
      <c r="J585" s="9">
        <v>1</v>
      </c>
      <c r="K585" s="9">
        <v>0</v>
      </c>
      <c r="L585" s="8">
        <v>3169</v>
      </c>
      <c r="M585" s="9">
        <v>6</v>
      </c>
      <c r="N585" s="9">
        <f t="shared" si="102"/>
        <v>3162</v>
      </c>
      <c r="O585" s="9">
        <f t="shared" si="103"/>
        <v>50</v>
      </c>
      <c r="P585" s="7">
        <f t="shared" si="98"/>
        <v>9.4307999999999996</v>
      </c>
      <c r="Q585" s="7">
        <f t="shared" si="99"/>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100"/>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35">
      <c r="A586">
        <v>585</v>
      </c>
      <c r="B586">
        <v>38</v>
      </c>
      <c r="C586" s="22" t="s">
        <v>314</v>
      </c>
      <c r="D586" s="11">
        <v>5.0999999999999996</v>
      </c>
      <c r="E586" s="12">
        <v>0.6</v>
      </c>
      <c r="F586" s="7">
        <f t="shared" si="101"/>
        <v>8.5</v>
      </c>
      <c r="G586" s="8">
        <v>0</v>
      </c>
      <c r="H586" s="9">
        <v>0</v>
      </c>
      <c r="I586" s="9">
        <v>0</v>
      </c>
      <c r="J586" s="9">
        <v>1</v>
      </c>
      <c r="K586" s="9">
        <v>0</v>
      </c>
      <c r="L586" s="8">
        <v>1981</v>
      </c>
      <c r="M586" s="9">
        <v>6</v>
      </c>
      <c r="N586" s="9">
        <f t="shared" si="102"/>
        <v>1974</v>
      </c>
      <c r="O586" s="9">
        <f t="shared" si="103"/>
        <v>50</v>
      </c>
      <c r="P586" s="7">
        <f t="shared" si="98"/>
        <v>9.4307999999999996</v>
      </c>
      <c r="Q586" s="7">
        <f t="shared" si="99"/>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100"/>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35">
      <c r="A587">
        <v>586</v>
      </c>
      <c r="B587">
        <v>38</v>
      </c>
      <c r="C587" s="22" t="s">
        <v>314</v>
      </c>
      <c r="D587" s="11">
        <v>8.1</v>
      </c>
      <c r="E587" s="12">
        <v>0.9</v>
      </c>
      <c r="F587" s="7">
        <f t="shared" si="101"/>
        <v>9</v>
      </c>
      <c r="G587" s="8">
        <v>0</v>
      </c>
      <c r="H587" s="9">
        <v>0</v>
      </c>
      <c r="I587" s="9">
        <v>0</v>
      </c>
      <c r="J587" s="9">
        <v>1</v>
      </c>
      <c r="K587" s="9">
        <v>0</v>
      </c>
      <c r="L587" s="8">
        <v>3169</v>
      </c>
      <c r="M587" s="9">
        <v>6</v>
      </c>
      <c r="N587" s="9">
        <f t="shared" si="102"/>
        <v>3162</v>
      </c>
      <c r="O587" s="9">
        <f t="shared" si="103"/>
        <v>50</v>
      </c>
      <c r="P587" s="7">
        <f t="shared" si="98"/>
        <v>9.4307999999999996</v>
      </c>
      <c r="Q587" s="7">
        <f t="shared" si="99"/>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100"/>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35">
      <c r="A588">
        <v>587</v>
      </c>
      <c r="B588">
        <v>38</v>
      </c>
      <c r="C588" s="22" t="s">
        <v>314</v>
      </c>
      <c r="D588" s="11">
        <v>3.6</v>
      </c>
      <c r="E588" s="12">
        <v>0.7</v>
      </c>
      <c r="F588" s="7">
        <f t="shared" si="101"/>
        <v>5.1428571428571432</v>
      </c>
      <c r="G588" s="8">
        <v>0</v>
      </c>
      <c r="H588" s="9">
        <v>0</v>
      </c>
      <c r="I588" s="9">
        <v>0</v>
      </c>
      <c r="J588" s="9">
        <v>1</v>
      </c>
      <c r="K588" s="9">
        <v>0</v>
      </c>
      <c r="L588" s="8">
        <v>1981</v>
      </c>
      <c r="M588" s="9">
        <v>6</v>
      </c>
      <c r="N588" s="9">
        <f t="shared" si="102"/>
        <v>1974</v>
      </c>
      <c r="O588" s="9">
        <f t="shared" si="103"/>
        <v>50</v>
      </c>
      <c r="P588" s="7">
        <f t="shared" si="98"/>
        <v>9.4307999999999996</v>
      </c>
      <c r="Q588" s="7">
        <f t="shared" si="99"/>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100"/>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35">
      <c r="A589">
        <v>588</v>
      </c>
      <c r="B589">
        <v>38</v>
      </c>
      <c r="C589" s="22" t="s">
        <v>314</v>
      </c>
      <c r="D589" s="11">
        <v>7.1</v>
      </c>
      <c r="E589" s="12">
        <v>0.9</v>
      </c>
      <c r="F589" s="7">
        <f t="shared" si="101"/>
        <v>7.8888888888888884</v>
      </c>
      <c r="G589" s="8">
        <v>0</v>
      </c>
      <c r="H589" s="9">
        <v>0</v>
      </c>
      <c r="I589" s="9">
        <v>0</v>
      </c>
      <c r="J589" s="9">
        <v>1</v>
      </c>
      <c r="K589" s="9">
        <v>0</v>
      </c>
      <c r="L589" s="8">
        <v>3169</v>
      </c>
      <c r="M589" s="9">
        <v>6</v>
      </c>
      <c r="N589" s="9">
        <f t="shared" si="102"/>
        <v>3162</v>
      </c>
      <c r="O589" s="9">
        <f t="shared" si="103"/>
        <v>50</v>
      </c>
      <c r="P589" s="7">
        <f t="shared" si="98"/>
        <v>9.4307999999999996</v>
      </c>
      <c r="Q589" s="7">
        <f t="shared" si="99"/>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100"/>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35">
      <c r="A590">
        <v>589</v>
      </c>
      <c r="B590">
        <v>38</v>
      </c>
      <c r="C590" s="22" t="s">
        <v>314</v>
      </c>
      <c r="D590" s="11">
        <v>2.6</v>
      </c>
      <c r="E590" s="12">
        <v>0.7</v>
      </c>
      <c r="F590" s="7">
        <f t="shared" si="101"/>
        <v>3.7142857142857149</v>
      </c>
      <c r="G590" s="8">
        <v>0</v>
      </c>
      <c r="H590" s="9">
        <v>0</v>
      </c>
      <c r="I590" s="9">
        <v>0</v>
      </c>
      <c r="J590" s="9">
        <v>1</v>
      </c>
      <c r="K590" s="9">
        <v>0</v>
      </c>
      <c r="L590" s="8">
        <v>1981</v>
      </c>
      <c r="M590" s="9">
        <v>6</v>
      </c>
      <c r="N590" s="9">
        <f t="shared" si="102"/>
        <v>1974</v>
      </c>
      <c r="O590" s="9">
        <f t="shared" si="103"/>
        <v>50</v>
      </c>
      <c r="P590" s="7">
        <f t="shared" si="98"/>
        <v>9.4307999999999996</v>
      </c>
      <c r="Q590" s="7">
        <f t="shared" si="99"/>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100"/>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35">
      <c r="A591">
        <v>590</v>
      </c>
      <c r="B591">
        <v>38</v>
      </c>
      <c r="C591" s="22" t="s">
        <v>314</v>
      </c>
      <c r="D591" s="11">
        <v>7.7</v>
      </c>
      <c r="E591" s="12">
        <v>1.3</v>
      </c>
      <c r="F591" s="7">
        <f t="shared" si="101"/>
        <v>5.9230769230769234</v>
      </c>
      <c r="G591" s="8">
        <v>0</v>
      </c>
      <c r="H591" s="9">
        <v>0</v>
      </c>
      <c r="I591" s="9">
        <v>0</v>
      </c>
      <c r="J591" s="9">
        <v>1</v>
      </c>
      <c r="K591" s="9">
        <v>0</v>
      </c>
      <c r="L591" s="8">
        <v>3169</v>
      </c>
      <c r="M591" s="9">
        <v>6</v>
      </c>
      <c r="N591" s="9">
        <f t="shared" si="102"/>
        <v>3162</v>
      </c>
      <c r="O591" s="9">
        <f t="shared" si="103"/>
        <v>50</v>
      </c>
      <c r="P591" s="7">
        <f t="shared" si="98"/>
        <v>9.4307999999999996</v>
      </c>
      <c r="Q591" s="7">
        <f t="shared" si="99"/>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100"/>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35">
      <c r="A592">
        <v>591</v>
      </c>
      <c r="B592">
        <v>38</v>
      </c>
      <c r="C592" s="22" t="s">
        <v>314</v>
      </c>
      <c r="D592" s="11">
        <v>5.7</v>
      </c>
      <c r="E592" s="12">
        <v>0.9</v>
      </c>
      <c r="F592" s="7">
        <f t="shared" si="101"/>
        <v>6.333333333333333</v>
      </c>
      <c r="G592" s="8">
        <v>0</v>
      </c>
      <c r="H592" s="9">
        <v>0</v>
      </c>
      <c r="I592" s="9">
        <v>0</v>
      </c>
      <c r="J592" s="9">
        <v>1</v>
      </c>
      <c r="K592" s="9">
        <v>0</v>
      </c>
      <c r="L592" s="8">
        <v>1981</v>
      </c>
      <c r="M592" s="9">
        <v>6</v>
      </c>
      <c r="N592" s="9">
        <f t="shared" si="102"/>
        <v>1974</v>
      </c>
      <c r="O592" s="9">
        <f t="shared" si="103"/>
        <v>50</v>
      </c>
      <c r="P592" s="7">
        <f t="shared" si="98"/>
        <v>9.4307999999999996</v>
      </c>
      <c r="Q592" s="7">
        <f t="shared" si="99"/>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100"/>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35">
      <c r="A593">
        <v>592</v>
      </c>
      <c r="B593">
        <v>38</v>
      </c>
      <c r="C593" s="22" t="s">
        <v>314</v>
      </c>
      <c r="D593" s="11">
        <v>6.4</v>
      </c>
      <c r="E593" s="12">
        <v>0.2</v>
      </c>
      <c r="F593" s="7">
        <f t="shared" si="101"/>
        <v>32</v>
      </c>
      <c r="G593" s="8">
        <v>0</v>
      </c>
      <c r="H593" s="9">
        <v>0</v>
      </c>
      <c r="I593" s="9">
        <v>0</v>
      </c>
      <c r="J593" s="9">
        <v>1</v>
      </c>
      <c r="K593" s="9">
        <v>0</v>
      </c>
      <c r="L593" s="8">
        <v>14424</v>
      </c>
      <c r="M593" s="9">
        <v>13</v>
      </c>
      <c r="N593" s="9">
        <f t="shared" si="102"/>
        <v>14410</v>
      </c>
      <c r="O593" s="9">
        <f t="shared" si="103"/>
        <v>50</v>
      </c>
      <c r="P593" s="7">
        <f t="shared" si="98"/>
        <v>9.4307999999999996</v>
      </c>
      <c r="Q593" s="7">
        <f t="shared" si="99"/>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100"/>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35">
      <c r="A594">
        <v>593</v>
      </c>
      <c r="B594">
        <v>38</v>
      </c>
      <c r="C594" s="22" t="s">
        <v>314</v>
      </c>
      <c r="D594" s="11">
        <v>20.5</v>
      </c>
      <c r="E594" s="12">
        <v>1.2</v>
      </c>
      <c r="F594" s="7">
        <f t="shared" si="101"/>
        <v>17.083333333333336</v>
      </c>
      <c r="G594" s="8">
        <v>0</v>
      </c>
      <c r="H594" s="9">
        <v>0</v>
      </c>
      <c r="I594" s="9">
        <v>0</v>
      </c>
      <c r="J594" s="9">
        <v>1</v>
      </c>
      <c r="K594" s="9">
        <v>0</v>
      </c>
      <c r="L594" s="8">
        <v>14424</v>
      </c>
      <c r="M594" s="9">
        <v>13</v>
      </c>
      <c r="N594" s="9">
        <f t="shared" si="102"/>
        <v>14410</v>
      </c>
      <c r="O594" s="9">
        <f t="shared" si="103"/>
        <v>50</v>
      </c>
      <c r="P594" s="7">
        <f t="shared" si="98"/>
        <v>9.4307999999999996</v>
      </c>
      <c r="Q594" s="7">
        <f t="shared" si="99"/>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100"/>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35">
      <c r="A595">
        <v>594</v>
      </c>
      <c r="B595">
        <v>38</v>
      </c>
      <c r="C595" s="22" t="s">
        <v>314</v>
      </c>
      <c r="D595" s="11">
        <v>9.5</v>
      </c>
      <c r="E595" s="12">
        <v>0.7</v>
      </c>
      <c r="F595" s="7">
        <f t="shared" si="101"/>
        <v>13.571428571428573</v>
      </c>
      <c r="G595" s="8">
        <v>0</v>
      </c>
      <c r="H595" s="9">
        <v>0</v>
      </c>
      <c r="I595" s="9">
        <v>0</v>
      </c>
      <c r="J595" s="9">
        <v>1</v>
      </c>
      <c r="K595" s="9">
        <v>0</v>
      </c>
      <c r="L595" s="8">
        <v>17907</v>
      </c>
      <c r="M595" s="9">
        <v>13</v>
      </c>
      <c r="N595" s="9">
        <f t="shared" si="102"/>
        <v>17893</v>
      </c>
      <c r="O595" s="9">
        <f t="shared" si="103"/>
        <v>50</v>
      </c>
      <c r="P595" s="7">
        <f t="shared" si="98"/>
        <v>9.4307999999999996</v>
      </c>
      <c r="Q595" s="7">
        <f t="shared" si="99"/>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100"/>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35">
      <c r="A596">
        <v>595</v>
      </c>
      <c r="B596">
        <v>38</v>
      </c>
      <c r="C596" s="22" t="s">
        <v>314</v>
      </c>
      <c r="D596" s="11">
        <v>6.4</v>
      </c>
      <c r="E596" s="12">
        <v>0.2</v>
      </c>
      <c r="F596" s="7">
        <f t="shared" si="101"/>
        <v>32</v>
      </c>
      <c r="G596" s="8">
        <v>0</v>
      </c>
      <c r="H596" s="9">
        <v>0</v>
      </c>
      <c r="I596" s="9">
        <v>0</v>
      </c>
      <c r="J596" s="9">
        <v>1</v>
      </c>
      <c r="K596" s="9">
        <v>0</v>
      </c>
      <c r="L596" s="8">
        <v>8284</v>
      </c>
      <c r="M596" s="9">
        <v>13</v>
      </c>
      <c r="N596" s="9">
        <f t="shared" si="102"/>
        <v>8270</v>
      </c>
      <c r="O596" s="9">
        <f t="shared" si="103"/>
        <v>50</v>
      </c>
      <c r="P596" s="7">
        <f t="shared" si="98"/>
        <v>9.4307999999999996</v>
      </c>
      <c r="Q596" s="7">
        <f t="shared" si="99"/>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100"/>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35">
      <c r="A597">
        <v>596</v>
      </c>
      <c r="B597">
        <v>38</v>
      </c>
      <c r="C597" s="22" t="s">
        <v>314</v>
      </c>
      <c r="D597" s="11">
        <v>20.9</v>
      </c>
      <c r="E597" s="12">
        <v>1.4</v>
      </c>
      <c r="F597" s="7">
        <f t="shared" si="101"/>
        <v>14.928571428571429</v>
      </c>
      <c r="G597" s="8">
        <v>0</v>
      </c>
      <c r="H597" s="9">
        <v>0</v>
      </c>
      <c r="I597" s="9">
        <v>0</v>
      </c>
      <c r="J597" s="9">
        <v>1</v>
      </c>
      <c r="K597" s="9">
        <v>0</v>
      </c>
      <c r="L597" s="8">
        <v>8284</v>
      </c>
      <c r="M597" s="9">
        <v>13</v>
      </c>
      <c r="N597" s="9">
        <f t="shared" si="102"/>
        <v>8270</v>
      </c>
      <c r="O597" s="9">
        <f t="shared" si="103"/>
        <v>50</v>
      </c>
      <c r="P597" s="7">
        <f t="shared" si="98"/>
        <v>9.4307999999999996</v>
      </c>
      <c r="Q597" s="7">
        <f t="shared" ref="Q597:Q614" si="10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100"/>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35">
      <c r="A598">
        <v>597</v>
      </c>
      <c r="B598">
        <v>38</v>
      </c>
      <c r="C598" s="22" t="s">
        <v>314</v>
      </c>
      <c r="D598" s="11">
        <v>7.5</v>
      </c>
      <c r="E598" s="12">
        <v>0.5</v>
      </c>
      <c r="F598" s="7">
        <f t="shared" si="101"/>
        <v>15</v>
      </c>
      <c r="G598" s="8">
        <v>0</v>
      </c>
      <c r="H598" s="9">
        <v>0</v>
      </c>
      <c r="I598" s="9">
        <v>0</v>
      </c>
      <c r="J598" s="9">
        <v>1</v>
      </c>
      <c r="K598" s="9">
        <v>0</v>
      </c>
      <c r="L598" s="8">
        <v>3169</v>
      </c>
      <c r="M598" s="9">
        <v>13</v>
      </c>
      <c r="N598" s="9">
        <f t="shared" si="102"/>
        <v>3155</v>
      </c>
      <c r="O598" s="9">
        <f t="shared" si="103"/>
        <v>50</v>
      </c>
      <c r="P598" s="7">
        <f t="shared" si="98"/>
        <v>9.4307999999999996</v>
      </c>
      <c r="Q598" s="7">
        <f t="shared" si="10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100"/>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35">
      <c r="A599">
        <v>598</v>
      </c>
      <c r="B599">
        <v>38</v>
      </c>
      <c r="C599" s="22" t="s">
        <v>314</v>
      </c>
      <c r="D599" s="11">
        <v>20.3</v>
      </c>
      <c r="E599" s="12">
        <v>2.9</v>
      </c>
      <c r="F599" s="7">
        <f t="shared" si="101"/>
        <v>7.0000000000000009</v>
      </c>
      <c r="G599" s="8">
        <v>0</v>
      </c>
      <c r="H599" s="9">
        <v>0</v>
      </c>
      <c r="I599" s="9">
        <v>0</v>
      </c>
      <c r="J599" s="9">
        <v>1</v>
      </c>
      <c r="K599" s="9">
        <v>0</v>
      </c>
      <c r="L599" s="8">
        <v>3161</v>
      </c>
      <c r="M599" s="9">
        <v>13</v>
      </c>
      <c r="N599" s="9">
        <f t="shared" si="102"/>
        <v>3147</v>
      </c>
      <c r="O599" s="9">
        <f t="shared" si="103"/>
        <v>50</v>
      </c>
      <c r="P599" s="7">
        <f t="shared" si="98"/>
        <v>9.4307999999999996</v>
      </c>
      <c r="Q599" s="7">
        <f t="shared" si="10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100"/>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35">
      <c r="A600">
        <v>599</v>
      </c>
      <c r="B600">
        <v>38</v>
      </c>
      <c r="C600" s="22" t="s">
        <v>314</v>
      </c>
      <c r="D600" s="11">
        <v>8.4</v>
      </c>
      <c r="E600" s="12">
        <v>3</v>
      </c>
      <c r="F600" s="7">
        <f t="shared" si="101"/>
        <v>2.8000000000000003</v>
      </c>
      <c r="G600" s="8">
        <v>0</v>
      </c>
      <c r="H600" s="9">
        <v>0</v>
      </c>
      <c r="I600" s="9">
        <v>0</v>
      </c>
      <c r="J600" s="9">
        <v>1</v>
      </c>
      <c r="K600" s="9">
        <v>0</v>
      </c>
      <c r="L600" s="8">
        <v>2486</v>
      </c>
      <c r="M600" s="9">
        <v>13</v>
      </c>
      <c r="N600" s="9">
        <f t="shared" si="102"/>
        <v>2472</v>
      </c>
      <c r="O600" s="9">
        <f t="shared" si="103"/>
        <v>50</v>
      </c>
      <c r="P600" s="7">
        <f t="shared" si="98"/>
        <v>9.4307999999999996</v>
      </c>
      <c r="Q600" s="7">
        <f t="shared" si="10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100"/>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35">
      <c r="A601">
        <v>600</v>
      </c>
      <c r="B601">
        <v>38</v>
      </c>
      <c r="C601" s="22" t="s">
        <v>314</v>
      </c>
      <c r="D601" s="11">
        <v>6.1</v>
      </c>
      <c r="E601" s="12">
        <v>0.6</v>
      </c>
      <c r="F601" s="7">
        <f t="shared" si="101"/>
        <v>10.166666666666666</v>
      </c>
      <c r="G601" s="8">
        <v>0</v>
      </c>
      <c r="H601" s="9">
        <v>0</v>
      </c>
      <c r="I601" s="9">
        <v>0</v>
      </c>
      <c r="J601" s="9">
        <v>1</v>
      </c>
      <c r="K601" s="9">
        <v>0</v>
      </c>
      <c r="L601" s="8">
        <v>3169</v>
      </c>
      <c r="M601" s="9">
        <v>13</v>
      </c>
      <c r="N601" s="9">
        <f t="shared" si="102"/>
        <v>3155</v>
      </c>
      <c r="O601" s="9">
        <f t="shared" si="103"/>
        <v>50</v>
      </c>
      <c r="P601" s="7">
        <f t="shared" si="98"/>
        <v>9.4307999999999996</v>
      </c>
      <c r="Q601" s="7">
        <f t="shared" si="10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100"/>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35">
      <c r="A602">
        <v>601</v>
      </c>
      <c r="B602">
        <v>38</v>
      </c>
      <c r="C602" s="22" t="s">
        <v>314</v>
      </c>
      <c r="D602" s="11">
        <v>19.100000000000001</v>
      </c>
      <c r="E602" s="12">
        <v>3.1</v>
      </c>
      <c r="F602" s="7">
        <f t="shared" si="101"/>
        <v>6.161290322580645</v>
      </c>
      <c r="G602" s="8">
        <v>0</v>
      </c>
      <c r="H602" s="9">
        <v>0</v>
      </c>
      <c r="I602" s="9">
        <v>0</v>
      </c>
      <c r="J602" s="9">
        <v>1</v>
      </c>
      <c r="K602" s="9">
        <v>0</v>
      </c>
      <c r="L602" s="8">
        <v>2311</v>
      </c>
      <c r="M602" s="9">
        <v>13</v>
      </c>
      <c r="N602" s="9">
        <f t="shared" si="102"/>
        <v>2297</v>
      </c>
      <c r="O602" s="9">
        <f t="shared" si="103"/>
        <v>50</v>
      </c>
      <c r="P602" s="7">
        <f t="shared" si="98"/>
        <v>9.4307999999999996</v>
      </c>
      <c r="Q602" s="7">
        <f t="shared" si="10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100"/>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35">
      <c r="A603">
        <v>602</v>
      </c>
      <c r="B603">
        <v>38</v>
      </c>
      <c r="C603" s="22" t="s">
        <v>314</v>
      </c>
      <c r="D603" s="11">
        <v>8</v>
      </c>
      <c r="E603" s="12">
        <v>3.3</v>
      </c>
      <c r="F603" s="7">
        <f t="shared" si="101"/>
        <v>2.4242424242424243</v>
      </c>
      <c r="G603" s="8">
        <v>0</v>
      </c>
      <c r="H603" s="9">
        <v>0</v>
      </c>
      <c r="I603" s="9">
        <v>0</v>
      </c>
      <c r="J603" s="9">
        <v>1</v>
      </c>
      <c r="K603" s="9">
        <v>0</v>
      </c>
      <c r="L603" s="8">
        <v>1972</v>
      </c>
      <c r="M603" s="9">
        <v>13</v>
      </c>
      <c r="N603" s="9">
        <f t="shared" si="102"/>
        <v>1958</v>
      </c>
      <c r="O603" s="9">
        <f t="shared" si="103"/>
        <v>50</v>
      </c>
      <c r="P603" s="7">
        <f t="shared" si="98"/>
        <v>9.4307999999999996</v>
      </c>
      <c r="Q603" s="7">
        <f t="shared" si="10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100"/>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35">
      <c r="A604">
        <v>603</v>
      </c>
      <c r="B604">
        <v>38</v>
      </c>
      <c r="C604" s="22" t="s">
        <v>314</v>
      </c>
      <c r="D604" s="11">
        <v>9.1999999999999993</v>
      </c>
      <c r="E604" s="12">
        <v>0.2</v>
      </c>
      <c r="F604" s="7">
        <f t="shared" si="101"/>
        <v>45.999999999999993</v>
      </c>
      <c r="G604" s="8">
        <v>0</v>
      </c>
      <c r="H604" s="9">
        <v>0</v>
      </c>
      <c r="I604" s="9">
        <v>0</v>
      </c>
      <c r="J604" s="9">
        <v>1</v>
      </c>
      <c r="K604" s="9">
        <v>0</v>
      </c>
      <c r="L604" s="8">
        <v>11759</v>
      </c>
      <c r="M604" s="9">
        <v>13</v>
      </c>
      <c r="N604" s="9">
        <f t="shared" si="102"/>
        <v>11745</v>
      </c>
      <c r="O604" s="9">
        <f t="shared" si="103"/>
        <v>50</v>
      </c>
      <c r="P604" s="7">
        <f t="shared" si="98"/>
        <v>9.4307999999999996</v>
      </c>
      <c r="Q604" s="7">
        <f t="shared" si="10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100"/>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35">
      <c r="A605">
        <v>604</v>
      </c>
      <c r="B605">
        <v>38</v>
      </c>
      <c r="C605" s="22" t="s">
        <v>314</v>
      </c>
      <c r="D605" s="11">
        <v>16.3</v>
      </c>
      <c r="E605" s="12">
        <v>1.1000000000000001</v>
      </c>
      <c r="F605" s="7">
        <f t="shared" si="101"/>
        <v>14.818181818181818</v>
      </c>
      <c r="G605" s="8">
        <v>0</v>
      </c>
      <c r="H605" s="9">
        <v>0</v>
      </c>
      <c r="I605" s="9">
        <v>0</v>
      </c>
      <c r="J605" s="9">
        <v>1</v>
      </c>
      <c r="K605" s="9">
        <v>0</v>
      </c>
      <c r="L605" s="8">
        <v>11759</v>
      </c>
      <c r="M605" s="9">
        <v>13</v>
      </c>
      <c r="N605" s="9">
        <f t="shared" si="102"/>
        <v>11745</v>
      </c>
      <c r="O605" s="9">
        <f t="shared" si="103"/>
        <v>50</v>
      </c>
      <c r="P605" s="7">
        <f t="shared" si="98"/>
        <v>9.4307999999999996</v>
      </c>
      <c r="Q605" s="7">
        <f t="shared" si="10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100"/>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35">
      <c r="A606">
        <v>605</v>
      </c>
      <c r="B606">
        <v>38</v>
      </c>
      <c r="C606" s="22" t="s">
        <v>314</v>
      </c>
      <c r="D606" s="11">
        <v>12.6</v>
      </c>
      <c r="E606" s="12">
        <v>0.8</v>
      </c>
      <c r="F606" s="7">
        <f t="shared" si="101"/>
        <v>15.749999999999998</v>
      </c>
      <c r="G606" s="8">
        <v>0</v>
      </c>
      <c r="H606" s="9">
        <v>0</v>
      </c>
      <c r="I606" s="9">
        <v>0</v>
      </c>
      <c r="J606" s="9">
        <v>1</v>
      </c>
      <c r="K606" s="9">
        <v>0</v>
      </c>
      <c r="L606" s="8">
        <v>17047</v>
      </c>
      <c r="M606" s="9">
        <v>13</v>
      </c>
      <c r="N606" s="9">
        <f t="shared" si="102"/>
        <v>17033</v>
      </c>
      <c r="O606" s="9">
        <f t="shared" si="103"/>
        <v>50</v>
      </c>
      <c r="P606" s="7">
        <f t="shared" si="98"/>
        <v>9.4307999999999996</v>
      </c>
      <c r="Q606" s="7">
        <f t="shared" si="10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100"/>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35">
      <c r="A607">
        <v>606</v>
      </c>
      <c r="B607">
        <v>38</v>
      </c>
      <c r="C607" s="22" t="s">
        <v>314</v>
      </c>
      <c r="D607" s="11">
        <v>10.3</v>
      </c>
      <c r="E607" s="12">
        <v>0.2</v>
      </c>
      <c r="F607" s="7">
        <f t="shared" si="101"/>
        <v>51.5</v>
      </c>
      <c r="G607" s="8">
        <v>0</v>
      </c>
      <c r="H607" s="9">
        <v>0</v>
      </c>
      <c r="I607" s="9">
        <v>0</v>
      </c>
      <c r="J607" s="9">
        <v>1</v>
      </c>
      <c r="K607" s="9">
        <v>0</v>
      </c>
      <c r="L607" s="8">
        <v>8987</v>
      </c>
      <c r="M607" s="9">
        <v>13</v>
      </c>
      <c r="N607" s="9">
        <f t="shared" si="102"/>
        <v>8973</v>
      </c>
      <c r="O607" s="9">
        <f t="shared" si="103"/>
        <v>50</v>
      </c>
      <c r="P607" s="7">
        <f t="shared" si="98"/>
        <v>9.4307999999999996</v>
      </c>
      <c r="Q607" s="7">
        <f t="shared" si="10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100"/>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35">
      <c r="A608">
        <v>607</v>
      </c>
      <c r="B608">
        <v>38</v>
      </c>
      <c r="C608" s="22" t="s">
        <v>314</v>
      </c>
      <c r="D608" s="11">
        <v>16.8</v>
      </c>
      <c r="E608" s="12">
        <v>1.1000000000000001</v>
      </c>
      <c r="F608" s="7">
        <f t="shared" ref="F608:F639" si="105">D608/E608</f>
        <v>15.272727272727272</v>
      </c>
      <c r="G608" s="8">
        <v>0</v>
      </c>
      <c r="H608" s="9">
        <v>0</v>
      </c>
      <c r="I608" s="9">
        <v>0</v>
      </c>
      <c r="J608" s="9">
        <v>1</v>
      </c>
      <c r="K608" s="9">
        <v>0</v>
      </c>
      <c r="L608" s="8">
        <v>8987</v>
      </c>
      <c r="M608" s="9">
        <v>13</v>
      </c>
      <c r="N608" s="9">
        <f t="shared" si="102"/>
        <v>8973</v>
      </c>
      <c r="O608" s="9">
        <f t="shared" si="103"/>
        <v>50</v>
      </c>
      <c r="P608" s="7">
        <f t="shared" si="98"/>
        <v>9.4307999999999996</v>
      </c>
      <c r="Q608" s="7">
        <f t="shared" si="10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100"/>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35">
      <c r="A609">
        <v>608</v>
      </c>
      <c r="B609">
        <v>38</v>
      </c>
      <c r="C609" s="22" t="s">
        <v>314</v>
      </c>
      <c r="D609" s="11">
        <v>12</v>
      </c>
      <c r="E609" s="12">
        <v>0.6</v>
      </c>
      <c r="F609" s="7">
        <f t="shared" si="105"/>
        <v>20</v>
      </c>
      <c r="G609" s="8">
        <v>0</v>
      </c>
      <c r="H609" s="9">
        <v>0</v>
      </c>
      <c r="I609" s="9">
        <v>0</v>
      </c>
      <c r="J609" s="9">
        <v>1</v>
      </c>
      <c r="K609" s="9">
        <v>0</v>
      </c>
      <c r="L609" s="8">
        <v>2319</v>
      </c>
      <c r="M609" s="9">
        <v>13</v>
      </c>
      <c r="N609" s="9">
        <f t="shared" si="102"/>
        <v>2305</v>
      </c>
      <c r="O609" s="9">
        <f t="shared" si="103"/>
        <v>50</v>
      </c>
      <c r="P609" s="7">
        <f t="shared" si="98"/>
        <v>9.4307999999999996</v>
      </c>
      <c r="Q609" s="7">
        <f t="shared" si="10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100"/>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35">
      <c r="A610">
        <v>609</v>
      </c>
      <c r="B610">
        <v>38</v>
      </c>
      <c r="C610" s="22" t="s">
        <v>314</v>
      </c>
      <c r="D610" s="11">
        <v>24.1</v>
      </c>
      <c r="E610" s="12">
        <v>3</v>
      </c>
      <c r="F610" s="7">
        <f t="shared" si="105"/>
        <v>8.0333333333333332</v>
      </c>
      <c r="G610" s="8">
        <v>0</v>
      </c>
      <c r="H610" s="9">
        <v>0</v>
      </c>
      <c r="I610" s="9">
        <v>0</v>
      </c>
      <c r="J610" s="9">
        <v>1</v>
      </c>
      <c r="K610" s="9">
        <v>0</v>
      </c>
      <c r="L610" s="8">
        <v>2736</v>
      </c>
      <c r="M610" s="9">
        <v>13</v>
      </c>
      <c r="N610" s="9">
        <f t="shared" si="102"/>
        <v>2722</v>
      </c>
      <c r="O610" s="9">
        <f t="shared" si="103"/>
        <v>50</v>
      </c>
      <c r="P610" s="7">
        <f t="shared" si="98"/>
        <v>9.4307999999999996</v>
      </c>
      <c r="Q610" s="7">
        <f t="shared" si="10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100"/>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35">
      <c r="A611">
        <v>610</v>
      </c>
      <c r="B611">
        <v>38</v>
      </c>
      <c r="C611" s="22" t="s">
        <v>314</v>
      </c>
      <c r="D611" s="11">
        <v>21.9</v>
      </c>
      <c r="E611" s="12">
        <v>2.5</v>
      </c>
      <c r="F611" s="7">
        <f t="shared" si="105"/>
        <v>8.76</v>
      </c>
      <c r="G611" s="8">
        <v>0</v>
      </c>
      <c r="H611" s="9">
        <v>0</v>
      </c>
      <c r="I611" s="9">
        <v>0</v>
      </c>
      <c r="J611" s="9">
        <v>1</v>
      </c>
      <c r="K611" s="9">
        <v>0</v>
      </c>
      <c r="L611" s="8">
        <v>2150</v>
      </c>
      <c r="M611" s="9">
        <v>13</v>
      </c>
      <c r="N611" s="9">
        <f t="shared" si="102"/>
        <v>2136</v>
      </c>
      <c r="O611" s="9">
        <f t="shared" si="103"/>
        <v>50</v>
      </c>
      <c r="P611" s="7">
        <f t="shared" si="98"/>
        <v>9.4307999999999996</v>
      </c>
      <c r="Q611" s="7">
        <f t="shared" si="10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100"/>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35">
      <c r="A612">
        <v>611</v>
      </c>
      <c r="B612">
        <v>38</v>
      </c>
      <c r="C612" s="22" t="s">
        <v>314</v>
      </c>
      <c r="D612" s="11">
        <v>10.7</v>
      </c>
      <c r="E612" s="12">
        <v>0.7</v>
      </c>
      <c r="F612" s="7">
        <f t="shared" si="105"/>
        <v>15.285714285714286</v>
      </c>
      <c r="G612" s="8">
        <v>0</v>
      </c>
      <c r="H612" s="9">
        <v>0</v>
      </c>
      <c r="I612" s="9">
        <v>0</v>
      </c>
      <c r="J612" s="9">
        <v>1</v>
      </c>
      <c r="K612" s="9">
        <v>0</v>
      </c>
      <c r="L612" s="8">
        <v>1981</v>
      </c>
      <c r="M612" s="9">
        <v>13</v>
      </c>
      <c r="N612" s="9">
        <f t="shared" si="102"/>
        <v>1967</v>
      </c>
      <c r="O612" s="9">
        <f t="shared" si="103"/>
        <v>50</v>
      </c>
      <c r="P612" s="7">
        <f t="shared" si="98"/>
        <v>9.4307999999999996</v>
      </c>
      <c r="Q612" s="7">
        <f t="shared" si="10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100"/>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35">
      <c r="A613">
        <v>612</v>
      </c>
      <c r="B613">
        <v>38</v>
      </c>
      <c r="C613" s="22" t="s">
        <v>314</v>
      </c>
      <c r="D613" s="11">
        <v>21.5</v>
      </c>
      <c r="E613" s="12">
        <v>4.3</v>
      </c>
      <c r="F613" s="7">
        <f t="shared" si="105"/>
        <v>5</v>
      </c>
      <c r="G613" s="8">
        <v>0</v>
      </c>
      <c r="H613" s="9">
        <v>0</v>
      </c>
      <c r="I613" s="9">
        <v>0</v>
      </c>
      <c r="J613" s="9">
        <v>1</v>
      </c>
      <c r="K613" s="9">
        <v>0</v>
      </c>
      <c r="L613" s="8">
        <v>1978</v>
      </c>
      <c r="M613" s="9">
        <v>13</v>
      </c>
      <c r="N613" s="9">
        <f t="shared" si="102"/>
        <v>1964</v>
      </c>
      <c r="O613" s="9">
        <f t="shared" si="103"/>
        <v>50</v>
      </c>
      <c r="P613" s="7">
        <f t="shared" si="98"/>
        <v>9.4307999999999996</v>
      </c>
      <c r="Q613" s="7">
        <f t="shared" si="10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100"/>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35">
      <c r="A614" s="127">
        <v>613</v>
      </c>
      <c r="B614" s="127">
        <v>38</v>
      </c>
      <c r="C614" s="128" t="s">
        <v>314</v>
      </c>
      <c r="D614" s="129">
        <v>20.7</v>
      </c>
      <c r="E614" s="130">
        <v>3.2</v>
      </c>
      <c r="F614" s="131">
        <f t="shared" si="105"/>
        <v>6.4687499999999991</v>
      </c>
      <c r="G614" s="133">
        <v>0</v>
      </c>
      <c r="H614" s="134">
        <v>0</v>
      </c>
      <c r="I614" s="134">
        <v>0</v>
      </c>
      <c r="J614" s="134">
        <v>1</v>
      </c>
      <c r="K614" s="134">
        <v>0</v>
      </c>
      <c r="L614" s="133">
        <v>1692</v>
      </c>
      <c r="M614" s="134">
        <v>13</v>
      </c>
      <c r="N614" s="134">
        <f t="shared" si="102"/>
        <v>1678</v>
      </c>
      <c r="O614" s="134">
        <f t="shared" si="103"/>
        <v>50</v>
      </c>
      <c r="P614" s="131">
        <f t="shared" si="98"/>
        <v>9.4307999999999996</v>
      </c>
      <c r="Q614" s="131">
        <f t="shared" si="10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100"/>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35">
      <c r="A615">
        <v>614</v>
      </c>
      <c r="B615">
        <v>39</v>
      </c>
      <c r="C615" s="22" t="s">
        <v>316</v>
      </c>
      <c r="D615" s="11">
        <v>5.6</v>
      </c>
      <c r="E615" s="12">
        <v>0.08</v>
      </c>
      <c r="F615" s="7">
        <f t="shared" si="105"/>
        <v>70</v>
      </c>
      <c r="G615" s="8">
        <v>0</v>
      </c>
      <c r="H615" s="9">
        <v>0</v>
      </c>
      <c r="I615" s="9">
        <v>1</v>
      </c>
      <c r="J615" s="9">
        <v>0</v>
      </c>
      <c r="K615" s="9">
        <v>0</v>
      </c>
      <c r="L615" s="8">
        <v>19234</v>
      </c>
      <c r="M615" s="9">
        <v>8</v>
      </c>
      <c r="N615" s="9">
        <f t="shared" si="102"/>
        <v>19225</v>
      </c>
      <c r="O615" s="9">
        <f t="shared" si="103"/>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10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10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35">
      <c r="A616">
        <v>615</v>
      </c>
      <c r="B616">
        <v>39</v>
      </c>
      <c r="C616" s="22" t="s">
        <v>316</v>
      </c>
      <c r="D616" s="11">
        <v>6.8</v>
      </c>
      <c r="E616" s="12">
        <v>0.18</v>
      </c>
      <c r="F616" s="7">
        <f t="shared" si="105"/>
        <v>37.777777777777779</v>
      </c>
      <c r="G616" s="8">
        <v>0</v>
      </c>
      <c r="H616" s="9">
        <v>0</v>
      </c>
      <c r="I616" s="9">
        <v>1</v>
      </c>
      <c r="J616" s="9">
        <v>0</v>
      </c>
      <c r="K616" s="9">
        <v>0</v>
      </c>
      <c r="L616" s="8">
        <v>18623</v>
      </c>
      <c r="M616" s="9">
        <v>8</v>
      </c>
      <c r="N616" s="9">
        <f t="shared" si="102"/>
        <v>18614</v>
      </c>
      <c r="O616" s="9">
        <f t="shared" si="103"/>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10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10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35">
      <c r="A617">
        <v>616</v>
      </c>
      <c r="B617">
        <v>39</v>
      </c>
      <c r="C617" s="22" t="s">
        <v>316</v>
      </c>
      <c r="D617" s="11">
        <v>4.54</v>
      </c>
      <c r="E617" s="12">
        <v>0.45</v>
      </c>
      <c r="F617" s="7">
        <f t="shared" si="105"/>
        <v>10.088888888888889</v>
      </c>
      <c r="G617" s="8">
        <v>0</v>
      </c>
      <c r="H617" s="9">
        <v>0</v>
      </c>
      <c r="I617" s="9">
        <v>1</v>
      </c>
      <c r="J617" s="9">
        <v>0</v>
      </c>
      <c r="K617" s="9">
        <v>0</v>
      </c>
      <c r="L617" s="8">
        <v>947</v>
      </c>
      <c r="M617" s="9">
        <v>8</v>
      </c>
      <c r="N617" s="9">
        <f t="shared" si="102"/>
        <v>938</v>
      </c>
      <c r="O617" s="9">
        <f t="shared" si="103"/>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10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10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35">
      <c r="A618">
        <v>617</v>
      </c>
      <c r="B618">
        <v>39</v>
      </c>
      <c r="C618" s="22" t="s">
        <v>316</v>
      </c>
      <c r="D618" s="11">
        <v>7.51</v>
      </c>
      <c r="E618" s="12">
        <v>1.1399999999999999</v>
      </c>
      <c r="F618" s="7">
        <f t="shared" si="105"/>
        <v>6.5877192982456148</v>
      </c>
      <c r="G618" s="8">
        <v>0</v>
      </c>
      <c r="H618" s="9">
        <v>0</v>
      </c>
      <c r="I618" s="9">
        <v>1</v>
      </c>
      <c r="J618" s="9">
        <v>0</v>
      </c>
      <c r="K618" s="9">
        <v>0</v>
      </c>
      <c r="L618" s="8">
        <v>918</v>
      </c>
      <c r="M618" s="9">
        <v>8</v>
      </c>
      <c r="N618" s="9">
        <f t="shared" si="102"/>
        <v>909</v>
      </c>
      <c r="O618" s="9">
        <f t="shared" si="103"/>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10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10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35">
      <c r="A619">
        <v>618</v>
      </c>
      <c r="B619">
        <v>39</v>
      </c>
      <c r="C619" s="22" t="s">
        <v>316</v>
      </c>
      <c r="D619" s="11">
        <v>3.05</v>
      </c>
      <c r="E619" s="12">
        <v>3.6</v>
      </c>
      <c r="F619" s="7">
        <f t="shared" si="105"/>
        <v>0.8472222222222221</v>
      </c>
      <c r="G619" s="8">
        <v>0</v>
      </c>
      <c r="H619" s="9">
        <v>0</v>
      </c>
      <c r="I619" s="9">
        <v>1</v>
      </c>
      <c r="J619" s="9">
        <v>0</v>
      </c>
      <c r="K619" s="9">
        <v>0</v>
      </c>
      <c r="L619" s="8">
        <v>1299</v>
      </c>
      <c r="M619" s="9">
        <v>8</v>
      </c>
      <c r="N619" s="9">
        <f t="shared" si="102"/>
        <v>1290</v>
      </c>
      <c r="O619" s="9">
        <f t="shared" si="103"/>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10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10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35">
      <c r="A620">
        <v>619</v>
      </c>
      <c r="B620">
        <v>39</v>
      </c>
      <c r="C620" s="22" t="s">
        <v>316</v>
      </c>
      <c r="D620" s="11">
        <v>5.65</v>
      </c>
      <c r="E620" s="12">
        <v>1.1000000000000001</v>
      </c>
      <c r="F620" s="7">
        <f t="shared" si="105"/>
        <v>5.1363636363636367</v>
      </c>
      <c r="G620" s="8">
        <v>0</v>
      </c>
      <c r="H620" s="9">
        <v>0</v>
      </c>
      <c r="I620" s="9">
        <v>1</v>
      </c>
      <c r="J620" s="9">
        <v>0</v>
      </c>
      <c r="K620" s="9">
        <v>0</v>
      </c>
      <c r="L620" s="8">
        <v>1246</v>
      </c>
      <c r="M620" s="9">
        <v>8</v>
      </c>
      <c r="N620" s="9">
        <f t="shared" si="102"/>
        <v>1237</v>
      </c>
      <c r="O620" s="9">
        <f t="shared" si="103"/>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10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10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35">
      <c r="A621">
        <v>620</v>
      </c>
      <c r="B621">
        <v>39</v>
      </c>
      <c r="C621" s="22" t="s">
        <v>316</v>
      </c>
      <c r="D621" s="11">
        <v>4.4000000000000004</v>
      </c>
      <c r="E621" s="12">
        <v>0.37</v>
      </c>
      <c r="F621" s="7">
        <f t="shared" si="105"/>
        <v>11.891891891891893</v>
      </c>
      <c r="G621" s="8">
        <v>0</v>
      </c>
      <c r="H621" s="9">
        <v>0</v>
      </c>
      <c r="I621" s="9">
        <v>1</v>
      </c>
      <c r="J621" s="9">
        <v>0</v>
      </c>
      <c r="K621" s="9">
        <v>0</v>
      </c>
      <c r="L621" s="8">
        <v>1396</v>
      </c>
      <c r="M621" s="9">
        <v>8</v>
      </c>
      <c r="N621" s="9">
        <f t="shared" si="102"/>
        <v>1387</v>
      </c>
      <c r="O621" s="9">
        <f t="shared" si="103"/>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10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35">
      <c r="A622">
        <v>621</v>
      </c>
      <c r="B622">
        <v>39</v>
      </c>
      <c r="C622" s="22" t="s">
        <v>316</v>
      </c>
      <c r="D622" s="11">
        <v>8.39</v>
      </c>
      <c r="E622" s="12">
        <v>1.0900000000000001</v>
      </c>
      <c r="F622" s="7">
        <f t="shared" si="105"/>
        <v>7.6972477064220186</v>
      </c>
      <c r="G622" s="8">
        <v>0</v>
      </c>
      <c r="H622" s="9">
        <v>0</v>
      </c>
      <c r="I622" s="9">
        <v>1</v>
      </c>
      <c r="J622" s="9">
        <v>0</v>
      </c>
      <c r="K622" s="9">
        <v>0</v>
      </c>
      <c r="L622" s="8">
        <v>1353</v>
      </c>
      <c r="M622" s="9">
        <v>8</v>
      </c>
      <c r="N622" s="9">
        <f t="shared" si="102"/>
        <v>1344</v>
      </c>
      <c r="O622" s="9">
        <f t="shared" si="103"/>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10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35">
      <c r="A623">
        <v>622</v>
      </c>
      <c r="B623">
        <v>39</v>
      </c>
      <c r="C623" s="22" t="s">
        <v>316</v>
      </c>
      <c r="D623" s="11">
        <v>2.58</v>
      </c>
      <c r="E623" s="12">
        <v>0.39</v>
      </c>
      <c r="F623" s="7">
        <f t="shared" si="105"/>
        <v>6.615384615384615</v>
      </c>
      <c r="G623" s="8">
        <v>0</v>
      </c>
      <c r="H623" s="9">
        <v>0</v>
      </c>
      <c r="I623" s="9">
        <v>1</v>
      </c>
      <c r="J623" s="9">
        <v>0</v>
      </c>
      <c r="K623" s="9">
        <v>0</v>
      </c>
      <c r="L623" s="8">
        <v>900</v>
      </c>
      <c r="M623" s="9">
        <v>8</v>
      </c>
      <c r="N623" s="9">
        <f t="shared" si="102"/>
        <v>891</v>
      </c>
      <c r="O623" s="9">
        <f t="shared" si="103"/>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10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35">
      <c r="A624" s="127">
        <v>623</v>
      </c>
      <c r="B624" s="127">
        <v>39</v>
      </c>
      <c r="C624" s="128" t="s">
        <v>316</v>
      </c>
      <c r="D624" s="129">
        <v>3.13</v>
      </c>
      <c r="E624" s="130">
        <v>1.03</v>
      </c>
      <c r="F624" s="131">
        <f t="shared" si="105"/>
        <v>3.0388349514563107</v>
      </c>
      <c r="G624" s="133">
        <v>0</v>
      </c>
      <c r="H624" s="134">
        <v>0</v>
      </c>
      <c r="I624" s="134">
        <v>1</v>
      </c>
      <c r="J624" s="134">
        <v>0</v>
      </c>
      <c r="K624" s="134">
        <v>0</v>
      </c>
      <c r="L624" s="133">
        <v>859</v>
      </c>
      <c r="M624" s="134">
        <v>8</v>
      </c>
      <c r="N624" s="134">
        <f t="shared" si="102"/>
        <v>850</v>
      </c>
      <c r="O624" s="134">
        <f t="shared" si="103"/>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10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35">
      <c r="A625">
        <v>624</v>
      </c>
      <c r="B625">
        <v>40</v>
      </c>
      <c r="C625" s="22" t="s">
        <v>319</v>
      </c>
      <c r="D625" s="11">
        <v>8.6</v>
      </c>
      <c r="E625" s="12">
        <v>0.3</v>
      </c>
      <c r="F625" s="7">
        <f t="shared" si="105"/>
        <v>28.666666666666668</v>
      </c>
      <c r="G625" s="8">
        <v>0</v>
      </c>
      <c r="H625" s="9">
        <v>0</v>
      </c>
      <c r="I625" s="9">
        <v>1</v>
      </c>
      <c r="J625" s="9">
        <v>0</v>
      </c>
      <c r="K625" s="9">
        <v>0</v>
      </c>
      <c r="L625" s="8">
        <v>8270</v>
      </c>
      <c r="M625" s="9">
        <v>4</v>
      </c>
      <c r="N625" s="9">
        <f t="shared" si="102"/>
        <v>8265</v>
      </c>
      <c r="O625" s="9">
        <f t="shared" si="103"/>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10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10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35">
      <c r="A626">
        <v>625</v>
      </c>
      <c r="B626">
        <v>40</v>
      </c>
      <c r="C626" s="22" t="s">
        <v>319</v>
      </c>
      <c r="D626" s="11">
        <v>8.3000000000000007</v>
      </c>
      <c r="E626" s="12">
        <v>0.2</v>
      </c>
      <c r="F626" s="7">
        <f t="shared" si="105"/>
        <v>41.5</v>
      </c>
      <c r="G626" s="8">
        <v>0</v>
      </c>
      <c r="H626" s="9">
        <v>0</v>
      </c>
      <c r="I626" s="9">
        <v>1</v>
      </c>
      <c r="J626" s="9">
        <v>0</v>
      </c>
      <c r="K626" s="9">
        <v>0</v>
      </c>
      <c r="L626" s="8">
        <v>8270</v>
      </c>
      <c r="M626" s="9">
        <v>6</v>
      </c>
      <c r="N626" s="9">
        <f t="shared" si="102"/>
        <v>8263</v>
      </c>
      <c r="O626" s="9">
        <f t="shared" si="103"/>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10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10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35">
      <c r="A627">
        <v>626</v>
      </c>
      <c r="B627">
        <v>40</v>
      </c>
      <c r="C627" s="22" t="s">
        <v>319</v>
      </c>
      <c r="D627" s="11">
        <v>6.6</v>
      </c>
      <c r="E627" s="12">
        <v>0.2</v>
      </c>
      <c r="F627" s="7">
        <f t="shared" si="105"/>
        <v>32.999999999999993</v>
      </c>
      <c r="G627" s="8">
        <v>0</v>
      </c>
      <c r="H627" s="9">
        <v>0</v>
      </c>
      <c r="I627" s="9">
        <v>1</v>
      </c>
      <c r="J627" s="9">
        <v>0</v>
      </c>
      <c r="K627" s="9">
        <v>0</v>
      </c>
      <c r="L627" s="8">
        <v>8270</v>
      </c>
      <c r="M627" s="9">
        <v>6</v>
      </c>
      <c r="N627" s="9">
        <f t="shared" si="102"/>
        <v>8263</v>
      </c>
      <c r="O627" s="9">
        <f t="shared" si="103"/>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10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10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35">
      <c r="A628">
        <v>627</v>
      </c>
      <c r="B628">
        <v>40</v>
      </c>
      <c r="C628" s="22" t="s">
        <v>319</v>
      </c>
      <c r="D628" s="11">
        <v>6.8</v>
      </c>
      <c r="E628" s="12">
        <v>0.3</v>
      </c>
      <c r="F628" s="7">
        <f t="shared" si="105"/>
        <v>22.666666666666668</v>
      </c>
      <c r="G628" s="8">
        <v>0</v>
      </c>
      <c r="H628" s="9">
        <v>0</v>
      </c>
      <c r="I628" s="9">
        <v>1</v>
      </c>
      <c r="J628" s="9">
        <v>0</v>
      </c>
      <c r="K628" s="9">
        <v>0</v>
      </c>
      <c r="L628" s="8">
        <v>8270</v>
      </c>
      <c r="M628" s="9">
        <v>12</v>
      </c>
      <c r="N628" s="9">
        <f t="shared" si="102"/>
        <v>8257</v>
      </c>
      <c r="O628" s="9">
        <f t="shared" si="103"/>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10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10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35">
      <c r="A629">
        <v>628</v>
      </c>
      <c r="B629">
        <v>40</v>
      </c>
      <c r="C629" s="22" t="s">
        <v>319</v>
      </c>
      <c r="D629" s="11">
        <v>6.8</v>
      </c>
      <c r="E629" s="12">
        <v>0.3</v>
      </c>
      <c r="F629" s="7">
        <f t="shared" si="105"/>
        <v>22.666666666666668</v>
      </c>
      <c r="G629" s="8">
        <v>0</v>
      </c>
      <c r="H629" s="9">
        <v>0</v>
      </c>
      <c r="I629" s="9">
        <v>1</v>
      </c>
      <c r="J629" s="9">
        <v>0</v>
      </c>
      <c r="K629" s="9">
        <v>0</v>
      </c>
      <c r="L629" s="8">
        <v>8270</v>
      </c>
      <c r="M629" s="9">
        <v>12</v>
      </c>
      <c r="N629" s="9">
        <f t="shared" si="102"/>
        <v>8257</v>
      </c>
      <c r="O629" s="9">
        <f t="shared" si="103"/>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10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10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35">
      <c r="A630">
        <v>629</v>
      </c>
      <c r="B630">
        <v>40</v>
      </c>
      <c r="C630" s="22" t="s">
        <v>319</v>
      </c>
      <c r="D630" s="11">
        <v>6</v>
      </c>
      <c r="E630" s="12">
        <v>0.4</v>
      </c>
      <c r="F630" s="7">
        <f t="shared" si="105"/>
        <v>15</v>
      </c>
      <c r="G630" s="8">
        <v>0</v>
      </c>
      <c r="H630" s="9">
        <v>0</v>
      </c>
      <c r="I630" s="9">
        <v>1</v>
      </c>
      <c r="J630" s="9">
        <v>0</v>
      </c>
      <c r="K630" s="9">
        <v>0</v>
      </c>
      <c r="L630" s="8">
        <v>8270</v>
      </c>
      <c r="M630" s="9">
        <v>12</v>
      </c>
      <c r="N630" s="9">
        <f t="shared" si="102"/>
        <v>8257</v>
      </c>
      <c r="O630" s="9">
        <f t="shared" si="103"/>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10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10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35">
      <c r="A631">
        <v>630</v>
      </c>
      <c r="B631">
        <v>40</v>
      </c>
      <c r="C631" s="22" t="s">
        <v>319</v>
      </c>
      <c r="D631" s="11">
        <v>6</v>
      </c>
      <c r="E631" s="12">
        <v>0.4</v>
      </c>
      <c r="F631" s="7">
        <f t="shared" si="105"/>
        <v>15</v>
      </c>
      <c r="G631" s="8">
        <v>0</v>
      </c>
      <c r="H631" s="9">
        <v>0</v>
      </c>
      <c r="I631" s="9">
        <v>1</v>
      </c>
      <c r="J631" s="9">
        <v>0</v>
      </c>
      <c r="K631" s="9">
        <v>0</v>
      </c>
      <c r="L631" s="8">
        <v>8270</v>
      </c>
      <c r="M631" s="9">
        <v>12</v>
      </c>
      <c r="N631" s="9">
        <f t="shared" si="102"/>
        <v>8257</v>
      </c>
      <c r="O631" s="9">
        <f t="shared" si="103"/>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10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10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35">
      <c r="A632">
        <v>631</v>
      </c>
      <c r="B632">
        <v>40</v>
      </c>
      <c r="C632" s="22" t="s">
        <v>319</v>
      </c>
      <c r="D632" s="11">
        <v>7.2</v>
      </c>
      <c r="E632" s="12">
        <v>0.4</v>
      </c>
      <c r="F632" s="7">
        <f t="shared" si="105"/>
        <v>18</v>
      </c>
      <c r="G632" s="8">
        <v>0</v>
      </c>
      <c r="H632" s="9">
        <v>0</v>
      </c>
      <c r="I632" s="9">
        <v>1</v>
      </c>
      <c r="J632" s="9">
        <v>0</v>
      </c>
      <c r="K632" s="9">
        <v>0</v>
      </c>
      <c r="L632" s="8">
        <v>8270</v>
      </c>
      <c r="M632" s="9">
        <v>12</v>
      </c>
      <c r="N632" s="9">
        <f t="shared" si="102"/>
        <v>8257</v>
      </c>
      <c r="O632" s="9">
        <f t="shared" si="103"/>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10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10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35">
      <c r="A633">
        <v>632</v>
      </c>
      <c r="B633">
        <v>40</v>
      </c>
      <c r="C633" s="22" t="s">
        <v>319</v>
      </c>
      <c r="D633" s="11">
        <v>7.2</v>
      </c>
      <c r="E633" s="12">
        <v>0.4</v>
      </c>
      <c r="F633" s="7">
        <f t="shared" si="105"/>
        <v>18</v>
      </c>
      <c r="G633" s="8">
        <v>0</v>
      </c>
      <c r="H633" s="9">
        <v>0</v>
      </c>
      <c r="I633" s="9">
        <v>1</v>
      </c>
      <c r="J633" s="9">
        <v>0</v>
      </c>
      <c r="K633" s="9">
        <v>0</v>
      </c>
      <c r="L633" s="8">
        <v>8270</v>
      </c>
      <c r="M633" s="9">
        <v>12</v>
      </c>
      <c r="N633" s="9">
        <f t="shared" si="102"/>
        <v>8257</v>
      </c>
      <c r="O633" s="9">
        <f t="shared" si="103"/>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10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10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35">
      <c r="A634">
        <v>633</v>
      </c>
      <c r="B634">
        <v>40</v>
      </c>
      <c r="C634" s="22" t="s">
        <v>319</v>
      </c>
      <c r="D634" s="11">
        <v>7.4</v>
      </c>
      <c r="E634" s="12">
        <v>0.5</v>
      </c>
      <c r="F634" s="7">
        <f t="shared" si="105"/>
        <v>14.8</v>
      </c>
      <c r="G634" s="8">
        <v>0</v>
      </c>
      <c r="H634" s="9">
        <v>0</v>
      </c>
      <c r="I634" s="9">
        <v>1</v>
      </c>
      <c r="J634" s="9">
        <v>0</v>
      </c>
      <c r="K634" s="9">
        <v>0</v>
      </c>
      <c r="L634" s="8">
        <v>8270</v>
      </c>
      <c r="M634" s="9">
        <v>12</v>
      </c>
      <c r="N634" s="9">
        <f t="shared" si="102"/>
        <v>8257</v>
      </c>
      <c r="O634" s="9">
        <f t="shared" si="103"/>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10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10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35">
      <c r="A635">
        <v>634</v>
      </c>
      <c r="B635">
        <v>40</v>
      </c>
      <c r="C635" s="22" t="s">
        <v>319</v>
      </c>
      <c r="D635" s="11">
        <v>7.3</v>
      </c>
      <c r="E635" s="12">
        <v>0.5</v>
      </c>
      <c r="F635" s="7">
        <f t="shared" si="105"/>
        <v>14.6</v>
      </c>
      <c r="G635" s="8">
        <v>0</v>
      </c>
      <c r="H635" s="9">
        <v>0</v>
      </c>
      <c r="I635" s="9">
        <v>1</v>
      </c>
      <c r="J635" s="9">
        <v>0</v>
      </c>
      <c r="K635" s="9">
        <v>0</v>
      </c>
      <c r="L635" s="8">
        <v>8270</v>
      </c>
      <c r="M635" s="9">
        <v>12</v>
      </c>
      <c r="N635" s="9">
        <f t="shared" si="102"/>
        <v>8257</v>
      </c>
      <c r="O635" s="9">
        <f t="shared" si="103"/>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10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10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35">
      <c r="A636">
        <v>635</v>
      </c>
      <c r="B636">
        <v>40</v>
      </c>
      <c r="C636" s="22" t="s">
        <v>319</v>
      </c>
      <c r="D636" s="11">
        <v>7.6</v>
      </c>
      <c r="E636" s="12">
        <v>0.8</v>
      </c>
      <c r="F636" s="7">
        <f t="shared" si="105"/>
        <v>9.4999999999999982</v>
      </c>
      <c r="G636" s="8">
        <v>0</v>
      </c>
      <c r="H636" s="9">
        <v>0</v>
      </c>
      <c r="I636" s="9">
        <v>1</v>
      </c>
      <c r="J636" s="9">
        <v>0</v>
      </c>
      <c r="K636" s="9">
        <v>0</v>
      </c>
      <c r="L636" s="8">
        <v>8270</v>
      </c>
      <c r="M636" s="9">
        <v>12</v>
      </c>
      <c r="N636" s="9">
        <f t="shared" si="102"/>
        <v>8257</v>
      </c>
      <c r="O636" s="9">
        <f t="shared" si="103"/>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10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10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35">
      <c r="A637">
        <v>636</v>
      </c>
      <c r="B637">
        <v>40</v>
      </c>
      <c r="C637" s="22" t="s">
        <v>319</v>
      </c>
      <c r="D637" s="11">
        <v>7.5</v>
      </c>
      <c r="E637" s="12">
        <v>0.8</v>
      </c>
      <c r="F637" s="7">
        <f t="shared" si="105"/>
        <v>9.375</v>
      </c>
      <c r="G637" s="8">
        <v>0</v>
      </c>
      <c r="H637" s="9">
        <v>0</v>
      </c>
      <c r="I637" s="9">
        <v>1</v>
      </c>
      <c r="J637" s="9">
        <v>0</v>
      </c>
      <c r="K637" s="9">
        <v>0</v>
      </c>
      <c r="L637" s="8">
        <v>8270</v>
      </c>
      <c r="M637" s="9">
        <v>12</v>
      </c>
      <c r="N637" s="9">
        <f t="shared" si="102"/>
        <v>8257</v>
      </c>
      <c r="O637" s="9">
        <f t="shared" si="103"/>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10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10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35">
      <c r="A638">
        <v>637</v>
      </c>
      <c r="B638">
        <v>40</v>
      </c>
      <c r="C638" s="22" t="s">
        <v>319</v>
      </c>
      <c r="D638" s="11">
        <v>6.5</v>
      </c>
      <c r="E638" s="12">
        <v>0.3</v>
      </c>
      <c r="F638" s="7">
        <f t="shared" si="105"/>
        <v>21.666666666666668</v>
      </c>
      <c r="G638" s="8">
        <v>0</v>
      </c>
      <c r="H638" s="9">
        <v>0</v>
      </c>
      <c r="I638" s="9">
        <v>1</v>
      </c>
      <c r="J638" s="9">
        <v>0</v>
      </c>
      <c r="K638" s="9">
        <v>0</v>
      </c>
      <c r="L638" s="8">
        <v>8270</v>
      </c>
      <c r="M638" s="9">
        <v>12</v>
      </c>
      <c r="N638" s="9">
        <f t="shared" si="102"/>
        <v>8257</v>
      </c>
      <c r="O638" s="9">
        <f t="shared" si="103"/>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10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10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35">
      <c r="A639">
        <v>638</v>
      </c>
      <c r="B639">
        <v>40</v>
      </c>
      <c r="C639" s="22" t="s">
        <v>319</v>
      </c>
      <c r="D639" s="11">
        <v>6.5</v>
      </c>
      <c r="E639" s="12">
        <v>0.3</v>
      </c>
      <c r="F639" s="7">
        <f t="shared" si="105"/>
        <v>21.666666666666668</v>
      </c>
      <c r="G639" s="8">
        <v>0</v>
      </c>
      <c r="H639" s="9">
        <v>0</v>
      </c>
      <c r="I639" s="9">
        <v>1</v>
      </c>
      <c r="J639" s="9">
        <v>0</v>
      </c>
      <c r="K639" s="9">
        <v>0</v>
      </c>
      <c r="L639" s="8">
        <v>8270</v>
      </c>
      <c r="M639" s="9">
        <v>12</v>
      </c>
      <c r="N639" s="9">
        <f t="shared" si="102"/>
        <v>8257</v>
      </c>
      <c r="O639" s="9">
        <f t="shared" si="103"/>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10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10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35">
      <c r="A640">
        <v>639</v>
      </c>
      <c r="B640">
        <v>40</v>
      </c>
      <c r="C640" s="22" t="s">
        <v>319</v>
      </c>
      <c r="D640" s="11">
        <v>4.3</v>
      </c>
      <c r="E640" s="12">
        <v>0.4</v>
      </c>
      <c r="F640" s="7">
        <f t="shared" ref="F640:F646" si="109">D640/E640</f>
        <v>10.749999999999998</v>
      </c>
      <c r="G640" s="8">
        <v>0</v>
      </c>
      <c r="H640" s="9">
        <v>0</v>
      </c>
      <c r="I640" s="9">
        <v>1</v>
      </c>
      <c r="J640" s="9">
        <v>0</v>
      </c>
      <c r="K640" s="9">
        <v>0</v>
      </c>
      <c r="L640" s="8">
        <v>8270</v>
      </c>
      <c r="M640" s="9">
        <v>12</v>
      </c>
      <c r="N640" s="9">
        <f t="shared" si="102"/>
        <v>8257</v>
      </c>
      <c r="O640" s="9">
        <f t="shared" si="103"/>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10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10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35">
      <c r="A641" s="127">
        <v>640</v>
      </c>
      <c r="B641" s="127">
        <v>40</v>
      </c>
      <c r="C641" s="128" t="s">
        <v>319</v>
      </c>
      <c r="D641" s="129">
        <v>4.2</v>
      </c>
      <c r="E641" s="130">
        <v>0.4</v>
      </c>
      <c r="F641" s="131">
        <f t="shared" si="109"/>
        <v>10.5</v>
      </c>
      <c r="G641" s="133">
        <v>0</v>
      </c>
      <c r="H641" s="134">
        <v>0</v>
      </c>
      <c r="I641" s="134">
        <v>1</v>
      </c>
      <c r="J641" s="134">
        <v>0</v>
      </c>
      <c r="K641" s="134">
        <v>0</v>
      </c>
      <c r="L641" s="133">
        <v>8270</v>
      </c>
      <c r="M641" s="134">
        <v>12</v>
      </c>
      <c r="N641" s="134">
        <f t="shared" si="102"/>
        <v>8257</v>
      </c>
      <c r="O641" s="134">
        <f t="shared" si="103"/>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10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10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35">
      <c r="A642">
        <v>641</v>
      </c>
      <c r="B642">
        <v>41</v>
      </c>
      <c r="C642" s="22" t="s">
        <v>320</v>
      </c>
      <c r="D642" s="11">
        <v>4.0999999999999996</v>
      </c>
      <c r="E642" s="12">
        <v>0.2</v>
      </c>
      <c r="F642" s="7">
        <f t="shared" si="109"/>
        <v>20.499999999999996</v>
      </c>
      <c r="G642" s="8">
        <v>0</v>
      </c>
      <c r="H642" s="9">
        <v>1</v>
      </c>
      <c r="I642" s="9">
        <v>0</v>
      </c>
      <c r="J642" s="9">
        <v>0</v>
      </c>
      <c r="K642" s="9">
        <v>0</v>
      </c>
      <c r="L642" s="8">
        <v>8369</v>
      </c>
      <c r="M642" s="9">
        <v>3</v>
      </c>
      <c r="N642" s="9">
        <f t="shared" ref="N642:N705" si="110">L642-M642-1</f>
        <v>8365</v>
      </c>
      <c r="O642" s="9">
        <f t="shared" ref="O642:O705" si="111">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12">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35">
      <c r="A643">
        <v>642</v>
      </c>
      <c r="B643">
        <v>41</v>
      </c>
      <c r="C643" s="22" t="s">
        <v>320</v>
      </c>
      <c r="D643" s="11">
        <v>2.2000000000000002</v>
      </c>
      <c r="E643" s="12">
        <v>0.2</v>
      </c>
      <c r="F643" s="7">
        <f t="shared" si="109"/>
        <v>11</v>
      </c>
      <c r="G643" s="8">
        <v>0</v>
      </c>
      <c r="H643" s="9">
        <v>1</v>
      </c>
      <c r="I643" s="9">
        <v>0</v>
      </c>
      <c r="J643" s="9">
        <v>0</v>
      </c>
      <c r="K643" s="9">
        <v>0</v>
      </c>
      <c r="L643" s="8">
        <v>4738</v>
      </c>
      <c r="M643" s="9">
        <v>3</v>
      </c>
      <c r="N643" s="9">
        <f t="shared" si="110"/>
        <v>4734</v>
      </c>
      <c r="O643" s="9">
        <f t="shared" si="111"/>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12"/>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35">
      <c r="A644">
        <v>643</v>
      </c>
      <c r="B644">
        <v>41</v>
      </c>
      <c r="C644" s="22" t="s">
        <v>320</v>
      </c>
      <c r="D644" s="11">
        <v>5.3</v>
      </c>
      <c r="E644" s="12">
        <v>0.2</v>
      </c>
      <c r="F644" s="7">
        <f t="shared" si="109"/>
        <v>26.499999999999996</v>
      </c>
      <c r="G644" s="8">
        <v>0</v>
      </c>
      <c r="H644" s="9">
        <v>1</v>
      </c>
      <c r="I644" s="9">
        <v>0</v>
      </c>
      <c r="J644" s="9">
        <v>0</v>
      </c>
      <c r="K644" s="9">
        <v>0</v>
      </c>
      <c r="L644" s="8">
        <v>3631</v>
      </c>
      <c r="M644" s="9">
        <v>3</v>
      </c>
      <c r="N644" s="9">
        <f t="shared" si="110"/>
        <v>3627</v>
      </c>
      <c r="O644" s="9">
        <f t="shared" si="111"/>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12"/>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35">
      <c r="A645">
        <v>644</v>
      </c>
      <c r="B645">
        <v>41</v>
      </c>
      <c r="C645" s="22" t="s">
        <v>320</v>
      </c>
      <c r="D645" s="11">
        <v>1.8</v>
      </c>
      <c r="E645" s="12">
        <v>0.5</v>
      </c>
      <c r="F645" s="7">
        <f t="shared" si="109"/>
        <v>3.6</v>
      </c>
      <c r="G645" s="8">
        <v>0</v>
      </c>
      <c r="H645" s="9">
        <v>1</v>
      </c>
      <c r="I645" s="9">
        <v>0</v>
      </c>
      <c r="J645" s="9">
        <v>0</v>
      </c>
      <c r="K645" s="9">
        <v>0</v>
      </c>
      <c r="L645" s="8">
        <v>2298</v>
      </c>
      <c r="M645" s="9">
        <v>3</v>
      </c>
      <c r="N645" s="9">
        <f t="shared" si="110"/>
        <v>2294</v>
      </c>
      <c r="O645" s="9">
        <f t="shared" si="111"/>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12"/>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35">
      <c r="A646">
        <v>645</v>
      </c>
      <c r="B646">
        <v>41</v>
      </c>
      <c r="C646" s="22" t="s">
        <v>320</v>
      </c>
      <c r="D646" s="11">
        <v>0.7</v>
      </c>
      <c r="E646" s="12">
        <v>0.7</v>
      </c>
      <c r="F646" s="7">
        <f t="shared" si="109"/>
        <v>1</v>
      </c>
      <c r="G646" s="8">
        <v>0</v>
      </c>
      <c r="H646" s="9">
        <v>1</v>
      </c>
      <c r="I646" s="9">
        <v>0</v>
      </c>
      <c r="J646" s="9">
        <v>0</v>
      </c>
      <c r="K646" s="9">
        <v>0</v>
      </c>
      <c r="L646" s="8">
        <v>1650</v>
      </c>
      <c r="M646" s="9">
        <v>3</v>
      </c>
      <c r="N646" s="9">
        <f t="shared" si="110"/>
        <v>1646</v>
      </c>
      <c r="O646" s="9">
        <f t="shared" si="111"/>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12"/>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3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10"/>
        <v>8363</v>
      </c>
      <c r="O647" s="9">
        <f t="shared" si="111"/>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12"/>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3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10"/>
        <v>8363</v>
      </c>
      <c r="O648" s="9">
        <f t="shared" si="111"/>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12"/>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3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10"/>
        <v>8363</v>
      </c>
      <c r="O649" s="9">
        <f t="shared" si="111"/>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12"/>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3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10"/>
        <v>8363</v>
      </c>
      <c r="O650" s="9">
        <f t="shared" si="111"/>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12"/>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3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10"/>
        <v>8363</v>
      </c>
      <c r="O651" s="9">
        <f t="shared" si="111"/>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12"/>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3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10"/>
        <v>2292</v>
      </c>
      <c r="O652" s="9">
        <f t="shared" si="111"/>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12"/>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3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10"/>
        <v>2292</v>
      </c>
      <c r="O653" s="9">
        <f t="shared" si="111"/>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12"/>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3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10"/>
        <v>2292</v>
      </c>
      <c r="O654" s="9">
        <f t="shared" si="111"/>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12"/>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3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10"/>
        <v>2292</v>
      </c>
      <c r="O655" s="9">
        <f t="shared" si="111"/>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12"/>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3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10"/>
        <v>2292</v>
      </c>
      <c r="O656" s="134">
        <f t="shared" si="111"/>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12"/>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3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10"/>
        <v>3276</v>
      </c>
      <c r="O657" s="9">
        <f t="shared" si="111"/>
        <v>24</v>
      </c>
      <c r="P657" s="7">
        <v>15</v>
      </c>
      <c r="Q657" s="7">
        <f t="shared" ref="Q657:Q698" si="113">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3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10"/>
        <v>1968</v>
      </c>
      <c r="O658" s="9">
        <f t="shared" si="111"/>
        <v>24</v>
      </c>
      <c r="P658" s="7">
        <v>15</v>
      </c>
      <c r="Q658" s="7">
        <f t="shared" si="113"/>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3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10"/>
        <v>3269</v>
      </c>
      <c r="O659" s="9">
        <f t="shared" si="111"/>
        <v>24</v>
      </c>
      <c r="P659" s="7">
        <v>15</v>
      </c>
      <c r="Q659" s="7">
        <f t="shared" si="113"/>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3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10"/>
        <v>2325</v>
      </c>
      <c r="O660" s="9">
        <f t="shared" si="111"/>
        <v>24</v>
      </c>
      <c r="P660" s="7">
        <v>15</v>
      </c>
      <c r="Q660" s="7">
        <f t="shared" si="113"/>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3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10"/>
        <v>1152</v>
      </c>
      <c r="O661" s="9">
        <f t="shared" si="111"/>
        <v>24</v>
      </c>
      <c r="P661" s="7">
        <v>15</v>
      </c>
      <c r="Q661" s="7">
        <f t="shared" si="113"/>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3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10"/>
        <v>838</v>
      </c>
      <c r="O662" s="9">
        <f t="shared" si="111"/>
        <v>24</v>
      </c>
      <c r="P662" s="7">
        <v>15</v>
      </c>
      <c r="Q662" s="7">
        <f t="shared" si="113"/>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3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10"/>
        <v>1091</v>
      </c>
      <c r="O663" s="9">
        <f t="shared" si="111"/>
        <v>24</v>
      </c>
      <c r="P663" s="7">
        <v>15</v>
      </c>
      <c r="Q663" s="7">
        <f t="shared" si="113"/>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3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10"/>
        <v>852</v>
      </c>
      <c r="O664" s="9">
        <f t="shared" si="111"/>
        <v>24</v>
      </c>
      <c r="P664" s="7">
        <v>15</v>
      </c>
      <c r="Q664" s="7">
        <f t="shared" si="113"/>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3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10"/>
        <v>1156</v>
      </c>
      <c r="O665" s="9">
        <f t="shared" si="111"/>
        <v>24</v>
      </c>
      <c r="P665" s="7">
        <v>15</v>
      </c>
      <c r="Q665" s="7">
        <f t="shared" si="113"/>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3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10"/>
        <v>901</v>
      </c>
      <c r="O666" s="9">
        <f t="shared" si="111"/>
        <v>24</v>
      </c>
      <c r="P666" s="7">
        <v>15</v>
      </c>
      <c r="Q666" s="7">
        <f t="shared" si="113"/>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3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10"/>
        <v>1105</v>
      </c>
      <c r="O667" s="9">
        <f t="shared" si="111"/>
        <v>24</v>
      </c>
      <c r="P667" s="7">
        <v>15</v>
      </c>
      <c r="Q667" s="7">
        <f t="shared" si="113"/>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3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10"/>
        <v>1028</v>
      </c>
      <c r="O668" s="9">
        <f t="shared" si="111"/>
        <v>24</v>
      </c>
      <c r="P668" s="7">
        <v>15</v>
      </c>
      <c r="Q668" s="7">
        <f t="shared" si="113"/>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3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10"/>
        <v>1240</v>
      </c>
      <c r="O669" s="9">
        <f t="shared" si="111"/>
        <v>24</v>
      </c>
      <c r="P669" s="7">
        <v>15</v>
      </c>
      <c r="Q669" s="7">
        <f t="shared" si="113"/>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3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10"/>
        <v>1039</v>
      </c>
      <c r="O670" s="9">
        <f t="shared" si="111"/>
        <v>24</v>
      </c>
      <c r="P670" s="7">
        <v>15</v>
      </c>
      <c r="Q670" s="7">
        <f t="shared" si="113"/>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3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10"/>
        <v>1095</v>
      </c>
      <c r="O671" s="9">
        <f t="shared" si="111"/>
        <v>24</v>
      </c>
      <c r="P671" s="7">
        <v>15</v>
      </c>
      <c r="Q671" s="7">
        <f t="shared" si="113"/>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3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10"/>
        <v>997</v>
      </c>
      <c r="O672" s="9">
        <f t="shared" si="111"/>
        <v>24</v>
      </c>
      <c r="P672" s="7">
        <v>15</v>
      </c>
      <c r="Q672" s="7">
        <f t="shared" si="113"/>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3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10"/>
        <v>1201</v>
      </c>
      <c r="O673" s="9">
        <f t="shared" si="111"/>
        <v>24</v>
      </c>
      <c r="P673" s="7">
        <v>15</v>
      </c>
      <c r="Q673" s="7">
        <f t="shared" si="113"/>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3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10"/>
        <v>1070</v>
      </c>
      <c r="O674" s="9">
        <f t="shared" si="111"/>
        <v>24</v>
      </c>
      <c r="P674" s="7">
        <v>15</v>
      </c>
      <c r="Q674" s="7">
        <f t="shared" si="113"/>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3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10"/>
        <v>1174</v>
      </c>
      <c r="O675" s="9">
        <f t="shared" si="111"/>
        <v>24</v>
      </c>
      <c r="P675" s="7">
        <v>15</v>
      </c>
      <c r="Q675" s="7">
        <f t="shared" si="113"/>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3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10"/>
        <v>1213</v>
      </c>
      <c r="O676" s="9">
        <f t="shared" si="111"/>
        <v>24</v>
      </c>
      <c r="P676" s="7">
        <v>15</v>
      </c>
      <c r="Q676" s="7">
        <f t="shared" si="113"/>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3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10"/>
        <v>722</v>
      </c>
      <c r="O677" s="9">
        <f t="shared" si="111"/>
        <v>24</v>
      </c>
      <c r="P677" s="7">
        <v>15</v>
      </c>
      <c r="Q677" s="7">
        <f t="shared" si="113"/>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3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10"/>
        <v>766</v>
      </c>
      <c r="O678" s="9">
        <f t="shared" si="111"/>
        <v>24</v>
      </c>
      <c r="P678" s="7">
        <v>15</v>
      </c>
      <c r="Q678" s="7">
        <f t="shared" si="113"/>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3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10"/>
        <v>585</v>
      </c>
      <c r="O679" s="9">
        <f t="shared" si="111"/>
        <v>24</v>
      </c>
      <c r="P679" s="7">
        <v>15</v>
      </c>
      <c r="Q679" s="7">
        <f t="shared" si="113"/>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3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10"/>
        <v>698</v>
      </c>
      <c r="O680" s="134">
        <f t="shared" si="111"/>
        <v>24</v>
      </c>
      <c r="P680" s="131">
        <v>15</v>
      </c>
      <c r="Q680" s="131">
        <f t="shared" si="113"/>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3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10"/>
        <v>1260</v>
      </c>
      <c r="O681" s="9">
        <f t="shared" si="111"/>
        <v>18</v>
      </c>
      <c r="P681" s="7">
        <f t="shared" ref="P681:P698" si="114">(AD681*0+AE681*7+AF681*11+AG681*14)</f>
        <v>9.52</v>
      </c>
      <c r="Q681" s="7">
        <f t="shared" si="113"/>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15">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3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10"/>
        <v>1260</v>
      </c>
      <c r="O682" s="9">
        <f t="shared" si="111"/>
        <v>18</v>
      </c>
      <c r="P682" s="7">
        <f t="shared" si="114"/>
        <v>9.52</v>
      </c>
      <c r="Q682" s="7">
        <f t="shared" si="113"/>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15"/>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3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10"/>
        <v>1260</v>
      </c>
      <c r="O683" s="9">
        <f t="shared" si="111"/>
        <v>18</v>
      </c>
      <c r="P683" s="7">
        <f t="shared" si="114"/>
        <v>9.52</v>
      </c>
      <c r="Q683" s="7">
        <f t="shared" si="113"/>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15"/>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3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10"/>
        <v>2012</v>
      </c>
      <c r="O684" s="9">
        <f t="shared" si="111"/>
        <v>18</v>
      </c>
      <c r="P684" s="7">
        <f t="shared" si="114"/>
        <v>7.5400000000000009</v>
      </c>
      <c r="Q684" s="7">
        <f t="shared" si="113"/>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15"/>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3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10"/>
        <v>2012</v>
      </c>
      <c r="O685" s="9">
        <f t="shared" si="111"/>
        <v>18</v>
      </c>
      <c r="P685" s="7">
        <f t="shared" si="114"/>
        <v>7.5400000000000009</v>
      </c>
      <c r="Q685" s="7">
        <f t="shared" si="113"/>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15"/>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3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10"/>
        <v>2012</v>
      </c>
      <c r="O686" s="9">
        <f t="shared" si="111"/>
        <v>18</v>
      </c>
      <c r="P686" s="7">
        <f t="shared" si="114"/>
        <v>7.5400000000000009</v>
      </c>
      <c r="Q686" s="7">
        <f t="shared" si="113"/>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15"/>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3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10"/>
        <v>1023</v>
      </c>
      <c r="O687" s="9">
        <f t="shared" si="111"/>
        <v>18</v>
      </c>
      <c r="P687" s="7">
        <f t="shared" si="114"/>
        <v>7.35</v>
      </c>
      <c r="Q687" s="7">
        <f t="shared" si="113"/>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15"/>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3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10"/>
        <v>1023</v>
      </c>
      <c r="O688" s="9">
        <f t="shared" si="111"/>
        <v>18</v>
      </c>
      <c r="P688" s="7">
        <f t="shared" si="114"/>
        <v>7.35</v>
      </c>
      <c r="Q688" s="7">
        <f t="shared" si="113"/>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15"/>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3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10"/>
        <v>1023</v>
      </c>
      <c r="O689" s="9">
        <f t="shared" si="111"/>
        <v>18</v>
      </c>
      <c r="P689" s="7">
        <f t="shared" si="114"/>
        <v>7.35</v>
      </c>
      <c r="Q689" s="7">
        <f t="shared" si="113"/>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15"/>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3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10"/>
        <v>489</v>
      </c>
      <c r="O690" s="9">
        <f t="shared" si="111"/>
        <v>18</v>
      </c>
      <c r="P690" s="7">
        <f t="shared" si="114"/>
        <v>9.8699999999999992</v>
      </c>
      <c r="Q690" s="7">
        <f t="shared" si="113"/>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15"/>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3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10"/>
        <v>489</v>
      </c>
      <c r="O691" s="9">
        <f t="shared" si="111"/>
        <v>18</v>
      </c>
      <c r="P691" s="7">
        <f t="shared" si="114"/>
        <v>9.8699999999999992</v>
      </c>
      <c r="Q691" s="7">
        <f t="shared" si="113"/>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15"/>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3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10"/>
        <v>489</v>
      </c>
      <c r="O692" s="9">
        <f t="shared" si="111"/>
        <v>18</v>
      </c>
      <c r="P692" s="7">
        <f t="shared" si="114"/>
        <v>9.8699999999999992</v>
      </c>
      <c r="Q692" s="7">
        <f t="shared" si="113"/>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15"/>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3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10"/>
        <v>640</v>
      </c>
      <c r="O693" s="9">
        <f t="shared" si="111"/>
        <v>18</v>
      </c>
      <c r="P693" s="7">
        <f t="shared" si="114"/>
        <v>6.78</v>
      </c>
      <c r="Q693" s="7">
        <f t="shared" si="113"/>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15"/>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3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10"/>
        <v>640</v>
      </c>
      <c r="O694" s="9">
        <f t="shared" si="111"/>
        <v>18</v>
      </c>
      <c r="P694" s="7">
        <f t="shared" si="114"/>
        <v>6.78</v>
      </c>
      <c r="Q694" s="7">
        <f t="shared" si="113"/>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15"/>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3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10"/>
        <v>640</v>
      </c>
      <c r="O695" s="9">
        <f t="shared" si="111"/>
        <v>18</v>
      </c>
      <c r="P695" s="7">
        <f t="shared" si="114"/>
        <v>6.78</v>
      </c>
      <c r="Q695" s="7">
        <f t="shared" si="113"/>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15"/>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3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10"/>
        <v>851</v>
      </c>
      <c r="O696" s="9">
        <f t="shared" si="111"/>
        <v>18</v>
      </c>
      <c r="P696" s="7">
        <f t="shared" si="114"/>
        <v>3.1</v>
      </c>
      <c r="Q696" s="7">
        <f t="shared" si="113"/>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15"/>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3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10"/>
        <v>851</v>
      </c>
      <c r="O697" s="9">
        <f t="shared" si="111"/>
        <v>18</v>
      </c>
      <c r="P697" s="7">
        <f t="shared" si="114"/>
        <v>3.1</v>
      </c>
      <c r="Q697" s="7">
        <f t="shared" si="113"/>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15"/>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3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10"/>
        <v>851</v>
      </c>
      <c r="O698" s="134">
        <f t="shared" si="111"/>
        <v>18</v>
      </c>
      <c r="P698" s="131">
        <f t="shared" si="114"/>
        <v>3.1</v>
      </c>
      <c r="Q698" s="131">
        <f t="shared" si="113"/>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15"/>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35">
      <c r="A699">
        <v>698</v>
      </c>
      <c r="B699">
        <v>44</v>
      </c>
      <c r="C699" s="22" t="s">
        <v>369</v>
      </c>
      <c r="D699" s="11">
        <v>7.9</v>
      </c>
      <c r="E699" s="12">
        <v>0.63200000000000001</v>
      </c>
      <c r="F699" s="7">
        <v>12.5</v>
      </c>
      <c r="G699" s="8">
        <v>0</v>
      </c>
      <c r="H699" s="9">
        <v>0</v>
      </c>
      <c r="I699" s="9">
        <v>0</v>
      </c>
      <c r="J699" s="9">
        <v>1</v>
      </c>
      <c r="K699" s="9">
        <v>0</v>
      </c>
      <c r="L699" s="8">
        <v>6048776</v>
      </c>
      <c r="M699" s="9">
        <v>5</v>
      </c>
      <c r="N699" s="9">
        <f t="shared" si="110"/>
        <v>6048770</v>
      </c>
      <c r="O699" s="9">
        <f t="shared" si="111"/>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3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10"/>
        <v>6048770</v>
      </c>
      <c r="O700" s="9">
        <f t="shared" si="111"/>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3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10"/>
        <v>8697973</v>
      </c>
      <c r="O701" s="9">
        <f t="shared" si="111"/>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35">
      <c r="A702">
        <v>701</v>
      </c>
      <c r="B702">
        <v>44</v>
      </c>
      <c r="C702" s="22" t="s">
        <v>369</v>
      </c>
      <c r="D702" s="11">
        <v>7.5</v>
      </c>
      <c r="E702" s="12">
        <v>0.55555555555555558</v>
      </c>
      <c r="F702" s="7">
        <v>13.5</v>
      </c>
      <c r="G702" s="8">
        <v>0</v>
      </c>
      <c r="H702" s="9">
        <v>0</v>
      </c>
      <c r="I702" s="9">
        <v>0</v>
      </c>
      <c r="J702" s="9">
        <v>1</v>
      </c>
      <c r="K702" s="9">
        <v>0</v>
      </c>
      <c r="L702" s="8">
        <v>8697979</v>
      </c>
      <c r="M702" s="9">
        <v>5</v>
      </c>
      <c r="N702" s="9">
        <f t="shared" si="110"/>
        <v>8697973</v>
      </c>
      <c r="O702" s="9">
        <f t="shared" si="111"/>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3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10"/>
        <v>14746749</v>
      </c>
      <c r="O703" s="9">
        <f t="shared" si="111"/>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3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10"/>
        <v>14746749</v>
      </c>
      <c r="O704" s="134">
        <f t="shared" si="111"/>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35">
      <c r="A705">
        <v>704</v>
      </c>
      <c r="B705">
        <v>45</v>
      </c>
      <c r="C705" s="22" t="s">
        <v>375</v>
      </c>
      <c r="D705" s="11">
        <v>6.4</v>
      </c>
      <c r="E705" s="12">
        <v>0.1</v>
      </c>
      <c r="F705" s="7">
        <v>9.8571428571428594</v>
      </c>
      <c r="G705" s="8">
        <v>0</v>
      </c>
      <c r="H705" s="9">
        <v>0</v>
      </c>
      <c r="I705" s="9">
        <v>1</v>
      </c>
      <c r="J705" s="9">
        <v>0</v>
      </c>
      <c r="K705" s="9">
        <v>0</v>
      </c>
      <c r="L705" s="8">
        <v>11742</v>
      </c>
      <c r="M705" s="9">
        <v>2</v>
      </c>
      <c r="N705" s="9">
        <f t="shared" si="110"/>
        <v>11739</v>
      </c>
      <c r="O705" s="9">
        <f t="shared" si="111"/>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16">1-AK705</f>
        <v>0.78400000000000003</v>
      </c>
      <c r="AK705" s="36">
        <v>0.216</v>
      </c>
      <c r="AL705" s="35">
        <f t="shared" ref="AL705:AL734" si="117">1-AM705</f>
        <v>0.76300000000000001</v>
      </c>
      <c r="AM705" s="36">
        <v>0.23699999999999999</v>
      </c>
      <c r="AN705">
        <v>0</v>
      </c>
      <c r="AO705" s="15">
        <v>1</v>
      </c>
      <c r="AP705">
        <f t="shared" ref="AP705:AP734" si="118">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19">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3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20">L706-M706-1</f>
        <v>42733</v>
      </c>
      <c r="O706" s="9">
        <f t="shared" ref="O706:O769" si="121">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16"/>
        <v>0.78400000000000003</v>
      </c>
      <c r="AK706" s="36">
        <v>0.216</v>
      </c>
      <c r="AL706" s="35">
        <f t="shared" si="117"/>
        <v>0.76300000000000001</v>
      </c>
      <c r="AM706" s="36">
        <v>0.23699999999999999</v>
      </c>
      <c r="AN706">
        <v>0</v>
      </c>
      <c r="AO706" s="15">
        <v>1</v>
      </c>
      <c r="AP706">
        <f t="shared" si="118"/>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19"/>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35">
      <c r="A707">
        <v>706</v>
      </c>
      <c r="B707">
        <v>45</v>
      </c>
      <c r="C707" s="22" t="s">
        <v>375</v>
      </c>
      <c r="D707" s="11">
        <v>6.4</v>
      </c>
      <c r="E707" s="12">
        <v>0.1</v>
      </c>
      <c r="F707" s="7">
        <v>11.8571428571429</v>
      </c>
      <c r="G707" s="8">
        <v>0</v>
      </c>
      <c r="H707" s="9">
        <v>0</v>
      </c>
      <c r="I707" s="9">
        <v>1</v>
      </c>
      <c r="J707" s="9">
        <v>0</v>
      </c>
      <c r="K707" s="9">
        <v>0</v>
      </c>
      <c r="L707" s="8">
        <v>28796</v>
      </c>
      <c r="M707" s="9">
        <v>4</v>
      </c>
      <c r="N707" s="9">
        <f t="shared" si="120"/>
        <v>28791</v>
      </c>
      <c r="O707" s="9">
        <f t="shared" si="121"/>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16"/>
        <v>0.78200000000000003</v>
      </c>
      <c r="AK707" s="36">
        <v>0.218</v>
      </c>
      <c r="AL707" s="35">
        <f t="shared" si="117"/>
        <v>0.77600000000000002</v>
      </c>
      <c r="AM707" s="36">
        <v>0.224</v>
      </c>
      <c r="AN707">
        <v>0</v>
      </c>
      <c r="AO707" s="15">
        <v>1</v>
      </c>
      <c r="AP707">
        <f t="shared" si="118"/>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19"/>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35">
      <c r="A708">
        <v>707</v>
      </c>
      <c r="B708">
        <v>45</v>
      </c>
      <c r="C708" s="22" t="s">
        <v>375</v>
      </c>
      <c r="D708" s="11">
        <v>5.7</v>
      </c>
      <c r="E708" s="12">
        <v>0.1</v>
      </c>
      <c r="F708" s="7">
        <v>12.8571428571429</v>
      </c>
      <c r="G708" s="8">
        <v>0</v>
      </c>
      <c r="H708" s="9">
        <v>0</v>
      </c>
      <c r="I708" s="9">
        <v>1</v>
      </c>
      <c r="J708" s="9">
        <v>0</v>
      </c>
      <c r="K708" s="9">
        <v>0</v>
      </c>
      <c r="L708" s="8">
        <v>43367</v>
      </c>
      <c r="M708" s="9">
        <v>5</v>
      </c>
      <c r="N708" s="9">
        <f t="shared" si="120"/>
        <v>43361</v>
      </c>
      <c r="O708" s="9">
        <f t="shared" si="121"/>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16"/>
        <v>0.78200000000000003</v>
      </c>
      <c r="AK708" s="36">
        <v>0.218</v>
      </c>
      <c r="AL708" s="35">
        <f t="shared" si="117"/>
        <v>0.77600000000000002</v>
      </c>
      <c r="AM708" s="36">
        <v>0.224</v>
      </c>
      <c r="AN708">
        <v>0</v>
      </c>
      <c r="AO708" s="15">
        <v>1</v>
      </c>
      <c r="AP708">
        <f t="shared" si="118"/>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19"/>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35">
      <c r="A709">
        <v>708</v>
      </c>
      <c r="B709">
        <v>45</v>
      </c>
      <c r="C709" s="22" t="s">
        <v>375</v>
      </c>
      <c r="D709" s="11">
        <v>6.7</v>
      </c>
      <c r="E709" s="12">
        <v>0.1</v>
      </c>
      <c r="F709" s="7">
        <v>13.8571428571429</v>
      </c>
      <c r="G709" s="8">
        <v>0</v>
      </c>
      <c r="H709" s="9">
        <v>0</v>
      </c>
      <c r="I709" s="9">
        <v>1</v>
      </c>
      <c r="J709" s="9">
        <v>0</v>
      </c>
      <c r="K709" s="9">
        <v>0</v>
      </c>
      <c r="L709" s="8">
        <v>28934</v>
      </c>
      <c r="M709" s="9">
        <v>6</v>
      </c>
      <c r="N709" s="9">
        <f t="shared" si="120"/>
        <v>28927</v>
      </c>
      <c r="O709" s="9">
        <f t="shared" si="121"/>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16"/>
        <v>0.77900000000000003</v>
      </c>
      <c r="AK709" s="36">
        <v>0.221</v>
      </c>
      <c r="AL709" s="35">
        <f t="shared" si="117"/>
        <v>0.78800000000000003</v>
      </c>
      <c r="AM709" s="36">
        <v>0.21199999999999999</v>
      </c>
      <c r="AN709">
        <v>0</v>
      </c>
      <c r="AO709" s="15">
        <v>1</v>
      </c>
      <c r="AP709">
        <f t="shared" si="118"/>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19"/>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35">
      <c r="A710">
        <v>709</v>
      </c>
      <c r="B710">
        <v>45</v>
      </c>
      <c r="C710" s="22" t="s">
        <v>375</v>
      </c>
      <c r="D710" s="11">
        <v>5.8</v>
      </c>
      <c r="E710" s="12">
        <v>0.1</v>
      </c>
      <c r="F710" s="7">
        <v>14.8571428571429</v>
      </c>
      <c r="G710" s="8">
        <v>0</v>
      </c>
      <c r="H710" s="9">
        <v>0</v>
      </c>
      <c r="I710" s="9">
        <v>1</v>
      </c>
      <c r="J710" s="9">
        <v>0</v>
      </c>
      <c r="K710" s="9">
        <v>0</v>
      </c>
      <c r="L710" s="8">
        <v>44858</v>
      </c>
      <c r="M710" s="9">
        <v>7</v>
      </c>
      <c r="N710" s="9">
        <f t="shared" si="120"/>
        <v>44850</v>
      </c>
      <c r="O710" s="9">
        <f t="shared" si="121"/>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16"/>
        <v>0.77900000000000003</v>
      </c>
      <c r="AK710" s="36">
        <v>0.221</v>
      </c>
      <c r="AL710" s="35">
        <f t="shared" si="117"/>
        <v>0.78800000000000003</v>
      </c>
      <c r="AM710" s="36">
        <v>0.21199999999999999</v>
      </c>
      <c r="AN710">
        <v>0</v>
      </c>
      <c r="AO710" s="15">
        <v>1</v>
      </c>
      <c r="AP710">
        <f t="shared" si="118"/>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19"/>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35">
      <c r="A711">
        <v>710</v>
      </c>
      <c r="B711">
        <v>45</v>
      </c>
      <c r="C711" s="22" t="s">
        <v>375</v>
      </c>
      <c r="D711" s="11">
        <v>6.2</v>
      </c>
      <c r="E711" s="12">
        <v>0.1</v>
      </c>
      <c r="F711" s="7">
        <v>15.8571428571429</v>
      </c>
      <c r="G711" s="8">
        <v>0</v>
      </c>
      <c r="H711" s="9">
        <v>0</v>
      </c>
      <c r="I711" s="9">
        <v>1</v>
      </c>
      <c r="J711" s="9">
        <v>0</v>
      </c>
      <c r="K711" s="9">
        <v>0</v>
      </c>
      <c r="L711" s="8">
        <v>30184</v>
      </c>
      <c r="M711" s="9">
        <v>8</v>
      </c>
      <c r="N711" s="9">
        <f t="shared" si="120"/>
        <v>30175</v>
      </c>
      <c r="O711" s="9">
        <f t="shared" si="121"/>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16"/>
        <v>0.77900000000000003</v>
      </c>
      <c r="AK711" s="36">
        <v>0.221</v>
      </c>
      <c r="AL711" s="35">
        <f t="shared" si="117"/>
        <v>0.78700000000000003</v>
      </c>
      <c r="AM711" s="36">
        <v>0.21299999999999999</v>
      </c>
      <c r="AN711">
        <v>0</v>
      </c>
      <c r="AO711" s="15">
        <v>1</v>
      </c>
      <c r="AP711">
        <f t="shared" si="118"/>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19"/>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35">
      <c r="A712">
        <v>711</v>
      </c>
      <c r="B712">
        <v>45</v>
      </c>
      <c r="C712" s="22" t="s">
        <v>375</v>
      </c>
      <c r="D712" s="11">
        <v>5.3</v>
      </c>
      <c r="E712" s="12">
        <v>0.1</v>
      </c>
      <c r="F712" s="7">
        <v>16.8571428571429</v>
      </c>
      <c r="G712" s="8">
        <v>0</v>
      </c>
      <c r="H712" s="9">
        <v>0</v>
      </c>
      <c r="I712" s="9">
        <v>1</v>
      </c>
      <c r="J712" s="9">
        <v>0</v>
      </c>
      <c r="K712" s="9">
        <v>0</v>
      </c>
      <c r="L712" s="8">
        <v>44729</v>
      </c>
      <c r="M712" s="9">
        <v>9</v>
      </c>
      <c r="N712" s="9">
        <f t="shared" si="120"/>
        <v>44719</v>
      </c>
      <c r="O712" s="9">
        <f t="shared" si="121"/>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16"/>
        <v>0.77900000000000003</v>
      </c>
      <c r="AK712" s="36">
        <v>0.221</v>
      </c>
      <c r="AL712" s="35">
        <f t="shared" si="117"/>
        <v>0.78700000000000003</v>
      </c>
      <c r="AM712" s="36">
        <v>0.21299999999999999</v>
      </c>
      <c r="AN712">
        <v>0</v>
      </c>
      <c r="AO712" s="15">
        <v>1</v>
      </c>
      <c r="AP712">
        <f t="shared" si="118"/>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19"/>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35">
      <c r="A713">
        <v>712</v>
      </c>
      <c r="B713">
        <v>45</v>
      </c>
      <c r="C713" s="22" t="s">
        <v>375</v>
      </c>
      <c r="D713" s="11">
        <v>5.7</v>
      </c>
      <c r="E713" s="12">
        <v>0.2</v>
      </c>
      <c r="F713" s="7">
        <v>17.8571428571429</v>
      </c>
      <c r="G713" s="8">
        <v>0</v>
      </c>
      <c r="H713" s="9">
        <v>0</v>
      </c>
      <c r="I713" s="9">
        <v>1</v>
      </c>
      <c r="J713" s="9">
        <v>0</v>
      </c>
      <c r="K713" s="9">
        <v>0</v>
      </c>
      <c r="L713" s="8">
        <v>30588</v>
      </c>
      <c r="M713" s="9">
        <v>10</v>
      </c>
      <c r="N713" s="9">
        <f t="shared" si="120"/>
        <v>30577</v>
      </c>
      <c r="O713" s="9">
        <f t="shared" si="121"/>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16"/>
        <v>0.78400000000000003</v>
      </c>
      <c r="AK713" s="36">
        <v>0.216</v>
      </c>
      <c r="AL713" s="35">
        <f t="shared" si="117"/>
        <v>0.76300000000000001</v>
      </c>
      <c r="AM713" s="36">
        <v>0.23699999999999999</v>
      </c>
      <c r="AN713">
        <v>0</v>
      </c>
      <c r="AO713" s="15">
        <v>1</v>
      </c>
      <c r="AP713">
        <f t="shared" si="118"/>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19"/>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35">
      <c r="A714">
        <v>713</v>
      </c>
      <c r="B714">
        <v>45</v>
      </c>
      <c r="C714" s="22" t="s">
        <v>375</v>
      </c>
      <c r="D714" s="11">
        <v>4.7</v>
      </c>
      <c r="E714" s="12">
        <v>0.2</v>
      </c>
      <c r="F714" s="7">
        <v>18.8571428571429</v>
      </c>
      <c r="G714" s="8">
        <v>0</v>
      </c>
      <c r="H714" s="9">
        <v>0</v>
      </c>
      <c r="I714" s="9">
        <v>1</v>
      </c>
      <c r="J714" s="9">
        <v>0</v>
      </c>
      <c r="K714" s="9">
        <v>0</v>
      </c>
      <c r="L714" s="8">
        <v>11742</v>
      </c>
      <c r="M714" s="9">
        <v>11</v>
      </c>
      <c r="N714" s="9">
        <f t="shared" si="120"/>
        <v>11730</v>
      </c>
      <c r="O714" s="9">
        <f t="shared" si="121"/>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16"/>
        <v>0.78400000000000003</v>
      </c>
      <c r="AK714" s="36">
        <v>0.216</v>
      </c>
      <c r="AL714" s="35">
        <f t="shared" si="117"/>
        <v>0.76300000000000001</v>
      </c>
      <c r="AM714" s="36">
        <v>0.23699999999999999</v>
      </c>
      <c r="AN714">
        <v>0</v>
      </c>
      <c r="AO714" s="15">
        <v>1</v>
      </c>
      <c r="AP714">
        <f t="shared" si="118"/>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19"/>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35">
      <c r="A715">
        <v>714</v>
      </c>
      <c r="B715">
        <v>45</v>
      </c>
      <c r="C715" s="22" t="s">
        <v>375</v>
      </c>
      <c r="D715" s="11">
        <v>6.1</v>
      </c>
      <c r="E715" s="12">
        <v>0.2</v>
      </c>
      <c r="F715" s="7">
        <v>19.8571428571429</v>
      </c>
      <c r="G715" s="8">
        <v>0</v>
      </c>
      <c r="H715" s="9">
        <v>0</v>
      </c>
      <c r="I715" s="9">
        <v>1</v>
      </c>
      <c r="J715" s="9">
        <v>0</v>
      </c>
      <c r="K715" s="9">
        <v>0</v>
      </c>
      <c r="L715" s="8">
        <v>7169</v>
      </c>
      <c r="M715" s="9">
        <v>12</v>
      </c>
      <c r="N715" s="9">
        <f t="shared" si="120"/>
        <v>7156</v>
      </c>
      <c r="O715" s="9">
        <f t="shared" si="121"/>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16"/>
        <v>0.78200000000000003</v>
      </c>
      <c r="AK715" s="36">
        <v>0.218</v>
      </c>
      <c r="AL715" s="35">
        <f t="shared" si="117"/>
        <v>0.77600000000000002</v>
      </c>
      <c r="AM715" s="36">
        <v>0.224</v>
      </c>
      <c r="AN715">
        <v>0</v>
      </c>
      <c r="AO715" s="15">
        <v>1</v>
      </c>
      <c r="AP715">
        <f t="shared" si="118"/>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19"/>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3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20"/>
        <v>12002</v>
      </c>
      <c r="O716" s="9">
        <f t="shared" si="121"/>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16"/>
        <v>0.78200000000000003</v>
      </c>
      <c r="AK716" s="36">
        <v>0.218</v>
      </c>
      <c r="AL716" s="35">
        <f t="shared" si="117"/>
        <v>0.77600000000000002</v>
      </c>
      <c r="AM716" s="36">
        <v>0.224</v>
      </c>
      <c r="AN716">
        <v>0</v>
      </c>
      <c r="AO716" s="15">
        <v>1</v>
      </c>
      <c r="AP716">
        <f t="shared" si="118"/>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19"/>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35">
      <c r="A717">
        <v>716</v>
      </c>
      <c r="B717">
        <v>45</v>
      </c>
      <c r="C717" s="22" t="s">
        <v>375</v>
      </c>
      <c r="D717" s="11">
        <v>6.7</v>
      </c>
      <c r="E717" s="12">
        <v>0.2</v>
      </c>
      <c r="F717" s="7">
        <v>21.8571428571429</v>
      </c>
      <c r="G717" s="8">
        <v>0</v>
      </c>
      <c r="H717" s="9">
        <v>0</v>
      </c>
      <c r="I717" s="9">
        <v>1</v>
      </c>
      <c r="J717" s="9">
        <v>0</v>
      </c>
      <c r="K717" s="9">
        <v>0</v>
      </c>
      <c r="L717" s="8">
        <v>7232</v>
      </c>
      <c r="M717" s="9">
        <v>14</v>
      </c>
      <c r="N717" s="9">
        <f t="shared" si="120"/>
        <v>7217</v>
      </c>
      <c r="O717" s="9">
        <f t="shared" si="121"/>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16"/>
        <v>0.77900000000000003</v>
      </c>
      <c r="AK717" s="36">
        <v>0.221</v>
      </c>
      <c r="AL717" s="35">
        <f t="shared" si="117"/>
        <v>0.78800000000000003</v>
      </c>
      <c r="AM717" s="36">
        <v>0.21199999999999999</v>
      </c>
      <c r="AN717">
        <v>0</v>
      </c>
      <c r="AO717" s="15">
        <v>1</v>
      </c>
      <c r="AP717">
        <f t="shared" si="118"/>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19"/>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35">
      <c r="A718">
        <v>717</v>
      </c>
      <c r="B718">
        <v>45</v>
      </c>
      <c r="C718" s="22" t="s">
        <v>375</v>
      </c>
      <c r="D718" s="11">
        <v>5.9</v>
      </c>
      <c r="E718" s="12">
        <v>0.2</v>
      </c>
      <c r="F718" s="7">
        <v>22.8571428571429</v>
      </c>
      <c r="G718" s="8">
        <v>0</v>
      </c>
      <c r="H718" s="9">
        <v>0</v>
      </c>
      <c r="I718" s="9">
        <v>1</v>
      </c>
      <c r="J718" s="9">
        <v>0</v>
      </c>
      <c r="K718" s="9">
        <v>0</v>
      </c>
      <c r="L718" s="8">
        <v>12692</v>
      </c>
      <c r="M718" s="9">
        <v>15</v>
      </c>
      <c r="N718" s="9">
        <f t="shared" si="120"/>
        <v>12676</v>
      </c>
      <c r="O718" s="9">
        <f t="shared" si="121"/>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16"/>
        <v>0.77900000000000003</v>
      </c>
      <c r="AK718" s="36">
        <v>0.221</v>
      </c>
      <c r="AL718" s="35">
        <f t="shared" si="117"/>
        <v>0.78800000000000003</v>
      </c>
      <c r="AM718" s="36">
        <v>0.21199999999999999</v>
      </c>
      <c r="AN718">
        <v>0</v>
      </c>
      <c r="AO718" s="15">
        <v>1</v>
      </c>
      <c r="AP718">
        <f t="shared" si="118"/>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19"/>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35">
      <c r="A719">
        <v>718</v>
      </c>
      <c r="B719">
        <v>45</v>
      </c>
      <c r="C719" s="22" t="s">
        <v>375</v>
      </c>
      <c r="D719" s="11">
        <v>6.2</v>
      </c>
      <c r="E719" s="12">
        <v>0.2</v>
      </c>
      <c r="F719" s="7">
        <v>23.8571428571429</v>
      </c>
      <c r="G719" s="8">
        <v>0</v>
      </c>
      <c r="H719" s="9">
        <v>0</v>
      </c>
      <c r="I719" s="9">
        <v>1</v>
      </c>
      <c r="J719" s="9">
        <v>0</v>
      </c>
      <c r="K719" s="9">
        <v>0</v>
      </c>
      <c r="L719" s="8">
        <v>7607</v>
      </c>
      <c r="M719" s="9">
        <v>16</v>
      </c>
      <c r="N719" s="9">
        <f t="shared" si="120"/>
        <v>7590</v>
      </c>
      <c r="O719" s="9">
        <f t="shared" si="121"/>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16"/>
        <v>0.77900000000000003</v>
      </c>
      <c r="AK719" s="36">
        <v>0.221</v>
      </c>
      <c r="AL719" s="35">
        <f t="shared" si="117"/>
        <v>0.78700000000000003</v>
      </c>
      <c r="AM719" s="36">
        <v>0.21299999999999999</v>
      </c>
      <c r="AN719">
        <v>0</v>
      </c>
      <c r="AO719" s="15">
        <v>1</v>
      </c>
      <c r="AP719">
        <f t="shared" si="118"/>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19"/>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35">
      <c r="A720">
        <v>719</v>
      </c>
      <c r="B720">
        <v>45</v>
      </c>
      <c r="C720" s="22" t="s">
        <v>375</v>
      </c>
      <c r="D720" s="11">
        <v>5</v>
      </c>
      <c r="E720" s="12">
        <v>0.2</v>
      </c>
      <c r="F720" s="7">
        <v>24.8571428571429</v>
      </c>
      <c r="G720" s="8">
        <v>0</v>
      </c>
      <c r="H720" s="9">
        <v>0</v>
      </c>
      <c r="I720" s="9">
        <v>1</v>
      </c>
      <c r="J720" s="9">
        <v>0</v>
      </c>
      <c r="K720" s="9">
        <v>0</v>
      </c>
      <c r="L720" s="8">
        <v>12622</v>
      </c>
      <c r="M720" s="9">
        <v>17</v>
      </c>
      <c r="N720" s="9">
        <f t="shared" si="120"/>
        <v>12604</v>
      </c>
      <c r="O720" s="9">
        <f t="shared" si="121"/>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16"/>
        <v>0.77900000000000003</v>
      </c>
      <c r="AK720" s="36">
        <v>0.221</v>
      </c>
      <c r="AL720" s="35">
        <f t="shared" si="117"/>
        <v>0.78700000000000003</v>
      </c>
      <c r="AM720" s="36">
        <v>0.21299999999999999</v>
      </c>
      <c r="AN720">
        <v>0</v>
      </c>
      <c r="AO720" s="15">
        <v>1</v>
      </c>
      <c r="AP720">
        <f t="shared" si="118"/>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19"/>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35">
      <c r="A721">
        <v>720</v>
      </c>
      <c r="B721">
        <v>45</v>
      </c>
      <c r="C721" s="22" t="s">
        <v>375</v>
      </c>
      <c r="D721" s="11">
        <v>7.74</v>
      </c>
      <c r="E721" s="12">
        <v>0.03</v>
      </c>
      <c r="F721" s="7">
        <v>25.8571428571429</v>
      </c>
      <c r="G721" s="8">
        <v>0</v>
      </c>
      <c r="H721" s="9">
        <v>0</v>
      </c>
      <c r="I721" s="9">
        <v>1</v>
      </c>
      <c r="J721" s="9">
        <v>0</v>
      </c>
      <c r="K721" s="9">
        <v>0</v>
      </c>
      <c r="L721" s="8">
        <v>387866</v>
      </c>
      <c r="M721" s="9">
        <v>10</v>
      </c>
      <c r="N721" s="9">
        <f t="shared" si="120"/>
        <v>387855</v>
      </c>
      <c r="O721" s="9">
        <f t="shared" si="121"/>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16"/>
        <v>0.77900000000000003</v>
      </c>
      <c r="AK721" s="36">
        <v>0.221</v>
      </c>
      <c r="AL721" s="35">
        <f t="shared" si="117"/>
        <v>0.78700000000000003</v>
      </c>
      <c r="AM721" s="36">
        <v>0.21299999999999999</v>
      </c>
      <c r="AN721">
        <v>0</v>
      </c>
      <c r="AO721" s="15">
        <v>1</v>
      </c>
      <c r="AP721">
        <f t="shared" si="118"/>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19"/>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35">
      <c r="A722">
        <v>721</v>
      </c>
      <c r="B722">
        <v>45</v>
      </c>
      <c r="C722" s="22" t="s">
        <v>375</v>
      </c>
      <c r="D722" s="11">
        <v>6.24</v>
      </c>
      <c r="E722" s="12">
        <v>0.03</v>
      </c>
      <c r="F722" s="7">
        <v>26.8571428571429</v>
      </c>
      <c r="G722" s="8">
        <v>0</v>
      </c>
      <c r="H722" s="9">
        <v>0</v>
      </c>
      <c r="I722" s="9">
        <v>1</v>
      </c>
      <c r="J722" s="9">
        <v>0</v>
      </c>
      <c r="K722" s="9">
        <v>0</v>
      </c>
      <c r="L722" s="8">
        <v>387866</v>
      </c>
      <c r="M722" s="9">
        <v>14</v>
      </c>
      <c r="N722" s="9">
        <f t="shared" si="120"/>
        <v>387851</v>
      </c>
      <c r="O722" s="9">
        <f t="shared" si="121"/>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16"/>
        <v>0.77900000000000003</v>
      </c>
      <c r="AK722" s="36">
        <v>0.221</v>
      </c>
      <c r="AL722" s="35">
        <f t="shared" si="117"/>
        <v>0.78700000000000003</v>
      </c>
      <c r="AM722" s="36">
        <v>0.21299999999999999</v>
      </c>
      <c r="AN722">
        <v>0</v>
      </c>
      <c r="AO722" s="15">
        <v>1</v>
      </c>
      <c r="AP722">
        <f t="shared" si="118"/>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19"/>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35">
      <c r="A723">
        <v>722</v>
      </c>
      <c r="B723">
        <v>45</v>
      </c>
      <c r="C723" s="22" t="s">
        <v>375</v>
      </c>
      <c r="D723" s="11">
        <v>6.15</v>
      </c>
      <c r="E723" s="12">
        <v>0.03</v>
      </c>
      <c r="F723" s="7">
        <v>27.8571428571429</v>
      </c>
      <c r="G723" s="8">
        <v>0</v>
      </c>
      <c r="H723" s="9">
        <v>0</v>
      </c>
      <c r="I723" s="9">
        <v>1</v>
      </c>
      <c r="J723" s="9">
        <v>0</v>
      </c>
      <c r="K723" s="9">
        <v>0</v>
      </c>
      <c r="L723" s="8">
        <v>324084</v>
      </c>
      <c r="M723" s="9">
        <v>17</v>
      </c>
      <c r="N723" s="9">
        <f t="shared" si="120"/>
        <v>324066</v>
      </c>
      <c r="O723" s="9">
        <f t="shared" si="121"/>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16"/>
        <v>0.77900000000000003</v>
      </c>
      <c r="AK723" s="36">
        <v>0.221</v>
      </c>
      <c r="AL723" s="35">
        <f t="shared" si="117"/>
        <v>0.78700000000000003</v>
      </c>
      <c r="AM723" s="36">
        <v>0.21299999999999999</v>
      </c>
      <c r="AN723">
        <v>0</v>
      </c>
      <c r="AO723" s="15">
        <v>1</v>
      </c>
      <c r="AP723">
        <f t="shared" si="118"/>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19"/>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35">
      <c r="A724">
        <v>723</v>
      </c>
      <c r="B724">
        <v>45</v>
      </c>
      <c r="C724" s="22" t="s">
        <v>375</v>
      </c>
      <c r="D724" s="11">
        <v>6.05</v>
      </c>
      <c r="E724" s="12">
        <v>0.04</v>
      </c>
      <c r="F724" s="7">
        <v>28.8571428571429</v>
      </c>
      <c r="G724" s="8">
        <v>0</v>
      </c>
      <c r="H724" s="9">
        <v>0</v>
      </c>
      <c r="I724" s="9">
        <v>1</v>
      </c>
      <c r="J724" s="9">
        <v>0</v>
      </c>
      <c r="K724" s="9">
        <v>0</v>
      </c>
      <c r="L724" s="8">
        <v>254332</v>
      </c>
      <c r="M724" s="9">
        <v>17</v>
      </c>
      <c r="N724" s="9">
        <f t="shared" si="120"/>
        <v>254314</v>
      </c>
      <c r="O724" s="9">
        <f t="shared" si="121"/>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16"/>
        <v>0.77900000000000003</v>
      </c>
      <c r="AK724" s="36">
        <v>0.221</v>
      </c>
      <c r="AL724" s="35">
        <f t="shared" si="117"/>
        <v>0.78700000000000003</v>
      </c>
      <c r="AM724" s="36">
        <v>0.21299999999999999</v>
      </c>
      <c r="AN724">
        <v>0</v>
      </c>
      <c r="AO724" s="15">
        <v>1</v>
      </c>
      <c r="AP724">
        <f t="shared" si="118"/>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19"/>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3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20"/>
        <v>69734</v>
      </c>
      <c r="O725" s="9">
        <f t="shared" si="121"/>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16"/>
        <v>0.77900000000000003</v>
      </c>
      <c r="AK725" s="36">
        <v>0.221</v>
      </c>
      <c r="AL725" s="35">
        <f t="shared" si="117"/>
        <v>0.78700000000000003</v>
      </c>
      <c r="AM725" s="36">
        <v>0.21299999999999999</v>
      </c>
      <c r="AN725">
        <v>0</v>
      </c>
      <c r="AO725" s="15">
        <v>1</v>
      </c>
      <c r="AP725">
        <f t="shared" si="118"/>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19"/>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35">
      <c r="A726">
        <v>725</v>
      </c>
      <c r="B726">
        <v>45</v>
      </c>
      <c r="C726" s="22" t="s">
        <v>375</v>
      </c>
      <c r="D726" s="11">
        <v>3.66</v>
      </c>
      <c r="E726" s="12">
        <v>0.04</v>
      </c>
      <c r="F726" s="7">
        <v>30.8571428571429</v>
      </c>
      <c r="G726" s="8">
        <v>0</v>
      </c>
      <c r="H726" s="9">
        <v>0</v>
      </c>
      <c r="I726" s="9">
        <v>1</v>
      </c>
      <c r="J726" s="9">
        <v>0</v>
      </c>
      <c r="K726" s="9">
        <v>0</v>
      </c>
      <c r="L726" s="8">
        <v>291130</v>
      </c>
      <c r="M726" s="9">
        <v>18</v>
      </c>
      <c r="N726" s="9">
        <f t="shared" si="120"/>
        <v>291111</v>
      </c>
      <c r="O726" s="9">
        <f t="shared" si="121"/>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16"/>
        <v>0.77900000000000003</v>
      </c>
      <c r="AK726" s="36">
        <v>0.221</v>
      </c>
      <c r="AL726" s="35">
        <f t="shared" si="117"/>
        <v>0.78700000000000003</v>
      </c>
      <c r="AM726" s="36">
        <v>0.21299999999999999</v>
      </c>
      <c r="AN726">
        <v>0</v>
      </c>
      <c r="AO726" s="15">
        <v>1</v>
      </c>
      <c r="AP726">
        <f t="shared" si="118"/>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19"/>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35">
      <c r="A727">
        <v>726</v>
      </c>
      <c r="B727">
        <v>45</v>
      </c>
      <c r="C727" s="22" t="s">
        <v>375</v>
      </c>
      <c r="D727" s="11">
        <v>5.84</v>
      </c>
      <c r="E727" s="12">
        <v>0.04</v>
      </c>
      <c r="F727" s="7">
        <v>31.8571428571429</v>
      </c>
      <c r="G727" s="8">
        <v>0</v>
      </c>
      <c r="H727" s="9">
        <v>0</v>
      </c>
      <c r="I727" s="9">
        <v>1</v>
      </c>
      <c r="J727" s="9">
        <v>0</v>
      </c>
      <c r="K727" s="9">
        <v>0</v>
      </c>
      <c r="L727" s="8">
        <v>324084</v>
      </c>
      <c r="M727" s="9">
        <v>17</v>
      </c>
      <c r="N727" s="9">
        <f t="shared" si="120"/>
        <v>324066</v>
      </c>
      <c r="O727" s="9">
        <f t="shared" si="121"/>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16"/>
        <v>0.77900000000000003</v>
      </c>
      <c r="AK727" s="36">
        <v>0.221</v>
      </c>
      <c r="AL727" s="35">
        <f t="shared" si="117"/>
        <v>0.78700000000000003</v>
      </c>
      <c r="AM727" s="36">
        <v>0.21299999999999999</v>
      </c>
      <c r="AN727">
        <v>0</v>
      </c>
      <c r="AO727" s="15">
        <v>1</v>
      </c>
      <c r="AP727">
        <f t="shared" si="118"/>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19"/>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35">
      <c r="A728">
        <v>727</v>
      </c>
      <c r="B728">
        <v>45</v>
      </c>
      <c r="C728" s="22" t="s">
        <v>375</v>
      </c>
      <c r="D728" s="11">
        <v>7.79</v>
      </c>
      <c r="E728" s="12">
        <v>0.03</v>
      </c>
      <c r="F728" s="7">
        <v>32.857142857142897</v>
      </c>
      <c r="G728" s="8">
        <v>0</v>
      </c>
      <c r="H728" s="9">
        <v>0</v>
      </c>
      <c r="I728" s="9">
        <v>1</v>
      </c>
      <c r="J728" s="9">
        <v>0</v>
      </c>
      <c r="K728" s="9">
        <v>0</v>
      </c>
      <c r="L728" s="8">
        <v>387866</v>
      </c>
      <c r="M728" s="9">
        <v>10</v>
      </c>
      <c r="N728" s="9">
        <f t="shared" si="120"/>
        <v>387855</v>
      </c>
      <c r="O728" s="9">
        <f t="shared" si="121"/>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16"/>
        <v>0.77900000000000003</v>
      </c>
      <c r="AK728" s="36">
        <v>0.221</v>
      </c>
      <c r="AL728" s="35">
        <f t="shared" si="117"/>
        <v>0.78700000000000003</v>
      </c>
      <c r="AM728" s="36">
        <v>0.21299999999999999</v>
      </c>
      <c r="AN728">
        <v>0</v>
      </c>
      <c r="AO728" s="15">
        <v>1</v>
      </c>
      <c r="AP728">
        <f t="shared" si="118"/>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19"/>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35">
      <c r="A729">
        <v>728</v>
      </c>
      <c r="B729">
        <v>45</v>
      </c>
      <c r="C729" s="22" t="s">
        <v>375</v>
      </c>
      <c r="D729" s="11">
        <v>6.23</v>
      </c>
      <c r="E729" s="12">
        <v>0.03</v>
      </c>
      <c r="F729" s="7">
        <v>33.857142857142897</v>
      </c>
      <c r="G729" s="8">
        <v>0</v>
      </c>
      <c r="H729" s="9">
        <v>0</v>
      </c>
      <c r="I729" s="9">
        <v>1</v>
      </c>
      <c r="J729" s="9">
        <v>0</v>
      </c>
      <c r="K729" s="9">
        <v>0</v>
      </c>
      <c r="L729" s="8">
        <v>387866</v>
      </c>
      <c r="M729" s="9">
        <v>14</v>
      </c>
      <c r="N729" s="9">
        <f t="shared" si="120"/>
        <v>387851</v>
      </c>
      <c r="O729" s="9">
        <f t="shared" si="121"/>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16"/>
        <v>0.77900000000000003</v>
      </c>
      <c r="AK729" s="36">
        <v>0.221</v>
      </c>
      <c r="AL729" s="35">
        <f t="shared" si="117"/>
        <v>0.78700000000000003</v>
      </c>
      <c r="AM729" s="36">
        <v>0.21299999999999999</v>
      </c>
      <c r="AN729">
        <v>0</v>
      </c>
      <c r="AO729" s="15">
        <v>1</v>
      </c>
      <c r="AP729">
        <f t="shared" si="118"/>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19"/>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35">
      <c r="A730">
        <v>729</v>
      </c>
      <c r="B730">
        <v>45</v>
      </c>
      <c r="C730" s="22" t="s">
        <v>375</v>
      </c>
      <c r="D730" s="11">
        <v>6.15</v>
      </c>
      <c r="E730" s="12">
        <v>0.03</v>
      </c>
      <c r="F730" s="7">
        <v>34.857142857142897</v>
      </c>
      <c r="G730" s="8">
        <v>0</v>
      </c>
      <c r="H730" s="9">
        <v>0</v>
      </c>
      <c r="I730" s="9">
        <v>1</v>
      </c>
      <c r="J730" s="9">
        <v>0</v>
      </c>
      <c r="K730" s="9">
        <v>0</v>
      </c>
      <c r="L730" s="8">
        <v>324084</v>
      </c>
      <c r="M730" s="9">
        <v>17</v>
      </c>
      <c r="N730" s="9">
        <f t="shared" si="120"/>
        <v>324066</v>
      </c>
      <c r="O730" s="9">
        <f t="shared" si="121"/>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16"/>
        <v>0.77900000000000003</v>
      </c>
      <c r="AK730" s="36">
        <v>0.221</v>
      </c>
      <c r="AL730" s="35">
        <f t="shared" si="117"/>
        <v>0.78700000000000003</v>
      </c>
      <c r="AM730" s="36">
        <v>0.21299999999999999</v>
      </c>
      <c r="AN730">
        <v>0</v>
      </c>
      <c r="AO730" s="15">
        <v>1</v>
      </c>
      <c r="AP730">
        <f t="shared" si="118"/>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19"/>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35">
      <c r="A731">
        <v>730</v>
      </c>
      <c r="B731">
        <v>45</v>
      </c>
      <c r="C731" s="22" t="s">
        <v>375</v>
      </c>
      <c r="D731" s="11">
        <v>6.05</v>
      </c>
      <c r="E731" s="12">
        <v>0.04</v>
      </c>
      <c r="F731" s="7">
        <v>35.857142857142897</v>
      </c>
      <c r="G731" s="8">
        <v>0</v>
      </c>
      <c r="H731" s="9">
        <v>0</v>
      </c>
      <c r="I731" s="9">
        <v>1</v>
      </c>
      <c r="J731" s="9">
        <v>0</v>
      </c>
      <c r="K731" s="9">
        <v>0</v>
      </c>
      <c r="L731" s="8">
        <v>254332</v>
      </c>
      <c r="M731" s="9">
        <v>17</v>
      </c>
      <c r="N731" s="9">
        <f t="shared" si="120"/>
        <v>254314</v>
      </c>
      <c r="O731" s="9">
        <f t="shared" si="121"/>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16"/>
        <v>0.77900000000000003</v>
      </c>
      <c r="AK731" s="36">
        <v>0.221</v>
      </c>
      <c r="AL731" s="35">
        <f t="shared" si="117"/>
        <v>0.78700000000000003</v>
      </c>
      <c r="AM731" s="36">
        <v>0.21299999999999999</v>
      </c>
      <c r="AN731">
        <v>0</v>
      </c>
      <c r="AO731" s="15">
        <v>1</v>
      </c>
      <c r="AP731">
        <f t="shared" si="118"/>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19"/>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3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20"/>
        <v>69734</v>
      </c>
      <c r="O732" s="9">
        <f t="shared" si="121"/>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16"/>
        <v>0.77900000000000003</v>
      </c>
      <c r="AK732" s="36">
        <v>0.221</v>
      </c>
      <c r="AL732" s="35">
        <f t="shared" si="117"/>
        <v>0.78700000000000003</v>
      </c>
      <c r="AM732" s="36">
        <v>0.21299999999999999</v>
      </c>
      <c r="AN732">
        <v>0</v>
      </c>
      <c r="AO732" s="15">
        <v>1</v>
      </c>
      <c r="AP732">
        <f t="shared" si="118"/>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19"/>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35">
      <c r="A733">
        <v>732</v>
      </c>
      <c r="B733">
        <v>45</v>
      </c>
      <c r="C733" s="22" t="s">
        <v>375</v>
      </c>
      <c r="D733" s="11">
        <v>3.66</v>
      </c>
      <c r="E733" s="12">
        <v>0.04</v>
      </c>
      <c r="F733" s="7">
        <v>37.857142857142897</v>
      </c>
      <c r="G733" s="8">
        <v>0</v>
      </c>
      <c r="H733" s="9">
        <v>0</v>
      </c>
      <c r="I733" s="9">
        <v>1</v>
      </c>
      <c r="J733" s="9">
        <v>0</v>
      </c>
      <c r="K733" s="9">
        <v>0</v>
      </c>
      <c r="L733" s="8">
        <v>291130</v>
      </c>
      <c r="M733" s="9">
        <v>18</v>
      </c>
      <c r="N733" s="9">
        <f t="shared" si="120"/>
        <v>291111</v>
      </c>
      <c r="O733" s="9">
        <f t="shared" si="121"/>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16"/>
        <v>0.77900000000000003</v>
      </c>
      <c r="AK733" s="36">
        <v>0.221</v>
      </c>
      <c r="AL733" s="35">
        <f t="shared" si="117"/>
        <v>0.78700000000000003</v>
      </c>
      <c r="AM733" s="36">
        <v>0.21299999999999999</v>
      </c>
      <c r="AN733">
        <v>0</v>
      </c>
      <c r="AO733" s="15">
        <v>1</v>
      </c>
      <c r="AP733">
        <f t="shared" si="118"/>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19"/>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3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20"/>
        <v>324066</v>
      </c>
      <c r="O734" s="134">
        <f t="shared" si="121"/>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16"/>
        <v>0.77900000000000003</v>
      </c>
      <c r="AK734" s="140">
        <v>0.221</v>
      </c>
      <c r="AL734" s="152">
        <f t="shared" si="117"/>
        <v>0.78700000000000003</v>
      </c>
      <c r="AM734" s="140">
        <v>0.21299999999999999</v>
      </c>
      <c r="AN734">
        <v>0</v>
      </c>
      <c r="AO734" s="139">
        <v>1</v>
      </c>
      <c r="AP734" s="127">
        <f t="shared" si="118"/>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19"/>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35">
      <c r="A735">
        <v>734</v>
      </c>
      <c r="B735">
        <v>46</v>
      </c>
      <c r="C735" s="22" t="s">
        <v>376</v>
      </c>
      <c r="D735" s="11">
        <v>8.5</v>
      </c>
      <c r="E735" s="12">
        <v>1.6</v>
      </c>
      <c r="F735" s="7">
        <f t="shared" ref="F735:F766" si="122">D735/E735</f>
        <v>5.3125</v>
      </c>
      <c r="G735" s="8">
        <v>1</v>
      </c>
      <c r="H735" s="9">
        <v>0</v>
      </c>
      <c r="I735" s="9">
        <v>0</v>
      </c>
      <c r="J735" s="9">
        <v>0</v>
      </c>
      <c r="K735" s="9">
        <v>0</v>
      </c>
      <c r="L735" s="8">
        <v>180</v>
      </c>
      <c r="M735" s="9">
        <v>2</v>
      </c>
      <c r="N735" s="9">
        <f t="shared" si="120"/>
        <v>177</v>
      </c>
      <c r="O735" s="9">
        <f t="shared" si="121"/>
        <v>14</v>
      </c>
      <c r="P735" s="7">
        <v>7.8</v>
      </c>
      <c r="Q735" s="7">
        <f t="shared" ref="Q735:Q748" si="123">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24">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35">
      <c r="A736">
        <v>735</v>
      </c>
      <c r="B736">
        <v>46</v>
      </c>
      <c r="C736" s="22" t="s">
        <v>376</v>
      </c>
      <c r="D736" s="11">
        <v>8.1</v>
      </c>
      <c r="E736" s="12">
        <v>1.7</v>
      </c>
      <c r="F736" s="7">
        <f t="shared" si="122"/>
        <v>4.7647058823529411</v>
      </c>
      <c r="G736" s="8">
        <v>1</v>
      </c>
      <c r="H736" s="9">
        <v>0</v>
      </c>
      <c r="I736" s="9">
        <v>0</v>
      </c>
      <c r="J736" s="9">
        <v>0</v>
      </c>
      <c r="K736" s="9">
        <v>0</v>
      </c>
      <c r="L736" s="8">
        <v>180</v>
      </c>
      <c r="M736" s="9">
        <v>9</v>
      </c>
      <c r="N736" s="9">
        <f t="shared" si="120"/>
        <v>170</v>
      </c>
      <c r="O736" s="9">
        <f t="shared" si="121"/>
        <v>14</v>
      </c>
      <c r="P736" s="7">
        <v>7.8</v>
      </c>
      <c r="Q736" s="7">
        <f t="shared" si="123"/>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24"/>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35">
      <c r="A737">
        <v>736</v>
      </c>
      <c r="B737">
        <v>46</v>
      </c>
      <c r="C737" s="22" t="s">
        <v>376</v>
      </c>
      <c r="D737" s="11">
        <v>7.3</v>
      </c>
      <c r="E737" s="12">
        <v>1.6</v>
      </c>
      <c r="F737" s="7">
        <f t="shared" si="122"/>
        <v>4.5625</v>
      </c>
      <c r="G737" s="8">
        <v>1</v>
      </c>
      <c r="H737" s="9">
        <v>0</v>
      </c>
      <c r="I737" s="9">
        <v>0</v>
      </c>
      <c r="J737" s="9">
        <v>0</v>
      </c>
      <c r="K737" s="9">
        <v>0</v>
      </c>
      <c r="L737" s="8">
        <v>180</v>
      </c>
      <c r="M737" s="9">
        <v>10</v>
      </c>
      <c r="N737" s="9">
        <f t="shared" si="120"/>
        <v>169</v>
      </c>
      <c r="O737" s="9">
        <f t="shared" si="121"/>
        <v>14</v>
      </c>
      <c r="P737" s="7">
        <v>7.8</v>
      </c>
      <c r="Q737" s="7">
        <f t="shared" si="123"/>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24"/>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35">
      <c r="A738">
        <v>737</v>
      </c>
      <c r="B738">
        <v>46</v>
      </c>
      <c r="C738" s="22" t="s">
        <v>376</v>
      </c>
      <c r="D738" s="11">
        <v>7.4</v>
      </c>
      <c r="E738" s="12">
        <v>2</v>
      </c>
      <c r="F738" s="7">
        <f t="shared" si="122"/>
        <v>3.7</v>
      </c>
      <c r="G738" s="8">
        <v>1</v>
      </c>
      <c r="H738" s="9">
        <v>0</v>
      </c>
      <c r="I738" s="9">
        <v>0</v>
      </c>
      <c r="J738" s="9">
        <v>0</v>
      </c>
      <c r="K738" s="9">
        <v>0</v>
      </c>
      <c r="L738" s="8">
        <v>180</v>
      </c>
      <c r="M738" s="9">
        <v>10</v>
      </c>
      <c r="N738" s="9">
        <f t="shared" si="120"/>
        <v>169</v>
      </c>
      <c r="O738" s="9">
        <f t="shared" si="121"/>
        <v>14</v>
      </c>
      <c r="P738" s="7">
        <v>7.8</v>
      </c>
      <c r="Q738" s="7">
        <f t="shared" si="123"/>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24"/>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35">
      <c r="A739">
        <v>738</v>
      </c>
      <c r="B739">
        <v>46</v>
      </c>
      <c r="C739" s="22" t="s">
        <v>376</v>
      </c>
      <c r="D739" s="11">
        <v>10.199999999999999</v>
      </c>
      <c r="E739" s="12">
        <v>0.8</v>
      </c>
      <c r="F739" s="7">
        <f t="shared" si="122"/>
        <v>12.749999999999998</v>
      </c>
      <c r="G739" s="8">
        <v>1</v>
      </c>
      <c r="H739" s="9">
        <v>0</v>
      </c>
      <c r="I739" s="9">
        <v>0</v>
      </c>
      <c r="J739" s="9">
        <v>0</v>
      </c>
      <c r="K739" s="9">
        <v>0</v>
      </c>
      <c r="L739" s="8">
        <v>1381</v>
      </c>
      <c r="M739" s="9">
        <v>2</v>
      </c>
      <c r="N739" s="9">
        <f t="shared" si="120"/>
        <v>1378</v>
      </c>
      <c r="O739" s="9">
        <f t="shared" si="121"/>
        <v>14</v>
      </c>
      <c r="P739" s="7">
        <v>8.75</v>
      </c>
      <c r="Q739" s="7">
        <f t="shared" si="123"/>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24"/>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35">
      <c r="A740">
        <v>739</v>
      </c>
      <c r="B740">
        <v>46</v>
      </c>
      <c r="C740" s="22" t="s">
        <v>376</v>
      </c>
      <c r="D740" s="11">
        <v>9.3000000000000007</v>
      </c>
      <c r="E740" s="12">
        <v>0.8</v>
      </c>
      <c r="F740" s="7">
        <f t="shared" si="122"/>
        <v>11.625</v>
      </c>
      <c r="G740" s="8">
        <v>1</v>
      </c>
      <c r="H740" s="9">
        <v>0</v>
      </c>
      <c r="I740" s="9">
        <v>0</v>
      </c>
      <c r="J740" s="9">
        <v>0</v>
      </c>
      <c r="K740" s="9">
        <v>0</v>
      </c>
      <c r="L740" s="8">
        <v>1381</v>
      </c>
      <c r="M740" s="9">
        <v>9</v>
      </c>
      <c r="N740" s="9">
        <f t="shared" si="120"/>
        <v>1371</v>
      </c>
      <c r="O740" s="9">
        <f t="shared" si="121"/>
        <v>14</v>
      </c>
      <c r="P740" s="7">
        <v>8.75</v>
      </c>
      <c r="Q740" s="7">
        <f t="shared" si="123"/>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24"/>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35">
      <c r="A741">
        <v>740</v>
      </c>
      <c r="B741">
        <v>46</v>
      </c>
      <c r="C741" s="22" t="s">
        <v>376</v>
      </c>
      <c r="D741" s="11">
        <v>9.1</v>
      </c>
      <c r="E741" s="12">
        <v>0.9</v>
      </c>
      <c r="F741" s="7">
        <f t="shared" si="122"/>
        <v>10.111111111111111</v>
      </c>
      <c r="G741" s="8">
        <v>1</v>
      </c>
      <c r="H741" s="9">
        <v>0</v>
      </c>
      <c r="I741" s="9">
        <v>0</v>
      </c>
      <c r="J741" s="9">
        <v>0</v>
      </c>
      <c r="K741" s="9">
        <v>0</v>
      </c>
      <c r="L741" s="8">
        <v>1381</v>
      </c>
      <c r="M741" s="9">
        <v>10</v>
      </c>
      <c r="N741" s="9">
        <f t="shared" si="120"/>
        <v>1370</v>
      </c>
      <c r="O741" s="9">
        <f t="shared" si="121"/>
        <v>14</v>
      </c>
      <c r="P741" s="7">
        <v>8.75</v>
      </c>
      <c r="Q741" s="7">
        <f t="shared" si="123"/>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24"/>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35">
      <c r="A742">
        <v>741</v>
      </c>
      <c r="B742">
        <v>46</v>
      </c>
      <c r="C742" s="22" t="s">
        <v>376</v>
      </c>
      <c r="D742" s="11">
        <v>9</v>
      </c>
      <c r="E742" s="12">
        <v>0.8</v>
      </c>
      <c r="F742" s="7">
        <f t="shared" si="122"/>
        <v>11.25</v>
      </c>
      <c r="G742" s="8">
        <v>1</v>
      </c>
      <c r="H742" s="9">
        <v>0</v>
      </c>
      <c r="I742" s="9">
        <v>0</v>
      </c>
      <c r="J742" s="9">
        <v>0</v>
      </c>
      <c r="K742" s="9">
        <v>0</v>
      </c>
      <c r="L742" s="8">
        <v>1381</v>
      </c>
      <c r="M742" s="9">
        <v>10</v>
      </c>
      <c r="N742" s="9">
        <f t="shared" si="120"/>
        <v>1370</v>
      </c>
      <c r="O742" s="9">
        <f t="shared" si="121"/>
        <v>14</v>
      </c>
      <c r="P742" s="7">
        <v>8.75</v>
      </c>
      <c r="Q742" s="7">
        <f t="shared" si="123"/>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24"/>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35">
      <c r="A743">
        <v>742</v>
      </c>
      <c r="B743">
        <v>46</v>
      </c>
      <c r="C743" s="22" t="s">
        <v>376</v>
      </c>
      <c r="D743" s="11">
        <v>6.4</v>
      </c>
      <c r="E743" s="12">
        <v>1.5</v>
      </c>
      <c r="F743" s="7">
        <f t="shared" si="122"/>
        <v>4.2666666666666666</v>
      </c>
      <c r="G743" s="8">
        <v>1</v>
      </c>
      <c r="H743" s="9">
        <v>0</v>
      </c>
      <c r="I743" s="9">
        <v>0</v>
      </c>
      <c r="J743" s="9">
        <v>0</v>
      </c>
      <c r="K743" s="9">
        <v>0</v>
      </c>
      <c r="L743" s="8">
        <v>304</v>
      </c>
      <c r="M743" s="9">
        <v>2</v>
      </c>
      <c r="N743" s="9">
        <f t="shared" si="120"/>
        <v>301</v>
      </c>
      <c r="O743" s="9">
        <f t="shared" si="121"/>
        <v>14</v>
      </c>
      <c r="P743" s="7">
        <v>7.8</v>
      </c>
      <c r="Q743" s="7">
        <f t="shared" si="123"/>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24"/>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35">
      <c r="A744">
        <v>743</v>
      </c>
      <c r="B744">
        <v>46</v>
      </c>
      <c r="C744" s="22" t="s">
        <v>376</v>
      </c>
      <c r="D744" s="11">
        <v>5.9</v>
      </c>
      <c r="E744" s="12">
        <v>1.6</v>
      </c>
      <c r="F744" s="7">
        <f t="shared" si="122"/>
        <v>3.6875</v>
      </c>
      <c r="G744" s="8">
        <v>1</v>
      </c>
      <c r="H744" s="9">
        <v>0</v>
      </c>
      <c r="I744" s="9">
        <v>0</v>
      </c>
      <c r="J744" s="9">
        <v>0</v>
      </c>
      <c r="K744" s="9">
        <v>0</v>
      </c>
      <c r="L744" s="8">
        <v>304</v>
      </c>
      <c r="M744" s="9">
        <v>10</v>
      </c>
      <c r="N744" s="9">
        <f t="shared" si="120"/>
        <v>293</v>
      </c>
      <c r="O744" s="9">
        <f t="shared" si="121"/>
        <v>14</v>
      </c>
      <c r="P744" s="7">
        <v>7.8</v>
      </c>
      <c r="Q744" s="7">
        <f t="shared" si="123"/>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24"/>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35">
      <c r="A745">
        <v>744</v>
      </c>
      <c r="B745">
        <v>46</v>
      </c>
      <c r="C745" s="22" t="s">
        <v>376</v>
      </c>
      <c r="D745" s="11">
        <v>3.4</v>
      </c>
      <c r="E745" s="12">
        <v>1.5</v>
      </c>
      <c r="F745" s="7">
        <f t="shared" si="122"/>
        <v>2.2666666666666666</v>
      </c>
      <c r="G745" s="8">
        <v>1</v>
      </c>
      <c r="H745" s="9">
        <v>0</v>
      </c>
      <c r="I745" s="9">
        <v>0</v>
      </c>
      <c r="J745" s="9">
        <v>0</v>
      </c>
      <c r="K745" s="9">
        <v>0</v>
      </c>
      <c r="L745" s="8">
        <v>304</v>
      </c>
      <c r="M745" s="9">
        <v>10</v>
      </c>
      <c r="N745" s="9">
        <f t="shared" si="120"/>
        <v>293</v>
      </c>
      <c r="O745" s="9">
        <f t="shared" si="121"/>
        <v>14</v>
      </c>
      <c r="P745" s="7">
        <v>7.8</v>
      </c>
      <c r="Q745" s="7">
        <f t="shared" si="123"/>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24"/>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35">
      <c r="A746">
        <v>745</v>
      </c>
      <c r="B746">
        <v>46</v>
      </c>
      <c r="C746" s="22" t="s">
        <v>376</v>
      </c>
      <c r="D746" s="11">
        <v>5.7</v>
      </c>
      <c r="E746" s="12">
        <v>0.9</v>
      </c>
      <c r="F746" s="7">
        <f t="shared" si="122"/>
        <v>6.333333333333333</v>
      </c>
      <c r="G746" s="8">
        <v>1</v>
      </c>
      <c r="H746" s="9">
        <v>0</v>
      </c>
      <c r="I746" s="9">
        <v>0</v>
      </c>
      <c r="J746" s="9">
        <v>0</v>
      </c>
      <c r="K746" s="9">
        <v>0</v>
      </c>
      <c r="L746" s="8">
        <v>1800</v>
      </c>
      <c r="M746" s="9">
        <v>2</v>
      </c>
      <c r="N746" s="9">
        <f t="shared" si="120"/>
        <v>1797</v>
      </c>
      <c r="O746" s="9">
        <f t="shared" si="121"/>
        <v>14</v>
      </c>
      <c r="P746" s="7">
        <v>8.75</v>
      </c>
      <c r="Q746" s="7">
        <f t="shared" si="123"/>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24"/>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35">
      <c r="A747">
        <v>746</v>
      </c>
      <c r="B747">
        <v>46</v>
      </c>
      <c r="C747" s="22" t="s">
        <v>376</v>
      </c>
      <c r="D747" s="11">
        <v>5.7</v>
      </c>
      <c r="E747" s="12">
        <v>0.7</v>
      </c>
      <c r="F747" s="7">
        <f t="shared" si="122"/>
        <v>8.1428571428571441</v>
      </c>
      <c r="G747" s="8">
        <v>1</v>
      </c>
      <c r="H747" s="9">
        <v>0</v>
      </c>
      <c r="I747" s="9">
        <v>0</v>
      </c>
      <c r="J747" s="9">
        <v>0</v>
      </c>
      <c r="K747" s="9">
        <v>0</v>
      </c>
      <c r="L747" s="8">
        <v>1800</v>
      </c>
      <c r="M747" s="9">
        <v>10</v>
      </c>
      <c r="N747" s="9">
        <f t="shared" si="120"/>
        <v>1789</v>
      </c>
      <c r="O747" s="9">
        <f t="shared" si="121"/>
        <v>14</v>
      </c>
      <c r="P747" s="7">
        <v>8.75</v>
      </c>
      <c r="Q747" s="7">
        <f t="shared" si="123"/>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24"/>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35">
      <c r="A748" s="127">
        <v>747</v>
      </c>
      <c r="B748" s="127">
        <v>46</v>
      </c>
      <c r="C748" s="128" t="s">
        <v>376</v>
      </c>
      <c r="D748" s="129">
        <v>4.3</v>
      </c>
      <c r="E748" s="130">
        <v>0.8</v>
      </c>
      <c r="F748" s="131">
        <f t="shared" si="122"/>
        <v>5.3749999999999991</v>
      </c>
      <c r="G748" s="133">
        <v>1</v>
      </c>
      <c r="H748" s="134">
        <v>0</v>
      </c>
      <c r="I748" s="134">
        <v>0</v>
      </c>
      <c r="J748" s="134">
        <v>0</v>
      </c>
      <c r="K748" s="134">
        <v>0</v>
      </c>
      <c r="L748" s="133">
        <v>1800</v>
      </c>
      <c r="M748" s="134">
        <v>10</v>
      </c>
      <c r="N748" s="134">
        <f t="shared" si="120"/>
        <v>1789</v>
      </c>
      <c r="O748" s="134">
        <f t="shared" si="121"/>
        <v>14</v>
      </c>
      <c r="P748" s="131">
        <v>8.75</v>
      </c>
      <c r="Q748" s="131">
        <f t="shared" si="123"/>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24"/>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35">
      <c r="A749">
        <v>748</v>
      </c>
      <c r="B749">
        <v>47</v>
      </c>
      <c r="C749" s="22" t="s">
        <v>378</v>
      </c>
      <c r="D749" s="11">
        <v>18.399999999999999</v>
      </c>
      <c r="E749" s="12">
        <v>0.4</v>
      </c>
      <c r="F749" s="7">
        <f t="shared" si="122"/>
        <v>45.999999999999993</v>
      </c>
      <c r="G749" s="8">
        <v>0</v>
      </c>
      <c r="H749" s="9">
        <v>0</v>
      </c>
      <c r="I749" s="9">
        <v>1</v>
      </c>
      <c r="J749" s="9">
        <v>0</v>
      </c>
      <c r="K749" s="9">
        <v>0</v>
      </c>
      <c r="L749" s="8">
        <v>4530</v>
      </c>
      <c r="M749" s="9">
        <v>3</v>
      </c>
      <c r="N749" s="9">
        <f t="shared" si="120"/>
        <v>4526</v>
      </c>
      <c r="O749" s="9">
        <f t="shared" si="121"/>
        <v>9</v>
      </c>
      <c r="P749" s="7">
        <f t="shared" ref="P749:P757" si="125">(0*AD749+9*AE749+15*AF749+18*AG749)</f>
        <v>10.29</v>
      </c>
      <c r="Q749" s="7">
        <f t="shared" ref="Q749:Q757" si="126">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27">1-AK749</f>
        <v>0.61</v>
      </c>
      <c r="AK749" s="36">
        <v>0.39</v>
      </c>
      <c r="AL749" s="35">
        <f t="shared" ref="AL749:AL757" si="128">1-AM749</f>
        <v>0.78800000000000003</v>
      </c>
      <c r="AM749" s="36">
        <v>0.21199999999999999</v>
      </c>
      <c r="AN749">
        <v>0</v>
      </c>
      <c r="AO749" s="15">
        <v>1</v>
      </c>
      <c r="AP749">
        <v>0.36820000000000003</v>
      </c>
      <c r="AQ749" s="15">
        <f t="shared" ref="AQ749:AQ757" si="129">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35">
      <c r="A750">
        <v>749</v>
      </c>
      <c r="B750">
        <v>47</v>
      </c>
      <c r="C750" s="22" t="s">
        <v>378</v>
      </c>
      <c r="D750" s="11">
        <v>16</v>
      </c>
      <c r="E750" s="12">
        <v>0.4</v>
      </c>
      <c r="F750" s="7">
        <f t="shared" si="122"/>
        <v>40</v>
      </c>
      <c r="G750" s="8">
        <v>0</v>
      </c>
      <c r="H750" s="9">
        <v>0</v>
      </c>
      <c r="I750" s="9">
        <v>1</v>
      </c>
      <c r="J750" s="9">
        <v>0</v>
      </c>
      <c r="K750" s="9">
        <v>0</v>
      </c>
      <c r="L750" s="8">
        <v>10502</v>
      </c>
      <c r="M750" s="9">
        <v>3</v>
      </c>
      <c r="N750" s="9">
        <f t="shared" si="120"/>
        <v>10498</v>
      </c>
      <c r="O750" s="9">
        <f t="shared" si="121"/>
        <v>9</v>
      </c>
      <c r="P750" s="7">
        <f t="shared" si="125"/>
        <v>10.079999999999998</v>
      </c>
      <c r="Q750" s="7">
        <f t="shared" si="126"/>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27"/>
        <v>0.62</v>
      </c>
      <c r="AK750" s="36">
        <v>0.38</v>
      </c>
      <c r="AL750" s="35">
        <f t="shared" si="128"/>
        <v>0.80259999999999998</v>
      </c>
      <c r="AM750" s="36">
        <v>0.19739999999999999</v>
      </c>
      <c r="AN750">
        <v>0</v>
      </c>
      <c r="AO750" s="15">
        <v>1</v>
      </c>
      <c r="AP750">
        <v>0.39300000000000002</v>
      </c>
      <c r="AQ750" s="15">
        <f t="shared" si="129"/>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35">
      <c r="A751">
        <v>750</v>
      </c>
      <c r="B751">
        <v>47</v>
      </c>
      <c r="C751" s="22" t="s">
        <v>378</v>
      </c>
      <c r="D751" s="11">
        <v>16.399999999999999</v>
      </c>
      <c r="E751" s="12">
        <v>0.4</v>
      </c>
      <c r="F751" s="7">
        <f t="shared" si="122"/>
        <v>40.999999999999993</v>
      </c>
      <c r="G751" s="8">
        <v>0</v>
      </c>
      <c r="H751" s="9">
        <v>0</v>
      </c>
      <c r="I751" s="9">
        <v>1</v>
      </c>
      <c r="J751" s="9">
        <v>0</v>
      </c>
      <c r="K751" s="9">
        <v>0</v>
      </c>
      <c r="L751" s="8">
        <v>14312</v>
      </c>
      <c r="M751" s="9">
        <v>3</v>
      </c>
      <c r="N751" s="9">
        <f t="shared" si="120"/>
        <v>14308</v>
      </c>
      <c r="O751" s="9">
        <f t="shared" si="121"/>
        <v>9</v>
      </c>
      <c r="P751" s="7">
        <f t="shared" si="125"/>
        <v>11.01</v>
      </c>
      <c r="Q751" s="7">
        <f t="shared" si="126"/>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27"/>
        <v>0.59000000000000008</v>
      </c>
      <c r="AK751" s="36">
        <v>0.41</v>
      </c>
      <c r="AL751" s="35">
        <f t="shared" si="128"/>
        <v>0.79889999999999994</v>
      </c>
      <c r="AM751" s="36">
        <v>0.2011</v>
      </c>
      <c r="AN751">
        <v>0</v>
      </c>
      <c r="AO751" s="15">
        <v>1</v>
      </c>
      <c r="AP751">
        <v>0.1943</v>
      </c>
      <c r="AQ751" s="15">
        <f t="shared" si="129"/>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35">
      <c r="A752">
        <v>751</v>
      </c>
      <c r="B752">
        <v>47</v>
      </c>
      <c r="C752" s="22" t="s">
        <v>378</v>
      </c>
      <c r="D752" s="11">
        <v>9.6</v>
      </c>
      <c r="E752" s="12">
        <v>0.4</v>
      </c>
      <c r="F752" s="7">
        <f t="shared" si="122"/>
        <v>23.999999999999996</v>
      </c>
      <c r="G752" s="8">
        <v>0</v>
      </c>
      <c r="H752" s="9">
        <v>0</v>
      </c>
      <c r="I752" s="9">
        <v>1</v>
      </c>
      <c r="J752" s="9">
        <v>0</v>
      </c>
      <c r="K752" s="9">
        <v>0</v>
      </c>
      <c r="L752" s="8">
        <v>7860</v>
      </c>
      <c r="M752" s="9">
        <v>14</v>
      </c>
      <c r="N752" s="9">
        <f t="shared" si="120"/>
        <v>7845</v>
      </c>
      <c r="O752" s="9">
        <f t="shared" si="121"/>
        <v>9</v>
      </c>
      <c r="P752" s="7">
        <f t="shared" si="125"/>
        <v>10.29</v>
      </c>
      <c r="Q752" s="7">
        <f t="shared" si="126"/>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27"/>
        <v>0.61</v>
      </c>
      <c r="AK752" s="36">
        <v>0.39</v>
      </c>
      <c r="AL752" s="35">
        <f t="shared" si="128"/>
        <v>0.78800000000000003</v>
      </c>
      <c r="AM752" s="36">
        <v>0.21199999999999999</v>
      </c>
      <c r="AN752">
        <v>0</v>
      </c>
      <c r="AO752" s="15">
        <v>1</v>
      </c>
      <c r="AP752">
        <v>0.36820000000000003</v>
      </c>
      <c r="AQ752" s="15">
        <f t="shared" si="129"/>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35">
      <c r="A753">
        <v>752</v>
      </c>
      <c r="B753">
        <v>47</v>
      </c>
      <c r="C753" s="22" t="s">
        <v>378</v>
      </c>
      <c r="D753" s="11">
        <v>8.9</v>
      </c>
      <c r="E753" s="12">
        <v>0.4</v>
      </c>
      <c r="F753" s="7">
        <f t="shared" si="122"/>
        <v>22.25</v>
      </c>
      <c r="G753" s="8">
        <v>0</v>
      </c>
      <c r="H753" s="9">
        <v>0</v>
      </c>
      <c r="I753" s="9">
        <v>1</v>
      </c>
      <c r="J753" s="9">
        <v>0</v>
      </c>
      <c r="K753" s="9">
        <v>0</v>
      </c>
      <c r="L753" s="8">
        <v>10502</v>
      </c>
      <c r="M753" s="9">
        <v>14</v>
      </c>
      <c r="N753" s="9">
        <f t="shared" si="120"/>
        <v>10487</v>
      </c>
      <c r="O753" s="9">
        <f t="shared" si="121"/>
        <v>9</v>
      </c>
      <c r="P753" s="7">
        <f t="shared" si="125"/>
        <v>10.079999999999998</v>
      </c>
      <c r="Q753" s="7">
        <f t="shared" si="126"/>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27"/>
        <v>0.62</v>
      </c>
      <c r="AK753" s="36">
        <v>0.38</v>
      </c>
      <c r="AL753" s="35">
        <f t="shared" si="128"/>
        <v>0.80259999999999998</v>
      </c>
      <c r="AM753" s="36">
        <v>0.19739999999999999</v>
      </c>
      <c r="AN753">
        <v>0</v>
      </c>
      <c r="AO753" s="15">
        <v>1</v>
      </c>
      <c r="AP753">
        <v>0.39300000000000002</v>
      </c>
      <c r="AQ753" s="15">
        <f t="shared" si="129"/>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35">
      <c r="A754">
        <v>753</v>
      </c>
      <c r="B754">
        <v>47</v>
      </c>
      <c r="C754" s="22" t="s">
        <v>378</v>
      </c>
      <c r="D754" s="11">
        <v>10.8</v>
      </c>
      <c r="E754" s="12">
        <v>0.3</v>
      </c>
      <c r="F754" s="7">
        <f t="shared" si="122"/>
        <v>36.000000000000007</v>
      </c>
      <c r="G754" s="8">
        <v>0</v>
      </c>
      <c r="H754" s="9">
        <v>0</v>
      </c>
      <c r="I754" s="9">
        <v>1</v>
      </c>
      <c r="J754" s="9">
        <v>0</v>
      </c>
      <c r="K754" s="9">
        <v>0</v>
      </c>
      <c r="L754" s="8">
        <v>14312</v>
      </c>
      <c r="M754" s="9">
        <v>14</v>
      </c>
      <c r="N754" s="9">
        <f t="shared" si="120"/>
        <v>14297</v>
      </c>
      <c r="O754" s="9">
        <f t="shared" si="121"/>
        <v>9</v>
      </c>
      <c r="P754" s="7">
        <f t="shared" si="125"/>
        <v>11.01</v>
      </c>
      <c r="Q754" s="7">
        <f t="shared" si="126"/>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27"/>
        <v>0.59000000000000008</v>
      </c>
      <c r="AK754" s="36">
        <v>0.41</v>
      </c>
      <c r="AL754" s="35">
        <f t="shared" si="128"/>
        <v>0.79889999999999994</v>
      </c>
      <c r="AM754" s="36">
        <v>0.2011</v>
      </c>
      <c r="AN754">
        <v>0</v>
      </c>
      <c r="AO754" s="15">
        <v>1</v>
      </c>
      <c r="AP754">
        <v>0.1943</v>
      </c>
      <c r="AQ754" s="15">
        <f t="shared" si="129"/>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35">
      <c r="A755">
        <v>754</v>
      </c>
      <c r="B755">
        <v>47</v>
      </c>
      <c r="C755" s="22" t="s">
        <v>378</v>
      </c>
      <c r="D755" s="11">
        <v>10.8</v>
      </c>
      <c r="E755" s="12">
        <v>0.7</v>
      </c>
      <c r="F755" s="7">
        <f t="shared" si="122"/>
        <v>15.428571428571431</v>
      </c>
      <c r="G755" s="8">
        <v>0</v>
      </c>
      <c r="H755" s="9">
        <v>0</v>
      </c>
      <c r="I755" s="9">
        <v>1</v>
      </c>
      <c r="J755" s="9">
        <v>0</v>
      </c>
      <c r="K755" s="9">
        <v>0</v>
      </c>
      <c r="L755" s="8">
        <v>7860</v>
      </c>
      <c r="M755" s="9">
        <v>14</v>
      </c>
      <c r="N755" s="9">
        <f t="shared" si="120"/>
        <v>7845</v>
      </c>
      <c r="O755" s="9">
        <f t="shared" si="121"/>
        <v>9</v>
      </c>
      <c r="P755" s="7">
        <f t="shared" si="125"/>
        <v>10.29</v>
      </c>
      <c r="Q755" s="7">
        <f t="shared" si="126"/>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27"/>
        <v>0.61</v>
      </c>
      <c r="AK755" s="36">
        <v>0.39</v>
      </c>
      <c r="AL755" s="35">
        <f t="shared" si="128"/>
        <v>0.78800000000000003</v>
      </c>
      <c r="AM755" s="36">
        <v>0.21199999999999999</v>
      </c>
      <c r="AN755">
        <v>0</v>
      </c>
      <c r="AO755" s="15">
        <v>1</v>
      </c>
      <c r="AP755">
        <v>0.36820000000000003</v>
      </c>
      <c r="AQ755" s="15">
        <f t="shared" si="129"/>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35">
      <c r="A756">
        <v>755</v>
      </c>
      <c r="B756">
        <v>47</v>
      </c>
      <c r="C756" s="22" t="s">
        <v>378</v>
      </c>
      <c r="D756" s="11">
        <v>12.3</v>
      </c>
      <c r="E756" s="12">
        <v>1</v>
      </c>
      <c r="F756" s="7">
        <f t="shared" si="122"/>
        <v>12.3</v>
      </c>
      <c r="G756" s="8">
        <v>0</v>
      </c>
      <c r="H756" s="9">
        <v>0</v>
      </c>
      <c r="I756" s="9">
        <v>1</v>
      </c>
      <c r="J756" s="9">
        <v>0</v>
      </c>
      <c r="K756" s="9">
        <v>0</v>
      </c>
      <c r="L756" s="8">
        <v>10502</v>
      </c>
      <c r="M756" s="9">
        <v>14</v>
      </c>
      <c r="N756" s="9">
        <f t="shared" si="120"/>
        <v>10487</v>
      </c>
      <c r="O756" s="9">
        <f t="shared" si="121"/>
        <v>9</v>
      </c>
      <c r="P756" s="7">
        <f t="shared" si="125"/>
        <v>10.079999999999998</v>
      </c>
      <c r="Q756" s="7">
        <f t="shared" si="126"/>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27"/>
        <v>0.62</v>
      </c>
      <c r="AK756" s="36">
        <v>0.38</v>
      </c>
      <c r="AL756" s="35">
        <f t="shared" si="128"/>
        <v>0.80259999999999998</v>
      </c>
      <c r="AM756" s="36">
        <v>0.19739999999999999</v>
      </c>
      <c r="AN756">
        <v>0</v>
      </c>
      <c r="AO756" s="15">
        <v>1</v>
      </c>
      <c r="AP756">
        <v>0.39300000000000002</v>
      </c>
      <c r="AQ756" s="15">
        <f t="shared" si="129"/>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35">
      <c r="A757" s="127">
        <v>756</v>
      </c>
      <c r="B757" s="127">
        <v>47</v>
      </c>
      <c r="C757" s="128" t="s">
        <v>378</v>
      </c>
      <c r="D757" s="129">
        <v>17.399999999999999</v>
      </c>
      <c r="E757" s="130">
        <v>1</v>
      </c>
      <c r="F757" s="131">
        <f t="shared" si="122"/>
        <v>17.399999999999999</v>
      </c>
      <c r="G757" s="133">
        <v>0</v>
      </c>
      <c r="H757" s="134">
        <v>0</v>
      </c>
      <c r="I757" s="134">
        <v>1</v>
      </c>
      <c r="J757" s="134">
        <v>0</v>
      </c>
      <c r="K757" s="134">
        <v>0</v>
      </c>
      <c r="L757" s="133">
        <v>14312</v>
      </c>
      <c r="M757" s="134">
        <v>14</v>
      </c>
      <c r="N757" s="134">
        <f t="shared" si="120"/>
        <v>14297</v>
      </c>
      <c r="O757" s="134">
        <f t="shared" si="121"/>
        <v>9</v>
      </c>
      <c r="P757" s="131">
        <f t="shared" si="125"/>
        <v>11.01</v>
      </c>
      <c r="Q757" s="131">
        <f t="shared" si="126"/>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27"/>
        <v>0.59000000000000008</v>
      </c>
      <c r="AK757" s="140">
        <v>0.41</v>
      </c>
      <c r="AL757" s="152">
        <f t="shared" si="128"/>
        <v>0.79889999999999994</v>
      </c>
      <c r="AM757" s="140">
        <v>0.2011</v>
      </c>
      <c r="AN757">
        <v>0</v>
      </c>
      <c r="AO757" s="139">
        <v>1</v>
      </c>
      <c r="AP757" s="127">
        <v>0.1943</v>
      </c>
      <c r="AQ757" s="139">
        <f t="shared" si="129"/>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35">
      <c r="A758">
        <v>757</v>
      </c>
      <c r="B758">
        <v>48</v>
      </c>
      <c r="C758" s="22" t="s">
        <v>380</v>
      </c>
      <c r="D758" s="11">
        <v>11.7</v>
      </c>
      <c r="E758" s="12">
        <v>0.3</v>
      </c>
      <c r="F758" s="7">
        <f t="shared" si="122"/>
        <v>39</v>
      </c>
      <c r="G758" s="8">
        <v>0</v>
      </c>
      <c r="H758" s="9">
        <v>1</v>
      </c>
      <c r="I758" s="9">
        <v>0</v>
      </c>
      <c r="J758" s="9">
        <v>0</v>
      </c>
      <c r="K758" s="9">
        <v>0</v>
      </c>
      <c r="L758" s="8">
        <v>8807</v>
      </c>
      <c r="M758" s="9">
        <v>7</v>
      </c>
      <c r="N758" s="9">
        <f t="shared" si="120"/>
        <v>8799</v>
      </c>
      <c r="O758" s="9">
        <f t="shared" si="121"/>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30">1-SUM(AD758,AE758,AG758)</f>
        <v>0.498</v>
      </c>
      <c r="AG758" s="39">
        <v>0.193</v>
      </c>
      <c r="AH758" s="38">
        <v>1</v>
      </c>
      <c r="AI758" s="15">
        <v>0</v>
      </c>
      <c r="AJ758">
        <v>0.6391</v>
      </c>
      <c r="AK758" s="36">
        <f>1-AJ758</f>
        <v>0.3609</v>
      </c>
      <c r="AL758" t="s">
        <v>94</v>
      </c>
      <c r="AM758" s="36" t="s">
        <v>94</v>
      </c>
      <c r="AN758">
        <v>0</v>
      </c>
      <c r="AO758" s="15">
        <v>1</v>
      </c>
      <c r="AP758">
        <f t="shared" ref="AP758:AP771" si="131">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32">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35">
      <c r="A759">
        <v>758</v>
      </c>
      <c r="B759">
        <v>48</v>
      </c>
      <c r="C759" s="22" t="s">
        <v>380</v>
      </c>
      <c r="D759" s="11">
        <v>10.9</v>
      </c>
      <c r="E759" s="12">
        <v>0.3</v>
      </c>
      <c r="F759" s="7">
        <f t="shared" si="122"/>
        <v>36.333333333333336</v>
      </c>
      <c r="G759" s="8">
        <v>0</v>
      </c>
      <c r="H759" s="9">
        <v>1</v>
      </c>
      <c r="I759" s="9">
        <v>0</v>
      </c>
      <c r="J759" s="9">
        <v>0</v>
      </c>
      <c r="K759" s="9">
        <v>0</v>
      </c>
      <c r="L759" s="8">
        <v>5629</v>
      </c>
      <c r="M759" s="9">
        <v>7</v>
      </c>
      <c r="N759" s="9">
        <f t="shared" si="120"/>
        <v>5621</v>
      </c>
      <c r="O759" s="9">
        <f t="shared" si="121"/>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30"/>
        <v>0.54899999999999993</v>
      </c>
      <c r="AG759" s="39">
        <v>0.16200000000000001</v>
      </c>
      <c r="AH759" s="38">
        <v>1</v>
      </c>
      <c r="AI759" s="15">
        <v>0</v>
      </c>
      <c r="AJ759">
        <v>1</v>
      </c>
      <c r="AK759" s="36">
        <v>0</v>
      </c>
      <c r="AL759" t="s">
        <v>94</v>
      </c>
      <c r="AM759" s="36" t="s">
        <v>94</v>
      </c>
      <c r="AN759">
        <v>0</v>
      </c>
      <c r="AO759" s="15">
        <v>1</v>
      </c>
      <c r="AP759">
        <f t="shared" si="131"/>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32"/>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35">
      <c r="A760">
        <v>759</v>
      </c>
      <c r="B760">
        <v>48</v>
      </c>
      <c r="C760" s="22" t="s">
        <v>380</v>
      </c>
      <c r="D760" s="11">
        <v>11.8</v>
      </c>
      <c r="E760" s="12">
        <v>0.4</v>
      </c>
      <c r="F760" s="7">
        <f t="shared" si="122"/>
        <v>29.5</v>
      </c>
      <c r="G760" s="8">
        <v>0</v>
      </c>
      <c r="H760" s="9">
        <v>1</v>
      </c>
      <c r="I760" s="9">
        <v>0</v>
      </c>
      <c r="J760" s="9">
        <v>0</v>
      </c>
      <c r="K760" s="9">
        <v>0</v>
      </c>
      <c r="L760" s="8">
        <v>3178</v>
      </c>
      <c r="M760" s="9">
        <v>7</v>
      </c>
      <c r="N760" s="9">
        <f t="shared" si="120"/>
        <v>3170</v>
      </c>
      <c r="O760" s="9">
        <f t="shared" si="121"/>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30"/>
        <v>0.40800000000000003</v>
      </c>
      <c r="AG760" s="39">
        <v>0.249</v>
      </c>
      <c r="AH760" s="38">
        <v>1</v>
      </c>
      <c r="AI760" s="15">
        <v>0</v>
      </c>
      <c r="AJ760">
        <v>0</v>
      </c>
      <c r="AK760" s="36">
        <v>1</v>
      </c>
      <c r="AL760" t="s">
        <v>94</v>
      </c>
      <c r="AM760" s="36" t="s">
        <v>94</v>
      </c>
      <c r="AN760">
        <v>0</v>
      </c>
      <c r="AO760" s="15">
        <v>1</v>
      </c>
      <c r="AP760">
        <f t="shared" si="131"/>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32"/>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35">
      <c r="A761">
        <v>760</v>
      </c>
      <c r="B761">
        <v>48</v>
      </c>
      <c r="C761" s="22" t="s">
        <v>380</v>
      </c>
      <c r="D761" s="11">
        <v>4.5</v>
      </c>
      <c r="E761" s="12">
        <v>0.5</v>
      </c>
      <c r="F761" s="7">
        <f t="shared" si="122"/>
        <v>9</v>
      </c>
      <c r="G761" s="8">
        <v>0</v>
      </c>
      <c r="H761" s="9">
        <v>1</v>
      </c>
      <c r="I761" s="9">
        <v>0</v>
      </c>
      <c r="J761" s="9">
        <v>0</v>
      </c>
      <c r="K761" s="9">
        <v>0</v>
      </c>
      <c r="L761" s="8">
        <v>4777</v>
      </c>
      <c r="M761" s="9">
        <v>11</v>
      </c>
      <c r="N761" s="9">
        <f t="shared" si="120"/>
        <v>4765</v>
      </c>
      <c r="O761" s="9">
        <f t="shared" si="121"/>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30"/>
        <v>0.40800000000000003</v>
      </c>
      <c r="AG761" s="39">
        <v>0.249</v>
      </c>
      <c r="AH761" s="38">
        <v>1</v>
      </c>
      <c r="AI761" s="15">
        <v>0</v>
      </c>
      <c r="AJ761">
        <v>0</v>
      </c>
      <c r="AK761" s="36">
        <v>1</v>
      </c>
      <c r="AL761" t="s">
        <v>94</v>
      </c>
      <c r="AM761" s="36" t="s">
        <v>94</v>
      </c>
      <c r="AN761">
        <v>0</v>
      </c>
      <c r="AO761" s="15">
        <v>1</v>
      </c>
      <c r="AP761">
        <f t="shared" si="131"/>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32"/>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35">
      <c r="A762">
        <v>761</v>
      </c>
      <c r="B762">
        <v>48</v>
      </c>
      <c r="C762" s="22" t="s">
        <v>380</v>
      </c>
      <c r="D762" s="11">
        <v>11</v>
      </c>
      <c r="E762" s="12">
        <v>0.5</v>
      </c>
      <c r="F762" s="7">
        <f t="shared" si="122"/>
        <v>22</v>
      </c>
      <c r="G762" s="8">
        <v>0</v>
      </c>
      <c r="H762" s="9">
        <v>1</v>
      </c>
      <c r="I762" s="9">
        <v>0</v>
      </c>
      <c r="J762" s="9">
        <v>0</v>
      </c>
      <c r="K762" s="9">
        <v>0</v>
      </c>
      <c r="L762" s="8">
        <v>4777</v>
      </c>
      <c r="M762" s="9">
        <v>7</v>
      </c>
      <c r="N762" s="9">
        <f t="shared" si="120"/>
        <v>4769</v>
      </c>
      <c r="O762" s="9">
        <f t="shared" si="121"/>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30"/>
        <v>0.40800000000000003</v>
      </c>
      <c r="AG762" s="39">
        <v>0.249</v>
      </c>
      <c r="AH762" s="38">
        <v>1</v>
      </c>
      <c r="AI762" s="15">
        <v>0</v>
      </c>
      <c r="AJ762">
        <v>0</v>
      </c>
      <c r="AK762" s="36">
        <v>1</v>
      </c>
      <c r="AL762" t="s">
        <v>94</v>
      </c>
      <c r="AM762" s="36" t="s">
        <v>94</v>
      </c>
      <c r="AN762">
        <v>0</v>
      </c>
      <c r="AO762" s="15">
        <v>1</v>
      </c>
      <c r="AP762">
        <f t="shared" si="131"/>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32"/>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35">
      <c r="A763">
        <v>762</v>
      </c>
      <c r="B763">
        <v>48</v>
      </c>
      <c r="C763" s="22" t="s">
        <v>380</v>
      </c>
      <c r="D763" s="11">
        <v>17.3</v>
      </c>
      <c r="E763" s="12">
        <v>0.8</v>
      </c>
      <c r="F763" s="7">
        <f t="shared" si="122"/>
        <v>21.625</v>
      </c>
      <c r="G763" s="8">
        <v>0</v>
      </c>
      <c r="H763" s="9">
        <v>1</v>
      </c>
      <c r="I763" s="9">
        <v>0</v>
      </c>
      <c r="J763" s="9">
        <v>0</v>
      </c>
      <c r="K763" s="9">
        <v>0</v>
      </c>
      <c r="L763" s="8">
        <v>4994</v>
      </c>
      <c r="M763" s="9">
        <v>6</v>
      </c>
      <c r="N763" s="9">
        <f t="shared" si="120"/>
        <v>4987</v>
      </c>
      <c r="O763" s="9">
        <f t="shared" si="121"/>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30"/>
        <v>0.498</v>
      </c>
      <c r="AG763" s="39">
        <v>0.193</v>
      </c>
      <c r="AH763" s="38">
        <v>1</v>
      </c>
      <c r="AI763" s="15">
        <v>0</v>
      </c>
      <c r="AJ763">
        <v>0.65210000000000001</v>
      </c>
      <c r="AK763" s="36">
        <f>1-AJ763</f>
        <v>0.34789999999999999</v>
      </c>
      <c r="AL763" t="s">
        <v>94</v>
      </c>
      <c r="AM763" s="36" t="s">
        <v>94</v>
      </c>
      <c r="AN763">
        <v>0</v>
      </c>
      <c r="AO763" s="15">
        <v>1</v>
      </c>
      <c r="AP763">
        <f t="shared" si="131"/>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32"/>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35">
      <c r="A764">
        <v>763</v>
      </c>
      <c r="B764">
        <v>48</v>
      </c>
      <c r="C764" s="22" t="s">
        <v>380</v>
      </c>
      <c r="D764" s="11">
        <v>16.3</v>
      </c>
      <c r="E764" s="12">
        <v>1</v>
      </c>
      <c r="F764" s="7">
        <f t="shared" si="122"/>
        <v>16.3</v>
      </c>
      <c r="G764" s="8">
        <v>0</v>
      </c>
      <c r="H764" s="9">
        <v>1</v>
      </c>
      <c r="I764" s="9">
        <v>0</v>
      </c>
      <c r="J764" s="9">
        <v>0</v>
      </c>
      <c r="K764" s="9">
        <v>0</v>
      </c>
      <c r="L764" s="8">
        <v>3257</v>
      </c>
      <c r="M764" s="9">
        <v>6</v>
      </c>
      <c r="N764" s="9">
        <f t="shared" si="120"/>
        <v>3250</v>
      </c>
      <c r="O764" s="9">
        <f t="shared" si="121"/>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30"/>
        <v>0.54899999999999993</v>
      </c>
      <c r="AG764" s="39">
        <v>0.16200000000000001</v>
      </c>
      <c r="AH764" s="38">
        <v>1</v>
      </c>
      <c r="AI764" s="15">
        <v>0</v>
      </c>
      <c r="AJ764">
        <v>1</v>
      </c>
      <c r="AK764" s="36">
        <v>0</v>
      </c>
      <c r="AL764" t="s">
        <v>94</v>
      </c>
      <c r="AM764" s="36" t="s">
        <v>94</v>
      </c>
      <c r="AN764">
        <v>0</v>
      </c>
      <c r="AO764" s="15">
        <v>1</v>
      </c>
      <c r="AP764">
        <f t="shared" si="131"/>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32"/>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35">
      <c r="A765">
        <v>764</v>
      </c>
      <c r="B765">
        <v>48</v>
      </c>
      <c r="C765" s="22" t="s">
        <v>380</v>
      </c>
      <c r="D765" s="11">
        <v>18.7</v>
      </c>
      <c r="E765" s="12">
        <v>1.2</v>
      </c>
      <c r="F765" s="7">
        <f t="shared" si="122"/>
        <v>15.583333333333334</v>
      </c>
      <c r="G765" s="8">
        <v>0</v>
      </c>
      <c r="H765" s="9">
        <v>1</v>
      </c>
      <c r="I765" s="9">
        <v>0</v>
      </c>
      <c r="J765" s="9">
        <v>0</v>
      </c>
      <c r="K765" s="9">
        <v>0</v>
      </c>
      <c r="L765" s="8">
        <v>1737</v>
      </c>
      <c r="M765" s="9">
        <v>6</v>
      </c>
      <c r="N765" s="9">
        <f t="shared" si="120"/>
        <v>1730</v>
      </c>
      <c r="O765" s="9">
        <f t="shared" si="121"/>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30"/>
        <v>0.40800000000000003</v>
      </c>
      <c r="AG765" s="39">
        <v>0.249</v>
      </c>
      <c r="AH765" s="38">
        <v>1</v>
      </c>
      <c r="AI765" s="15">
        <v>0</v>
      </c>
      <c r="AJ765">
        <v>0</v>
      </c>
      <c r="AK765" s="36">
        <v>1</v>
      </c>
      <c r="AL765" t="s">
        <v>94</v>
      </c>
      <c r="AM765" s="36" t="s">
        <v>94</v>
      </c>
      <c r="AN765">
        <v>0</v>
      </c>
      <c r="AO765" s="15">
        <v>1</v>
      </c>
      <c r="AP765">
        <f t="shared" si="131"/>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32"/>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35">
      <c r="A766">
        <v>765</v>
      </c>
      <c r="B766">
        <v>48</v>
      </c>
      <c r="C766" s="22" t="s">
        <v>380</v>
      </c>
      <c r="D766" s="11">
        <v>10.8</v>
      </c>
      <c r="E766" s="12">
        <v>1.1000000000000001</v>
      </c>
      <c r="F766" s="7">
        <f t="shared" si="122"/>
        <v>9.8181818181818183</v>
      </c>
      <c r="G766" s="8">
        <v>0</v>
      </c>
      <c r="H766" s="9">
        <v>1</v>
      </c>
      <c r="I766" s="9">
        <v>0</v>
      </c>
      <c r="J766" s="9">
        <v>0</v>
      </c>
      <c r="K766" s="9">
        <v>0</v>
      </c>
      <c r="L766" s="8">
        <v>648</v>
      </c>
      <c r="M766" s="9">
        <v>7</v>
      </c>
      <c r="N766" s="9">
        <f t="shared" si="120"/>
        <v>640</v>
      </c>
      <c r="O766" s="9">
        <f t="shared" si="121"/>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30"/>
        <v>0.498</v>
      </c>
      <c r="AG766" s="39">
        <v>0.193</v>
      </c>
      <c r="AH766" s="38">
        <v>1</v>
      </c>
      <c r="AI766" s="15">
        <v>0</v>
      </c>
      <c r="AJ766">
        <v>0.6391</v>
      </c>
      <c r="AK766" s="36">
        <f>1-AJ766</f>
        <v>0.3609</v>
      </c>
      <c r="AL766" t="s">
        <v>94</v>
      </c>
      <c r="AM766" s="36" t="s">
        <v>94</v>
      </c>
      <c r="AN766">
        <v>0</v>
      </c>
      <c r="AO766" s="15">
        <v>1</v>
      </c>
      <c r="AP766">
        <f t="shared" si="131"/>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32"/>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35">
      <c r="A767" s="127">
        <v>766</v>
      </c>
      <c r="B767" s="127">
        <v>48</v>
      </c>
      <c r="C767" s="128" t="s">
        <v>380</v>
      </c>
      <c r="D767" s="129">
        <v>5</v>
      </c>
      <c r="E767" s="130">
        <v>2.4</v>
      </c>
      <c r="F767" s="131">
        <f t="shared" ref="F767:F786" si="133">D767/E767</f>
        <v>2.0833333333333335</v>
      </c>
      <c r="G767" s="133">
        <v>0</v>
      </c>
      <c r="H767" s="134">
        <v>1</v>
      </c>
      <c r="I767" s="134">
        <v>0</v>
      </c>
      <c r="J767" s="134">
        <v>0</v>
      </c>
      <c r="K767" s="134">
        <v>0</v>
      </c>
      <c r="L767" s="133">
        <v>648</v>
      </c>
      <c r="M767" s="134">
        <v>5</v>
      </c>
      <c r="N767" s="134">
        <f t="shared" si="120"/>
        <v>642</v>
      </c>
      <c r="O767" s="134">
        <f t="shared" si="121"/>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30"/>
        <v>0.498</v>
      </c>
      <c r="AG767" s="137">
        <v>0.193</v>
      </c>
      <c r="AH767" s="138">
        <v>1</v>
      </c>
      <c r="AI767" s="139">
        <v>0</v>
      </c>
      <c r="AJ767" s="127">
        <v>0.6391</v>
      </c>
      <c r="AK767" s="140">
        <f>1-AJ767</f>
        <v>0.3609</v>
      </c>
      <c r="AL767" s="127" t="s">
        <v>94</v>
      </c>
      <c r="AM767" s="140" t="s">
        <v>94</v>
      </c>
      <c r="AN767">
        <v>0</v>
      </c>
      <c r="AO767" s="139">
        <v>1</v>
      </c>
      <c r="AP767" s="127">
        <f t="shared" si="131"/>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32"/>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35">
      <c r="A768">
        <v>767</v>
      </c>
      <c r="B768">
        <v>49</v>
      </c>
      <c r="C768" s="22" t="s">
        <v>381</v>
      </c>
      <c r="D768" s="11">
        <v>1.5</v>
      </c>
      <c r="E768" s="12">
        <v>0.2</v>
      </c>
      <c r="F768" s="7">
        <f t="shared" si="133"/>
        <v>7.5</v>
      </c>
      <c r="G768" s="8">
        <v>0</v>
      </c>
      <c r="H768" s="9">
        <v>0</v>
      </c>
      <c r="I768" s="9">
        <v>0</v>
      </c>
      <c r="J768" s="9">
        <v>1</v>
      </c>
      <c r="K768" s="9">
        <v>0</v>
      </c>
      <c r="L768" s="8">
        <v>47881</v>
      </c>
      <c r="M768" s="9">
        <v>6</v>
      </c>
      <c r="N768" s="9">
        <f t="shared" si="120"/>
        <v>47874</v>
      </c>
      <c r="O768" s="9">
        <f t="shared" si="121"/>
        <v>4</v>
      </c>
      <c r="P768" s="7">
        <f>(6*AE768+11*AF768)</f>
        <v>9.8500000000000014</v>
      </c>
      <c r="Q768" s="7">
        <f t="shared" ref="Q768:Q777" si="134">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31"/>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35">
      <c r="A769">
        <v>768</v>
      </c>
      <c r="B769">
        <v>49</v>
      </c>
      <c r="C769" s="22" t="s">
        <v>381</v>
      </c>
      <c r="D769" s="11">
        <v>2.7</v>
      </c>
      <c r="E769" s="12">
        <v>0.2</v>
      </c>
      <c r="F769" s="7">
        <f t="shared" si="133"/>
        <v>13.5</v>
      </c>
      <c r="G769" s="8">
        <v>0</v>
      </c>
      <c r="H769" s="9">
        <v>0</v>
      </c>
      <c r="I769" s="9">
        <v>0</v>
      </c>
      <c r="J769" s="9">
        <v>1</v>
      </c>
      <c r="K769" s="9">
        <v>0</v>
      </c>
      <c r="L769" s="8">
        <v>47881</v>
      </c>
      <c r="M769" s="9">
        <v>7</v>
      </c>
      <c r="N769" s="9">
        <f t="shared" si="120"/>
        <v>47873</v>
      </c>
      <c r="O769" s="9">
        <f t="shared" si="121"/>
        <v>4</v>
      </c>
      <c r="P769" s="7">
        <f>(6*AE769+11*AF769)</f>
        <v>9.8500000000000014</v>
      </c>
      <c r="Q769" s="7">
        <f t="shared" si="134"/>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31"/>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35">
      <c r="A770">
        <v>769</v>
      </c>
      <c r="B770">
        <v>49</v>
      </c>
      <c r="C770" s="22" t="s">
        <v>381</v>
      </c>
      <c r="D770" s="11">
        <v>2.6</v>
      </c>
      <c r="E770" s="12">
        <v>1.6</v>
      </c>
      <c r="F770" s="7">
        <f t="shared" si="133"/>
        <v>1.625</v>
      </c>
      <c r="G770" s="8">
        <v>0</v>
      </c>
      <c r="H770" s="9">
        <v>0</v>
      </c>
      <c r="I770" s="9">
        <v>0</v>
      </c>
      <c r="J770" s="9">
        <v>1</v>
      </c>
      <c r="K770" s="9">
        <v>0</v>
      </c>
      <c r="L770" s="8">
        <v>47881</v>
      </c>
      <c r="M770" s="9">
        <v>7</v>
      </c>
      <c r="N770" s="9">
        <f t="shared" ref="N770:N833" si="135">L770-M770-1</f>
        <v>47873</v>
      </c>
      <c r="O770" s="9">
        <f t="shared" ref="O770:O833" si="136">COUNTIF(B:B,B770)</f>
        <v>4</v>
      </c>
      <c r="P770" s="7">
        <f>(6*AE770+11*AF770)</f>
        <v>9.8500000000000014</v>
      </c>
      <c r="Q770" s="7">
        <f t="shared" si="134"/>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31"/>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35">
      <c r="A771" s="127">
        <v>770</v>
      </c>
      <c r="B771" s="127">
        <v>49</v>
      </c>
      <c r="C771" s="128" t="s">
        <v>381</v>
      </c>
      <c r="D771" s="129">
        <v>4.0999999999999996</v>
      </c>
      <c r="E771" s="130">
        <v>1.8</v>
      </c>
      <c r="F771" s="131">
        <f t="shared" si="133"/>
        <v>2.2777777777777777</v>
      </c>
      <c r="G771" s="133">
        <v>0</v>
      </c>
      <c r="H771" s="134">
        <v>0</v>
      </c>
      <c r="I771" s="134">
        <v>0</v>
      </c>
      <c r="J771" s="134">
        <v>1</v>
      </c>
      <c r="K771" s="134">
        <v>0</v>
      </c>
      <c r="L771" s="133">
        <v>47881</v>
      </c>
      <c r="M771" s="134">
        <v>7</v>
      </c>
      <c r="N771" s="134">
        <f t="shared" si="135"/>
        <v>47873</v>
      </c>
      <c r="O771" s="134">
        <f t="shared" si="136"/>
        <v>4</v>
      </c>
      <c r="P771" s="131">
        <f>(6*AE771+11*AF771)</f>
        <v>9.8500000000000014</v>
      </c>
      <c r="Q771" s="131">
        <f t="shared" si="134"/>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31"/>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35">
      <c r="A772">
        <v>771</v>
      </c>
      <c r="B772">
        <v>50</v>
      </c>
      <c r="C772" s="22" t="s">
        <v>383</v>
      </c>
      <c r="D772" s="11">
        <v>8.6</v>
      </c>
      <c r="E772" s="12">
        <v>0.5</v>
      </c>
      <c r="F772" s="7">
        <f t="shared" si="133"/>
        <v>17.2</v>
      </c>
      <c r="G772" s="8">
        <v>0</v>
      </c>
      <c r="H772" s="9">
        <v>0</v>
      </c>
      <c r="I772" s="9">
        <v>0</v>
      </c>
      <c r="J772" s="9">
        <v>1</v>
      </c>
      <c r="K772" s="9">
        <v>0</v>
      </c>
      <c r="L772" s="8">
        <v>32775</v>
      </c>
      <c r="M772" s="9">
        <v>3</v>
      </c>
      <c r="N772" s="9">
        <f t="shared" si="135"/>
        <v>32771</v>
      </c>
      <c r="O772" s="9">
        <f t="shared" si="136"/>
        <v>6</v>
      </c>
      <c r="P772" s="7">
        <v>12.6</v>
      </c>
      <c r="Q772" s="7">
        <f t="shared" si="134"/>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35">
      <c r="A773">
        <v>772</v>
      </c>
      <c r="B773">
        <v>50</v>
      </c>
      <c r="C773" s="22" t="s">
        <v>383</v>
      </c>
      <c r="D773" s="11">
        <v>9</v>
      </c>
      <c r="E773" s="12">
        <v>0.7</v>
      </c>
      <c r="F773" s="7">
        <f t="shared" si="133"/>
        <v>12.857142857142858</v>
      </c>
      <c r="G773" s="8">
        <v>0</v>
      </c>
      <c r="H773" s="9">
        <v>0</v>
      </c>
      <c r="I773" s="9">
        <v>0</v>
      </c>
      <c r="J773" s="9">
        <v>1</v>
      </c>
      <c r="K773" s="9">
        <v>0</v>
      </c>
      <c r="L773" s="8">
        <v>32804</v>
      </c>
      <c r="M773" s="9">
        <v>3</v>
      </c>
      <c r="N773" s="9">
        <f t="shared" si="135"/>
        <v>32800</v>
      </c>
      <c r="O773" s="9">
        <f t="shared" si="136"/>
        <v>6</v>
      </c>
      <c r="P773" s="7">
        <v>12.6</v>
      </c>
      <c r="Q773" s="7">
        <f t="shared" si="134"/>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35">
      <c r="A774">
        <v>773</v>
      </c>
      <c r="B774">
        <v>50</v>
      </c>
      <c r="C774" s="22" t="s">
        <v>383</v>
      </c>
      <c r="D774" s="11">
        <v>10.3</v>
      </c>
      <c r="E774" s="12">
        <v>0.7</v>
      </c>
      <c r="F774" s="7">
        <f t="shared" si="133"/>
        <v>14.714285714285717</v>
      </c>
      <c r="G774" s="8">
        <v>0</v>
      </c>
      <c r="H774" s="9">
        <v>0</v>
      </c>
      <c r="I774" s="9">
        <v>0</v>
      </c>
      <c r="J774" s="9">
        <v>1</v>
      </c>
      <c r="K774" s="9">
        <v>0</v>
      </c>
      <c r="L774" s="8">
        <v>33613</v>
      </c>
      <c r="M774" s="9">
        <v>3</v>
      </c>
      <c r="N774" s="9">
        <f t="shared" si="135"/>
        <v>33609</v>
      </c>
      <c r="O774" s="9">
        <f t="shared" si="136"/>
        <v>6</v>
      </c>
      <c r="P774" s="7">
        <v>12.6</v>
      </c>
      <c r="Q774" s="7">
        <f t="shared" si="134"/>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35">
      <c r="A775">
        <v>774</v>
      </c>
      <c r="B775">
        <v>50</v>
      </c>
      <c r="C775" s="22" t="s">
        <v>383</v>
      </c>
      <c r="D775" s="11">
        <v>7.6</v>
      </c>
      <c r="E775" s="12">
        <v>0.3</v>
      </c>
      <c r="F775" s="7">
        <f t="shared" si="133"/>
        <v>25.333333333333332</v>
      </c>
      <c r="G775" s="8">
        <v>0</v>
      </c>
      <c r="H775" s="9">
        <v>0</v>
      </c>
      <c r="I775" s="9">
        <v>0</v>
      </c>
      <c r="J775" s="9">
        <v>1</v>
      </c>
      <c r="K775" s="9">
        <v>0</v>
      </c>
      <c r="L775" s="8">
        <v>32791</v>
      </c>
      <c r="M775" s="9">
        <v>3</v>
      </c>
      <c r="N775" s="9">
        <f t="shared" si="135"/>
        <v>32787</v>
      </c>
      <c r="O775" s="9">
        <f t="shared" si="136"/>
        <v>6</v>
      </c>
      <c r="P775" s="7">
        <v>12.8</v>
      </c>
      <c r="Q775" s="7">
        <f t="shared" si="134"/>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35">
      <c r="A776">
        <v>775</v>
      </c>
      <c r="B776">
        <v>50</v>
      </c>
      <c r="C776" s="22" t="s">
        <v>383</v>
      </c>
      <c r="D776" s="11">
        <v>11.2</v>
      </c>
      <c r="E776" s="12">
        <v>0.5</v>
      </c>
      <c r="F776" s="7">
        <f t="shared" si="133"/>
        <v>22.4</v>
      </c>
      <c r="G776" s="8">
        <v>0</v>
      </c>
      <c r="H776" s="9">
        <v>0</v>
      </c>
      <c r="I776" s="9">
        <v>0</v>
      </c>
      <c r="J776" s="9">
        <v>1</v>
      </c>
      <c r="K776" s="9">
        <v>0</v>
      </c>
      <c r="L776" s="8">
        <v>32820</v>
      </c>
      <c r="M776" s="9">
        <v>3</v>
      </c>
      <c r="N776" s="9">
        <f t="shared" si="135"/>
        <v>32816</v>
      </c>
      <c r="O776" s="9">
        <f t="shared" si="136"/>
        <v>6</v>
      </c>
      <c r="P776" s="7">
        <v>12.8</v>
      </c>
      <c r="Q776" s="7">
        <f t="shared" si="134"/>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35">
      <c r="A777" s="127">
        <v>776</v>
      </c>
      <c r="B777" s="127">
        <v>50</v>
      </c>
      <c r="C777" s="128" t="s">
        <v>383</v>
      </c>
      <c r="D777" s="129">
        <v>11.4</v>
      </c>
      <c r="E777" s="130">
        <v>0.5</v>
      </c>
      <c r="F777" s="131">
        <f t="shared" si="133"/>
        <v>22.8</v>
      </c>
      <c r="G777" s="133">
        <v>0</v>
      </c>
      <c r="H777" s="134">
        <v>0</v>
      </c>
      <c r="I777" s="134">
        <v>0</v>
      </c>
      <c r="J777" s="134">
        <v>1</v>
      </c>
      <c r="K777" s="134">
        <v>0</v>
      </c>
      <c r="L777" s="133">
        <v>32891</v>
      </c>
      <c r="M777" s="134">
        <v>3</v>
      </c>
      <c r="N777" s="134">
        <f t="shared" si="135"/>
        <v>32887</v>
      </c>
      <c r="O777" s="134">
        <f t="shared" si="136"/>
        <v>6</v>
      </c>
      <c r="P777" s="131">
        <v>12.8</v>
      </c>
      <c r="Q777" s="131">
        <f t="shared" si="134"/>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35">
      <c r="A778" s="113">
        <v>777</v>
      </c>
      <c r="B778" s="113">
        <v>51</v>
      </c>
      <c r="C778" s="114" t="s">
        <v>384</v>
      </c>
      <c r="D778" s="115">
        <v>6.9290000000000003</v>
      </c>
      <c r="E778" s="116">
        <v>0.35099999999999998</v>
      </c>
      <c r="F778" s="117">
        <f t="shared" si="133"/>
        <v>19.740740740740744</v>
      </c>
      <c r="G778" s="119">
        <v>0</v>
      </c>
      <c r="H778" s="120">
        <v>0</v>
      </c>
      <c r="I778" s="120">
        <v>1</v>
      </c>
      <c r="J778" s="120">
        <v>0</v>
      </c>
      <c r="K778" s="120">
        <v>0</v>
      </c>
      <c r="L778" s="119">
        <v>4596</v>
      </c>
      <c r="M778" s="120">
        <v>8</v>
      </c>
      <c r="N778" s="120">
        <f t="shared" si="135"/>
        <v>4587</v>
      </c>
      <c r="O778" s="120">
        <f t="shared" si="136"/>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35">
      <c r="A779">
        <v>778</v>
      </c>
      <c r="B779">
        <v>52</v>
      </c>
      <c r="C779" s="22" t="s">
        <v>385</v>
      </c>
      <c r="D779" s="11">
        <v>6.55</v>
      </c>
      <c r="E779" s="12">
        <v>0.03</v>
      </c>
      <c r="F779" s="7">
        <f t="shared" si="133"/>
        <v>218.33333333333334</v>
      </c>
      <c r="G779" s="8">
        <v>0</v>
      </c>
      <c r="H779" s="9">
        <v>0</v>
      </c>
      <c r="I779" s="9">
        <v>0</v>
      </c>
      <c r="J779" s="9">
        <v>1</v>
      </c>
      <c r="K779" s="9">
        <v>0</v>
      </c>
      <c r="L779" s="8">
        <v>279522</v>
      </c>
      <c r="M779" s="9">
        <v>4</v>
      </c>
      <c r="N779" s="9">
        <f t="shared" si="135"/>
        <v>279517</v>
      </c>
      <c r="O779" s="9">
        <f t="shared" si="136"/>
        <v>8</v>
      </c>
      <c r="P779" s="7">
        <v>13.04</v>
      </c>
      <c r="Q779" s="7">
        <f t="shared" ref="Q779:Q786" si="137">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35">
      <c r="A780">
        <v>779</v>
      </c>
      <c r="B780">
        <v>52</v>
      </c>
      <c r="C780" s="22" t="s">
        <v>385</v>
      </c>
      <c r="D780" s="11">
        <v>9.6</v>
      </c>
      <c r="E780" s="12">
        <v>4.4000000000000004</v>
      </c>
      <c r="F780" s="7">
        <f t="shared" si="133"/>
        <v>2.1818181818181817</v>
      </c>
      <c r="G780" s="8">
        <v>0</v>
      </c>
      <c r="H780" s="9">
        <v>0</v>
      </c>
      <c r="I780" s="9">
        <v>0</v>
      </c>
      <c r="J780" s="9">
        <v>1</v>
      </c>
      <c r="K780" s="9">
        <v>0</v>
      </c>
      <c r="L780" s="8">
        <v>279522</v>
      </c>
      <c r="M780" s="9">
        <v>4</v>
      </c>
      <c r="N780" s="9">
        <f t="shared" si="135"/>
        <v>279517</v>
      </c>
      <c r="O780" s="9">
        <f t="shared" si="136"/>
        <v>8</v>
      </c>
      <c r="P780" s="7">
        <v>13.04</v>
      </c>
      <c r="Q780" s="7">
        <f t="shared" si="137"/>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35">
      <c r="A781">
        <v>780</v>
      </c>
      <c r="B781">
        <v>52</v>
      </c>
      <c r="C781" s="22" t="s">
        <v>385</v>
      </c>
      <c r="D781" s="11">
        <v>9.8000000000000007</v>
      </c>
      <c r="E781" s="12">
        <v>2</v>
      </c>
      <c r="F781" s="7">
        <f t="shared" si="133"/>
        <v>4.9000000000000004</v>
      </c>
      <c r="G781" s="8">
        <v>0</v>
      </c>
      <c r="H781" s="9">
        <v>0</v>
      </c>
      <c r="I781" s="9">
        <v>0</v>
      </c>
      <c r="J781" s="9">
        <v>1</v>
      </c>
      <c r="K781" s="9">
        <v>0</v>
      </c>
      <c r="L781" s="8">
        <v>279522</v>
      </c>
      <c r="M781" s="9">
        <v>4</v>
      </c>
      <c r="N781" s="9">
        <f t="shared" si="135"/>
        <v>279517</v>
      </c>
      <c r="O781" s="9">
        <f t="shared" si="136"/>
        <v>8</v>
      </c>
      <c r="P781" s="7">
        <v>13.04</v>
      </c>
      <c r="Q781" s="7">
        <f t="shared" si="137"/>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35">
      <c r="A782">
        <v>781</v>
      </c>
      <c r="B782">
        <v>52</v>
      </c>
      <c r="C782" s="22" t="s">
        <v>385</v>
      </c>
      <c r="D782" s="11">
        <v>9.8000000000000007</v>
      </c>
      <c r="E782" s="12">
        <v>1.8</v>
      </c>
      <c r="F782" s="7">
        <f t="shared" si="133"/>
        <v>5.4444444444444446</v>
      </c>
      <c r="G782" s="8">
        <v>0</v>
      </c>
      <c r="H782" s="9">
        <v>0</v>
      </c>
      <c r="I782" s="9">
        <v>0</v>
      </c>
      <c r="J782" s="9">
        <v>1</v>
      </c>
      <c r="K782" s="9">
        <v>0</v>
      </c>
      <c r="L782" s="8">
        <v>279522</v>
      </c>
      <c r="M782" s="9">
        <v>4</v>
      </c>
      <c r="N782" s="9">
        <f t="shared" si="135"/>
        <v>279517</v>
      </c>
      <c r="O782" s="9">
        <f t="shared" si="136"/>
        <v>8</v>
      </c>
      <c r="P782" s="7">
        <v>13.04</v>
      </c>
      <c r="Q782" s="7">
        <f t="shared" si="137"/>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35">
      <c r="A783">
        <v>782</v>
      </c>
      <c r="B783">
        <v>52</v>
      </c>
      <c r="C783" s="22" t="s">
        <v>385</v>
      </c>
      <c r="D783" s="11">
        <v>7.43</v>
      </c>
      <c r="E783" s="12">
        <v>0.04</v>
      </c>
      <c r="F783" s="7">
        <f t="shared" si="133"/>
        <v>185.75</v>
      </c>
      <c r="G783" s="8">
        <v>0</v>
      </c>
      <c r="H783" s="9">
        <v>0</v>
      </c>
      <c r="I783" s="9">
        <v>0</v>
      </c>
      <c r="J783" s="9">
        <v>1</v>
      </c>
      <c r="K783" s="9">
        <v>0</v>
      </c>
      <c r="L783" s="8">
        <v>279522</v>
      </c>
      <c r="M783" s="9">
        <v>4</v>
      </c>
      <c r="N783" s="9">
        <f t="shared" si="135"/>
        <v>279517</v>
      </c>
      <c r="O783" s="9">
        <f t="shared" si="136"/>
        <v>8</v>
      </c>
      <c r="P783" s="7">
        <v>13.04</v>
      </c>
      <c r="Q783" s="7">
        <f t="shared" si="137"/>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35">
      <c r="A784">
        <v>783</v>
      </c>
      <c r="B784">
        <v>52</v>
      </c>
      <c r="C784" s="22" t="s">
        <v>385</v>
      </c>
      <c r="D784" s="11">
        <v>11.8</v>
      </c>
      <c r="E784" s="12">
        <v>5.6</v>
      </c>
      <c r="F784" s="7">
        <f t="shared" si="133"/>
        <v>2.1071428571428572</v>
      </c>
      <c r="G784" s="8">
        <v>0</v>
      </c>
      <c r="H784" s="9">
        <v>0</v>
      </c>
      <c r="I784" s="9">
        <v>0</v>
      </c>
      <c r="J784" s="9">
        <v>1</v>
      </c>
      <c r="K784" s="9">
        <v>0</v>
      </c>
      <c r="L784" s="8">
        <v>279522</v>
      </c>
      <c r="M784" s="9">
        <v>4</v>
      </c>
      <c r="N784" s="9">
        <f t="shared" si="135"/>
        <v>279517</v>
      </c>
      <c r="O784" s="9">
        <f t="shared" si="136"/>
        <v>8</v>
      </c>
      <c r="P784" s="7">
        <v>13.04</v>
      </c>
      <c r="Q784" s="7">
        <f t="shared" si="137"/>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35">
      <c r="A785">
        <v>784</v>
      </c>
      <c r="B785">
        <v>52</v>
      </c>
      <c r="C785" s="22" t="s">
        <v>385</v>
      </c>
      <c r="D785" s="11">
        <v>11.3</v>
      </c>
      <c r="E785" s="12">
        <v>2.2999999999999998</v>
      </c>
      <c r="F785" s="7">
        <f t="shared" si="133"/>
        <v>4.9130434782608701</v>
      </c>
      <c r="G785" s="8">
        <v>0</v>
      </c>
      <c r="H785" s="9">
        <v>0</v>
      </c>
      <c r="I785" s="9">
        <v>0</v>
      </c>
      <c r="J785" s="9">
        <v>1</v>
      </c>
      <c r="K785" s="9">
        <v>0</v>
      </c>
      <c r="L785" s="8">
        <v>279522</v>
      </c>
      <c r="M785" s="9">
        <v>4</v>
      </c>
      <c r="N785" s="9">
        <f t="shared" si="135"/>
        <v>279517</v>
      </c>
      <c r="O785" s="9">
        <f t="shared" si="136"/>
        <v>8</v>
      </c>
      <c r="P785" s="7">
        <v>13.04</v>
      </c>
      <c r="Q785" s="7">
        <f t="shared" si="137"/>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35">
      <c r="A786">
        <v>785</v>
      </c>
      <c r="B786">
        <v>52</v>
      </c>
      <c r="C786" s="22" t="s">
        <v>385</v>
      </c>
      <c r="D786" s="11">
        <v>11.2</v>
      </c>
      <c r="E786" s="12">
        <v>2.1</v>
      </c>
      <c r="F786" s="7">
        <f t="shared" si="133"/>
        <v>5.333333333333333</v>
      </c>
      <c r="G786" s="8">
        <v>0</v>
      </c>
      <c r="H786" s="9">
        <v>0</v>
      </c>
      <c r="I786" s="9">
        <v>0</v>
      </c>
      <c r="J786" s="9">
        <v>1</v>
      </c>
      <c r="K786" s="9">
        <v>0</v>
      </c>
      <c r="L786" s="8">
        <v>279522</v>
      </c>
      <c r="M786" s="9">
        <v>4</v>
      </c>
      <c r="N786" s="9">
        <f t="shared" si="135"/>
        <v>279517</v>
      </c>
      <c r="O786" s="9">
        <f t="shared" si="136"/>
        <v>8</v>
      </c>
      <c r="P786" s="7">
        <v>13.04</v>
      </c>
      <c r="Q786" s="7">
        <f t="shared" si="137"/>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35">
      <c r="A787">
        <v>786</v>
      </c>
      <c r="B787">
        <v>53</v>
      </c>
      <c r="C787" s="22" t="s">
        <v>1040</v>
      </c>
      <c r="D787" s="11">
        <v>8.5299999999999994</v>
      </c>
      <c r="E787" s="12">
        <f t="shared" ref="E787:E797" si="138">D787/F787</f>
        <v>0.92818280739934711</v>
      </c>
      <c r="F787" s="7">
        <v>9.19</v>
      </c>
      <c r="G787" s="8">
        <v>0</v>
      </c>
      <c r="H787" s="9">
        <v>1</v>
      </c>
      <c r="I787" s="9">
        <v>0</v>
      </c>
      <c r="J787" s="9">
        <v>0</v>
      </c>
      <c r="K787" s="9">
        <v>0</v>
      </c>
      <c r="L787" s="8">
        <v>389</v>
      </c>
      <c r="M787" s="9">
        <v>6</v>
      </c>
      <c r="N787" s="9">
        <f t="shared" si="135"/>
        <v>382</v>
      </c>
      <c r="O787" s="9">
        <f t="shared" si="136"/>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39">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35">
      <c r="A788">
        <v>787</v>
      </c>
      <c r="B788">
        <v>53</v>
      </c>
      <c r="C788" s="22" t="s">
        <v>1040</v>
      </c>
      <c r="D788" s="11">
        <v>7.51</v>
      </c>
      <c r="E788" s="12">
        <f t="shared" si="138"/>
        <v>1.0080536912751676</v>
      </c>
      <c r="F788" s="7">
        <v>7.45</v>
      </c>
      <c r="G788" s="8">
        <v>0</v>
      </c>
      <c r="H788" s="9">
        <v>1</v>
      </c>
      <c r="I788" s="9">
        <v>0</v>
      </c>
      <c r="J788" s="9">
        <v>0</v>
      </c>
      <c r="K788" s="9">
        <v>0</v>
      </c>
      <c r="L788" s="8">
        <v>237</v>
      </c>
      <c r="M788" s="9">
        <v>6</v>
      </c>
      <c r="N788" s="9">
        <f t="shared" si="135"/>
        <v>230</v>
      </c>
      <c r="O788" s="9">
        <f t="shared" si="136"/>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39"/>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35">
      <c r="A789">
        <v>788</v>
      </c>
      <c r="B789">
        <v>53</v>
      </c>
      <c r="C789" s="22" t="s">
        <v>1040</v>
      </c>
      <c r="D789" s="11">
        <v>6.04</v>
      </c>
      <c r="E789" s="12">
        <f t="shared" si="138"/>
        <v>1.6547945205479453</v>
      </c>
      <c r="F789" s="7">
        <v>3.65</v>
      </c>
      <c r="G789" s="8">
        <v>0</v>
      </c>
      <c r="H789" s="9">
        <v>1</v>
      </c>
      <c r="I789" s="9">
        <v>0</v>
      </c>
      <c r="J789" s="9">
        <v>0</v>
      </c>
      <c r="K789" s="9">
        <v>0</v>
      </c>
      <c r="L789" s="8">
        <v>237</v>
      </c>
      <c r="M789" s="9">
        <v>7</v>
      </c>
      <c r="N789" s="9">
        <f t="shared" si="135"/>
        <v>229</v>
      </c>
      <c r="O789" s="9">
        <f t="shared" si="136"/>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39"/>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35">
      <c r="A790">
        <v>789</v>
      </c>
      <c r="B790">
        <v>53</v>
      </c>
      <c r="C790" s="22" t="s">
        <v>1040</v>
      </c>
      <c r="D790" s="11">
        <v>3.87</v>
      </c>
      <c r="E790" s="12">
        <f t="shared" si="138"/>
        <v>1.3253424657534247</v>
      </c>
      <c r="F790" s="7">
        <v>2.92</v>
      </c>
      <c r="G790" s="8">
        <v>0</v>
      </c>
      <c r="H790" s="9">
        <v>1</v>
      </c>
      <c r="I790" s="9">
        <v>0</v>
      </c>
      <c r="J790" s="9">
        <v>0</v>
      </c>
      <c r="K790" s="9">
        <v>0</v>
      </c>
      <c r="L790" s="8">
        <v>237</v>
      </c>
      <c r="M790" s="9">
        <v>7</v>
      </c>
      <c r="N790" s="9">
        <f t="shared" si="135"/>
        <v>229</v>
      </c>
      <c r="O790" s="9">
        <f t="shared" si="136"/>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39"/>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35">
      <c r="A791">
        <v>790</v>
      </c>
      <c r="B791">
        <v>53</v>
      </c>
      <c r="C791" s="22" t="s">
        <v>1040</v>
      </c>
      <c r="D791" s="11">
        <v>7.28</v>
      </c>
      <c r="E791" s="12">
        <f t="shared" si="138"/>
        <v>2.1927710843373496</v>
      </c>
      <c r="F791" s="7">
        <v>3.32</v>
      </c>
      <c r="G791" s="8">
        <v>0</v>
      </c>
      <c r="H791" s="9">
        <v>1</v>
      </c>
      <c r="I791" s="9">
        <v>0</v>
      </c>
      <c r="J791" s="9">
        <v>0</v>
      </c>
      <c r="K791" s="9">
        <v>0</v>
      </c>
      <c r="L791" s="8">
        <v>152</v>
      </c>
      <c r="M791" s="9">
        <v>6</v>
      </c>
      <c r="N791" s="9">
        <f t="shared" si="135"/>
        <v>145</v>
      </c>
      <c r="O791" s="9">
        <f t="shared" si="136"/>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39"/>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35">
      <c r="A792">
        <v>791</v>
      </c>
      <c r="B792">
        <v>53</v>
      </c>
      <c r="C792" s="22" t="s">
        <v>1040</v>
      </c>
      <c r="D792" s="11">
        <v>0.32</v>
      </c>
      <c r="E792" s="12">
        <f t="shared" si="138"/>
        <v>4</v>
      </c>
      <c r="F792" s="7">
        <v>0.08</v>
      </c>
      <c r="G792" s="8">
        <v>0</v>
      </c>
      <c r="H792" s="9">
        <v>1</v>
      </c>
      <c r="I792" s="9">
        <v>0</v>
      </c>
      <c r="J792" s="9">
        <v>0</v>
      </c>
      <c r="K792" s="9">
        <v>0</v>
      </c>
      <c r="L792" s="8">
        <v>152</v>
      </c>
      <c r="M792" s="9">
        <v>7</v>
      </c>
      <c r="N792" s="9">
        <f t="shared" si="135"/>
        <v>144</v>
      </c>
      <c r="O792" s="9">
        <f t="shared" si="136"/>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39"/>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35">
      <c r="A793">
        <v>792</v>
      </c>
      <c r="B793">
        <v>53</v>
      </c>
      <c r="C793" s="22" t="s">
        <v>1040</v>
      </c>
      <c r="D793" s="11">
        <v>-0.45</v>
      </c>
      <c r="E793" s="12">
        <f t="shared" si="138"/>
        <v>10</v>
      </c>
      <c r="F793" s="7">
        <v>-4.4999999999999998E-2</v>
      </c>
      <c r="G793" s="8">
        <v>0</v>
      </c>
      <c r="H793" s="9">
        <v>1</v>
      </c>
      <c r="I793" s="9">
        <v>0</v>
      </c>
      <c r="J793" s="9">
        <v>0</v>
      </c>
      <c r="K793" s="9">
        <v>0</v>
      </c>
      <c r="L793" s="8">
        <v>152</v>
      </c>
      <c r="M793" s="9">
        <v>7</v>
      </c>
      <c r="N793" s="9">
        <f t="shared" si="135"/>
        <v>144</v>
      </c>
      <c r="O793" s="9">
        <f t="shared" si="136"/>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39"/>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35">
      <c r="A794">
        <v>793</v>
      </c>
      <c r="B794">
        <v>53</v>
      </c>
      <c r="C794" s="22" t="s">
        <v>1040</v>
      </c>
      <c r="D794" s="11">
        <v>2.2200000000000002</v>
      </c>
      <c r="E794" s="12">
        <f t="shared" si="138"/>
        <v>2.3368421052631581</v>
      </c>
      <c r="F794" s="7">
        <v>0.95</v>
      </c>
      <c r="G794" s="8">
        <v>0</v>
      </c>
      <c r="H794" s="9">
        <v>1</v>
      </c>
      <c r="I794" s="9">
        <v>0</v>
      </c>
      <c r="J794" s="9">
        <v>0</v>
      </c>
      <c r="K794" s="9">
        <v>0</v>
      </c>
      <c r="L794" s="8">
        <v>237</v>
      </c>
      <c r="M794" s="9">
        <v>16</v>
      </c>
      <c r="N794" s="9">
        <f t="shared" si="135"/>
        <v>220</v>
      </c>
      <c r="O794" s="9">
        <f t="shared" si="136"/>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39"/>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35">
      <c r="A795">
        <v>794</v>
      </c>
      <c r="B795">
        <v>53</v>
      </c>
      <c r="C795" s="22" t="s">
        <v>1040</v>
      </c>
      <c r="D795" s="11">
        <v>4.82</v>
      </c>
      <c r="E795" s="12">
        <f t="shared" si="138"/>
        <v>2.9036144578313254</v>
      </c>
      <c r="F795" s="7">
        <v>1.66</v>
      </c>
      <c r="G795" s="8">
        <v>0</v>
      </c>
      <c r="H795" s="9">
        <v>1</v>
      </c>
      <c r="I795" s="9">
        <v>0</v>
      </c>
      <c r="J795" s="9">
        <v>0</v>
      </c>
      <c r="K795" s="9">
        <v>0</v>
      </c>
      <c r="L795" s="8">
        <v>237</v>
      </c>
      <c r="M795" s="9">
        <v>16</v>
      </c>
      <c r="N795" s="9">
        <f t="shared" si="135"/>
        <v>220</v>
      </c>
      <c r="O795" s="9">
        <f t="shared" si="136"/>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39"/>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35">
      <c r="A796">
        <v>795</v>
      </c>
      <c r="B796">
        <v>53</v>
      </c>
      <c r="C796" s="22" t="s">
        <v>1040</v>
      </c>
      <c r="D796" s="11">
        <v>9.76</v>
      </c>
      <c r="E796" s="12">
        <f t="shared" si="138"/>
        <v>2.8208092485549132</v>
      </c>
      <c r="F796" s="7">
        <v>3.46</v>
      </c>
      <c r="G796" s="8">
        <v>0</v>
      </c>
      <c r="H796" s="9">
        <v>1</v>
      </c>
      <c r="I796" s="9">
        <v>0</v>
      </c>
      <c r="J796" s="9">
        <v>0</v>
      </c>
      <c r="K796" s="9">
        <v>0</v>
      </c>
      <c r="L796" s="8">
        <v>389</v>
      </c>
      <c r="M796" s="9">
        <v>14</v>
      </c>
      <c r="N796" s="9">
        <f t="shared" si="135"/>
        <v>374</v>
      </c>
      <c r="O796" s="9">
        <f t="shared" si="136"/>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39"/>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35">
      <c r="A797">
        <v>796</v>
      </c>
      <c r="B797">
        <v>53</v>
      </c>
      <c r="C797" s="22" t="s">
        <v>1040</v>
      </c>
      <c r="D797" s="11">
        <v>12.12</v>
      </c>
      <c r="E797" s="12">
        <f t="shared" si="138"/>
        <v>3.8113207547169807</v>
      </c>
      <c r="F797" s="7">
        <v>3.18</v>
      </c>
      <c r="G797" s="8">
        <v>0</v>
      </c>
      <c r="H797" s="9">
        <v>1</v>
      </c>
      <c r="I797" s="9">
        <v>0</v>
      </c>
      <c r="J797" s="9">
        <v>0</v>
      </c>
      <c r="K797" s="9">
        <v>0</v>
      </c>
      <c r="L797" s="8">
        <v>2421</v>
      </c>
      <c r="M797" s="9">
        <v>14</v>
      </c>
      <c r="N797" s="9">
        <f t="shared" si="135"/>
        <v>2406</v>
      </c>
      <c r="O797" s="9">
        <f t="shared" si="136"/>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39"/>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3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35"/>
        <v>3635</v>
      </c>
      <c r="O798" s="9">
        <f t="shared" si="136"/>
        <v>15</v>
      </c>
      <c r="P798" s="7">
        <f t="shared" ref="P798:P812" si="140">AF798*13+AG798*16</f>
        <v>13.849</v>
      </c>
      <c r="Q798" s="7">
        <f t="shared" ref="Q798:Q824" si="141">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3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35"/>
        <v>3635</v>
      </c>
      <c r="O799" s="9">
        <f t="shared" si="136"/>
        <v>15</v>
      </c>
      <c r="P799" s="7">
        <f t="shared" si="140"/>
        <v>13.849</v>
      </c>
      <c r="Q799" s="7">
        <f t="shared" si="141"/>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3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35"/>
        <v>3635</v>
      </c>
      <c r="O800" s="9">
        <f t="shared" si="136"/>
        <v>15</v>
      </c>
      <c r="P800" s="7">
        <f t="shared" si="140"/>
        <v>13.849</v>
      </c>
      <c r="Q800" s="7">
        <f t="shared" si="141"/>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3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35"/>
        <v>3635</v>
      </c>
      <c r="O801" s="9">
        <f t="shared" si="136"/>
        <v>15</v>
      </c>
      <c r="P801" s="7">
        <f t="shared" si="140"/>
        <v>13.849</v>
      </c>
      <c r="Q801" s="7">
        <f t="shared" si="141"/>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3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35"/>
        <v>3635</v>
      </c>
      <c r="O802" s="9">
        <f t="shared" si="136"/>
        <v>15</v>
      </c>
      <c r="P802" s="7">
        <f t="shared" si="140"/>
        <v>13.849</v>
      </c>
      <c r="Q802" s="7">
        <f t="shared" si="141"/>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3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35"/>
        <v>3635</v>
      </c>
      <c r="O803" s="9">
        <f t="shared" si="136"/>
        <v>15</v>
      </c>
      <c r="P803" s="7">
        <f t="shared" si="140"/>
        <v>13.849</v>
      </c>
      <c r="Q803" s="7">
        <f t="shared" si="141"/>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3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35"/>
        <v>3635</v>
      </c>
      <c r="O804" s="9">
        <f t="shared" si="136"/>
        <v>15</v>
      </c>
      <c r="P804" s="7">
        <f t="shared" si="140"/>
        <v>13.849</v>
      </c>
      <c r="Q804" s="7">
        <f t="shared" si="141"/>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3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35"/>
        <v>3635</v>
      </c>
      <c r="O805" s="9">
        <f t="shared" si="136"/>
        <v>15</v>
      </c>
      <c r="P805" s="7">
        <f t="shared" si="140"/>
        <v>13.849</v>
      </c>
      <c r="Q805" s="7">
        <f t="shared" si="141"/>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3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35"/>
        <v>3635</v>
      </c>
      <c r="O806" s="9">
        <f t="shared" si="136"/>
        <v>15</v>
      </c>
      <c r="P806" s="7">
        <f t="shared" si="140"/>
        <v>13.849</v>
      </c>
      <c r="Q806" s="7">
        <f t="shared" si="141"/>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3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35"/>
        <v>3635</v>
      </c>
      <c r="O807" s="9">
        <f t="shared" si="136"/>
        <v>15</v>
      </c>
      <c r="P807" s="7">
        <f t="shared" si="140"/>
        <v>13.849</v>
      </c>
      <c r="Q807" s="7">
        <f t="shared" si="141"/>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3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35"/>
        <v>3635</v>
      </c>
      <c r="O808" s="9">
        <f t="shared" si="136"/>
        <v>15</v>
      </c>
      <c r="P808" s="7">
        <f t="shared" si="140"/>
        <v>13.849</v>
      </c>
      <c r="Q808" s="7">
        <f t="shared" si="141"/>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3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35"/>
        <v>3635</v>
      </c>
      <c r="O809" s="9">
        <f t="shared" si="136"/>
        <v>15</v>
      </c>
      <c r="P809" s="7">
        <f t="shared" si="140"/>
        <v>13.849</v>
      </c>
      <c r="Q809" s="7">
        <f t="shared" si="141"/>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3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35"/>
        <v>3635</v>
      </c>
      <c r="O810" s="9">
        <f t="shared" si="136"/>
        <v>15</v>
      </c>
      <c r="P810" s="7">
        <f t="shared" si="140"/>
        <v>13.849</v>
      </c>
      <c r="Q810" s="7">
        <f t="shared" si="141"/>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3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35"/>
        <v>3635</v>
      </c>
      <c r="O811" s="9">
        <f t="shared" si="136"/>
        <v>15</v>
      </c>
      <c r="P811" s="7">
        <f t="shared" si="140"/>
        <v>13.849</v>
      </c>
      <c r="Q811" s="7">
        <f t="shared" si="141"/>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3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35"/>
        <v>3635</v>
      </c>
      <c r="O812" s="134">
        <f t="shared" si="136"/>
        <v>15</v>
      </c>
      <c r="P812" s="131">
        <f t="shared" si="140"/>
        <v>13.849</v>
      </c>
      <c r="Q812" s="131">
        <f t="shared" si="141"/>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3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35"/>
        <v>11857</v>
      </c>
      <c r="O813" s="9">
        <f t="shared" si="136"/>
        <v>12</v>
      </c>
      <c r="P813" s="7">
        <v>12</v>
      </c>
      <c r="Q813" s="7">
        <f t="shared" si="141"/>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42">1-AI813</f>
        <v>0.48699999999999999</v>
      </c>
      <c r="AI813" s="15">
        <v>0.51300000000000001</v>
      </c>
      <c r="AJ813">
        <v>1</v>
      </c>
      <c r="AK813" s="36">
        <f t="shared" ref="AK813:AK836" si="143">1-AJ813</f>
        <v>0</v>
      </c>
      <c r="AL813" t="s">
        <v>94</v>
      </c>
      <c r="AM813" s="36" t="s">
        <v>94</v>
      </c>
      <c r="AN813">
        <v>0</v>
      </c>
      <c r="AO813" s="15">
        <v>1</v>
      </c>
      <c r="AP813">
        <f t="shared" ref="AP813:AP824" si="144">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3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35"/>
        <v>11857</v>
      </c>
      <c r="O814" s="9">
        <f t="shared" si="136"/>
        <v>12</v>
      </c>
      <c r="P814" s="7">
        <v>14</v>
      </c>
      <c r="Q814" s="7">
        <f t="shared" si="141"/>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42"/>
        <v>0.48699999999999999</v>
      </c>
      <c r="AI814" s="15">
        <v>0.51300000000000001</v>
      </c>
      <c r="AJ814">
        <v>1</v>
      </c>
      <c r="AK814" s="36">
        <f t="shared" si="143"/>
        <v>0</v>
      </c>
      <c r="AL814" t="s">
        <v>94</v>
      </c>
      <c r="AM814" s="36" t="s">
        <v>94</v>
      </c>
      <c r="AN814">
        <v>0</v>
      </c>
      <c r="AO814" s="15">
        <v>1</v>
      </c>
      <c r="AP814">
        <f t="shared" si="144"/>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3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35"/>
        <v>11857</v>
      </c>
      <c r="O815" s="9">
        <f t="shared" si="136"/>
        <v>12</v>
      </c>
      <c r="P815" s="7">
        <v>16</v>
      </c>
      <c r="Q815" s="7">
        <f t="shared" si="141"/>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42"/>
        <v>0.48699999999999999</v>
      </c>
      <c r="AI815" s="15">
        <v>0.51300000000000001</v>
      </c>
      <c r="AJ815">
        <v>1</v>
      </c>
      <c r="AK815" s="36">
        <f t="shared" si="143"/>
        <v>0</v>
      </c>
      <c r="AL815" t="s">
        <v>94</v>
      </c>
      <c r="AM815" s="36" t="s">
        <v>94</v>
      </c>
      <c r="AN815">
        <v>0</v>
      </c>
      <c r="AO815" s="15">
        <v>1</v>
      </c>
      <c r="AP815">
        <f t="shared" si="144"/>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3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35"/>
        <v>11857</v>
      </c>
      <c r="O816" s="9">
        <f t="shared" si="136"/>
        <v>12</v>
      </c>
      <c r="P816" s="7">
        <v>18</v>
      </c>
      <c r="Q816" s="7">
        <f t="shared" si="141"/>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42"/>
        <v>0.48699999999999999</v>
      </c>
      <c r="AI816" s="15">
        <v>0.51300000000000001</v>
      </c>
      <c r="AJ816">
        <v>1</v>
      </c>
      <c r="AK816" s="36">
        <f t="shared" si="143"/>
        <v>0</v>
      </c>
      <c r="AL816" t="s">
        <v>94</v>
      </c>
      <c r="AM816" s="36" t="s">
        <v>94</v>
      </c>
      <c r="AN816">
        <v>0</v>
      </c>
      <c r="AO816" s="15">
        <v>1</v>
      </c>
      <c r="AP816">
        <f t="shared" si="144"/>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3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35"/>
        <v>11857</v>
      </c>
      <c r="O817" s="9">
        <f t="shared" si="136"/>
        <v>12</v>
      </c>
      <c r="P817" s="7">
        <v>18</v>
      </c>
      <c r="Q817" s="7">
        <f t="shared" si="141"/>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42"/>
        <v>0.48699999999999999</v>
      </c>
      <c r="AI817" s="15">
        <v>0.51300000000000001</v>
      </c>
      <c r="AJ817">
        <v>1</v>
      </c>
      <c r="AK817" s="36">
        <f t="shared" si="143"/>
        <v>0</v>
      </c>
      <c r="AL817" t="s">
        <v>94</v>
      </c>
      <c r="AM817" s="36" t="s">
        <v>94</v>
      </c>
      <c r="AN817">
        <v>0</v>
      </c>
      <c r="AO817" s="15">
        <v>1</v>
      </c>
      <c r="AP817">
        <f t="shared" si="144"/>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3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35"/>
        <v>11857</v>
      </c>
      <c r="O818" s="9">
        <f t="shared" si="136"/>
        <v>12</v>
      </c>
      <c r="P818" s="7">
        <v>22</v>
      </c>
      <c r="Q818" s="7">
        <f t="shared" si="141"/>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42"/>
        <v>0.48699999999999999</v>
      </c>
      <c r="AI818" s="15">
        <v>0.51300000000000001</v>
      </c>
      <c r="AJ818">
        <v>1</v>
      </c>
      <c r="AK818" s="36">
        <f t="shared" si="143"/>
        <v>0</v>
      </c>
      <c r="AL818" t="s">
        <v>94</v>
      </c>
      <c r="AM818" s="36" t="s">
        <v>94</v>
      </c>
      <c r="AN818">
        <v>0</v>
      </c>
      <c r="AO818" s="15">
        <v>1</v>
      </c>
      <c r="AP818">
        <f t="shared" si="144"/>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3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35"/>
        <v>11857</v>
      </c>
      <c r="O819" s="9">
        <f t="shared" si="136"/>
        <v>12</v>
      </c>
      <c r="P819" s="7">
        <v>12</v>
      </c>
      <c r="Q819" s="7">
        <f t="shared" si="141"/>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42"/>
        <v>0.48699999999999999</v>
      </c>
      <c r="AI819" s="15">
        <v>0.51300000000000001</v>
      </c>
      <c r="AJ819">
        <v>0</v>
      </c>
      <c r="AK819" s="36">
        <f t="shared" si="143"/>
        <v>1</v>
      </c>
      <c r="AL819" t="s">
        <v>94</v>
      </c>
      <c r="AM819" s="36" t="s">
        <v>94</v>
      </c>
      <c r="AN819">
        <v>0</v>
      </c>
      <c r="AO819" s="15">
        <v>1</v>
      </c>
      <c r="AP819">
        <f t="shared" si="144"/>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3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35"/>
        <v>11857</v>
      </c>
      <c r="O820" s="9">
        <f t="shared" si="136"/>
        <v>12</v>
      </c>
      <c r="P820" s="7">
        <v>14</v>
      </c>
      <c r="Q820" s="7">
        <f t="shared" si="141"/>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42"/>
        <v>0.48699999999999999</v>
      </c>
      <c r="AI820" s="15">
        <v>0.51300000000000001</v>
      </c>
      <c r="AJ820">
        <v>0</v>
      </c>
      <c r="AK820" s="36">
        <f t="shared" si="143"/>
        <v>1</v>
      </c>
      <c r="AL820" t="s">
        <v>94</v>
      </c>
      <c r="AM820" s="36" t="s">
        <v>94</v>
      </c>
      <c r="AN820">
        <v>0</v>
      </c>
      <c r="AO820" s="15">
        <v>1</v>
      </c>
      <c r="AP820">
        <f t="shared" si="144"/>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3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35"/>
        <v>11857</v>
      </c>
      <c r="O821" s="9">
        <f t="shared" si="136"/>
        <v>12</v>
      </c>
      <c r="P821" s="7">
        <v>16</v>
      </c>
      <c r="Q821" s="7">
        <f t="shared" si="141"/>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42"/>
        <v>0.48699999999999999</v>
      </c>
      <c r="AI821" s="15">
        <v>0.51300000000000001</v>
      </c>
      <c r="AJ821">
        <v>0</v>
      </c>
      <c r="AK821" s="36">
        <f t="shared" si="143"/>
        <v>1</v>
      </c>
      <c r="AL821" t="s">
        <v>94</v>
      </c>
      <c r="AM821" s="36" t="s">
        <v>94</v>
      </c>
      <c r="AN821">
        <v>0</v>
      </c>
      <c r="AO821" s="15">
        <v>1</v>
      </c>
      <c r="AP821">
        <f t="shared" si="144"/>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3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35"/>
        <v>11857</v>
      </c>
      <c r="O822" s="9">
        <f t="shared" si="136"/>
        <v>12</v>
      </c>
      <c r="P822" s="7">
        <v>18</v>
      </c>
      <c r="Q822" s="7">
        <f t="shared" si="141"/>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42"/>
        <v>0.48699999999999999</v>
      </c>
      <c r="AI822" s="15">
        <v>0.51300000000000001</v>
      </c>
      <c r="AJ822">
        <v>0</v>
      </c>
      <c r="AK822" s="36">
        <f t="shared" si="143"/>
        <v>1</v>
      </c>
      <c r="AL822" t="s">
        <v>94</v>
      </c>
      <c r="AM822" s="36" t="s">
        <v>94</v>
      </c>
      <c r="AN822">
        <v>0</v>
      </c>
      <c r="AO822" s="15">
        <v>1</v>
      </c>
      <c r="AP822">
        <f t="shared" si="144"/>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3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35"/>
        <v>11857</v>
      </c>
      <c r="O823" s="9">
        <f t="shared" si="136"/>
        <v>12</v>
      </c>
      <c r="P823" s="7">
        <v>18</v>
      </c>
      <c r="Q823" s="7">
        <f t="shared" si="141"/>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42"/>
        <v>0.48699999999999999</v>
      </c>
      <c r="AI823" s="15">
        <v>0.51300000000000001</v>
      </c>
      <c r="AJ823">
        <v>0</v>
      </c>
      <c r="AK823" s="36">
        <f t="shared" si="143"/>
        <v>1</v>
      </c>
      <c r="AL823" t="s">
        <v>94</v>
      </c>
      <c r="AM823" s="36" t="s">
        <v>94</v>
      </c>
      <c r="AN823">
        <v>0</v>
      </c>
      <c r="AO823" s="15">
        <v>1</v>
      </c>
      <c r="AP823">
        <f t="shared" si="144"/>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3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35"/>
        <v>11857</v>
      </c>
      <c r="O824" s="134">
        <f t="shared" si="136"/>
        <v>12</v>
      </c>
      <c r="P824" s="131">
        <v>22</v>
      </c>
      <c r="Q824" s="131">
        <f t="shared" si="141"/>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42"/>
        <v>0.48699999999999999</v>
      </c>
      <c r="AI824" s="139">
        <v>0.51300000000000001</v>
      </c>
      <c r="AJ824" s="127">
        <v>0</v>
      </c>
      <c r="AK824" s="140">
        <f t="shared" si="143"/>
        <v>1</v>
      </c>
      <c r="AL824" s="127" t="s">
        <v>94</v>
      </c>
      <c r="AM824" s="140" t="s">
        <v>94</v>
      </c>
      <c r="AN824">
        <v>0</v>
      </c>
      <c r="AO824" s="139">
        <v>1</v>
      </c>
      <c r="AP824" s="127">
        <f t="shared" si="144"/>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3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35"/>
        <v>59448</v>
      </c>
      <c r="O825" s="9">
        <f t="shared" si="136"/>
        <v>12</v>
      </c>
      <c r="P825" s="7">
        <f t="shared" ref="P825:P836" si="145">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43"/>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3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35"/>
        <v>59445</v>
      </c>
      <c r="O826" s="9">
        <f t="shared" si="136"/>
        <v>12</v>
      </c>
      <c r="P826" s="7">
        <f t="shared" si="145"/>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43"/>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3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35"/>
        <v>59448</v>
      </c>
      <c r="O827" s="9">
        <f t="shared" si="136"/>
        <v>12</v>
      </c>
      <c r="P827" s="7">
        <f t="shared" si="145"/>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43"/>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3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35"/>
        <v>59445</v>
      </c>
      <c r="O828" s="9">
        <f t="shared" si="136"/>
        <v>12</v>
      </c>
      <c r="P828" s="7">
        <f t="shared" si="145"/>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43"/>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3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35"/>
        <v>39570</v>
      </c>
      <c r="O829" s="9">
        <f t="shared" si="136"/>
        <v>12</v>
      </c>
      <c r="P829" s="7">
        <f t="shared" si="145"/>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43"/>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3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35"/>
        <v>39567</v>
      </c>
      <c r="O830" s="9">
        <f t="shared" si="136"/>
        <v>12</v>
      </c>
      <c r="P830" s="7">
        <f t="shared" si="145"/>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43"/>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3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35"/>
        <v>39570</v>
      </c>
      <c r="O831" s="9">
        <f t="shared" si="136"/>
        <v>12</v>
      </c>
      <c r="P831" s="7">
        <f t="shared" si="145"/>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43"/>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3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35"/>
        <v>39567</v>
      </c>
      <c r="O832" s="9">
        <f t="shared" si="136"/>
        <v>12</v>
      </c>
      <c r="P832" s="7">
        <f t="shared" si="145"/>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43"/>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3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35"/>
        <v>19865</v>
      </c>
      <c r="O833" s="9">
        <f t="shared" si="136"/>
        <v>12</v>
      </c>
      <c r="P833" s="7">
        <f t="shared" si="145"/>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43"/>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3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46">L834-M834-1</f>
        <v>19862</v>
      </c>
      <c r="O834" s="9">
        <f t="shared" ref="O834:O897" si="147">COUNTIF(B:B,B834)</f>
        <v>12</v>
      </c>
      <c r="P834" s="7">
        <f t="shared" si="145"/>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43"/>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3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46"/>
        <v>19865</v>
      </c>
      <c r="O835" s="9">
        <f t="shared" si="147"/>
        <v>12</v>
      </c>
      <c r="P835" s="7">
        <f t="shared" si="145"/>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43"/>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3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46"/>
        <v>19862</v>
      </c>
      <c r="O836" s="9">
        <f t="shared" si="147"/>
        <v>12</v>
      </c>
      <c r="P836" s="7">
        <f t="shared" si="145"/>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43"/>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35">
      <c r="A837">
        <v>836</v>
      </c>
      <c r="B837">
        <v>57</v>
      </c>
      <c r="C837" s="22" t="s">
        <v>932</v>
      </c>
      <c r="D837" s="11">
        <v>1.4</v>
      </c>
      <c r="E837" s="12">
        <f t="shared" ref="E837:E844" si="148">D837/F837</f>
        <v>0.72164948453608246</v>
      </c>
      <c r="F837" s="7">
        <v>1.94</v>
      </c>
      <c r="G837" s="8">
        <v>0</v>
      </c>
      <c r="H837" s="9">
        <v>1</v>
      </c>
      <c r="I837" s="9">
        <v>0</v>
      </c>
      <c r="J837" s="9">
        <v>0</v>
      </c>
      <c r="K837" s="9">
        <v>0</v>
      </c>
      <c r="L837" s="8">
        <v>1182</v>
      </c>
      <c r="M837" s="9">
        <v>5</v>
      </c>
      <c r="N837" s="9">
        <f t="shared" si="146"/>
        <v>1176</v>
      </c>
      <c r="O837" s="9">
        <f t="shared" si="147"/>
        <v>8</v>
      </c>
      <c r="P837" s="7">
        <v>8.2799999999999994</v>
      </c>
      <c r="Q837" s="7">
        <f t="shared" ref="Q837:Q844" si="149">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35">
      <c r="A838">
        <v>837</v>
      </c>
      <c r="B838">
        <v>57</v>
      </c>
      <c r="C838" s="22" t="s">
        <v>932</v>
      </c>
      <c r="D838" s="11">
        <v>1.2</v>
      </c>
      <c r="E838" s="12">
        <f t="shared" si="148"/>
        <v>0.72727272727272729</v>
      </c>
      <c r="F838" s="7">
        <v>1.65</v>
      </c>
      <c r="G838" s="8">
        <v>0</v>
      </c>
      <c r="H838" s="9">
        <v>1</v>
      </c>
      <c r="I838" s="9">
        <v>0</v>
      </c>
      <c r="J838" s="9">
        <v>0</v>
      </c>
      <c r="K838" s="9">
        <v>0</v>
      </c>
      <c r="L838" s="8">
        <v>1182</v>
      </c>
      <c r="M838" s="9">
        <v>5</v>
      </c>
      <c r="N838" s="9">
        <f t="shared" si="146"/>
        <v>1176</v>
      </c>
      <c r="O838" s="9">
        <f t="shared" si="147"/>
        <v>8</v>
      </c>
      <c r="P838" s="7">
        <v>8.2799999999999994</v>
      </c>
      <c r="Q838" s="7">
        <f t="shared" si="149"/>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35">
      <c r="A839">
        <v>838</v>
      </c>
      <c r="B839">
        <v>57</v>
      </c>
      <c r="C839" s="22" t="s">
        <v>932</v>
      </c>
      <c r="D839" s="11">
        <v>0.83</v>
      </c>
      <c r="E839" s="12">
        <f t="shared" si="148"/>
        <v>0.77570093457943912</v>
      </c>
      <c r="F839" s="7">
        <v>1.07</v>
      </c>
      <c r="G839" s="8">
        <v>0</v>
      </c>
      <c r="H839" s="9">
        <v>1</v>
      </c>
      <c r="I839" s="9">
        <v>0</v>
      </c>
      <c r="J839" s="9">
        <v>0</v>
      </c>
      <c r="K839" s="9">
        <v>0</v>
      </c>
      <c r="L839" s="8">
        <v>1182</v>
      </c>
      <c r="M839" s="9">
        <v>5</v>
      </c>
      <c r="N839" s="9">
        <f t="shared" si="146"/>
        <v>1176</v>
      </c>
      <c r="O839" s="9">
        <f t="shared" si="147"/>
        <v>8</v>
      </c>
      <c r="P839" s="7">
        <v>8.2799999999999994</v>
      </c>
      <c r="Q839" s="7">
        <f t="shared" si="149"/>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35">
      <c r="A840">
        <v>839</v>
      </c>
      <c r="B840">
        <v>57</v>
      </c>
      <c r="C840" s="22" t="s">
        <v>932</v>
      </c>
      <c r="D840" s="11">
        <v>0.68</v>
      </c>
      <c r="E840" s="12">
        <f t="shared" si="148"/>
        <v>0.66666666666666674</v>
      </c>
      <c r="F840" s="7">
        <v>1.02</v>
      </c>
      <c r="G840" s="8">
        <v>0</v>
      </c>
      <c r="H840" s="9">
        <v>1</v>
      </c>
      <c r="I840" s="9">
        <v>0</v>
      </c>
      <c r="J840" s="9">
        <v>0</v>
      </c>
      <c r="K840" s="9">
        <v>0</v>
      </c>
      <c r="L840" s="8">
        <v>1182</v>
      </c>
      <c r="M840" s="9">
        <v>5</v>
      </c>
      <c r="N840" s="9">
        <f t="shared" si="146"/>
        <v>1176</v>
      </c>
      <c r="O840" s="9">
        <f t="shared" si="147"/>
        <v>8</v>
      </c>
      <c r="P840" s="7">
        <v>8.2799999999999994</v>
      </c>
      <c r="Q840" s="7">
        <f t="shared" si="149"/>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35">
      <c r="A841">
        <v>840</v>
      </c>
      <c r="B841">
        <v>57</v>
      </c>
      <c r="C841" s="22" t="s">
        <v>932</v>
      </c>
      <c r="D841" s="11">
        <v>0.71</v>
      </c>
      <c r="E841" s="12">
        <f t="shared" si="148"/>
        <v>0.70297029702970293</v>
      </c>
      <c r="F841" s="7">
        <v>1.01</v>
      </c>
      <c r="G841" s="8">
        <v>0</v>
      </c>
      <c r="H841" s="9">
        <v>1</v>
      </c>
      <c r="I841" s="9">
        <v>0</v>
      </c>
      <c r="J841" s="9">
        <v>0</v>
      </c>
      <c r="K841" s="9">
        <v>0</v>
      </c>
      <c r="L841" s="8">
        <v>1182</v>
      </c>
      <c r="M841" s="9">
        <v>5</v>
      </c>
      <c r="N841" s="9">
        <f t="shared" si="146"/>
        <v>1176</v>
      </c>
      <c r="O841" s="9">
        <f t="shared" si="147"/>
        <v>8</v>
      </c>
      <c r="P841" s="7">
        <v>8.2799999999999994</v>
      </c>
      <c r="Q841" s="7">
        <f t="shared" si="149"/>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35">
      <c r="A842">
        <v>841</v>
      </c>
      <c r="B842">
        <v>57</v>
      </c>
      <c r="C842" s="22" t="s">
        <v>932</v>
      </c>
      <c r="D842" s="11">
        <v>1.1000000000000001</v>
      </c>
      <c r="E842" s="12">
        <f t="shared" si="148"/>
        <v>0.73825503355704702</v>
      </c>
      <c r="F842" s="7">
        <v>1.49</v>
      </c>
      <c r="G842" s="8">
        <v>0</v>
      </c>
      <c r="H842" s="9">
        <v>1</v>
      </c>
      <c r="I842" s="9">
        <v>0</v>
      </c>
      <c r="J842" s="9">
        <v>0</v>
      </c>
      <c r="K842" s="9">
        <v>0</v>
      </c>
      <c r="L842" s="8">
        <v>1182</v>
      </c>
      <c r="M842" s="9">
        <v>5</v>
      </c>
      <c r="N842" s="9">
        <f t="shared" si="146"/>
        <v>1176</v>
      </c>
      <c r="O842" s="9">
        <f t="shared" si="147"/>
        <v>8</v>
      </c>
      <c r="P842" s="7">
        <v>8.2799999999999994</v>
      </c>
      <c r="Q842" s="7">
        <f t="shared" si="149"/>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35">
      <c r="A843">
        <v>842</v>
      </c>
      <c r="B843">
        <v>57</v>
      </c>
      <c r="C843" s="22" t="s">
        <v>932</v>
      </c>
      <c r="D843" s="11">
        <v>0.87</v>
      </c>
      <c r="E843" s="12">
        <f t="shared" si="148"/>
        <v>0.87878787878787878</v>
      </c>
      <c r="F843" s="7">
        <v>0.99</v>
      </c>
      <c r="G843" s="8">
        <v>0</v>
      </c>
      <c r="H843" s="9">
        <v>1</v>
      </c>
      <c r="I843" s="9">
        <v>0</v>
      </c>
      <c r="J843" s="9">
        <v>0</v>
      </c>
      <c r="K843" s="9">
        <v>0</v>
      </c>
      <c r="L843" s="8">
        <v>1182</v>
      </c>
      <c r="M843" s="9">
        <v>5</v>
      </c>
      <c r="N843" s="9">
        <f t="shared" si="146"/>
        <v>1176</v>
      </c>
      <c r="O843" s="9">
        <f t="shared" si="147"/>
        <v>8</v>
      </c>
      <c r="P843" s="7">
        <v>8.2799999999999994</v>
      </c>
      <c r="Q843" s="7">
        <f t="shared" si="149"/>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35">
      <c r="A844">
        <v>843</v>
      </c>
      <c r="B844">
        <v>57</v>
      </c>
      <c r="C844" s="22" t="s">
        <v>932</v>
      </c>
      <c r="D844" s="11">
        <v>1.5</v>
      </c>
      <c r="E844" s="12">
        <f t="shared" si="148"/>
        <v>0.81521739130434778</v>
      </c>
      <c r="F844" s="7">
        <v>1.84</v>
      </c>
      <c r="G844" s="8">
        <v>0</v>
      </c>
      <c r="H844" s="9">
        <v>1</v>
      </c>
      <c r="I844" s="9">
        <v>0</v>
      </c>
      <c r="J844" s="9">
        <v>0</v>
      </c>
      <c r="K844" s="9">
        <v>0</v>
      </c>
      <c r="L844" s="8">
        <v>1182</v>
      </c>
      <c r="M844" s="9">
        <v>5</v>
      </c>
      <c r="N844" s="9">
        <f t="shared" si="146"/>
        <v>1176</v>
      </c>
      <c r="O844" s="9">
        <f t="shared" si="147"/>
        <v>8</v>
      </c>
      <c r="P844" s="7">
        <v>8.2799999999999994</v>
      </c>
      <c r="Q844" s="7">
        <f t="shared" si="149"/>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35">
      <c r="A845">
        <v>844</v>
      </c>
      <c r="B845">
        <v>58</v>
      </c>
      <c r="C845" s="22" t="s">
        <v>941</v>
      </c>
      <c r="D845" s="11">
        <v>7.2</v>
      </c>
      <c r="E845" s="12">
        <v>0.6</v>
      </c>
      <c r="F845" s="7">
        <f t="shared" ref="F845:F876" si="150">D845/E845</f>
        <v>12</v>
      </c>
      <c r="G845" s="8">
        <v>1</v>
      </c>
      <c r="H845" s="9">
        <v>0</v>
      </c>
      <c r="I845" s="9">
        <v>0</v>
      </c>
      <c r="J845" s="9">
        <v>0</v>
      </c>
      <c r="K845" s="9">
        <v>0</v>
      </c>
      <c r="L845" s="8">
        <v>3316</v>
      </c>
      <c r="M845" s="9">
        <v>10</v>
      </c>
      <c r="N845" s="9">
        <f t="shared" si="146"/>
        <v>3305</v>
      </c>
      <c r="O845" s="9">
        <f t="shared" si="147"/>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35">
      <c r="A846">
        <v>845</v>
      </c>
      <c r="B846">
        <v>58</v>
      </c>
      <c r="C846" s="22" t="s">
        <v>941</v>
      </c>
      <c r="D846" s="11">
        <v>9.1</v>
      </c>
      <c r="E846" s="12">
        <v>2.2999999999999998</v>
      </c>
      <c r="F846" s="7">
        <f t="shared" si="150"/>
        <v>3.956521739130435</v>
      </c>
      <c r="G846" s="8">
        <v>1</v>
      </c>
      <c r="H846" s="9">
        <v>0</v>
      </c>
      <c r="I846" s="9">
        <v>0</v>
      </c>
      <c r="J846" s="9">
        <v>0</v>
      </c>
      <c r="K846" s="9">
        <v>0</v>
      </c>
      <c r="L846" s="8">
        <v>3316</v>
      </c>
      <c r="M846" s="9">
        <v>10</v>
      </c>
      <c r="N846" s="9">
        <f t="shared" si="146"/>
        <v>3305</v>
      </c>
      <c r="O846" s="9">
        <f t="shared" si="147"/>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35">
      <c r="A847">
        <v>846</v>
      </c>
      <c r="B847">
        <v>58</v>
      </c>
      <c r="C847" s="22" t="s">
        <v>941</v>
      </c>
      <c r="D847" s="11">
        <v>5.7</v>
      </c>
      <c r="E847" s="12">
        <v>0.6</v>
      </c>
      <c r="F847" s="7">
        <f t="shared" si="150"/>
        <v>9.5</v>
      </c>
      <c r="G847" s="8">
        <v>1</v>
      </c>
      <c r="H847" s="9">
        <v>0</v>
      </c>
      <c r="I847" s="9">
        <v>0</v>
      </c>
      <c r="J847" s="9">
        <v>0</v>
      </c>
      <c r="K847" s="9">
        <v>0</v>
      </c>
      <c r="L847" s="8">
        <v>2451</v>
      </c>
      <c r="M847" s="9">
        <v>12</v>
      </c>
      <c r="N847" s="9">
        <f t="shared" si="146"/>
        <v>2438</v>
      </c>
      <c r="O847" s="9">
        <f t="shared" si="147"/>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35">
      <c r="A848">
        <v>847</v>
      </c>
      <c r="B848">
        <v>58</v>
      </c>
      <c r="C848" s="22" t="s">
        <v>941</v>
      </c>
      <c r="D848" s="11">
        <v>5.4</v>
      </c>
      <c r="E848" s="12">
        <v>0.6</v>
      </c>
      <c r="F848" s="7">
        <f t="shared" si="150"/>
        <v>9.0000000000000018</v>
      </c>
      <c r="G848" s="8">
        <v>1</v>
      </c>
      <c r="H848" s="9">
        <v>0</v>
      </c>
      <c r="I848" s="9">
        <v>0</v>
      </c>
      <c r="J848" s="9">
        <v>0</v>
      </c>
      <c r="K848" s="9">
        <v>0</v>
      </c>
      <c r="L848" s="8">
        <v>3119</v>
      </c>
      <c r="M848" s="9">
        <v>12</v>
      </c>
      <c r="N848" s="9">
        <f t="shared" si="146"/>
        <v>3106</v>
      </c>
      <c r="O848" s="9">
        <f t="shared" si="147"/>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35">
      <c r="A849">
        <v>848</v>
      </c>
      <c r="B849">
        <v>58</v>
      </c>
      <c r="C849" s="22" t="s">
        <v>941</v>
      </c>
      <c r="D849" s="11">
        <v>5</v>
      </c>
      <c r="E849" s="12">
        <v>1.5</v>
      </c>
      <c r="F849" s="7">
        <f t="shared" si="150"/>
        <v>3.3333333333333335</v>
      </c>
      <c r="G849" s="8">
        <v>1</v>
      </c>
      <c r="H849" s="9">
        <v>0</v>
      </c>
      <c r="I849" s="9">
        <v>0</v>
      </c>
      <c r="J849" s="9">
        <v>0</v>
      </c>
      <c r="K849" s="9">
        <v>0</v>
      </c>
      <c r="L849" s="8">
        <v>2451</v>
      </c>
      <c r="M849" s="9">
        <v>11</v>
      </c>
      <c r="N849" s="9">
        <f t="shared" si="146"/>
        <v>2439</v>
      </c>
      <c r="O849" s="9">
        <f t="shared" si="147"/>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35">
      <c r="A850">
        <v>849</v>
      </c>
      <c r="B850">
        <v>58</v>
      </c>
      <c r="C850" s="22" t="s">
        <v>941</v>
      </c>
      <c r="D850" s="11">
        <v>6.3</v>
      </c>
      <c r="E850" s="12">
        <v>1.3</v>
      </c>
      <c r="F850" s="7">
        <f t="shared" si="150"/>
        <v>4.8461538461538458</v>
      </c>
      <c r="G850" s="8">
        <v>1</v>
      </c>
      <c r="H850" s="9">
        <v>0</v>
      </c>
      <c r="I850" s="9">
        <v>0</v>
      </c>
      <c r="J850" s="9">
        <v>0</v>
      </c>
      <c r="K850" s="9">
        <v>0</v>
      </c>
      <c r="L850" s="8">
        <v>2451</v>
      </c>
      <c r="M850" s="9">
        <v>12</v>
      </c>
      <c r="N850" s="9">
        <f t="shared" si="146"/>
        <v>2438</v>
      </c>
      <c r="O850" s="9">
        <f t="shared" si="147"/>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35">
      <c r="A851">
        <v>850</v>
      </c>
      <c r="B851">
        <v>58</v>
      </c>
      <c r="C851" s="22" t="s">
        <v>941</v>
      </c>
      <c r="D851" s="11">
        <v>4.5</v>
      </c>
      <c r="E851" s="12">
        <v>0.9</v>
      </c>
      <c r="F851" s="7">
        <f t="shared" si="150"/>
        <v>5</v>
      </c>
      <c r="G851" s="8">
        <v>1</v>
      </c>
      <c r="H851" s="9">
        <v>0</v>
      </c>
      <c r="I851" s="9">
        <v>0</v>
      </c>
      <c r="J851" s="9">
        <v>0</v>
      </c>
      <c r="K851" s="9">
        <v>0</v>
      </c>
      <c r="L851" s="8">
        <v>1405</v>
      </c>
      <c r="M851" s="9">
        <v>11</v>
      </c>
      <c r="N851" s="9">
        <f t="shared" si="146"/>
        <v>1393</v>
      </c>
      <c r="O851" s="9">
        <f t="shared" si="147"/>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35">
      <c r="A852">
        <v>851</v>
      </c>
      <c r="B852">
        <v>58</v>
      </c>
      <c r="C852" s="22" t="s">
        <v>941</v>
      </c>
      <c r="D852" s="11">
        <v>8</v>
      </c>
      <c r="E852" s="12">
        <v>3.4</v>
      </c>
      <c r="F852" s="7">
        <f t="shared" si="150"/>
        <v>2.3529411764705883</v>
      </c>
      <c r="G852" s="8">
        <v>1</v>
      </c>
      <c r="H852" s="9">
        <v>0</v>
      </c>
      <c r="I852" s="9">
        <v>0</v>
      </c>
      <c r="J852" s="9">
        <v>0</v>
      </c>
      <c r="K852" s="9">
        <v>0</v>
      </c>
      <c r="L852" s="8">
        <v>1405</v>
      </c>
      <c r="M852" s="9">
        <v>10</v>
      </c>
      <c r="N852" s="9">
        <f t="shared" si="146"/>
        <v>1394</v>
      </c>
      <c r="O852" s="9">
        <f t="shared" si="147"/>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35">
      <c r="A853">
        <v>852</v>
      </c>
      <c r="B853">
        <v>58</v>
      </c>
      <c r="C853" s="22" t="s">
        <v>941</v>
      </c>
      <c r="D853" s="11">
        <v>8</v>
      </c>
      <c r="E853" s="12">
        <v>3.5</v>
      </c>
      <c r="F853" s="7">
        <f t="shared" si="150"/>
        <v>2.2857142857142856</v>
      </c>
      <c r="G853" s="8">
        <v>1</v>
      </c>
      <c r="H853" s="9">
        <v>0</v>
      </c>
      <c r="I853" s="9">
        <v>0</v>
      </c>
      <c r="J853" s="9">
        <v>0</v>
      </c>
      <c r="K853" s="9">
        <v>0</v>
      </c>
      <c r="L853" s="8">
        <v>1405</v>
      </c>
      <c r="M853" s="9">
        <v>10</v>
      </c>
      <c r="N853" s="9">
        <f t="shared" si="146"/>
        <v>1394</v>
      </c>
      <c r="O853" s="9">
        <f t="shared" si="147"/>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35">
      <c r="A854">
        <v>853</v>
      </c>
      <c r="B854">
        <v>58</v>
      </c>
      <c r="C854" s="22" t="s">
        <v>941</v>
      </c>
      <c r="D854" s="11">
        <v>8.4</v>
      </c>
      <c r="E854" s="12">
        <v>3.8</v>
      </c>
      <c r="F854" s="7">
        <f t="shared" si="150"/>
        <v>2.2105263157894739</v>
      </c>
      <c r="G854" s="8">
        <v>1</v>
      </c>
      <c r="H854" s="9">
        <v>0</v>
      </c>
      <c r="I854" s="9">
        <v>0</v>
      </c>
      <c r="J854" s="9">
        <v>0</v>
      </c>
      <c r="K854" s="9">
        <v>0</v>
      </c>
      <c r="L854" s="8">
        <v>1405</v>
      </c>
      <c r="M854" s="9">
        <v>10</v>
      </c>
      <c r="N854" s="9">
        <f t="shared" si="146"/>
        <v>1394</v>
      </c>
      <c r="O854" s="9">
        <f t="shared" si="147"/>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35">
      <c r="A855">
        <v>854</v>
      </c>
      <c r="B855">
        <v>58</v>
      </c>
      <c r="C855" s="22" t="s">
        <v>941</v>
      </c>
      <c r="D855" s="11">
        <v>3.6</v>
      </c>
      <c r="E855" s="12">
        <v>0.8</v>
      </c>
      <c r="F855" s="7">
        <f t="shared" si="150"/>
        <v>4.5</v>
      </c>
      <c r="G855" s="8">
        <v>1</v>
      </c>
      <c r="H855" s="9">
        <v>0</v>
      </c>
      <c r="I855" s="9">
        <v>0</v>
      </c>
      <c r="J855" s="9">
        <v>0</v>
      </c>
      <c r="K855" s="9">
        <v>0</v>
      </c>
      <c r="L855" s="8">
        <v>945</v>
      </c>
      <c r="M855" s="9">
        <v>11</v>
      </c>
      <c r="N855" s="9">
        <f t="shared" si="146"/>
        <v>933</v>
      </c>
      <c r="O855" s="9">
        <f t="shared" si="147"/>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35">
      <c r="A856">
        <v>855</v>
      </c>
      <c r="B856">
        <v>58</v>
      </c>
      <c r="C856" s="22" t="s">
        <v>941</v>
      </c>
      <c r="D856" s="11">
        <v>3.3</v>
      </c>
      <c r="E856" s="12">
        <v>0.9</v>
      </c>
      <c r="F856" s="7">
        <f t="shared" si="150"/>
        <v>3.6666666666666665</v>
      </c>
      <c r="G856" s="8">
        <v>1</v>
      </c>
      <c r="H856" s="9">
        <v>0</v>
      </c>
      <c r="I856" s="9">
        <v>0</v>
      </c>
      <c r="J856" s="9">
        <v>0</v>
      </c>
      <c r="K856" s="9">
        <v>0</v>
      </c>
      <c r="L856" s="8">
        <v>1047</v>
      </c>
      <c r="M856" s="9">
        <v>11</v>
      </c>
      <c r="N856" s="9">
        <f t="shared" si="146"/>
        <v>1035</v>
      </c>
      <c r="O856" s="9">
        <f t="shared" si="147"/>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35">
      <c r="A857">
        <v>856</v>
      </c>
      <c r="B857">
        <v>58</v>
      </c>
      <c r="C857" s="22" t="s">
        <v>941</v>
      </c>
      <c r="D857" s="11">
        <v>7.4</v>
      </c>
      <c r="E857" s="12">
        <v>3.2</v>
      </c>
      <c r="F857" s="7">
        <f t="shared" si="150"/>
        <v>2.3125</v>
      </c>
      <c r="G857" s="8">
        <v>1</v>
      </c>
      <c r="H857" s="9">
        <v>0</v>
      </c>
      <c r="I857" s="9">
        <v>0</v>
      </c>
      <c r="J857" s="9">
        <v>0</v>
      </c>
      <c r="K857" s="9">
        <v>0</v>
      </c>
      <c r="L857" s="8">
        <v>945</v>
      </c>
      <c r="M857" s="9">
        <v>10</v>
      </c>
      <c r="N857" s="9">
        <f t="shared" si="146"/>
        <v>934</v>
      </c>
      <c r="O857" s="9">
        <f t="shared" si="147"/>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35">
      <c r="A858">
        <v>857</v>
      </c>
      <c r="B858">
        <v>58</v>
      </c>
      <c r="C858" s="22" t="s">
        <v>941</v>
      </c>
      <c r="D858" s="11">
        <v>7.2</v>
      </c>
      <c r="E858" s="12">
        <v>4</v>
      </c>
      <c r="F858" s="7">
        <f t="shared" si="150"/>
        <v>1.8</v>
      </c>
      <c r="G858" s="8">
        <v>1</v>
      </c>
      <c r="H858" s="9">
        <v>0</v>
      </c>
      <c r="I858" s="9">
        <v>0</v>
      </c>
      <c r="J858" s="9">
        <v>0</v>
      </c>
      <c r="K858" s="9">
        <v>0</v>
      </c>
      <c r="L858" s="8">
        <v>945</v>
      </c>
      <c r="M858" s="9">
        <v>9</v>
      </c>
      <c r="N858" s="9">
        <f t="shared" si="146"/>
        <v>935</v>
      </c>
      <c r="O858" s="9">
        <f t="shared" si="147"/>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35">
      <c r="A859">
        <v>858</v>
      </c>
      <c r="B859">
        <v>59</v>
      </c>
      <c r="C859" s="22" t="s">
        <v>949</v>
      </c>
      <c r="D859" s="11">
        <v>10.4</v>
      </c>
      <c r="E859" s="12">
        <v>1.1000000000000001</v>
      </c>
      <c r="F859" s="7">
        <f t="shared" si="150"/>
        <v>9.4545454545454533</v>
      </c>
      <c r="G859" s="8">
        <v>0</v>
      </c>
      <c r="H859" s="9">
        <v>0</v>
      </c>
      <c r="I859" s="9">
        <v>0</v>
      </c>
      <c r="J859" s="9">
        <v>1</v>
      </c>
      <c r="K859" s="9">
        <v>0</v>
      </c>
      <c r="L859" s="8">
        <v>948</v>
      </c>
      <c r="M859" s="9">
        <v>3</v>
      </c>
      <c r="N859" s="9">
        <f t="shared" si="146"/>
        <v>944</v>
      </c>
      <c r="O859" s="9">
        <f t="shared" si="147"/>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35">
      <c r="A860">
        <v>859</v>
      </c>
      <c r="B860">
        <v>59</v>
      </c>
      <c r="C860" s="22" t="s">
        <v>949</v>
      </c>
      <c r="D860" s="11">
        <v>7.4</v>
      </c>
      <c r="E860" s="12">
        <v>1.4</v>
      </c>
      <c r="F860" s="7">
        <f t="shared" si="150"/>
        <v>5.2857142857142865</v>
      </c>
      <c r="G860" s="8">
        <v>0</v>
      </c>
      <c r="H860" s="9">
        <v>0</v>
      </c>
      <c r="I860" s="9">
        <v>0</v>
      </c>
      <c r="J860" s="9">
        <v>1</v>
      </c>
      <c r="K860" s="9">
        <v>0</v>
      </c>
      <c r="L860" s="8">
        <v>948</v>
      </c>
      <c r="M860" s="9">
        <v>4</v>
      </c>
      <c r="N860" s="9">
        <f t="shared" si="146"/>
        <v>943</v>
      </c>
      <c r="O860" s="9">
        <f t="shared" si="147"/>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35">
      <c r="A861">
        <v>860</v>
      </c>
      <c r="B861">
        <v>59</v>
      </c>
      <c r="C861" s="22" t="s">
        <v>949</v>
      </c>
      <c r="D861" s="11">
        <v>8.1</v>
      </c>
      <c r="E861" s="12">
        <v>1.1000000000000001</v>
      </c>
      <c r="F861" s="7">
        <f t="shared" si="150"/>
        <v>7.3636363636363624</v>
      </c>
      <c r="G861" s="8">
        <v>0</v>
      </c>
      <c r="H861" s="9">
        <v>0</v>
      </c>
      <c r="I861" s="9">
        <v>0</v>
      </c>
      <c r="J861" s="9">
        <v>1</v>
      </c>
      <c r="K861" s="9">
        <v>0</v>
      </c>
      <c r="L861" s="8">
        <v>948</v>
      </c>
      <c r="M861" s="9">
        <v>4</v>
      </c>
      <c r="N861" s="9">
        <f t="shared" si="146"/>
        <v>943</v>
      </c>
      <c r="O861" s="9">
        <f t="shared" si="147"/>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35">
      <c r="A862">
        <v>861</v>
      </c>
      <c r="B862">
        <v>59</v>
      </c>
      <c r="C862" s="22" t="s">
        <v>949</v>
      </c>
      <c r="D862" s="11">
        <v>7.2</v>
      </c>
      <c r="E862" s="12">
        <v>1.6</v>
      </c>
      <c r="F862" s="7">
        <f t="shared" si="150"/>
        <v>4.5</v>
      </c>
      <c r="G862" s="8">
        <v>0</v>
      </c>
      <c r="H862" s="9">
        <v>0</v>
      </c>
      <c r="I862" s="9">
        <v>0</v>
      </c>
      <c r="J862" s="9">
        <v>1</v>
      </c>
      <c r="K862" s="9">
        <v>0</v>
      </c>
      <c r="L862" s="8">
        <v>948</v>
      </c>
      <c r="M862" s="9">
        <v>5</v>
      </c>
      <c r="N862" s="9">
        <f t="shared" si="146"/>
        <v>942</v>
      </c>
      <c r="O862" s="9">
        <f t="shared" si="147"/>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35">
      <c r="A863">
        <v>862</v>
      </c>
      <c r="B863">
        <v>59</v>
      </c>
      <c r="C863" s="22" t="s">
        <v>949</v>
      </c>
      <c r="D863" s="11">
        <v>11.2</v>
      </c>
      <c r="E863" s="12">
        <v>1.6</v>
      </c>
      <c r="F863" s="7">
        <f t="shared" si="150"/>
        <v>6.9999999999999991</v>
      </c>
      <c r="G863" s="8">
        <v>0</v>
      </c>
      <c r="H863" s="9">
        <v>0</v>
      </c>
      <c r="I863" s="9">
        <v>0</v>
      </c>
      <c r="J863" s="9">
        <v>1</v>
      </c>
      <c r="K863" s="9">
        <v>0</v>
      </c>
      <c r="L863" s="8">
        <v>948</v>
      </c>
      <c r="M863" s="9">
        <v>4</v>
      </c>
      <c r="N863" s="9">
        <f t="shared" si="146"/>
        <v>943</v>
      </c>
      <c r="O863" s="9">
        <f t="shared" si="147"/>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35">
      <c r="A864">
        <v>863</v>
      </c>
      <c r="B864">
        <v>59</v>
      </c>
      <c r="C864" s="22" t="s">
        <v>949</v>
      </c>
      <c r="D864" s="11">
        <v>8.1999999999999993</v>
      </c>
      <c r="E864" s="12">
        <v>2</v>
      </c>
      <c r="F864" s="7">
        <f t="shared" si="150"/>
        <v>4.0999999999999996</v>
      </c>
      <c r="G864" s="8">
        <v>0</v>
      </c>
      <c r="H864" s="9">
        <v>0</v>
      </c>
      <c r="I864" s="9">
        <v>0</v>
      </c>
      <c r="J864" s="9">
        <v>1</v>
      </c>
      <c r="K864" s="9">
        <v>0</v>
      </c>
      <c r="L864" s="8">
        <v>948</v>
      </c>
      <c r="M864" s="9">
        <v>5</v>
      </c>
      <c r="N864" s="9">
        <f t="shared" si="146"/>
        <v>942</v>
      </c>
      <c r="O864" s="9">
        <f t="shared" si="147"/>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35">
      <c r="A865">
        <v>864</v>
      </c>
      <c r="B865">
        <v>59</v>
      </c>
      <c r="C865" s="22" t="s">
        <v>949</v>
      </c>
      <c r="D865" s="11">
        <v>10</v>
      </c>
      <c r="E865" s="12">
        <v>1.5</v>
      </c>
      <c r="F865" s="7">
        <f t="shared" si="150"/>
        <v>6.666666666666667</v>
      </c>
      <c r="G865" s="8">
        <v>0</v>
      </c>
      <c r="H865" s="9">
        <v>0</v>
      </c>
      <c r="I865" s="9">
        <v>0</v>
      </c>
      <c r="J865" s="9">
        <v>1</v>
      </c>
      <c r="K865" s="9">
        <v>0</v>
      </c>
      <c r="L865" s="8">
        <v>948</v>
      </c>
      <c r="M865" s="9">
        <v>5</v>
      </c>
      <c r="N865" s="9">
        <f t="shared" si="146"/>
        <v>942</v>
      </c>
      <c r="O865" s="9">
        <f t="shared" si="147"/>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35">
      <c r="A866">
        <v>865</v>
      </c>
      <c r="B866">
        <v>59</v>
      </c>
      <c r="C866" s="22" t="s">
        <v>949</v>
      </c>
      <c r="D866" s="11">
        <v>8</v>
      </c>
      <c r="E866" s="12">
        <v>2</v>
      </c>
      <c r="F866" s="7">
        <f t="shared" si="150"/>
        <v>4</v>
      </c>
      <c r="G866" s="8">
        <v>0</v>
      </c>
      <c r="H866" s="9">
        <v>0</v>
      </c>
      <c r="I866" s="9">
        <v>0</v>
      </c>
      <c r="J866" s="9">
        <v>1</v>
      </c>
      <c r="K866" s="9">
        <v>0</v>
      </c>
      <c r="L866" s="8">
        <v>948</v>
      </c>
      <c r="M866" s="9">
        <v>6</v>
      </c>
      <c r="N866" s="9">
        <f t="shared" si="146"/>
        <v>941</v>
      </c>
      <c r="O866" s="9">
        <f t="shared" si="147"/>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35">
      <c r="A867">
        <v>866</v>
      </c>
      <c r="B867">
        <v>59</v>
      </c>
      <c r="C867" s="22" t="s">
        <v>949</v>
      </c>
      <c r="D867" s="11">
        <v>9.6999999999999993</v>
      </c>
      <c r="E867" s="12">
        <v>1</v>
      </c>
      <c r="F867" s="7">
        <f t="shared" si="150"/>
        <v>9.6999999999999993</v>
      </c>
      <c r="G867" s="8">
        <v>0</v>
      </c>
      <c r="H867" s="9">
        <v>0</v>
      </c>
      <c r="I867" s="9">
        <v>0</v>
      </c>
      <c r="J867" s="9">
        <v>1</v>
      </c>
      <c r="K867" s="9">
        <v>0</v>
      </c>
      <c r="L867" s="8">
        <v>948</v>
      </c>
      <c r="M867" s="9">
        <v>4</v>
      </c>
      <c r="N867" s="9">
        <f t="shared" si="146"/>
        <v>943</v>
      </c>
      <c r="O867" s="9">
        <f t="shared" si="147"/>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35">
      <c r="A868">
        <v>867</v>
      </c>
      <c r="B868">
        <v>59</v>
      </c>
      <c r="C868" s="22" t="s">
        <v>949</v>
      </c>
      <c r="D868" s="11">
        <v>7.5</v>
      </c>
      <c r="E868" s="12">
        <v>1.4</v>
      </c>
      <c r="F868" s="7">
        <f t="shared" si="150"/>
        <v>5.3571428571428577</v>
      </c>
      <c r="G868" s="8">
        <v>0</v>
      </c>
      <c r="H868" s="9">
        <v>0</v>
      </c>
      <c r="I868" s="9">
        <v>0</v>
      </c>
      <c r="J868" s="9">
        <v>1</v>
      </c>
      <c r="K868" s="9">
        <v>0</v>
      </c>
      <c r="L868" s="8">
        <v>948</v>
      </c>
      <c r="M868" s="9">
        <v>5</v>
      </c>
      <c r="N868" s="9">
        <f t="shared" si="146"/>
        <v>942</v>
      </c>
      <c r="O868" s="9">
        <f t="shared" si="147"/>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35">
      <c r="A869">
        <v>868</v>
      </c>
      <c r="B869">
        <v>59</v>
      </c>
      <c r="C869" s="22" t="s">
        <v>949</v>
      </c>
      <c r="D869" s="11">
        <v>9</v>
      </c>
      <c r="E869" s="12">
        <v>1.1000000000000001</v>
      </c>
      <c r="F869" s="7">
        <f t="shared" si="150"/>
        <v>8.1818181818181817</v>
      </c>
      <c r="G869" s="8">
        <v>0</v>
      </c>
      <c r="H869" s="9">
        <v>0</v>
      </c>
      <c r="I869" s="9">
        <v>0</v>
      </c>
      <c r="J869" s="9">
        <v>1</v>
      </c>
      <c r="K869" s="9">
        <v>0</v>
      </c>
      <c r="L869" s="8">
        <v>948</v>
      </c>
      <c r="M869" s="9">
        <v>5</v>
      </c>
      <c r="N869" s="9">
        <f t="shared" si="146"/>
        <v>942</v>
      </c>
      <c r="O869" s="9">
        <f t="shared" si="147"/>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35">
      <c r="A870">
        <v>869</v>
      </c>
      <c r="B870">
        <v>59</v>
      </c>
      <c r="C870" s="22" t="s">
        <v>949</v>
      </c>
      <c r="D870" s="11">
        <v>7.2</v>
      </c>
      <c r="E870" s="12">
        <v>1.6</v>
      </c>
      <c r="F870" s="7">
        <f t="shared" si="150"/>
        <v>4.5</v>
      </c>
      <c r="G870" s="8">
        <v>0</v>
      </c>
      <c r="H870" s="9">
        <v>0</v>
      </c>
      <c r="I870" s="9">
        <v>0</v>
      </c>
      <c r="J870" s="9">
        <v>1</v>
      </c>
      <c r="K870" s="9">
        <v>0</v>
      </c>
      <c r="L870" s="8">
        <v>948</v>
      </c>
      <c r="M870" s="9">
        <v>6</v>
      </c>
      <c r="N870" s="9">
        <f t="shared" si="146"/>
        <v>941</v>
      </c>
      <c r="O870" s="9">
        <f t="shared" si="147"/>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35">
      <c r="A871">
        <v>870</v>
      </c>
      <c r="B871">
        <v>60</v>
      </c>
      <c r="C871" s="22" t="s">
        <v>956</v>
      </c>
      <c r="D871" s="11">
        <v>7.22</v>
      </c>
      <c r="E871" s="12">
        <v>0.08</v>
      </c>
      <c r="F871" s="7">
        <f t="shared" si="150"/>
        <v>90.25</v>
      </c>
      <c r="G871" s="8">
        <v>0</v>
      </c>
      <c r="H871" s="9">
        <v>0</v>
      </c>
      <c r="I871" s="9">
        <v>1</v>
      </c>
      <c r="J871" s="9">
        <v>0</v>
      </c>
      <c r="K871" s="9">
        <v>0</v>
      </c>
      <c r="L871" s="8">
        <v>118899</v>
      </c>
      <c r="M871" s="9">
        <v>5</v>
      </c>
      <c r="N871" s="9">
        <f t="shared" si="146"/>
        <v>118893</v>
      </c>
      <c r="O871" s="9">
        <f t="shared" si="147"/>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35">
      <c r="A872">
        <v>871</v>
      </c>
      <c r="B872">
        <v>60</v>
      </c>
      <c r="C872" s="22" t="s">
        <v>956</v>
      </c>
      <c r="D872" s="11">
        <v>7.43</v>
      </c>
      <c r="E872" s="12">
        <v>0.06</v>
      </c>
      <c r="F872" s="7">
        <f t="shared" si="150"/>
        <v>123.83333333333333</v>
      </c>
      <c r="G872" s="8">
        <v>0</v>
      </c>
      <c r="H872" s="9">
        <v>0</v>
      </c>
      <c r="I872" s="9">
        <v>1</v>
      </c>
      <c r="J872" s="9">
        <v>0</v>
      </c>
      <c r="K872" s="9">
        <v>0</v>
      </c>
      <c r="L872" s="8">
        <v>167937</v>
      </c>
      <c r="M872" s="9">
        <v>5</v>
      </c>
      <c r="N872" s="9">
        <f t="shared" si="146"/>
        <v>167931</v>
      </c>
      <c r="O872" s="9">
        <f t="shared" si="147"/>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35">
      <c r="A873">
        <v>872</v>
      </c>
      <c r="B873">
        <v>60</v>
      </c>
      <c r="C873" s="22" t="s">
        <v>956</v>
      </c>
      <c r="D873" s="11">
        <v>7.99</v>
      </c>
      <c r="E873" s="12">
        <v>0.2</v>
      </c>
      <c r="F873" s="7">
        <f t="shared" si="150"/>
        <v>39.949999999999996</v>
      </c>
      <c r="G873" s="8">
        <v>0</v>
      </c>
      <c r="H873" s="9">
        <v>0</v>
      </c>
      <c r="I873" s="9">
        <v>1</v>
      </c>
      <c r="J873" s="9">
        <v>0</v>
      </c>
      <c r="K873" s="9">
        <v>0</v>
      </c>
      <c r="L873" s="8">
        <v>48141</v>
      </c>
      <c r="M873" s="9">
        <v>5</v>
      </c>
      <c r="N873" s="9">
        <f t="shared" si="146"/>
        <v>48135</v>
      </c>
      <c r="O873" s="9">
        <f t="shared" si="147"/>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35">
      <c r="A874">
        <v>873</v>
      </c>
      <c r="B874">
        <v>60</v>
      </c>
      <c r="C874" s="22" t="s">
        <v>956</v>
      </c>
      <c r="D874" s="11">
        <v>4.32</v>
      </c>
      <c r="E874" s="12">
        <v>0.19</v>
      </c>
      <c r="F874" s="7">
        <f t="shared" si="150"/>
        <v>22.736842105263158</v>
      </c>
      <c r="G874" s="8">
        <v>0</v>
      </c>
      <c r="H874" s="9">
        <v>0</v>
      </c>
      <c r="I874" s="9">
        <v>1</v>
      </c>
      <c r="J874" s="9">
        <v>0</v>
      </c>
      <c r="K874" s="9">
        <v>0</v>
      </c>
      <c r="L874" s="8">
        <v>70758</v>
      </c>
      <c r="M874" s="9">
        <v>5</v>
      </c>
      <c r="N874" s="9">
        <f t="shared" si="146"/>
        <v>70752</v>
      </c>
      <c r="O874" s="9">
        <f t="shared" si="147"/>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35">
      <c r="A875">
        <v>874</v>
      </c>
      <c r="B875">
        <v>60</v>
      </c>
      <c r="C875" s="22" t="s">
        <v>956</v>
      </c>
      <c r="D875" s="11">
        <v>6.36</v>
      </c>
      <c r="E875" s="12">
        <v>0.14000000000000001</v>
      </c>
      <c r="F875" s="7">
        <f t="shared" si="150"/>
        <v>45.428571428571423</v>
      </c>
      <c r="G875" s="8">
        <v>0</v>
      </c>
      <c r="H875" s="9">
        <v>0</v>
      </c>
      <c r="I875" s="9">
        <v>1</v>
      </c>
      <c r="J875" s="9">
        <v>0</v>
      </c>
      <c r="K875" s="9">
        <v>0</v>
      </c>
      <c r="L875" s="8">
        <v>44534</v>
      </c>
      <c r="M875" s="9">
        <v>5</v>
      </c>
      <c r="N875" s="9">
        <f t="shared" si="146"/>
        <v>44528</v>
      </c>
      <c r="O875" s="9">
        <f t="shared" si="147"/>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35">
      <c r="A876">
        <v>875</v>
      </c>
      <c r="B876">
        <v>60</v>
      </c>
      <c r="C876" s="22" t="s">
        <v>956</v>
      </c>
      <c r="D876" s="11">
        <v>4.1100000000000003</v>
      </c>
      <c r="E876" s="12">
        <v>0.12</v>
      </c>
      <c r="F876" s="7">
        <f t="shared" si="150"/>
        <v>34.250000000000007</v>
      </c>
      <c r="G876" s="8">
        <v>0</v>
      </c>
      <c r="H876" s="9">
        <v>0</v>
      </c>
      <c r="I876" s="9">
        <v>1</v>
      </c>
      <c r="J876" s="9">
        <v>0</v>
      </c>
      <c r="K876" s="9">
        <v>0</v>
      </c>
      <c r="L876" s="8">
        <v>74365</v>
      </c>
      <c r="M876" s="9">
        <v>5</v>
      </c>
      <c r="N876" s="9">
        <f t="shared" si="146"/>
        <v>74359</v>
      </c>
      <c r="O876" s="9">
        <f t="shared" si="147"/>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35">
      <c r="A877">
        <v>876</v>
      </c>
      <c r="B877">
        <v>60</v>
      </c>
      <c r="C877" s="22" t="s">
        <v>956</v>
      </c>
      <c r="D877" s="11">
        <v>8.17</v>
      </c>
      <c r="E877" s="12">
        <v>0.17</v>
      </c>
      <c r="F877" s="7">
        <f t="shared" ref="F877:F908" si="151">D877/E877</f>
        <v>48.058823529411761</v>
      </c>
      <c r="G877" s="8">
        <v>0</v>
      </c>
      <c r="H877" s="9">
        <v>0</v>
      </c>
      <c r="I877" s="9">
        <v>1</v>
      </c>
      <c r="J877" s="9">
        <v>0</v>
      </c>
      <c r="K877" s="9">
        <v>0</v>
      </c>
      <c r="L877" s="8">
        <v>60811</v>
      </c>
      <c r="M877" s="9">
        <v>5</v>
      </c>
      <c r="N877" s="9">
        <f t="shared" si="146"/>
        <v>60805</v>
      </c>
      <c r="O877" s="9">
        <f t="shared" si="147"/>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35">
      <c r="A878">
        <v>877</v>
      </c>
      <c r="B878">
        <v>60</v>
      </c>
      <c r="C878" s="22" t="s">
        <v>956</v>
      </c>
      <c r="D878" s="11">
        <v>4.05</v>
      </c>
      <c r="E878" s="12">
        <v>0.14000000000000001</v>
      </c>
      <c r="F878" s="7">
        <f t="shared" si="151"/>
        <v>28.928571428571423</v>
      </c>
      <c r="G878" s="8">
        <v>0</v>
      </c>
      <c r="H878" s="9">
        <v>0</v>
      </c>
      <c r="I878" s="9">
        <v>1</v>
      </c>
      <c r="J878" s="9">
        <v>0</v>
      </c>
      <c r="K878" s="9">
        <v>0</v>
      </c>
      <c r="L878" s="8">
        <v>107126</v>
      </c>
      <c r="M878" s="9">
        <v>5</v>
      </c>
      <c r="N878" s="9">
        <f t="shared" si="146"/>
        <v>107120</v>
      </c>
      <c r="O878" s="9">
        <f t="shared" si="147"/>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35">
      <c r="A879">
        <v>878</v>
      </c>
      <c r="B879">
        <v>60</v>
      </c>
      <c r="C879" s="22" t="s">
        <v>956</v>
      </c>
      <c r="D879" s="11">
        <v>6.74</v>
      </c>
      <c r="E879" s="12">
        <v>0.11</v>
      </c>
      <c r="F879" s="7">
        <f t="shared" si="151"/>
        <v>61.272727272727273</v>
      </c>
      <c r="G879" s="8">
        <v>0</v>
      </c>
      <c r="H879" s="9">
        <v>0</v>
      </c>
      <c r="I879" s="9">
        <v>1</v>
      </c>
      <c r="J879" s="9">
        <v>0</v>
      </c>
      <c r="K879" s="9">
        <v>0</v>
      </c>
      <c r="L879" s="8">
        <v>50702</v>
      </c>
      <c r="M879" s="9">
        <v>5</v>
      </c>
      <c r="N879" s="9">
        <f t="shared" si="146"/>
        <v>50696</v>
      </c>
      <c r="O879" s="9">
        <f t="shared" si="147"/>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35">
      <c r="A880">
        <v>879</v>
      </c>
      <c r="B880">
        <v>60</v>
      </c>
      <c r="C880" s="22" t="s">
        <v>956</v>
      </c>
      <c r="D880" s="11">
        <v>4.0999999999999996</v>
      </c>
      <c r="E880" s="12">
        <v>0.08</v>
      </c>
      <c r="F880" s="7">
        <f t="shared" si="151"/>
        <v>51.249999999999993</v>
      </c>
      <c r="G880" s="8">
        <v>0</v>
      </c>
      <c r="H880" s="9">
        <v>0</v>
      </c>
      <c r="I880" s="9">
        <v>1</v>
      </c>
      <c r="J880" s="9">
        <v>0</v>
      </c>
      <c r="K880" s="9">
        <v>0</v>
      </c>
      <c r="L880" s="8">
        <v>117235</v>
      </c>
      <c r="M880" s="9">
        <v>5</v>
      </c>
      <c r="N880" s="9">
        <f t="shared" si="146"/>
        <v>117229</v>
      </c>
      <c r="O880" s="9">
        <f t="shared" si="147"/>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35">
      <c r="A881">
        <v>880</v>
      </c>
      <c r="B881">
        <v>60</v>
      </c>
      <c r="C881" s="22" t="s">
        <v>956</v>
      </c>
      <c r="D881" s="11">
        <v>10.49</v>
      </c>
      <c r="E881" s="12">
        <v>0.22</v>
      </c>
      <c r="F881" s="7">
        <f t="shared" si="151"/>
        <v>47.68181818181818</v>
      </c>
      <c r="G881" s="8">
        <v>0</v>
      </c>
      <c r="H881" s="9">
        <v>0</v>
      </c>
      <c r="I881" s="9">
        <v>1</v>
      </c>
      <c r="J881" s="9">
        <v>0</v>
      </c>
      <c r="K881" s="9">
        <v>0</v>
      </c>
      <c r="L881" s="8">
        <v>54567</v>
      </c>
      <c r="M881" s="9">
        <v>5</v>
      </c>
      <c r="N881" s="9">
        <f t="shared" si="146"/>
        <v>54561</v>
      </c>
      <c r="O881" s="9">
        <f t="shared" si="147"/>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35">
      <c r="A882">
        <v>881</v>
      </c>
      <c r="B882">
        <v>60</v>
      </c>
      <c r="C882" s="22" t="s">
        <v>956</v>
      </c>
      <c r="D882" s="11">
        <v>9.18</v>
      </c>
      <c r="E882" s="12">
        <v>0.45</v>
      </c>
      <c r="F882" s="7">
        <f t="shared" si="151"/>
        <v>20.399999999999999</v>
      </c>
      <c r="G882" s="8">
        <v>0</v>
      </c>
      <c r="H882" s="9">
        <v>0</v>
      </c>
      <c r="I882" s="9">
        <v>1</v>
      </c>
      <c r="J882" s="9">
        <v>0</v>
      </c>
      <c r="K882" s="9">
        <v>0</v>
      </c>
      <c r="L882" s="8">
        <v>84855</v>
      </c>
      <c r="M882" s="9">
        <v>5</v>
      </c>
      <c r="N882" s="9">
        <f t="shared" si="146"/>
        <v>84849</v>
      </c>
      <c r="O882" s="9">
        <f t="shared" si="147"/>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35">
      <c r="A883">
        <v>882</v>
      </c>
      <c r="B883">
        <v>60</v>
      </c>
      <c r="C883" s="22" t="s">
        <v>956</v>
      </c>
      <c r="D883" s="11">
        <v>10.63</v>
      </c>
      <c r="E883" s="12">
        <v>0.65</v>
      </c>
      <c r="F883" s="7">
        <f t="shared" si="151"/>
        <v>16.353846153846156</v>
      </c>
      <c r="G883" s="8">
        <v>0</v>
      </c>
      <c r="H883" s="9">
        <v>0</v>
      </c>
      <c r="I883" s="9">
        <v>1</v>
      </c>
      <c r="J883" s="9">
        <v>0</v>
      </c>
      <c r="K883" s="9">
        <v>0</v>
      </c>
      <c r="L883" s="8">
        <v>86999</v>
      </c>
      <c r="M883" s="9">
        <v>5</v>
      </c>
      <c r="N883" s="9">
        <f t="shared" si="146"/>
        <v>86993</v>
      </c>
      <c r="O883" s="9">
        <f t="shared" si="147"/>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35">
      <c r="A884">
        <v>883</v>
      </c>
      <c r="B884">
        <v>60</v>
      </c>
      <c r="C884" s="22" t="s">
        <v>956</v>
      </c>
      <c r="D884" s="11">
        <v>8.39</v>
      </c>
      <c r="E884" s="12">
        <v>0.51</v>
      </c>
      <c r="F884" s="7">
        <f t="shared" si="151"/>
        <v>16.450980392156865</v>
      </c>
      <c r="G884" s="8">
        <v>0</v>
      </c>
      <c r="H884" s="9">
        <v>0</v>
      </c>
      <c r="I884" s="9">
        <v>1</v>
      </c>
      <c r="J884" s="9">
        <v>0</v>
      </c>
      <c r="K884" s="9">
        <v>0</v>
      </c>
      <c r="L884" s="8">
        <v>88641</v>
      </c>
      <c r="M884" s="9">
        <v>5</v>
      </c>
      <c r="N884" s="9">
        <f t="shared" si="146"/>
        <v>88635</v>
      </c>
      <c r="O884" s="9">
        <f t="shared" si="147"/>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35">
      <c r="A885">
        <v>884</v>
      </c>
      <c r="B885">
        <v>60</v>
      </c>
      <c r="C885" s="22" t="s">
        <v>956</v>
      </c>
      <c r="D885" s="11">
        <v>10.35</v>
      </c>
      <c r="E885" s="12">
        <v>0.2</v>
      </c>
      <c r="F885" s="7">
        <f t="shared" si="151"/>
        <v>51.749999999999993</v>
      </c>
      <c r="G885" s="8">
        <v>0</v>
      </c>
      <c r="H885" s="9">
        <v>0</v>
      </c>
      <c r="I885" s="9">
        <v>1</v>
      </c>
      <c r="J885" s="9">
        <v>0</v>
      </c>
      <c r="K885" s="9">
        <v>0</v>
      </c>
      <c r="L885" s="8">
        <v>75935</v>
      </c>
      <c r="M885" s="9">
        <v>5</v>
      </c>
      <c r="N885" s="9">
        <f t="shared" si="146"/>
        <v>75929</v>
      </c>
      <c r="O885" s="9">
        <f t="shared" si="147"/>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35">
      <c r="A886">
        <v>885</v>
      </c>
      <c r="B886">
        <v>61</v>
      </c>
      <c r="C886" s="22" t="s">
        <v>964</v>
      </c>
      <c r="D886" s="11">
        <v>6.24</v>
      </c>
      <c r="E886" s="12">
        <v>0.21</v>
      </c>
      <c r="F886" s="7">
        <f t="shared" si="151"/>
        <v>29.714285714285715</v>
      </c>
      <c r="G886" s="8">
        <v>0</v>
      </c>
      <c r="H886" s="9">
        <v>1</v>
      </c>
      <c r="I886" s="9">
        <v>0</v>
      </c>
      <c r="J886" s="9">
        <v>0</v>
      </c>
      <c r="K886" s="9">
        <v>0</v>
      </c>
      <c r="L886" s="8">
        <v>10466</v>
      </c>
      <c r="M886" s="9">
        <v>5</v>
      </c>
      <c r="N886" s="9">
        <f t="shared" si="146"/>
        <v>10460</v>
      </c>
      <c r="O886" s="9">
        <f t="shared" si="147"/>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52">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35">
      <c r="A887">
        <v>886</v>
      </c>
      <c r="B887">
        <v>61</v>
      </c>
      <c r="C887" s="22" t="s">
        <v>964</v>
      </c>
      <c r="D887" s="11">
        <v>5.41</v>
      </c>
      <c r="E887" s="12">
        <v>0.28000000000000003</v>
      </c>
      <c r="F887" s="7">
        <f t="shared" si="151"/>
        <v>19.321428571428569</v>
      </c>
      <c r="G887" s="8">
        <v>0</v>
      </c>
      <c r="H887" s="9">
        <v>1</v>
      </c>
      <c r="I887" s="9">
        <v>0</v>
      </c>
      <c r="J887" s="9">
        <v>0</v>
      </c>
      <c r="K887" s="9">
        <v>0</v>
      </c>
      <c r="L887" s="8">
        <v>5520</v>
      </c>
      <c r="M887" s="9">
        <v>5</v>
      </c>
      <c r="N887" s="9">
        <f t="shared" si="146"/>
        <v>5514</v>
      </c>
      <c r="O887" s="9">
        <f t="shared" si="147"/>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52"/>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35">
      <c r="A888">
        <v>887</v>
      </c>
      <c r="B888">
        <v>61</v>
      </c>
      <c r="C888" s="22" t="s">
        <v>964</v>
      </c>
      <c r="D888" s="11">
        <v>7.24</v>
      </c>
      <c r="E888" s="12">
        <v>0.33</v>
      </c>
      <c r="F888" s="7">
        <f t="shared" si="151"/>
        <v>21.939393939393938</v>
      </c>
      <c r="G888" s="8">
        <v>0</v>
      </c>
      <c r="H888" s="9">
        <v>1</v>
      </c>
      <c r="I888" s="9">
        <v>0</v>
      </c>
      <c r="J888" s="9">
        <v>0</v>
      </c>
      <c r="K888" s="9">
        <v>0</v>
      </c>
      <c r="L888" s="8">
        <v>4946</v>
      </c>
      <c r="M888" s="9">
        <v>5</v>
      </c>
      <c r="N888" s="9">
        <f t="shared" si="146"/>
        <v>4940</v>
      </c>
      <c r="O888" s="9">
        <f t="shared" si="147"/>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52"/>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35">
      <c r="A889">
        <v>888</v>
      </c>
      <c r="B889">
        <v>61</v>
      </c>
      <c r="C889" s="22" t="s">
        <v>964</v>
      </c>
      <c r="D889" s="11">
        <v>8.99</v>
      </c>
      <c r="E889" s="12">
        <v>0.27</v>
      </c>
      <c r="F889" s="7">
        <f t="shared" si="151"/>
        <v>33.296296296296298</v>
      </c>
      <c r="G889" s="8">
        <v>0</v>
      </c>
      <c r="H889" s="9">
        <v>1</v>
      </c>
      <c r="I889" s="9">
        <v>0</v>
      </c>
      <c r="J889" s="9">
        <v>0</v>
      </c>
      <c r="K889" s="9">
        <v>0</v>
      </c>
      <c r="L889" s="8">
        <v>9492</v>
      </c>
      <c r="M889" s="9">
        <v>5</v>
      </c>
      <c r="N889" s="9">
        <f t="shared" si="146"/>
        <v>9486</v>
      </c>
      <c r="O889" s="9">
        <f t="shared" si="147"/>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52"/>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35">
      <c r="A890">
        <v>889</v>
      </c>
      <c r="B890">
        <v>61</v>
      </c>
      <c r="C890" s="22" t="s">
        <v>964</v>
      </c>
      <c r="D890" s="11">
        <v>8</v>
      </c>
      <c r="E890" s="12">
        <v>0.34</v>
      </c>
      <c r="F890" s="7">
        <f t="shared" si="151"/>
        <v>23.52941176470588</v>
      </c>
      <c r="G890" s="8">
        <v>0</v>
      </c>
      <c r="H890" s="9">
        <v>1</v>
      </c>
      <c r="I890" s="9">
        <v>0</v>
      </c>
      <c r="J890" s="9">
        <v>0</v>
      </c>
      <c r="K890" s="9">
        <v>0</v>
      </c>
      <c r="L890" s="8">
        <v>5261</v>
      </c>
      <c r="M890" s="9">
        <v>5</v>
      </c>
      <c r="N890" s="9">
        <f t="shared" si="146"/>
        <v>5255</v>
      </c>
      <c r="O890" s="9">
        <f t="shared" si="147"/>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52"/>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35">
      <c r="A891">
        <v>890</v>
      </c>
      <c r="B891">
        <v>61</v>
      </c>
      <c r="C891" s="22" t="s">
        <v>964</v>
      </c>
      <c r="D891" s="11">
        <v>10.36</v>
      </c>
      <c r="E891" s="12">
        <v>0.44</v>
      </c>
      <c r="F891" s="7">
        <f t="shared" si="151"/>
        <v>23.545454545454543</v>
      </c>
      <c r="G891" s="8">
        <v>0</v>
      </c>
      <c r="H891" s="9">
        <v>1</v>
      </c>
      <c r="I891" s="9">
        <v>0</v>
      </c>
      <c r="J891" s="9">
        <v>0</v>
      </c>
      <c r="K891" s="9">
        <v>0</v>
      </c>
      <c r="L891" s="8">
        <v>4231</v>
      </c>
      <c r="M891" s="9">
        <v>5</v>
      </c>
      <c r="N891" s="9">
        <f t="shared" si="146"/>
        <v>4225</v>
      </c>
      <c r="O891" s="9">
        <f t="shared" si="147"/>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52"/>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35">
      <c r="A892">
        <v>891</v>
      </c>
      <c r="B892">
        <v>61</v>
      </c>
      <c r="C892" s="22" t="s">
        <v>964</v>
      </c>
      <c r="D892" s="11">
        <v>6.99</v>
      </c>
      <c r="E892" s="12">
        <v>0.2</v>
      </c>
      <c r="F892" s="7">
        <f t="shared" si="151"/>
        <v>34.949999999999996</v>
      </c>
      <c r="G892" s="8">
        <v>0</v>
      </c>
      <c r="H892" s="9">
        <v>1</v>
      </c>
      <c r="I892" s="9">
        <v>0</v>
      </c>
      <c r="J892" s="9">
        <v>0</v>
      </c>
      <c r="K892" s="9">
        <v>0</v>
      </c>
      <c r="L892" s="8">
        <v>10466</v>
      </c>
      <c r="M892" s="9">
        <v>5</v>
      </c>
      <c r="N892" s="9">
        <f t="shared" si="146"/>
        <v>10460</v>
      </c>
      <c r="O892" s="9">
        <f t="shared" si="147"/>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52"/>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35">
      <c r="A893">
        <v>892</v>
      </c>
      <c r="B893">
        <v>61</v>
      </c>
      <c r="C893" s="22" t="s">
        <v>964</v>
      </c>
      <c r="D893" s="11">
        <v>6.24</v>
      </c>
      <c r="E893" s="12">
        <v>0.24</v>
      </c>
      <c r="F893" s="7">
        <f t="shared" si="151"/>
        <v>26.000000000000004</v>
      </c>
      <c r="G893" s="8">
        <v>0</v>
      </c>
      <c r="H893" s="9">
        <v>1</v>
      </c>
      <c r="I893" s="9">
        <v>0</v>
      </c>
      <c r="J893" s="9">
        <v>0</v>
      </c>
      <c r="K893" s="9">
        <v>0</v>
      </c>
      <c r="L893" s="8">
        <v>5520</v>
      </c>
      <c r="M893" s="9">
        <v>5</v>
      </c>
      <c r="N893" s="9">
        <f t="shared" si="146"/>
        <v>5514</v>
      </c>
      <c r="O893" s="9">
        <f t="shared" si="147"/>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52"/>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35">
      <c r="A894">
        <v>893</v>
      </c>
      <c r="B894">
        <v>61</v>
      </c>
      <c r="C894" s="22" t="s">
        <v>964</v>
      </c>
      <c r="D894" s="11">
        <v>7.82</v>
      </c>
      <c r="E894" s="12">
        <v>0.27</v>
      </c>
      <c r="F894" s="7">
        <f t="shared" si="151"/>
        <v>28.962962962962962</v>
      </c>
      <c r="G894" s="8">
        <v>0</v>
      </c>
      <c r="H894" s="9">
        <v>1</v>
      </c>
      <c r="I894" s="9">
        <v>0</v>
      </c>
      <c r="J894" s="9">
        <v>0</v>
      </c>
      <c r="K894" s="9">
        <v>0</v>
      </c>
      <c r="L894" s="8">
        <v>4946</v>
      </c>
      <c r="M894" s="9">
        <v>5</v>
      </c>
      <c r="N894" s="9">
        <f t="shared" si="146"/>
        <v>4940</v>
      </c>
      <c r="O894" s="9">
        <f t="shared" si="147"/>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52"/>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35">
      <c r="A895">
        <v>894</v>
      </c>
      <c r="B895">
        <v>61</v>
      </c>
      <c r="C895" s="22" t="s">
        <v>964</v>
      </c>
      <c r="D895" s="11">
        <v>10.14</v>
      </c>
      <c r="E895" s="12">
        <v>0.27</v>
      </c>
      <c r="F895" s="7">
        <f t="shared" si="151"/>
        <v>37.555555555555557</v>
      </c>
      <c r="G895" s="8">
        <v>0</v>
      </c>
      <c r="H895" s="9">
        <v>1</v>
      </c>
      <c r="I895" s="9">
        <v>0</v>
      </c>
      <c r="J895" s="9">
        <v>0</v>
      </c>
      <c r="K895" s="9">
        <v>0</v>
      </c>
      <c r="L895" s="8">
        <v>9492</v>
      </c>
      <c r="M895" s="9">
        <v>5</v>
      </c>
      <c r="N895" s="9">
        <f t="shared" si="146"/>
        <v>9486</v>
      </c>
      <c r="O895" s="9">
        <f t="shared" si="147"/>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52"/>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35">
      <c r="A896">
        <v>895</v>
      </c>
      <c r="B896">
        <v>61</v>
      </c>
      <c r="C896" s="22" t="s">
        <v>964</v>
      </c>
      <c r="D896" s="11">
        <v>9.32</v>
      </c>
      <c r="E896" s="12">
        <v>0.32</v>
      </c>
      <c r="F896" s="7">
        <f t="shared" si="151"/>
        <v>29.125</v>
      </c>
      <c r="G896" s="8">
        <v>0</v>
      </c>
      <c r="H896" s="9">
        <v>1</v>
      </c>
      <c r="I896" s="9">
        <v>0</v>
      </c>
      <c r="J896" s="9">
        <v>0</v>
      </c>
      <c r="K896" s="9">
        <v>0</v>
      </c>
      <c r="L896" s="8">
        <v>5261</v>
      </c>
      <c r="M896" s="9">
        <v>5</v>
      </c>
      <c r="N896" s="9">
        <f t="shared" si="146"/>
        <v>5255</v>
      </c>
      <c r="O896" s="9">
        <f t="shared" si="147"/>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52"/>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35">
      <c r="A897">
        <v>896</v>
      </c>
      <c r="B897">
        <v>61</v>
      </c>
      <c r="C897" s="22" t="s">
        <v>964</v>
      </c>
      <c r="D897" s="11">
        <v>11.15</v>
      </c>
      <c r="E897" s="12">
        <v>0.35</v>
      </c>
      <c r="F897" s="7">
        <f t="shared" si="151"/>
        <v>31.857142857142861</v>
      </c>
      <c r="G897" s="8">
        <v>0</v>
      </c>
      <c r="H897" s="9">
        <v>1</v>
      </c>
      <c r="I897" s="9">
        <v>0</v>
      </c>
      <c r="J897" s="9">
        <v>0</v>
      </c>
      <c r="K897" s="9">
        <v>0</v>
      </c>
      <c r="L897" s="8">
        <v>4231</v>
      </c>
      <c r="M897" s="9">
        <v>5</v>
      </c>
      <c r="N897" s="9">
        <f t="shared" si="146"/>
        <v>4225</v>
      </c>
      <c r="O897" s="9">
        <f t="shared" si="147"/>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52"/>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35">
      <c r="A898">
        <v>897</v>
      </c>
      <c r="B898">
        <v>62</v>
      </c>
      <c r="C898" s="22" t="s">
        <v>971</v>
      </c>
      <c r="D898" s="11">
        <v>4.2679999999999998</v>
      </c>
      <c r="E898" s="12">
        <v>0.50080000000000002</v>
      </c>
      <c r="F898" s="7">
        <f t="shared" si="151"/>
        <v>8.5223642172523952</v>
      </c>
      <c r="G898" s="8">
        <v>0</v>
      </c>
      <c r="H898" s="9">
        <v>0</v>
      </c>
      <c r="I898" s="9">
        <v>0</v>
      </c>
      <c r="J898" s="9">
        <v>1</v>
      </c>
      <c r="K898" s="9">
        <v>0</v>
      </c>
      <c r="L898" s="8">
        <v>874</v>
      </c>
      <c r="M898" s="9">
        <v>2</v>
      </c>
      <c r="N898" s="9">
        <f t="shared" ref="N898:N961" si="153">L898-M898-1</f>
        <v>871</v>
      </c>
      <c r="O898" s="9">
        <f t="shared" ref="O898:O961" si="154">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52"/>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35">
      <c r="A899">
        <v>898</v>
      </c>
      <c r="B899">
        <v>62</v>
      </c>
      <c r="C899" s="22" t="s">
        <v>971</v>
      </c>
      <c r="D899" s="11">
        <v>4.077</v>
      </c>
      <c r="E899" s="12">
        <v>0.4496</v>
      </c>
      <c r="F899" s="7">
        <f t="shared" si="151"/>
        <v>9.0680604982206408</v>
      </c>
      <c r="G899" s="8">
        <v>0</v>
      </c>
      <c r="H899" s="9">
        <v>0</v>
      </c>
      <c r="I899" s="9">
        <v>0</v>
      </c>
      <c r="J899" s="9">
        <v>1</v>
      </c>
      <c r="K899" s="9">
        <v>0</v>
      </c>
      <c r="L899" s="8">
        <v>947</v>
      </c>
      <c r="M899" s="9">
        <v>2</v>
      </c>
      <c r="N899" s="9">
        <f t="shared" si="153"/>
        <v>944</v>
      </c>
      <c r="O899" s="9">
        <f t="shared" si="154"/>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52"/>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35">
      <c r="A900">
        <v>899</v>
      </c>
      <c r="B900">
        <v>62</v>
      </c>
      <c r="C900" s="22" t="s">
        <v>971</v>
      </c>
      <c r="D900" s="11">
        <v>3.968</v>
      </c>
      <c r="E900" s="12">
        <v>0.59989999999999999</v>
      </c>
      <c r="F900" s="7">
        <f t="shared" si="151"/>
        <v>6.614435739289882</v>
      </c>
      <c r="G900" s="8">
        <v>0</v>
      </c>
      <c r="H900" s="9">
        <v>0</v>
      </c>
      <c r="I900" s="9">
        <v>0</v>
      </c>
      <c r="J900" s="9">
        <v>1</v>
      </c>
      <c r="K900" s="9">
        <v>0</v>
      </c>
      <c r="L900" s="8">
        <v>684</v>
      </c>
      <c r="M900" s="9">
        <v>2</v>
      </c>
      <c r="N900" s="9">
        <f t="shared" si="153"/>
        <v>681</v>
      </c>
      <c r="O900" s="9">
        <f t="shared" si="154"/>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52"/>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35">
      <c r="A901">
        <v>900</v>
      </c>
      <c r="B901">
        <v>62</v>
      </c>
      <c r="C901" s="22" t="s">
        <v>971</v>
      </c>
      <c r="D901" s="11">
        <v>4.8079999999999998</v>
      </c>
      <c r="E901" s="12">
        <v>0.22720000000000001</v>
      </c>
      <c r="F901" s="7">
        <f t="shared" si="151"/>
        <v>21.161971830985912</v>
      </c>
      <c r="G901" s="8">
        <v>0</v>
      </c>
      <c r="H901" s="9">
        <v>0</v>
      </c>
      <c r="I901" s="9">
        <v>0</v>
      </c>
      <c r="J901" s="9">
        <v>1</v>
      </c>
      <c r="K901" s="9">
        <v>0</v>
      </c>
      <c r="L901" s="8">
        <v>2518</v>
      </c>
      <c r="M901" s="9">
        <v>2</v>
      </c>
      <c r="N901" s="9">
        <f t="shared" si="153"/>
        <v>2515</v>
      </c>
      <c r="O901" s="9">
        <f t="shared" si="154"/>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52"/>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35">
      <c r="A902">
        <v>901</v>
      </c>
      <c r="B902">
        <v>62</v>
      </c>
      <c r="C902" s="22" t="s">
        <v>971</v>
      </c>
      <c r="D902" s="11">
        <v>2.9990000000000001</v>
      </c>
      <c r="E902" s="12">
        <v>0.65780000000000005</v>
      </c>
      <c r="F902" s="7">
        <f t="shared" si="151"/>
        <v>4.5591365156582544</v>
      </c>
      <c r="G902" s="8">
        <v>0</v>
      </c>
      <c r="H902" s="9">
        <v>0</v>
      </c>
      <c r="I902" s="9">
        <v>0</v>
      </c>
      <c r="J902" s="9">
        <v>1</v>
      </c>
      <c r="K902" s="9">
        <v>0</v>
      </c>
      <c r="L902" s="8">
        <v>859</v>
      </c>
      <c r="M902" s="9">
        <v>3</v>
      </c>
      <c r="N902" s="9">
        <f t="shared" si="153"/>
        <v>855</v>
      </c>
      <c r="O902" s="9">
        <f t="shared" si="154"/>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52"/>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35">
      <c r="A903">
        <v>902</v>
      </c>
      <c r="B903">
        <v>62</v>
      </c>
      <c r="C903" s="22" t="s">
        <v>971</v>
      </c>
      <c r="D903" s="11">
        <v>2.415</v>
      </c>
      <c r="E903" s="12">
        <v>0.58289999999999997</v>
      </c>
      <c r="F903" s="7">
        <f t="shared" si="151"/>
        <v>4.1430777148739066</v>
      </c>
      <c r="G903" s="8">
        <v>0</v>
      </c>
      <c r="H903" s="9">
        <v>0</v>
      </c>
      <c r="I903" s="9">
        <v>0</v>
      </c>
      <c r="J903" s="9">
        <v>1</v>
      </c>
      <c r="K903" s="9">
        <v>0</v>
      </c>
      <c r="L903" s="8">
        <v>942</v>
      </c>
      <c r="M903" s="9">
        <v>3</v>
      </c>
      <c r="N903" s="9">
        <f t="shared" si="153"/>
        <v>938</v>
      </c>
      <c r="O903" s="9">
        <f t="shared" si="154"/>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52"/>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35">
      <c r="A904">
        <v>903</v>
      </c>
      <c r="B904">
        <v>62</v>
      </c>
      <c r="C904" s="22" t="s">
        <v>971</v>
      </c>
      <c r="D904" s="11">
        <v>1.556</v>
      </c>
      <c r="E904" s="12">
        <v>0.74</v>
      </c>
      <c r="F904" s="7">
        <f t="shared" si="151"/>
        <v>2.102702702702703</v>
      </c>
      <c r="G904" s="8">
        <v>0</v>
      </c>
      <c r="H904" s="9">
        <v>0</v>
      </c>
      <c r="I904" s="9">
        <v>0</v>
      </c>
      <c r="J904" s="9">
        <v>1</v>
      </c>
      <c r="K904" s="9">
        <v>0</v>
      </c>
      <c r="L904" s="8">
        <v>683</v>
      </c>
      <c r="M904" s="9">
        <v>3</v>
      </c>
      <c r="N904" s="9">
        <f t="shared" si="153"/>
        <v>679</v>
      </c>
      <c r="O904" s="9">
        <f t="shared" si="154"/>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52"/>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35">
      <c r="A905">
        <v>904</v>
      </c>
      <c r="B905">
        <v>62</v>
      </c>
      <c r="C905" s="22" t="s">
        <v>971</v>
      </c>
      <c r="D905" s="11">
        <v>3.3570000000000002</v>
      </c>
      <c r="E905" s="12">
        <v>0.25380000000000003</v>
      </c>
      <c r="F905" s="7">
        <f t="shared" si="151"/>
        <v>13.226950354609929</v>
      </c>
      <c r="G905" s="8">
        <v>0</v>
      </c>
      <c r="H905" s="9">
        <v>0</v>
      </c>
      <c r="I905" s="9">
        <v>0</v>
      </c>
      <c r="J905" s="9">
        <v>1</v>
      </c>
      <c r="K905" s="9">
        <v>0</v>
      </c>
      <c r="L905" s="8">
        <v>2518</v>
      </c>
      <c r="M905" s="9">
        <v>3</v>
      </c>
      <c r="N905" s="9">
        <f t="shared" si="153"/>
        <v>2514</v>
      </c>
      <c r="O905" s="9">
        <f t="shared" si="154"/>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52"/>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35">
      <c r="A906">
        <v>905</v>
      </c>
      <c r="B906">
        <v>62</v>
      </c>
      <c r="C906" s="22" t="s">
        <v>971</v>
      </c>
      <c r="D906" s="11">
        <v>4.4290000000000003</v>
      </c>
      <c r="E906" s="12">
        <v>0.49509999999999998</v>
      </c>
      <c r="F906" s="7">
        <f t="shared" si="151"/>
        <v>8.9456675419107263</v>
      </c>
      <c r="G906" s="8">
        <v>0</v>
      </c>
      <c r="H906" s="9">
        <v>0</v>
      </c>
      <c r="I906" s="9">
        <v>0</v>
      </c>
      <c r="J906" s="9">
        <v>1</v>
      </c>
      <c r="K906" s="9">
        <v>0</v>
      </c>
      <c r="L906" s="8">
        <v>874</v>
      </c>
      <c r="M906" s="9">
        <v>2</v>
      </c>
      <c r="N906" s="9">
        <f t="shared" si="153"/>
        <v>871</v>
      </c>
      <c r="O906" s="9">
        <f t="shared" si="154"/>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52"/>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35">
      <c r="A907">
        <v>906</v>
      </c>
      <c r="B907">
        <v>62</v>
      </c>
      <c r="C907" s="22" t="s">
        <v>971</v>
      </c>
      <c r="D907" s="11">
        <v>4.1890000000000001</v>
      </c>
      <c r="E907" s="12">
        <v>0.44290000000000002</v>
      </c>
      <c r="F907" s="7">
        <f t="shared" si="151"/>
        <v>9.4581169564235719</v>
      </c>
      <c r="G907" s="8">
        <v>0</v>
      </c>
      <c r="H907" s="9">
        <v>0</v>
      </c>
      <c r="I907" s="9">
        <v>0</v>
      </c>
      <c r="J907" s="9">
        <v>1</v>
      </c>
      <c r="K907" s="9">
        <v>0</v>
      </c>
      <c r="L907" s="8">
        <v>947</v>
      </c>
      <c r="M907" s="9">
        <v>2</v>
      </c>
      <c r="N907" s="9">
        <f t="shared" si="153"/>
        <v>944</v>
      </c>
      <c r="O907" s="9">
        <f t="shared" si="154"/>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52"/>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35">
      <c r="A908">
        <v>907</v>
      </c>
      <c r="B908">
        <v>62</v>
      </c>
      <c r="C908" s="22" t="s">
        <v>971</v>
      </c>
      <c r="D908" s="11">
        <v>4.0449999999999999</v>
      </c>
      <c r="E908" s="12">
        <v>0.59989999999999999</v>
      </c>
      <c r="F908" s="7">
        <f t="shared" si="151"/>
        <v>6.7427904650775128</v>
      </c>
      <c r="G908" s="8">
        <v>0</v>
      </c>
      <c r="H908" s="9">
        <v>0</v>
      </c>
      <c r="I908" s="9">
        <v>0</v>
      </c>
      <c r="J908" s="9">
        <v>1</v>
      </c>
      <c r="K908" s="9">
        <v>0</v>
      </c>
      <c r="L908" s="8">
        <v>648</v>
      </c>
      <c r="M908" s="9">
        <v>2</v>
      </c>
      <c r="N908" s="9">
        <f t="shared" si="153"/>
        <v>645</v>
      </c>
      <c r="O908" s="9">
        <f t="shared" si="154"/>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52"/>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35">
      <c r="A909">
        <v>908</v>
      </c>
      <c r="B909">
        <v>62</v>
      </c>
      <c r="C909" s="22" t="s">
        <v>971</v>
      </c>
      <c r="D909" s="11">
        <v>4.8689999999999998</v>
      </c>
      <c r="E909" s="12">
        <v>0.22600000000000001</v>
      </c>
      <c r="F909" s="7">
        <f t="shared" ref="F909:F917" si="155">D909/E909</f>
        <v>21.544247787610619</v>
      </c>
      <c r="G909" s="8">
        <v>0</v>
      </c>
      <c r="H909" s="9">
        <v>0</v>
      </c>
      <c r="I909" s="9">
        <v>0</v>
      </c>
      <c r="J909" s="9">
        <v>1</v>
      </c>
      <c r="K909" s="9">
        <v>0</v>
      </c>
      <c r="L909" s="8">
        <v>2518</v>
      </c>
      <c r="M909" s="9">
        <v>2</v>
      </c>
      <c r="N909" s="9">
        <f t="shared" si="153"/>
        <v>2515</v>
      </c>
      <c r="O909" s="9">
        <f t="shared" si="154"/>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52"/>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35">
      <c r="A910">
        <v>909</v>
      </c>
      <c r="B910">
        <v>62</v>
      </c>
      <c r="C910" s="22" t="s">
        <v>971</v>
      </c>
      <c r="D910" s="11">
        <v>2.4340000000000002</v>
      </c>
      <c r="E910" s="12">
        <v>0.91990000000000005</v>
      </c>
      <c r="F910" s="7">
        <f t="shared" si="155"/>
        <v>2.6459397760626153</v>
      </c>
      <c r="G910" s="8">
        <v>0</v>
      </c>
      <c r="H910" s="9">
        <v>0</v>
      </c>
      <c r="I910" s="9">
        <v>0</v>
      </c>
      <c r="J910" s="9">
        <v>1</v>
      </c>
      <c r="K910" s="9">
        <v>0</v>
      </c>
      <c r="L910" s="8">
        <v>426</v>
      </c>
      <c r="M910" s="9">
        <v>1</v>
      </c>
      <c r="N910" s="9">
        <f t="shared" si="153"/>
        <v>424</v>
      </c>
      <c r="O910" s="9">
        <f t="shared" si="154"/>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52"/>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35">
      <c r="A911">
        <v>910</v>
      </c>
      <c r="B911">
        <v>62</v>
      </c>
      <c r="C911" s="22" t="s">
        <v>971</v>
      </c>
      <c r="D911" s="11">
        <v>1.5780000000000001</v>
      </c>
      <c r="E911" s="12">
        <v>0.74250000000000005</v>
      </c>
      <c r="F911" s="7">
        <f t="shared" si="155"/>
        <v>2.1252525252525252</v>
      </c>
      <c r="G911" s="8">
        <v>0</v>
      </c>
      <c r="H911" s="9">
        <v>0</v>
      </c>
      <c r="I911" s="9">
        <v>0</v>
      </c>
      <c r="J911" s="9">
        <v>1</v>
      </c>
      <c r="K911" s="9">
        <v>0</v>
      </c>
      <c r="L911" s="8">
        <v>464</v>
      </c>
      <c r="M911" s="9">
        <v>1</v>
      </c>
      <c r="N911" s="9">
        <f t="shared" si="153"/>
        <v>462</v>
      </c>
      <c r="O911" s="9">
        <f t="shared" si="154"/>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52"/>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35">
      <c r="A912">
        <v>911</v>
      </c>
      <c r="B912">
        <v>62</v>
      </c>
      <c r="C912" s="22" t="s">
        <v>971</v>
      </c>
      <c r="D912" s="11">
        <v>1.8879999999999999</v>
      </c>
      <c r="E912" s="12">
        <v>1.0250999999999999</v>
      </c>
      <c r="F912" s="7">
        <f t="shared" si="155"/>
        <v>1.8417715344844405</v>
      </c>
      <c r="G912" s="8">
        <v>0</v>
      </c>
      <c r="H912" s="9">
        <v>0</v>
      </c>
      <c r="I912" s="9">
        <v>0</v>
      </c>
      <c r="J912" s="9">
        <v>1</v>
      </c>
      <c r="K912" s="9">
        <v>0</v>
      </c>
      <c r="L912" s="8">
        <v>361</v>
      </c>
      <c r="M912" s="9">
        <v>1</v>
      </c>
      <c r="N912" s="9">
        <f t="shared" si="153"/>
        <v>359</v>
      </c>
      <c r="O912" s="9">
        <f t="shared" si="154"/>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52"/>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35">
      <c r="A913">
        <v>912</v>
      </c>
      <c r="B913">
        <v>62</v>
      </c>
      <c r="C913" s="22" t="s">
        <v>971</v>
      </c>
      <c r="D913" s="11">
        <v>3.4140000000000001</v>
      </c>
      <c r="E913" s="12">
        <v>0.57210000000000005</v>
      </c>
      <c r="F913" s="7">
        <f t="shared" si="155"/>
        <v>5.9674882013633974</v>
      </c>
      <c r="G913" s="8">
        <v>0</v>
      </c>
      <c r="H913" s="9">
        <v>0</v>
      </c>
      <c r="I913" s="9">
        <v>0</v>
      </c>
      <c r="J913" s="9">
        <v>1</v>
      </c>
      <c r="K913" s="9">
        <v>0</v>
      </c>
      <c r="L913" s="8">
        <v>1251</v>
      </c>
      <c r="M913" s="9">
        <v>1</v>
      </c>
      <c r="N913" s="9">
        <f t="shared" si="153"/>
        <v>1249</v>
      </c>
      <c r="O913" s="9">
        <f t="shared" si="154"/>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52"/>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35">
      <c r="A914">
        <v>913</v>
      </c>
      <c r="B914">
        <v>62</v>
      </c>
      <c r="C914" s="22" t="s">
        <v>971</v>
      </c>
      <c r="D914" s="11">
        <v>3.411</v>
      </c>
      <c r="E914" s="12">
        <v>0.93610000000000004</v>
      </c>
      <c r="F914" s="7">
        <f t="shared" si="155"/>
        <v>3.6438414699284265</v>
      </c>
      <c r="G914" s="8">
        <v>0</v>
      </c>
      <c r="H914" s="9">
        <v>0</v>
      </c>
      <c r="I914" s="9">
        <v>0</v>
      </c>
      <c r="J914" s="9">
        <v>1</v>
      </c>
      <c r="K914" s="9">
        <v>0</v>
      </c>
      <c r="L914" s="8">
        <v>433</v>
      </c>
      <c r="M914" s="9">
        <v>1</v>
      </c>
      <c r="N914" s="9">
        <f t="shared" si="153"/>
        <v>431</v>
      </c>
      <c r="O914" s="9">
        <f t="shared" si="154"/>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52"/>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35">
      <c r="A915">
        <v>914</v>
      </c>
      <c r="B915">
        <v>62</v>
      </c>
      <c r="C915" s="22" t="s">
        <v>971</v>
      </c>
      <c r="D915" s="11">
        <v>2.8820000000000001</v>
      </c>
      <c r="E915" s="12">
        <v>0.874</v>
      </c>
      <c r="F915" s="7">
        <f t="shared" si="155"/>
        <v>3.2974828375286043</v>
      </c>
      <c r="G915" s="8">
        <v>0</v>
      </c>
      <c r="H915" s="9">
        <v>0</v>
      </c>
      <c r="I915" s="9">
        <v>0</v>
      </c>
      <c r="J915" s="9">
        <v>1</v>
      </c>
      <c r="K915" s="9">
        <v>0</v>
      </c>
      <c r="L915" s="8">
        <v>478</v>
      </c>
      <c r="M915" s="9">
        <v>1</v>
      </c>
      <c r="N915" s="9">
        <f t="shared" si="153"/>
        <v>476</v>
      </c>
      <c r="O915" s="9">
        <f t="shared" si="154"/>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52"/>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35">
      <c r="A916">
        <v>915</v>
      </c>
      <c r="B916">
        <v>62</v>
      </c>
      <c r="C916" s="22" t="s">
        <v>971</v>
      </c>
      <c r="D916" s="11">
        <v>1.294</v>
      </c>
      <c r="E916" s="12">
        <v>1.0887</v>
      </c>
      <c r="F916" s="7">
        <f t="shared" si="155"/>
        <v>1.1885735280609901</v>
      </c>
      <c r="G916" s="8">
        <v>0</v>
      </c>
      <c r="H916" s="9">
        <v>0</v>
      </c>
      <c r="I916" s="9">
        <v>0</v>
      </c>
      <c r="J916" s="9">
        <v>1</v>
      </c>
      <c r="K916" s="9">
        <v>0</v>
      </c>
      <c r="L916" s="8">
        <v>322</v>
      </c>
      <c r="M916" s="9">
        <v>1</v>
      </c>
      <c r="N916" s="9">
        <f t="shared" si="153"/>
        <v>320</v>
      </c>
      <c r="O916" s="9">
        <f t="shared" si="154"/>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52"/>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35">
      <c r="A917">
        <v>916</v>
      </c>
      <c r="B917">
        <v>62</v>
      </c>
      <c r="C917" s="22" t="s">
        <v>971</v>
      </c>
      <c r="D917" s="11">
        <v>3.5739999999999998</v>
      </c>
      <c r="E917" s="12">
        <v>0.59570000000000001</v>
      </c>
      <c r="F917" s="7">
        <f t="shared" si="155"/>
        <v>5.9996642605338257</v>
      </c>
      <c r="G917" s="8">
        <v>0</v>
      </c>
      <c r="H917" s="9">
        <v>0</v>
      </c>
      <c r="I917" s="9">
        <v>0</v>
      </c>
      <c r="J917" s="9">
        <v>1</v>
      </c>
      <c r="K917" s="9">
        <v>0</v>
      </c>
      <c r="L917" s="8">
        <v>1233</v>
      </c>
      <c r="M917" s="9">
        <v>1</v>
      </c>
      <c r="N917" s="9">
        <f t="shared" si="153"/>
        <v>1231</v>
      </c>
      <c r="O917" s="9">
        <f t="shared" si="154"/>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52"/>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35">
      <c r="A918">
        <v>917</v>
      </c>
      <c r="B918">
        <v>63</v>
      </c>
      <c r="C918" s="22" t="s">
        <v>981</v>
      </c>
      <c r="D918" s="11">
        <v>8.06</v>
      </c>
      <c r="E918" s="12">
        <f t="shared" ref="E918:E937" si="156">D918/F918</f>
        <v>0.51070840197693579</v>
      </c>
      <c r="F918" s="7">
        <v>15.782</v>
      </c>
      <c r="G918" s="8">
        <v>0</v>
      </c>
      <c r="H918" s="9">
        <v>0</v>
      </c>
      <c r="I918" s="9">
        <v>1</v>
      </c>
      <c r="J918" s="9">
        <v>0</v>
      </c>
      <c r="K918" s="9">
        <v>0</v>
      </c>
      <c r="L918" s="8">
        <v>1650</v>
      </c>
      <c r="M918" s="9">
        <v>7</v>
      </c>
      <c r="N918" s="9">
        <f t="shared" si="153"/>
        <v>1642</v>
      </c>
      <c r="O918" s="9">
        <f t="shared" si="154"/>
        <v>8</v>
      </c>
      <c r="P918" s="7">
        <v>11.5358</v>
      </c>
      <c r="Q918" s="7">
        <f t="shared" ref="Q918:Q925" si="157">BF918-P918-6</f>
        <v>23.8369</v>
      </c>
      <c r="R918" s="9">
        <v>1</v>
      </c>
      <c r="S918" s="9">
        <v>0</v>
      </c>
      <c r="T918" s="9">
        <v>1</v>
      </c>
      <c r="U918" s="9">
        <v>0</v>
      </c>
      <c r="V918" s="9">
        <v>0</v>
      </c>
      <c r="W918" s="27">
        <v>0</v>
      </c>
      <c r="X918" s="9">
        <v>1</v>
      </c>
      <c r="Y918" s="9">
        <v>0</v>
      </c>
      <c r="Z918" s="27">
        <v>0</v>
      </c>
      <c r="AA918" s="9">
        <v>1</v>
      </c>
      <c r="AB918" s="27">
        <v>0</v>
      </c>
      <c r="AC918" s="18">
        <v>2005</v>
      </c>
      <c r="AD918" s="29">
        <f t="shared" ref="AD918:AE925" si="158">(1-$AF918-$AG918)/2</f>
        <v>2.4850000000000011E-2</v>
      </c>
      <c r="AE918" s="29">
        <f t="shared" si="158"/>
        <v>2.4850000000000011E-2</v>
      </c>
      <c r="AF918" s="39">
        <v>0.68359999999999999</v>
      </c>
      <c r="AG918" s="39">
        <v>0.26669999999999999</v>
      </c>
      <c r="AH918" s="38">
        <v>1</v>
      </c>
      <c r="AI918" s="15">
        <v>0</v>
      </c>
      <c r="AJ918">
        <v>1</v>
      </c>
      <c r="AK918" s="36">
        <f t="shared" si="152"/>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35">
      <c r="A919">
        <v>918</v>
      </c>
      <c r="B919">
        <v>63</v>
      </c>
      <c r="C919" s="22" t="s">
        <v>981</v>
      </c>
      <c r="D919" s="11">
        <v>7.67</v>
      </c>
      <c r="E919" s="12">
        <f t="shared" si="156"/>
        <v>0.68129935423125099</v>
      </c>
      <c r="F919" s="7">
        <v>11.257899999999999</v>
      </c>
      <c r="G919" s="8">
        <v>0</v>
      </c>
      <c r="H919" s="9">
        <v>0</v>
      </c>
      <c r="I919" s="9">
        <v>1</v>
      </c>
      <c r="J919" s="9">
        <v>0</v>
      </c>
      <c r="K919" s="9">
        <v>0</v>
      </c>
      <c r="L919" s="8">
        <v>1155</v>
      </c>
      <c r="M919" s="9">
        <v>7</v>
      </c>
      <c r="N919" s="9">
        <f t="shared" si="153"/>
        <v>1147</v>
      </c>
      <c r="O919" s="9">
        <f t="shared" si="154"/>
        <v>8</v>
      </c>
      <c r="P919" s="7">
        <v>12.167999999999999</v>
      </c>
      <c r="Q919" s="7">
        <f t="shared" si="157"/>
        <v>19.716000000000001</v>
      </c>
      <c r="R919" s="9">
        <v>1</v>
      </c>
      <c r="S919" s="9">
        <v>0</v>
      </c>
      <c r="T919" s="9">
        <v>1</v>
      </c>
      <c r="U919" s="9">
        <v>0</v>
      </c>
      <c r="V919" s="9">
        <v>0</v>
      </c>
      <c r="W919" s="27">
        <v>0</v>
      </c>
      <c r="X919" s="9">
        <v>1</v>
      </c>
      <c r="Y919" s="9">
        <v>0</v>
      </c>
      <c r="Z919" s="27">
        <v>0</v>
      </c>
      <c r="AA919" s="9">
        <v>1</v>
      </c>
      <c r="AB919" s="27">
        <v>0</v>
      </c>
      <c r="AC919" s="18">
        <v>2005</v>
      </c>
      <c r="AD919" s="29">
        <f t="shared" si="158"/>
        <v>2.4600000000000011E-2</v>
      </c>
      <c r="AE919" s="29">
        <f t="shared" si="158"/>
        <v>2.4600000000000011E-2</v>
      </c>
      <c r="AF919" s="29">
        <v>0.60699999999999998</v>
      </c>
      <c r="AG919" s="39">
        <v>0.34379999999999999</v>
      </c>
      <c r="AH919" s="38">
        <v>1</v>
      </c>
      <c r="AI919" s="15">
        <v>0</v>
      </c>
      <c r="AJ919">
        <v>0</v>
      </c>
      <c r="AK919" s="36">
        <f t="shared" si="152"/>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35">
      <c r="A920">
        <v>919</v>
      </c>
      <c r="B920">
        <v>63</v>
      </c>
      <c r="C920" s="22" t="s">
        <v>981</v>
      </c>
      <c r="D920" s="11">
        <v>8.02</v>
      </c>
      <c r="E920" s="12">
        <f t="shared" si="156"/>
        <v>0.53368823822991185</v>
      </c>
      <c r="F920" s="7">
        <v>15.0275</v>
      </c>
      <c r="G920" s="8">
        <v>0</v>
      </c>
      <c r="H920" s="9">
        <v>0</v>
      </c>
      <c r="I920" s="9">
        <v>1</v>
      </c>
      <c r="J920" s="9">
        <v>0</v>
      </c>
      <c r="K920" s="9">
        <v>0</v>
      </c>
      <c r="L920" s="8">
        <v>1450</v>
      </c>
      <c r="M920" s="9">
        <v>7</v>
      </c>
      <c r="N920" s="9">
        <f t="shared" si="153"/>
        <v>1442</v>
      </c>
      <c r="O920" s="9">
        <f t="shared" si="154"/>
        <v>8</v>
      </c>
      <c r="P920" s="7">
        <v>11.4421</v>
      </c>
      <c r="Q920" s="7">
        <f t="shared" si="157"/>
        <v>26.0227</v>
      </c>
      <c r="R920" s="9">
        <v>1</v>
      </c>
      <c r="S920" s="9">
        <v>0</v>
      </c>
      <c r="T920" s="9">
        <v>1</v>
      </c>
      <c r="U920" s="9">
        <v>0</v>
      </c>
      <c r="V920" s="9">
        <v>0</v>
      </c>
      <c r="W920" s="27">
        <v>0</v>
      </c>
      <c r="X920" s="9">
        <v>1</v>
      </c>
      <c r="Y920" s="9">
        <v>0</v>
      </c>
      <c r="Z920" s="27">
        <v>0</v>
      </c>
      <c r="AA920" s="9">
        <v>1</v>
      </c>
      <c r="AB920" s="27">
        <v>0</v>
      </c>
      <c r="AC920" s="18">
        <v>2005</v>
      </c>
      <c r="AD920" s="29">
        <f t="shared" si="158"/>
        <v>2.4850000000000011E-2</v>
      </c>
      <c r="AE920" s="29">
        <f t="shared" si="158"/>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35">
      <c r="A921">
        <v>920</v>
      </c>
      <c r="B921">
        <v>63</v>
      </c>
      <c r="C921" s="22" t="s">
        <v>981</v>
      </c>
      <c r="D921" s="11">
        <v>12.61</v>
      </c>
      <c r="E921" s="12">
        <f t="shared" si="156"/>
        <v>1.0845912355395002</v>
      </c>
      <c r="F921" s="7">
        <v>11.6265</v>
      </c>
      <c r="G921" s="8">
        <v>0</v>
      </c>
      <c r="H921" s="9">
        <v>0</v>
      </c>
      <c r="I921" s="9">
        <v>1</v>
      </c>
      <c r="J921" s="9">
        <v>0</v>
      </c>
      <c r="K921" s="9">
        <v>0</v>
      </c>
      <c r="L921" s="8">
        <v>1450</v>
      </c>
      <c r="M921" s="9">
        <v>7</v>
      </c>
      <c r="N921" s="9">
        <f t="shared" si="153"/>
        <v>1442</v>
      </c>
      <c r="O921" s="9">
        <f t="shared" si="154"/>
        <v>8</v>
      </c>
      <c r="P921" s="7">
        <v>11.4421</v>
      </c>
      <c r="Q921" s="7">
        <f t="shared" si="157"/>
        <v>26.0227</v>
      </c>
      <c r="R921" s="9">
        <v>1</v>
      </c>
      <c r="S921" s="9">
        <v>0</v>
      </c>
      <c r="T921" s="9">
        <v>1</v>
      </c>
      <c r="U921" s="9">
        <v>0</v>
      </c>
      <c r="V921" s="9">
        <v>0</v>
      </c>
      <c r="W921" s="27">
        <v>0</v>
      </c>
      <c r="X921" s="9">
        <v>1</v>
      </c>
      <c r="Y921" s="9">
        <v>0</v>
      </c>
      <c r="Z921" s="27">
        <v>0</v>
      </c>
      <c r="AA921" s="9">
        <v>1</v>
      </c>
      <c r="AB921" s="27">
        <v>0</v>
      </c>
      <c r="AC921" s="18">
        <v>2005</v>
      </c>
      <c r="AD921" s="29">
        <f t="shared" si="158"/>
        <v>2.4850000000000011E-2</v>
      </c>
      <c r="AE921" s="29">
        <f t="shared" si="158"/>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35">
      <c r="A922">
        <v>921</v>
      </c>
      <c r="B922">
        <v>63</v>
      </c>
      <c r="C922" s="22" t="s">
        <v>981</v>
      </c>
      <c r="D922" s="11">
        <v>7.89</v>
      </c>
      <c r="E922" s="12">
        <f t="shared" si="156"/>
        <v>0.7504708277055947</v>
      </c>
      <c r="F922" s="7">
        <v>10.513400000000001</v>
      </c>
      <c r="G922" s="8">
        <v>0</v>
      </c>
      <c r="H922" s="9">
        <v>0</v>
      </c>
      <c r="I922" s="9">
        <v>1</v>
      </c>
      <c r="J922" s="9">
        <v>0</v>
      </c>
      <c r="K922" s="9">
        <v>0</v>
      </c>
      <c r="L922" s="8">
        <v>1015</v>
      </c>
      <c r="M922" s="9">
        <v>7</v>
      </c>
      <c r="N922" s="9">
        <f t="shared" si="153"/>
        <v>1007</v>
      </c>
      <c r="O922" s="9">
        <f t="shared" si="154"/>
        <v>8</v>
      </c>
      <c r="P922" s="7">
        <v>12.0837</v>
      </c>
      <c r="Q922" s="7">
        <f t="shared" si="157"/>
        <v>21.452300000000001</v>
      </c>
      <c r="R922" s="9">
        <v>1</v>
      </c>
      <c r="S922" s="9">
        <v>0</v>
      </c>
      <c r="T922" s="9">
        <v>1</v>
      </c>
      <c r="U922" s="9">
        <v>0</v>
      </c>
      <c r="V922" s="9">
        <v>0</v>
      </c>
      <c r="W922" s="27">
        <v>0</v>
      </c>
      <c r="X922" s="9">
        <v>1</v>
      </c>
      <c r="Y922" s="9">
        <v>0</v>
      </c>
      <c r="Z922" s="27">
        <v>0</v>
      </c>
      <c r="AA922" s="9">
        <v>1</v>
      </c>
      <c r="AB922" s="27">
        <v>0</v>
      </c>
      <c r="AC922" s="18">
        <v>2005</v>
      </c>
      <c r="AD922" s="29">
        <f t="shared" si="158"/>
        <v>2.4600000000000011E-2</v>
      </c>
      <c r="AE922" s="29">
        <f t="shared" si="158"/>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35">
      <c r="A923">
        <v>922</v>
      </c>
      <c r="B923">
        <v>63</v>
      </c>
      <c r="C923" s="22" t="s">
        <v>981</v>
      </c>
      <c r="D923" s="11">
        <v>14.47</v>
      </c>
      <c r="E923" s="12">
        <f t="shared" si="156"/>
        <v>1.7882742597261359</v>
      </c>
      <c r="F923" s="7">
        <v>8.0915999999999997</v>
      </c>
      <c r="G923" s="8">
        <v>0</v>
      </c>
      <c r="H923" s="9">
        <v>0</v>
      </c>
      <c r="I923" s="9">
        <v>1</v>
      </c>
      <c r="J923" s="9">
        <v>0</v>
      </c>
      <c r="K923" s="9">
        <v>0</v>
      </c>
      <c r="L923" s="8">
        <v>1015</v>
      </c>
      <c r="M923" s="9">
        <v>7</v>
      </c>
      <c r="N923" s="9">
        <f t="shared" si="153"/>
        <v>1007</v>
      </c>
      <c r="O923" s="9">
        <f t="shared" si="154"/>
        <v>8</v>
      </c>
      <c r="P923" s="7">
        <v>12.0837</v>
      </c>
      <c r="Q923" s="7">
        <f t="shared" si="157"/>
        <v>21.452300000000001</v>
      </c>
      <c r="R923" s="9">
        <v>1</v>
      </c>
      <c r="S923" s="9">
        <v>0</v>
      </c>
      <c r="T923" s="9">
        <v>1</v>
      </c>
      <c r="U923" s="9">
        <v>0</v>
      </c>
      <c r="V923" s="9">
        <v>0</v>
      </c>
      <c r="W923" s="27">
        <v>0</v>
      </c>
      <c r="X923" s="9">
        <v>1</v>
      </c>
      <c r="Y923" s="9">
        <v>0</v>
      </c>
      <c r="Z923" s="27">
        <v>0</v>
      </c>
      <c r="AA923" s="9">
        <v>1</v>
      </c>
      <c r="AB923" s="27">
        <v>0</v>
      </c>
      <c r="AC923" s="18">
        <v>2005</v>
      </c>
      <c r="AD923" s="29">
        <f t="shared" si="158"/>
        <v>2.4600000000000011E-2</v>
      </c>
      <c r="AE923" s="29">
        <f t="shared" si="158"/>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35">
      <c r="A924">
        <v>923</v>
      </c>
      <c r="B924">
        <v>63</v>
      </c>
      <c r="C924" s="22" t="s">
        <v>981</v>
      </c>
      <c r="D924" s="11">
        <v>7.89</v>
      </c>
      <c r="E924" s="12">
        <f t="shared" si="156"/>
        <v>0.7504708277055947</v>
      </c>
      <c r="F924" s="7">
        <v>10.513400000000001</v>
      </c>
      <c r="G924" s="8">
        <v>0</v>
      </c>
      <c r="H924" s="9">
        <v>0</v>
      </c>
      <c r="I924" s="9">
        <v>1</v>
      </c>
      <c r="J924" s="9">
        <v>0</v>
      </c>
      <c r="K924" s="9">
        <v>0</v>
      </c>
      <c r="L924" s="8">
        <v>1015</v>
      </c>
      <c r="M924" s="9">
        <v>7</v>
      </c>
      <c r="N924" s="9">
        <f t="shared" si="153"/>
        <v>1007</v>
      </c>
      <c r="O924" s="9">
        <f t="shared" si="154"/>
        <v>8</v>
      </c>
      <c r="P924" s="7">
        <v>12.0837</v>
      </c>
      <c r="Q924" s="7">
        <f t="shared" si="157"/>
        <v>21.452300000000001</v>
      </c>
      <c r="R924" s="9">
        <v>1</v>
      </c>
      <c r="S924" s="9">
        <v>0</v>
      </c>
      <c r="T924" s="9">
        <v>1</v>
      </c>
      <c r="U924" s="9">
        <v>0</v>
      </c>
      <c r="V924" s="9">
        <v>0</v>
      </c>
      <c r="W924" s="27">
        <v>0</v>
      </c>
      <c r="X924" s="9">
        <v>1</v>
      </c>
      <c r="Y924" s="9">
        <v>0</v>
      </c>
      <c r="Z924" s="27">
        <v>0</v>
      </c>
      <c r="AA924" s="9">
        <v>1</v>
      </c>
      <c r="AB924" s="27">
        <v>0</v>
      </c>
      <c r="AC924" s="18">
        <v>2005</v>
      </c>
      <c r="AD924" s="29">
        <f t="shared" si="158"/>
        <v>2.4600000000000011E-2</v>
      </c>
      <c r="AE924" s="29">
        <f t="shared" si="158"/>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35">
      <c r="A925">
        <v>924</v>
      </c>
      <c r="B925">
        <v>63</v>
      </c>
      <c r="C925" s="22" t="s">
        <v>981</v>
      </c>
      <c r="D925" s="11">
        <v>21.5</v>
      </c>
      <c r="E925" s="12">
        <f t="shared" si="156"/>
        <v>4.4340867843590166</v>
      </c>
      <c r="F925" s="7">
        <v>4.8487999999999998</v>
      </c>
      <c r="G925" s="8">
        <v>0</v>
      </c>
      <c r="H925" s="9">
        <v>0</v>
      </c>
      <c r="I925" s="9">
        <v>1</v>
      </c>
      <c r="J925" s="9">
        <v>0</v>
      </c>
      <c r="K925" s="9">
        <v>0</v>
      </c>
      <c r="L925" s="8">
        <v>1015</v>
      </c>
      <c r="M925" s="9">
        <v>7</v>
      </c>
      <c r="N925" s="9">
        <f t="shared" si="153"/>
        <v>1007</v>
      </c>
      <c r="O925" s="9">
        <f t="shared" si="154"/>
        <v>8</v>
      </c>
      <c r="P925" s="7">
        <v>12.0837</v>
      </c>
      <c r="Q925" s="7">
        <f t="shared" si="157"/>
        <v>21.452300000000001</v>
      </c>
      <c r="R925" s="9">
        <v>1</v>
      </c>
      <c r="S925" s="9">
        <v>0</v>
      </c>
      <c r="T925" s="9">
        <v>1</v>
      </c>
      <c r="U925" s="9">
        <v>0</v>
      </c>
      <c r="V925" s="9">
        <v>0</v>
      </c>
      <c r="W925" s="27">
        <v>0</v>
      </c>
      <c r="X925" s="9">
        <v>1</v>
      </c>
      <c r="Y925" s="9">
        <v>0</v>
      </c>
      <c r="Z925" s="27">
        <v>0</v>
      </c>
      <c r="AA925" s="9">
        <v>1</v>
      </c>
      <c r="AB925" s="27">
        <v>0</v>
      </c>
      <c r="AC925" s="18">
        <v>2005</v>
      </c>
      <c r="AD925" s="29">
        <f t="shared" si="158"/>
        <v>2.4600000000000011E-2</v>
      </c>
      <c r="AE925" s="29">
        <f t="shared" si="158"/>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35">
      <c r="A926">
        <v>925</v>
      </c>
      <c r="B926">
        <v>64</v>
      </c>
      <c r="C926" s="22" t="s">
        <v>982</v>
      </c>
      <c r="D926" s="11">
        <v>7.3</v>
      </c>
      <c r="E926" s="12">
        <f t="shared" si="156"/>
        <v>0.74940971152859048</v>
      </c>
      <c r="F926" s="7">
        <v>9.7409999999999997</v>
      </c>
      <c r="G926" s="8">
        <v>1</v>
      </c>
      <c r="H926" s="9">
        <v>0</v>
      </c>
      <c r="I926" s="9">
        <v>0</v>
      </c>
      <c r="J926" s="9">
        <v>0</v>
      </c>
      <c r="K926" s="9">
        <v>0</v>
      </c>
      <c r="L926" s="8">
        <v>684</v>
      </c>
      <c r="M926" s="9">
        <v>10</v>
      </c>
      <c r="N926" s="9">
        <f t="shared" si="153"/>
        <v>673</v>
      </c>
      <c r="O926" s="9">
        <f t="shared" si="154"/>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59">1-AD926-AE926-AG926</f>
        <v>0.64500000000000002</v>
      </c>
      <c r="AG926" s="39">
        <v>0.33300000000000002</v>
      </c>
      <c r="AH926" s="38">
        <v>1</v>
      </c>
      <c r="AI926" s="15">
        <v>0</v>
      </c>
      <c r="AJ926">
        <v>1</v>
      </c>
      <c r="AK926" s="36">
        <f t="shared" ref="AK926:AK969" si="160">1-AJ926</f>
        <v>0</v>
      </c>
      <c r="AL926" s="35">
        <f t="shared" ref="AL926:AL937" si="161">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62">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35">
      <c r="A927">
        <v>926</v>
      </c>
      <c r="B927">
        <v>64</v>
      </c>
      <c r="C927" s="22" t="s">
        <v>982</v>
      </c>
      <c r="D927" s="11">
        <v>7.4</v>
      </c>
      <c r="E927" s="12">
        <f t="shared" si="156"/>
        <v>0.78748536767053312</v>
      </c>
      <c r="F927" s="7">
        <v>9.3970000000000002</v>
      </c>
      <c r="G927" s="8">
        <v>1</v>
      </c>
      <c r="H927" s="9">
        <v>0</v>
      </c>
      <c r="I927" s="9">
        <v>0</v>
      </c>
      <c r="J927" s="9">
        <v>0</v>
      </c>
      <c r="K927" s="9">
        <v>0</v>
      </c>
      <c r="L927" s="8">
        <v>628</v>
      </c>
      <c r="M927" s="9">
        <v>15</v>
      </c>
      <c r="N927" s="9">
        <f t="shared" si="153"/>
        <v>612</v>
      </c>
      <c r="O927" s="9">
        <f t="shared" si="154"/>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59"/>
        <v>0.64500000000000002</v>
      </c>
      <c r="AG927" s="39">
        <v>0.33300000000000002</v>
      </c>
      <c r="AH927" s="38">
        <v>1</v>
      </c>
      <c r="AI927" s="15">
        <v>0</v>
      </c>
      <c r="AJ927">
        <v>0</v>
      </c>
      <c r="AK927" s="36">
        <f t="shared" si="160"/>
        <v>1</v>
      </c>
      <c r="AL927" s="35">
        <f t="shared" si="161"/>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62"/>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35">
      <c r="A928">
        <v>927</v>
      </c>
      <c r="B928">
        <v>64</v>
      </c>
      <c r="C928" s="22" t="s">
        <v>982</v>
      </c>
      <c r="D928" s="11">
        <v>7.4</v>
      </c>
      <c r="E928" s="12">
        <f t="shared" si="156"/>
        <v>0.79715609178067448</v>
      </c>
      <c r="F928" s="7">
        <v>9.2829999999999995</v>
      </c>
      <c r="G928" s="8">
        <v>1</v>
      </c>
      <c r="H928" s="9">
        <v>0</v>
      </c>
      <c r="I928" s="9">
        <v>0</v>
      </c>
      <c r="J928" s="9">
        <v>0</v>
      </c>
      <c r="K928" s="9">
        <v>0</v>
      </c>
      <c r="L928" s="8">
        <v>628</v>
      </c>
      <c r="M928" s="9">
        <v>18</v>
      </c>
      <c r="N928" s="9">
        <f t="shared" si="153"/>
        <v>609</v>
      </c>
      <c r="O928" s="9">
        <f t="shared" si="154"/>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59"/>
        <v>0.64500000000000002</v>
      </c>
      <c r="AG928" s="39">
        <v>0.33300000000000002</v>
      </c>
      <c r="AH928" s="38">
        <v>1</v>
      </c>
      <c r="AI928" s="15">
        <v>0</v>
      </c>
      <c r="AJ928">
        <v>1</v>
      </c>
      <c r="AK928" s="36">
        <f t="shared" si="160"/>
        <v>0</v>
      </c>
      <c r="AL928" s="35">
        <f t="shared" si="161"/>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62"/>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35">
      <c r="A929">
        <v>928</v>
      </c>
      <c r="B929">
        <v>64</v>
      </c>
      <c r="C929" s="22" t="s">
        <v>982</v>
      </c>
      <c r="D929" s="11">
        <v>6.9</v>
      </c>
      <c r="E929" s="12">
        <f t="shared" si="156"/>
        <v>0.78695255474452552</v>
      </c>
      <c r="F929" s="7">
        <v>8.7680000000000007</v>
      </c>
      <c r="G929" s="8">
        <v>1</v>
      </c>
      <c r="H929" s="9">
        <v>0</v>
      </c>
      <c r="I929" s="9">
        <v>0</v>
      </c>
      <c r="J929" s="9">
        <v>0</v>
      </c>
      <c r="K929" s="9">
        <v>0</v>
      </c>
      <c r="L929" s="8">
        <v>628</v>
      </c>
      <c r="M929" s="9">
        <v>22</v>
      </c>
      <c r="N929" s="9">
        <f t="shared" si="153"/>
        <v>605</v>
      </c>
      <c r="O929" s="9">
        <f t="shared" si="154"/>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59"/>
        <v>0.64500000000000002</v>
      </c>
      <c r="AG929" s="39">
        <v>0.33300000000000002</v>
      </c>
      <c r="AH929" s="38">
        <v>1</v>
      </c>
      <c r="AI929" s="15">
        <v>0</v>
      </c>
      <c r="AJ929">
        <v>0</v>
      </c>
      <c r="AK929" s="36">
        <f t="shared" si="160"/>
        <v>1</v>
      </c>
      <c r="AL929" s="35">
        <f t="shared" si="161"/>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62"/>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35">
      <c r="A930">
        <v>929</v>
      </c>
      <c r="B930">
        <v>64</v>
      </c>
      <c r="C930" s="22" t="s">
        <v>982</v>
      </c>
      <c r="D930" s="11">
        <v>6.4</v>
      </c>
      <c r="E930" s="12">
        <f t="shared" si="156"/>
        <v>1.0718472617651984</v>
      </c>
      <c r="F930" s="7">
        <v>5.9710000000000001</v>
      </c>
      <c r="G930" s="8">
        <v>1</v>
      </c>
      <c r="H930" s="9">
        <v>0</v>
      </c>
      <c r="I930" s="9">
        <v>0</v>
      </c>
      <c r="J930" s="9">
        <v>0</v>
      </c>
      <c r="K930" s="9">
        <v>0</v>
      </c>
      <c r="L930" s="8">
        <v>422</v>
      </c>
      <c r="M930" s="9">
        <v>10</v>
      </c>
      <c r="N930" s="9">
        <f t="shared" si="153"/>
        <v>411</v>
      </c>
      <c r="O930" s="9">
        <f t="shared" si="154"/>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59"/>
        <v>0.64500000000000002</v>
      </c>
      <c r="AG930" s="39">
        <v>0.33300000000000002</v>
      </c>
      <c r="AH930" s="38">
        <v>1</v>
      </c>
      <c r="AI930" s="15">
        <v>0</v>
      </c>
      <c r="AJ930">
        <v>1</v>
      </c>
      <c r="AK930" s="36">
        <f t="shared" si="160"/>
        <v>0</v>
      </c>
      <c r="AL930" s="35">
        <f t="shared" si="161"/>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62"/>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35">
      <c r="A931">
        <v>930</v>
      </c>
      <c r="B931">
        <v>64</v>
      </c>
      <c r="C931" s="22" t="s">
        <v>982</v>
      </c>
      <c r="D931" s="11">
        <v>8.52</v>
      </c>
      <c r="E931" s="12">
        <f t="shared" si="156"/>
        <v>1.0560237977193851</v>
      </c>
      <c r="F931" s="7">
        <v>8.0679999999999996</v>
      </c>
      <c r="G931" s="8">
        <v>1</v>
      </c>
      <c r="H931" s="9">
        <v>0</v>
      </c>
      <c r="I931" s="9">
        <v>0</v>
      </c>
      <c r="J931" s="9">
        <v>0</v>
      </c>
      <c r="K931" s="9">
        <v>0</v>
      </c>
      <c r="L931" s="8">
        <v>362</v>
      </c>
      <c r="M931" s="9">
        <v>10</v>
      </c>
      <c r="N931" s="9">
        <f t="shared" si="153"/>
        <v>351</v>
      </c>
      <c r="O931" s="9">
        <f t="shared" si="154"/>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59"/>
        <v>0.64500000000000002</v>
      </c>
      <c r="AG931" s="39">
        <v>0.33300000000000002</v>
      </c>
      <c r="AH931" s="38">
        <v>1</v>
      </c>
      <c r="AI931" s="15">
        <v>0</v>
      </c>
      <c r="AJ931">
        <v>0</v>
      </c>
      <c r="AK931" s="36">
        <f t="shared" si="160"/>
        <v>1</v>
      </c>
      <c r="AL931" s="35">
        <f t="shared" si="161"/>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62"/>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35">
      <c r="A932">
        <v>931</v>
      </c>
      <c r="B932">
        <v>64</v>
      </c>
      <c r="C932" s="22" t="s">
        <v>982</v>
      </c>
      <c r="D932" s="11">
        <v>6.66</v>
      </c>
      <c r="E932" s="12">
        <f t="shared" si="156"/>
        <v>1.1388508891928866</v>
      </c>
      <c r="F932" s="7">
        <v>5.8479999999999999</v>
      </c>
      <c r="G932" s="8">
        <v>1</v>
      </c>
      <c r="H932" s="9">
        <v>0</v>
      </c>
      <c r="I932" s="9">
        <v>0</v>
      </c>
      <c r="J932" s="9">
        <v>0</v>
      </c>
      <c r="K932" s="9">
        <v>0</v>
      </c>
      <c r="L932" s="8">
        <v>422</v>
      </c>
      <c r="M932" s="9">
        <v>15</v>
      </c>
      <c r="N932" s="9">
        <f t="shared" si="153"/>
        <v>406</v>
      </c>
      <c r="O932" s="9">
        <f t="shared" si="154"/>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59"/>
        <v>0.64500000000000002</v>
      </c>
      <c r="AG932" s="39">
        <v>0.33300000000000002</v>
      </c>
      <c r="AH932" s="38">
        <v>1</v>
      </c>
      <c r="AI932" s="15">
        <v>0</v>
      </c>
      <c r="AJ932">
        <v>1</v>
      </c>
      <c r="AK932" s="36">
        <f t="shared" si="160"/>
        <v>0</v>
      </c>
      <c r="AL932" s="35">
        <f t="shared" si="161"/>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62"/>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35">
      <c r="A933">
        <v>932</v>
      </c>
      <c r="B933">
        <v>64</v>
      </c>
      <c r="C933" s="22" t="s">
        <v>982</v>
      </c>
      <c r="D933" s="11">
        <v>9.08</v>
      </c>
      <c r="E933" s="12">
        <f t="shared" si="156"/>
        <v>1.1167138113393187</v>
      </c>
      <c r="F933" s="7">
        <v>8.1310000000000002</v>
      </c>
      <c r="G933" s="8">
        <v>1</v>
      </c>
      <c r="H933" s="9">
        <v>0</v>
      </c>
      <c r="I933" s="9">
        <v>0</v>
      </c>
      <c r="J933" s="9">
        <v>0</v>
      </c>
      <c r="K933" s="9">
        <v>0</v>
      </c>
      <c r="L933" s="8">
        <v>362</v>
      </c>
      <c r="M933" s="9">
        <v>15</v>
      </c>
      <c r="N933" s="9">
        <f t="shared" si="153"/>
        <v>346</v>
      </c>
      <c r="O933" s="9">
        <f t="shared" si="154"/>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59"/>
        <v>0.64500000000000002</v>
      </c>
      <c r="AG933" s="39">
        <v>0.33300000000000002</v>
      </c>
      <c r="AH933" s="38">
        <v>1</v>
      </c>
      <c r="AI933" s="15">
        <v>0</v>
      </c>
      <c r="AJ933">
        <v>0</v>
      </c>
      <c r="AK933" s="36">
        <f t="shared" si="160"/>
        <v>1</v>
      </c>
      <c r="AL933" s="35">
        <f t="shared" si="161"/>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62"/>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35">
      <c r="A934">
        <v>933</v>
      </c>
      <c r="B934">
        <v>64</v>
      </c>
      <c r="C934" s="22" t="s">
        <v>982</v>
      </c>
      <c r="D934" s="11">
        <v>6.67</v>
      </c>
      <c r="E934" s="12">
        <f t="shared" si="156"/>
        <v>1.1575841721624436</v>
      </c>
      <c r="F934" s="7">
        <v>5.7619999999999996</v>
      </c>
      <c r="G934" s="8">
        <v>1</v>
      </c>
      <c r="H934" s="9">
        <v>0</v>
      </c>
      <c r="I934" s="9">
        <v>0</v>
      </c>
      <c r="J934" s="9">
        <v>0</v>
      </c>
      <c r="K934" s="9">
        <v>0</v>
      </c>
      <c r="L934" s="8">
        <v>422</v>
      </c>
      <c r="M934" s="9">
        <v>18</v>
      </c>
      <c r="N934" s="9">
        <f t="shared" si="153"/>
        <v>403</v>
      </c>
      <c r="O934" s="9">
        <f t="shared" si="154"/>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59"/>
        <v>0.64500000000000002</v>
      </c>
      <c r="AG934" s="39">
        <v>0.33300000000000002</v>
      </c>
      <c r="AH934" s="38">
        <v>1</v>
      </c>
      <c r="AI934" s="15">
        <v>0</v>
      </c>
      <c r="AJ934">
        <v>1</v>
      </c>
      <c r="AK934" s="36">
        <f t="shared" si="160"/>
        <v>0</v>
      </c>
      <c r="AL934" s="35">
        <f t="shared" si="161"/>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62"/>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35">
      <c r="A935">
        <v>934</v>
      </c>
      <c r="B935">
        <v>64</v>
      </c>
      <c r="C935" s="22" t="s">
        <v>982</v>
      </c>
      <c r="D935" s="11">
        <v>9.07</v>
      </c>
      <c r="E935" s="12">
        <f t="shared" si="156"/>
        <v>1.1211372064276885</v>
      </c>
      <c r="F935" s="7">
        <v>8.09</v>
      </c>
      <c r="G935" s="8">
        <v>1</v>
      </c>
      <c r="H935" s="9">
        <v>0</v>
      </c>
      <c r="I935" s="9">
        <v>0</v>
      </c>
      <c r="J935" s="9">
        <v>0</v>
      </c>
      <c r="K935" s="9">
        <v>0</v>
      </c>
      <c r="L935" s="8">
        <v>362</v>
      </c>
      <c r="M935" s="9">
        <v>18</v>
      </c>
      <c r="N935" s="9">
        <f t="shared" si="153"/>
        <v>343</v>
      </c>
      <c r="O935" s="9">
        <f t="shared" si="154"/>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59"/>
        <v>0.64500000000000002</v>
      </c>
      <c r="AG935" s="39">
        <v>0.33300000000000002</v>
      </c>
      <c r="AH935" s="38">
        <v>1</v>
      </c>
      <c r="AI935" s="15">
        <v>0</v>
      </c>
      <c r="AJ935">
        <v>0</v>
      </c>
      <c r="AK935" s="36">
        <f t="shared" si="160"/>
        <v>1</v>
      </c>
      <c r="AL935" s="35">
        <f t="shared" si="161"/>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62"/>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35">
      <c r="A936">
        <v>935</v>
      </c>
      <c r="B936">
        <v>64</v>
      </c>
      <c r="C936" s="22" t="s">
        <v>982</v>
      </c>
      <c r="D936" s="11">
        <v>6.61</v>
      </c>
      <c r="E936" s="12">
        <f t="shared" si="156"/>
        <v>1.1598526057203018</v>
      </c>
      <c r="F936" s="7">
        <v>5.6989999999999998</v>
      </c>
      <c r="G936" s="8">
        <v>1</v>
      </c>
      <c r="H936" s="9">
        <v>0</v>
      </c>
      <c r="I936" s="9">
        <v>0</v>
      </c>
      <c r="J936" s="9">
        <v>0</v>
      </c>
      <c r="K936" s="9">
        <v>0</v>
      </c>
      <c r="L936" s="8">
        <v>422</v>
      </c>
      <c r="M936" s="9">
        <v>22</v>
      </c>
      <c r="N936" s="9">
        <f t="shared" si="153"/>
        <v>399</v>
      </c>
      <c r="O936" s="9">
        <f t="shared" si="154"/>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59"/>
        <v>0.64500000000000002</v>
      </c>
      <c r="AG936" s="39">
        <v>0.33300000000000002</v>
      </c>
      <c r="AH936" s="38">
        <v>1</v>
      </c>
      <c r="AI936" s="15">
        <v>0</v>
      </c>
      <c r="AJ936">
        <v>1</v>
      </c>
      <c r="AK936" s="36">
        <f t="shared" si="160"/>
        <v>0</v>
      </c>
      <c r="AL936" s="35">
        <f t="shared" si="161"/>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62"/>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35">
      <c r="A937">
        <v>936</v>
      </c>
      <c r="B937">
        <v>64</v>
      </c>
      <c r="C937" s="22" t="s">
        <v>982</v>
      </c>
      <c r="D937" s="11">
        <v>8.76</v>
      </c>
      <c r="E937" s="12">
        <f t="shared" si="156"/>
        <v>1.1546065638592329</v>
      </c>
      <c r="F937" s="7">
        <v>7.5869999999999997</v>
      </c>
      <c r="G937" s="8">
        <v>1</v>
      </c>
      <c r="H937" s="9">
        <v>0</v>
      </c>
      <c r="I937" s="9">
        <v>0</v>
      </c>
      <c r="J937" s="9">
        <v>0</v>
      </c>
      <c r="K937" s="9">
        <v>0</v>
      </c>
      <c r="L937" s="8">
        <v>362</v>
      </c>
      <c r="M937" s="9">
        <v>22</v>
      </c>
      <c r="N937" s="9">
        <f t="shared" si="153"/>
        <v>339</v>
      </c>
      <c r="O937" s="9">
        <f t="shared" si="154"/>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59"/>
        <v>0.64500000000000002</v>
      </c>
      <c r="AG937" s="39">
        <v>0.33300000000000002</v>
      </c>
      <c r="AH937" s="38">
        <v>1</v>
      </c>
      <c r="AI937" s="15">
        <v>0</v>
      </c>
      <c r="AJ937">
        <v>0</v>
      </c>
      <c r="AK937" s="36">
        <f t="shared" si="160"/>
        <v>1</v>
      </c>
      <c r="AL937" s="35">
        <f t="shared" si="161"/>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62"/>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35">
      <c r="A938">
        <v>937</v>
      </c>
      <c r="B938">
        <v>65</v>
      </c>
      <c r="C938" s="22" t="s">
        <v>991</v>
      </c>
      <c r="D938" s="11">
        <v>9.44</v>
      </c>
      <c r="E938" s="12">
        <v>0.98</v>
      </c>
      <c r="F938" s="7">
        <f t="shared" ref="F938:F969" si="163">D938/E938</f>
        <v>9.6326530612244898</v>
      </c>
      <c r="G938" s="8">
        <v>0</v>
      </c>
      <c r="H938" s="9">
        <v>0</v>
      </c>
      <c r="I938" s="9">
        <v>0</v>
      </c>
      <c r="J938" s="9">
        <v>1</v>
      </c>
      <c r="K938" s="9">
        <v>0</v>
      </c>
      <c r="L938" s="8">
        <v>4083</v>
      </c>
      <c r="M938" s="9">
        <v>2</v>
      </c>
      <c r="N938" s="9">
        <f t="shared" si="153"/>
        <v>4080</v>
      </c>
      <c r="O938" s="9">
        <f t="shared" si="154"/>
        <v>24</v>
      </c>
      <c r="P938" s="7">
        <v>13.131</v>
      </c>
      <c r="Q938" s="7">
        <f t="shared" ref="Q938:Q969" si="164">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60"/>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35">
      <c r="A939">
        <v>938</v>
      </c>
      <c r="B939">
        <v>65</v>
      </c>
      <c r="C939" s="22" t="s">
        <v>991</v>
      </c>
      <c r="D939" s="11">
        <v>8.1</v>
      </c>
      <c r="E939" s="12">
        <v>0.22</v>
      </c>
      <c r="F939" s="7">
        <f t="shared" si="163"/>
        <v>36.818181818181813</v>
      </c>
      <c r="G939" s="8">
        <v>0</v>
      </c>
      <c r="H939" s="9">
        <v>0</v>
      </c>
      <c r="I939" s="9">
        <v>0</v>
      </c>
      <c r="J939" s="9">
        <v>1</v>
      </c>
      <c r="K939" s="9">
        <v>0</v>
      </c>
      <c r="L939" s="8">
        <v>62130</v>
      </c>
      <c r="M939" s="9">
        <v>2</v>
      </c>
      <c r="N939" s="9">
        <f t="shared" si="153"/>
        <v>62127</v>
      </c>
      <c r="O939" s="9">
        <f t="shared" si="154"/>
        <v>24</v>
      </c>
      <c r="P939" s="7">
        <v>13.154999999999999</v>
      </c>
      <c r="Q939" s="7">
        <f t="shared" si="164"/>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60"/>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35">
      <c r="A940">
        <v>939</v>
      </c>
      <c r="B940">
        <v>65</v>
      </c>
      <c r="C940" s="22" t="s">
        <v>991</v>
      </c>
      <c r="D940" s="11">
        <v>8.16</v>
      </c>
      <c r="E940" s="12">
        <v>0.21</v>
      </c>
      <c r="F940" s="7">
        <f t="shared" si="163"/>
        <v>38.857142857142861</v>
      </c>
      <c r="G940" s="8">
        <v>0</v>
      </c>
      <c r="H940" s="9">
        <v>0</v>
      </c>
      <c r="I940" s="9">
        <v>0</v>
      </c>
      <c r="J940" s="9">
        <v>1</v>
      </c>
      <c r="K940" s="9">
        <v>0</v>
      </c>
      <c r="L940" s="8">
        <v>66213</v>
      </c>
      <c r="M940" s="9">
        <v>2</v>
      </c>
      <c r="N940" s="9">
        <f t="shared" si="153"/>
        <v>66210</v>
      </c>
      <c r="O940" s="9">
        <f t="shared" si="154"/>
        <v>24</v>
      </c>
      <c r="P940" s="7">
        <v>13.153</v>
      </c>
      <c r="Q940" s="7">
        <f t="shared" si="164"/>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60"/>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35">
      <c r="A941">
        <v>940</v>
      </c>
      <c r="B941">
        <v>65</v>
      </c>
      <c r="C941" s="22" t="s">
        <v>991</v>
      </c>
      <c r="D941" s="11">
        <v>9.26</v>
      </c>
      <c r="E941" s="12">
        <v>0.95</v>
      </c>
      <c r="F941" s="7">
        <f t="shared" si="163"/>
        <v>9.7473684210526326</v>
      </c>
      <c r="G941" s="8">
        <v>0</v>
      </c>
      <c r="H941" s="9">
        <v>0</v>
      </c>
      <c r="I941" s="9">
        <v>0</v>
      </c>
      <c r="J941" s="9">
        <v>1</v>
      </c>
      <c r="K941" s="9">
        <v>0</v>
      </c>
      <c r="L941" s="8">
        <v>4083</v>
      </c>
      <c r="M941" s="9">
        <v>2</v>
      </c>
      <c r="N941" s="9">
        <f t="shared" si="153"/>
        <v>4080</v>
      </c>
      <c r="O941" s="9">
        <f t="shared" si="154"/>
        <v>24</v>
      </c>
      <c r="P941" s="7">
        <v>13.131</v>
      </c>
      <c r="Q941" s="7">
        <f t="shared" si="164"/>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60"/>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35">
      <c r="A942">
        <v>941</v>
      </c>
      <c r="B942">
        <v>65</v>
      </c>
      <c r="C942" s="22" t="s">
        <v>991</v>
      </c>
      <c r="D942" s="11">
        <v>8.08</v>
      </c>
      <c r="E942" s="12">
        <v>0.2</v>
      </c>
      <c r="F942" s="7">
        <f t="shared" si="163"/>
        <v>40.4</v>
      </c>
      <c r="G942" s="8">
        <v>0</v>
      </c>
      <c r="H942" s="9">
        <v>0</v>
      </c>
      <c r="I942" s="9">
        <v>0</v>
      </c>
      <c r="J942" s="9">
        <v>1</v>
      </c>
      <c r="K942" s="9">
        <v>0</v>
      </c>
      <c r="L942" s="8">
        <v>62130</v>
      </c>
      <c r="M942" s="9">
        <v>2</v>
      </c>
      <c r="N942" s="9">
        <f t="shared" si="153"/>
        <v>62127</v>
      </c>
      <c r="O942" s="9">
        <f t="shared" si="154"/>
        <v>24</v>
      </c>
      <c r="P942" s="7">
        <v>13.154999999999999</v>
      </c>
      <c r="Q942" s="7">
        <f t="shared" si="164"/>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60"/>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35">
      <c r="A943">
        <v>942</v>
      </c>
      <c r="B943">
        <v>65</v>
      </c>
      <c r="C943" s="22" t="s">
        <v>991</v>
      </c>
      <c r="D943" s="11">
        <v>8.1199999999999992</v>
      </c>
      <c r="E943" s="12">
        <v>0.2</v>
      </c>
      <c r="F943" s="7">
        <f t="shared" si="163"/>
        <v>40.599999999999994</v>
      </c>
      <c r="G943" s="8">
        <v>0</v>
      </c>
      <c r="H943" s="9">
        <v>0</v>
      </c>
      <c r="I943" s="9">
        <v>0</v>
      </c>
      <c r="J943" s="9">
        <v>1</v>
      </c>
      <c r="K943" s="9">
        <v>0</v>
      </c>
      <c r="L943" s="8">
        <v>66213</v>
      </c>
      <c r="M943" s="9">
        <v>2</v>
      </c>
      <c r="N943" s="9">
        <f t="shared" si="153"/>
        <v>66210</v>
      </c>
      <c r="O943" s="9">
        <f t="shared" si="154"/>
        <v>24</v>
      </c>
      <c r="P943" s="7">
        <v>13.153</v>
      </c>
      <c r="Q943" s="7">
        <f t="shared" si="164"/>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60"/>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35">
      <c r="A944">
        <v>943</v>
      </c>
      <c r="B944">
        <v>65</v>
      </c>
      <c r="C944" s="22" t="s">
        <v>991</v>
      </c>
      <c r="D944" s="11">
        <v>6.44</v>
      </c>
      <c r="E944" s="12">
        <v>1.19</v>
      </c>
      <c r="F944" s="7">
        <f t="shared" si="163"/>
        <v>5.4117647058823533</v>
      </c>
      <c r="G944" s="8">
        <v>0</v>
      </c>
      <c r="H944" s="9">
        <v>0</v>
      </c>
      <c r="I944" s="9">
        <v>0</v>
      </c>
      <c r="J944" s="9">
        <v>1</v>
      </c>
      <c r="K944" s="9">
        <v>0</v>
      </c>
      <c r="L944" s="8">
        <v>3275</v>
      </c>
      <c r="M944" s="9">
        <v>18</v>
      </c>
      <c r="N944" s="9">
        <f t="shared" si="153"/>
        <v>3256</v>
      </c>
      <c r="O944" s="9">
        <f t="shared" si="154"/>
        <v>24</v>
      </c>
      <c r="P944" s="7">
        <v>13.131</v>
      </c>
      <c r="Q944" s="7">
        <f t="shared" si="164"/>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60"/>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35">
      <c r="A945">
        <v>944</v>
      </c>
      <c r="B945">
        <v>65</v>
      </c>
      <c r="C945" s="22" t="s">
        <v>991</v>
      </c>
      <c r="D945" s="11">
        <v>5.44</v>
      </c>
      <c r="E945" s="12">
        <v>0.27</v>
      </c>
      <c r="F945" s="7">
        <f t="shared" si="163"/>
        <v>20.148148148148149</v>
      </c>
      <c r="G945" s="8">
        <v>0</v>
      </c>
      <c r="H945" s="9">
        <v>0</v>
      </c>
      <c r="I945" s="9">
        <v>0</v>
      </c>
      <c r="J945" s="9">
        <v>1</v>
      </c>
      <c r="K945" s="9">
        <v>0</v>
      </c>
      <c r="L945" s="8">
        <v>49423</v>
      </c>
      <c r="M945" s="9">
        <v>18</v>
      </c>
      <c r="N945" s="9">
        <f t="shared" si="153"/>
        <v>49404</v>
      </c>
      <c r="O945" s="9">
        <f t="shared" si="154"/>
        <v>24</v>
      </c>
      <c r="P945" s="7">
        <v>13.154999999999999</v>
      </c>
      <c r="Q945" s="7">
        <f t="shared" si="164"/>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60"/>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35">
      <c r="A946">
        <v>945</v>
      </c>
      <c r="B946">
        <v>65</v>
      </c>
      <c r="C946" s="22" t="s">
        <v>991</v>
      </c>
      <c r="D946" s="11">
        <v>5.42</v>
      </c>
      <c r="E946" s="12">
        <v>0.25</v>
      </c>
      <c r="F946" s="7">
        <f t="shared" si="163"/>
        <v>21.68</v>
      </c>
      <c r="G946" s="8">
        <v>0</v>
      </c>
      <c r="H946" s="9">
        <v>0</v>
      </c>
      <c r="I946" s="9">
        <v>0</v>
      </c>
      <c r="J946" s="9">
        <v>1</v>
      </c>
      <c r="K946" s="9">
        <v>0</v>
      </c>
      <c r="L946" s="8">
        <v>52698</v>
      </c>
      <c r="M946" s="9">
        <v>18</v>
      </c>
      <c r="N946" s="9">
        <f t="shared" si="153"/>
        <v>52679</v>
      </c>
      <c r="O946" s="9">
        <f t="shared" si="154"/>
        <v>24</v>
      </c>
      <c r="P946" s="7">
        <v>13.153</v>
      </c>
      <c r="Q946" s="7">
        <f t="shared" si="164"/>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60"/>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35">
      <c r="A947">
        <v>946</v>
      </c>
      <c r="B947">
        <v>65</v>
      </c>
      <c r="C947" s="22" t="s">
        <v>991</v>
      </c>
      <c r="D947" s="11">
        <v>5.59</v>
      </c>
      <c r="E947" s="12">
        <v>1.3</v>
      </c>
      <c r="F947" s="7">
        <f t="shared" si="163"/>
        <v>4.3</v>
      </c>
      <c r="G947" s="8">
        <v>0</v>
      </c>
      <c r="H947" s="9">
        <v>0</v>
      </c>
      <c r="I947" s="9">
        <v>0</v>
      </c>
      <c r="J947" s="9">
        <v>1</v>
      </c>
      <c r="K947" s="9">
        <v>0</v>
      </c>
      <c r="L947" s="8">
        <v>3109</v>
      </c>
      <c r="M947" s="9">
        <v>19</v>
      </c>
      <c r="N947" s="9">
        <f t="shared" si="153"/>
        <v>3089</v>
      </c>
      <c r="O947" s="9">
        <f t="shared" si="154"/>
        <v>24</v>
      </c>
      <c r="P947" s="7">
        <v>13.131</v>
      </c>
      <c r="Q947" s="7">
        <f t="shared" si="164"/>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60"/>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35">
      <c r="A948">
        <v>947</v>
      </c>
      <c r="B948">
        <v>65</v>
      </c>
      <c r="C948" s="22" t="s">
        <v>991</v>
      </c>
      <c r="D948" s="11">
        <v>4.37</v>
      </c>
      <c r="E948" s="12">
        <v>0.28999999999999998</v>
      </c>
      <c r="F948" s="7">
        <f t="shared" si="163"/>
        <v>15.068965517241381</v>
      </c>
      <c r="G948" s="8">
        <v>0</v>
      </c>
      <c r="H948" s="9">
        <v>0</v>
      </c>
      <c r="I948" s="9">
        <v>0</v>
      </c>
      <c r="J948" s="9">
        <v>1</v>
      </c>
      <c r="K948" s="9">
        <v>0</v>
      </c>
      <c r="L948" s="8">
        <v>47336</v>
      </c>
      <c r="M948" s="9">
        <v>19</v>
      </c>
      <c r="N948" s="9">
        <f t="shared" si="153"/>
        <v>47316</v>
      </c>
      <c r="O948" s="9">
        <f t="shared" si="154"/>
        <v>24</v>
      </c>
      <c r="P948" s="7">
        <v>13.154999999999999</v>
      </c>
      <c r="Q948" s="7">
        <f t="shared" si="164"/>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60"/>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35">
      <c r="A949">
        <v>948</v>
      </c>
      <c r="B949">
        <v>65</v>
      </c>
      <c r="C949" s="22" t="s">
        <v>991</v>
      </c>
      <c r="D949" s="11">
        <v>4.43</v>
      </c>
      <c r="E949" s="12">
        <v>0.27</v>
      </c>
      <c r="F949" s="7">
        <f t="shared" si="163"/>
        <v>16.407407407407405</v>
      </c>
      <c r="G949" s="8">
        <v>0</v>
      </c>
      <c r="H949" s="9">
        <v>0</v>
      </c>
      <c r="I949" s="9">
        <v>0</v>
      </c>
      <c r="J949" s="9">
        <v>1</v>
      </c>
      <c r="K949" s="9">
        <v>0</v>
      </c>
      <c r="L949" s="8">
        <v>50445</v>
      </c>
      <c r="M949" s="9">
        <v>19</v>
      </c>
      <c r="N949" s="9">
        <f t="shared" si="153"/>
        <v>50425</v>
      </c>
      <c r="O949" s="9">
        <f t="shared" si="154"/>
        <v>24</v>
      </c>
      <c r="P949" s="7">
        <v>13.153</v>
      </c>
      <c r="Q949" s="7">
        <f t="shared" si="164"/>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60"/>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35">
      <c r="A950">
        <v>949</v>
      </c>
      <c r="B950">
        <v>65</v>
      </c>
      <c r="C950" s="22" t="s">
        <v>991</v>
      </c>
      <c r="D950" s="11">
        <v>17.64</v>
      </c>
      <c r="E950" s="12">
        <v>5.52</v>
      </c>
      <c r="F950" s="7">
        <f t="shared" si="163"/>
        <v>3.1956521739130439</v>
      </c>
      <c r="G950" s="8">
        <v>0</v>
      </c>
      <c r="H950" s="9">
        <v>0</v>
      </c>
      <c r="I950" s="9">
        <v>0</v>
      </c>
      <c r="J950" s="9">
        <v>1</v>
      </c>
      <c r="K950" s="9">
        <v>0</v>
      </c>
      <c r="L950" s="8">
        <v>3275</v>
      </c>
      <c r="M950" s="9">
        <v>18</v>
      </c>
      <c r="N950" s="9">
        <f t="shared" si="153"/>
        <v>3256</v>
      </c>
      <c r="O950" s="9">
        <f t="shared" si="154"/>
        <v>24</v>
      </c>
      <c r="P950" s="7">
        <v>13.131</v>
      </c>
      <c r="Q950" s="7">
        <f t="shared" si="164"/>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60"/>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35">
      <c r="A951">
        <v>950</v>
      </c>
      <c r="B951">
        <v>65</v>
      </c>
      <c r="C951" s="22" t="s">
        <v>991</v>
      </c>
      <c r="D951" s="11">
        <v>12.73</v>
      </c>
      <c r="E951" s="12">
        <v>1.18</v>
      </c>
      <c r="F951" s="7">
        <f t="shared" si="163"/>
        <v>10.788135593220339</v>
      </c>
      <c r="G951" s="8">
        <v>0</v>
      </c>
      <c r="H951" s="9">
        <v>0</v>
      </c>
      <c r="I951" s="9">
        <v>0</v>
      </c>
      <c r="J951" s="9">
        <v>1</v>
      </c>
      <c r="K951" s="9">
        <v>0</v>
      </c>
      <c r="L951" s="8">
        <v>49423</v>
      </c>
      <c r="M951" s="9">
        <v>18</v>
      </c>
      <c r="N951" s="9">
        <f t="shared" si="153"/>
        <v>49404</v>
      </c>
      <c r="O951" s="9">
        <f t="shared" si="154"/>
        <v>24</v>
      </c>
      <c r="P951" s="7">
        <v>13.154999999999999</v>
      </c>
      <c r="Q951" s="7">
        <f t="shared" si="164"/>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60"/>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35">
      <c r="A952">
        <v>951</v>
      </c>
      <c r="B952">
        <v>65</v>
      </c>
      <c r="C952" s="22" t="s">
        <v>991</v>
      </c>
      <c r="D952" s="11">
        <v>11.27</v>
      </c>
      <c r="E952" s="12">
        <v>1.07</v>
      </c>
      <c r="F952" s="7">
        <f t="shared" si="163"/>
        <v>10.532710280373831</v>
      </c>
      <c r="G952" s="8">
        <v>0</v>
      </c>
      <c r="H952" s="9">
        <v>0</v>
      </c>
      <c r="I952" s="9">
        <v>0</v>
      </c>
      <c r="J952" s="9">
        <v>1</v>
      </c>
      <c r="K952" s="9">
        <v>0</v>
      </c>
      <c r="L952" s="8">
        <v>52698</v>
      </c>
      <c r="M952" s="9">
        <v>18</v>
      </c>
      <c r="N952" s="9">
        <f t="shared" si="153"/>
        <v>52679</v>
      </c>
      <c r="O952" s="9">
        <f t="shared" si="154"/>
        <v>24</v>
      </c>
      <c r="P952" s="7">
        <v>13.153</v>
      </c>
      <c r="Q952" s="7">
        <f t="shared" si="164"/>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60"/>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35">
      <c r="A953">
        <v>952</v>
      </c>
      <c r="B953">
        <v>65</v>
      </c>
      <c r="C953" s="22" t="s">
        <v>991</v>
      </c>
      <c r="D953" s="11">
        <v>21.23</v>
      </c>
      <c r="E953" s="12">
        <v>5.52</v>
      </c>
      <c r="F953" s="7">
        <f t="shared" si="163"/>
        <v>3.8460144927536235</v>
      </c>
      <c r="G953" s="8">
        <v>0</v>
      </c>
      <c r="H953" s="9">
        <v>0</v>
      </c>
      <c r="I953" s="9">
        <v>0</v>
      </c>
      <c r="J953" s="9">
        <v>1</v>
      </c>
      <c r="K953" s="9">
        <v>0</v>
      </c>
      <c r="L953" s="8">
        <v>3109</v>
      </c>
      <c r="M953" s="9">
        <v>19</v>
      </c>
      <c r="N953" s="9">
        <f t="shared" si="153"/>
        <v>3089</v>
      </c>
      <c r="O953" s="9">
        <f t="shared" si="154"/>
        <v>24</v>
      </c>
      <c r="P953" s="7">
        <v>13.131</v>
      </c>
      <c r="Q953" s="7">
        <f t="shared" si="164"/>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60"/>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35">
      <c r="A954">
        <v>953</v>
      </c>
      <c r="B954">
        <v>65</v>
      </c>
      <c r="C954" s="22" t="s">
        <v>991</v>
      </c>
      <c r="D954" s="11">
        <v>11.81</v>
      </c>
      <c r="E954" s="12">
        <v>1.63</v>
      </c>
      <c r="F954" s="7">
        <f t="shared" si="163"/>
        <v>7.2453987730061353</v>
      </c>
      <c r="G954" s="8">
        <v>0</v>
      </c>
      <c r="H954" s="9">
        <v>0</v>
      </c>
      <c r="I954" s="9">
        <v>0</v>
      </c>
      <c r="J954" s="9">
        <v>1</v>
      </c>
      <c r="K954" s="9">
        <v>0</v>
      </c>
      <c r="L954" s="8">
        <v>47336</v>
      </c>
      <c r="M954" s="9">
        <v>19</v>
      </c>
      <c r="N954" s="9">
        <f t="shared" si="153"/>
        <v>47316</v>
      </c>
      <c r="O954" s="9">
        <f t="shared" si="154"/>
        <v>24</v>
      </c>
      <c r="P954" s="7">
        <v>13.154999999999999</v>
      </c>
      <c r="Q954" s="7">
        <f t="shared" si="164"/>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60"/>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35">
      <c r="A955">
        <v>954</v>
      </c>
      <c r="B955">
        <v>65</v>
      </c>
      <c r="C955" s="22" t="s">
        <v>991</v>
      </c>
      <c r="D955" s="11">
        <v>9.99</v>
      </c>
      <c r="E955" s="12">
        <v>1.46</v>
      </c>
      <c r="F955" s="7">
        <f t="shared" si="163"/>
        <v>6.8424657534246576</v>
      </c>
      <c r="G955" s="8">
        <v>0</v>
      </c>
      <c r="H955" s="9">
        <v>0</v>
      </c>
      <c r="I955" s="9">
        <v>0</v>
      </c>
      <c r="J955" s="9">
        <v>1</v>
      </c>
      <c r="K955" s="9">
        <v>0</v>
      </c>
      <c r="L955" s="8">
        <v>50445</v>
      </c>
      <c r="M955" s="9">
        <v>19</v>
      </c>
      <c r="N955" s="9">
        <f t="shared" si="153"/>
        <v>50425</v>
      </c>
      <c r="O955" s="9">
        <f t="shared" si="154"/>
        <v>24</v>
      </c>
      <c r="P955" s="7">
        <v>13.153</v>
      </c>
      <c r="Q955" s="7">
        <f t="shared" si="164"/>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60"/>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35">
      <c r="A956">
        <v>955</v>
      </c>
      <c r="B956">
        <v>65</v>
      </c>
      <c r="C956" s="22" t="s">
        <v>991</v>
      </c>
      <c r="D956" s="11">
        <v>5.94</v>
      </c>
      <c r="E956" s="12">
        <v>1.23</v>
      </c>
      <c r="F956" s="7">
        <f t="shared" si="163"/>
        <v>4.8292682926829276</v>
      </c>
      <c r="G956" s="8">
        <v>0</v>
      </c>
      <c r="H956" s="9">
        <v>0</v>
      </c>
      <c r="I956" s="9">
        <v>0</v>
      </c>
      <c r="J956" s="9">
        <v>1</v>
      </c>
      <c r="K956" s="9">
        <v>0</v>
      </c>
      <c r="L956" s="8">
        <v>3235</v>
      </c>
      <c r="M956" s="9">
        <v>18</v>
      </c>
      <c r="N956" s="9">
        <f t="shared" si="153"/>
        <v>3216</v>
      </c>
      <c r="O956" s="9">
        <f t="shared" si="154"/>
        <v>24</v>
      </c>
      <c r="P956" s="7">
        <v>13.131</v>
      </c>
      <c r="Q956" s="7">
        <f t="shared" si="164"/>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60"/>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35">
      <c r="A957">
        <v>956</v>
      </c>
      <c r="B957">
        <v>65</v>
      </c>
      <c r="C957" s="22" t="s">
        <v>991</v>
      </c>
      <c r="D957" s="11">
        <v>5.25</v>
      </c>
      <c r="E957" s="12">
        <v>2.7</v>
      </c>
      <c r="F957" s="7">
        <f t="shared" si="163"/>
        <v>1.9444444444444444</v>
      </c>
      <c r="G957" s="8">
        <v>0</v>
      </c>
      <c r="H957" s="9">
        <v>0</v>
      </c>
      <c r="I957" s="9">
        <v>0</v>
      </c>
      <c r="J957" s="9">
        <v>1</v>
      </c>
      <c r="K957" s="9">
        <v>0</v>
      </c>
      <c r="L957" s="8">
        <v>49198</v>
      </c>
      <c r="M957" s="9">
        <v>18</v>
      </c>
      <c r="N957" s="9">
        <f t="shared" si="153"/>
        <v>49179</v>
      </c>
      <c r="O957" s="9">
        <f t="shared" si="154"/>
        <v>24</v>
      </c>
      <c r="P957" s="7">
        <v>13.154999999999999</v>
      </c>
      <c r="Q957" s="7">
        <f t="shared" si="164"/>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60"/>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35">
      <c r="A958">
        <v>957</v>
      </c>
      <c r="B958">
        <v>65</v>
      </c>
      <c r="C958" s="22" t="s">
        <v>991</v>
      </c>
      <c r="D958" s="11">
        <v>5.23</v>
      </c>
      <c r="E958" s="12">
        <v>2.5</v>
      </c>
      <c r="F958" s="7">
        <f t="shared" si="163"/>
        <v>2.0920000000000001</v>
      </c>
      <c r="G958" s="8">
        <v>0</v>
      </c>
      <c r="H958" s="9">
        <v>0</v>
      </c>
      <c r="I958" s="9">
        <v>0</v>
      </c>
      <c r="J958" s="9">
        <v>1</v>
      </c>
      <c r="K958" s="9">
        <v>0</v>
      </c>
      <c r="L958" s="8">
        <v>52433</v>
      </c>
      <c r="M958" s="9">
        <v>18</v>
      </c>
      <c r="N958" s="9">
        <f t="shared" si="153"/>
        <v>52414</v>
      </c>
      <c r="O958" s="9">
        <f t="shared" si="154"/>
        <v>24</v>
      </c>
      <c r="P958" s="7">
        <v>13.153</v>
      </c>
      <c r="Q958" s="7">
        <f t="shared" si="164"/>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60"/>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35">
      <c r="A959">
        <v>958</v>
      </c>
      <c r="B959">
        <v>65</v>
      </c>
      <c r="C959" s="22" t="s">
        <v>991</v>
      </c>
      <c r="D959" s="11">
        <v>5.29</v>
      </c>
      <c r="E959" s="12">
        <v>1.34</v>
      </c>
      <c r="F959" s="7">
        <f t="shared" si="163"/>
        <v>3.9477611940298507</v>
      </c>
      <c r="G959" s="8">
        <v>0</v>
      </c>
      <c r="H959" s="9">
        <v>0</v>
      </c>
      <c r="I959" s="9">
        <v>0</v>
      </c>
      <c r="J959" s="9">
        <v>1</v>
      </c>
      <c r="K959" s="9">
        <v>0</v>
      </c>
      <c r="L959" s="8">
        <v>3069</v>
      </c>
      <c r="M959" s="9">
        <v>19</v>
      </c>
      <c r="N959" s="9">
        <f t="shared" si="153"/>
        <v>3049</v>
      </c>
      <c r="O959" s="9">
        <f t="shared" si="154"/>
        <v>24</v>
      </c>
      <c r="P959" s="7">
        <v>13.131</v>
      </c>
      <c r="Q959" s="7">
        <f t="shared" si="164"/>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60"/>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35">
      <c r="A960">
        <v>959</v>
      </c>
      <c r="B960">
        <v>65</v>
      </c>
      <c r="C960" s="22" t="s">
        <v>991</v>
      </c>
      <c r="D960" s="11">
        <v>4.28</v>
      </c>
      <c r="E960" s="12">
        <v>2.9</v>
      </c>
      <c r="F960" s="7">
        <f t="shared" si="163"/>
        <v>1.4758620689655173</v>
      </c>
      <c r="G960" s="8">
        <v>0</v>
      </c>
      <c r="H960" s="9">
        <v>0</v>
      </c>
      <c r="I960" s="9">
        <v>0</v>
      </c>
      <c r="J960" s="9">
        <v>1</v>
      </c>
      <c r="K960" s="9">
        <v>0</v>
      </c>
      <c r="L960" s="8">
        <v>47143</v>
      </c>
      <c r="M960" s="9">
        <v>19</v>
      </c>
      <c r="N960" s="9">
        <f t="shared" si="153"/>
        <v>47123</v>
      </c>
      <c r="O960" s="9">
        <f t="shared" si="154"/>
        <v>24</v>
      </c>
      <c r="P960" s="7">
        <v>13.154999999999999</v>
      </c>
      <c r="Q960" s="7">
        <f t="shared" si="164"/>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60"/>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35">
      <c r="A961">
        <v>960</v>
      </c>
      <c r="B961">
        <v>65</v>
      </c>
      <c r="C961" s="22" t="s">
        <v>991</v>
      </c>
      <c r="D961" s="11">
        <v>4.25</v>
      </c>
      <c r="E961" s="12">
        <v>2.7</v>
      </c>
      <c r="F961" s="7">
        <f t="shared" si="163"/>
        <v>1.574074074074074</v>
      </c>
      <c r="G961" s="8">
        <v>0</v>
      </c>
      <c r="H961" s="9">
        <v>0</v>
      </c>
      <c r="I961" s="9">
        <v>0</v>
      </c>
      <c r="J961" s="9">
        <v>1</v>
      </c>
      <c r="K961" s="9">
        <v>0</v>
      </c>
      <c r="L961" s="8">
        <v>50212</v>
      </c>
      <c r="M961" s="9">
        <v>19</v>
      </c>
      <c r="N961" s="9">
        <f t="shared" si="153"/>
        <v>50192</v>
      </c>
      <c r="O961" s="9">
        <f t="shared" si="154"/>
        <v>24</v>
      </c>
      <c r="P961" s="7">
        <v>13.153</v>
      </c>
      <c r="Q961" s="7">
        <f t="shared" si="164"/>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60"/>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35">
      <c r="A962">
        <v>961</v>
      </c>
      <c r="B962">
        <v>66</v>
      </c>
      <c r="C962" s="22" t="s">
        <v>999</v>
      </c>
      <c r="D962" s="11">
        <v>6.4</v>
      </c>
      <c r="E962" s="12">
        <v>1</v>
      </c>
      <c r="F962" s="7">
        <f t="shared" si="163"/>
        <v>6.4</v>
      </c>
      <c r="G962" s="8">
        <v>1</v>
      </c>
      <c r="H962" s="9">
        <v>0</v>
      </c>
      <c r="I962" s="9">
        <v>0</v>
      </c>
      <c r="J962" s="9">
        <v>0</v>
      </c>
      <c r="K962" s="9">
        <v>0</v>
      </c>
      <c r="L962" s="8">
        <v>526</v>
      </c>
      <c r="M962" s="9">
        <v>3</v>
      </c>
      <c r="N962" s="9">
        <f t="shared" ref="N962:N1025" si="165">L962-M962-1</f>
        <v>522</v>
      </c>
      <c r="O962" s="9">
        <f t="shared" ref="O962:O1025" si="166">COUNTIF(B:B,B962)</f>
        <v>8</v>
      </c>
      <c r="P962" s="7">
        <v>11.6</v>
      </c>
      <c r="Q962" s="7">
        <f t="shared" si="164"/>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60"/>
        <v>0</v>
      </c>
      <c r="AL962">
        <v>0.45400000000000001</v>
      </c>
      <c r="AM962" s="36">
        <f t="shared" ref="AM962:AM976" si="167">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35">
      <c r="A963">
        <v>962</v>
      </c>
      <c r="B963">
        <v>66</v>
      </c>
      <c r="C963" s="22" t="s">
        <v>999</v>
      </c>
      <c r="D963" s="11">
        <v>5.8</v>
      </c>
      <c r="E963" s="12">
        <v>1.2</v>
      </c>
      <c r="F963" s="7">
        <f t="shared" si="163"/>
        <v>4.833333333333333</v>
      </c>
      <c r="G963" s="8">
        <v>1</v>
      </c>
      <c r="H963" s="9">
        <v>0</v>
      </c>
      <c r="I963" s="9">
        <v>0</v>
      </c>
      <c r="J963" s="9">
        <v>0</v>
      </c>
      <c r="K963" s="9">
        <v>0</v>
      </c>
      <c r="L963" s="8">
        <v>515</v>
      </c>
      <c r="M963" s="9">
        <v>5</v>
      </c>
      <c r="N963" s="9">
        <f t="shared" si="165"/>
        <v>509</v>
      </c>
      <c r="O963" s="9">
        <f t="shared" si="166"/>
        <v>8</v>
      </c>
      <c r="P963" s="7">
        <v>11.6</v>
      </c>
      <c r="Q963" s="7">
        <f t="shared" si="164"/>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60"/>
        <v>0</v>
      </c>
      <c r="AL963">
        <v>0.45400000000000001</v>
      </c>
      <c r="AM963" s="36">
        <f t="shared" si="167"/>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35">
      <c r="A964">
        <v>963</v>
      </c>
      <c r="B964">
        <v>66</v>
      </c>
      <c r="C964" s="22" t="s">
        <v>999</v>
      </c>
      <c r="D964" s="11">
        <v>8.8000000000000007</v>
      </c>
      <c r="E964" s="12">
        <v>1.6</v>
      </c>
      <c r="F964" s="7">
        <f t="shared" si="163"/>
        <v>5.5</v>
      </c>
      <c r="G964" s="8">
        <v>1</v>
      </c>
      <c r="H964" s="9">
        <v>0</v>
      </c>
      <c r="I964" s="9">
        <v>0</v>
      </c>
      <c r="J964" s="9">
        <v>0</v>
      </c>
      <c r="K964" s="9">
        <v>0</v>
      </c>
      <c r="L964" s="8">
        <v>515</v>
      </c>
      <c r="M964" s="9">
        <v>5</v>
      </c>
      <c r="N964" s="9">
        <f t="shared" si="165"/>
        <v>509</v>
      </c>
      <c r="O964" s="9">
        <f t="shared" si="166"/>
        <v>8</v>
      </c>
      <c r="P964" s="7">
        <v>11.6</v>
      </c>
      <c r="Q964" s="7">
        <f t="shared" si="164"/>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60"/>
        <v>0</v>
      </c>
      <c r="AL964">
        <v>0.45400000000000001</v>
      </c>
      <c r="AM964" s="36">
        <f t="shared" si="167"/>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35">
      <c r="A965">
        <v>964</v>
      </c>
      <c r="B965">
        <v>66</v>
      </c>
      <c r="C965" s="22" t="s">
        <v>999</v>
      </c>
      <c r="D965" s="11">
        <v>8.1999999999999993</v>
      </c>
      <c r="E965" s="12">
        <v>2</v>
      </c>
      <c r="F965" s="7">
        <f t="shared" si="163"/>
        <v>4.0999999999999996</v>
      </c>
      <c r="G965" s="8">
        <v>1</v>
      </c>
      <c r="H965" s="9">
        <v>0</v>
      </c>
      <c r="I965" s="9">
        <v>0</v>
      </c>
      <c r="J965" s="9">
        <v>0</v>
      </c>
      <c r="K965" s="9">
        <v>0</v>
      </c>
      <c r="L965" s="8">
        <v>515</v>
      </c>
      <c r="M965" s="9">
        <v>13</v>
      </c>
      <c r="N965" s="9">
        <f t="shared" si="165"/>
        <v>501</v>
      </c>
      <c r="O965" s="9">
        <f t="shared" si="166"/>
        <v>8</v>
      </c>
      <c r="P965" s="7">
        <v>11.6</v>
      </c>
      <c r="Q965" s="7">
        <f t="shared" si="164"/>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60"/>
        <v>0</v>
      </c>
      <c r="AL965">
        <v>0.45400000000000001</v>
      </c>
      <c r="AM965" s="36">
        <f t="shared" si="167"/>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35">
      <c r="A966">
        <v>965</v>
      </c>
      <c r="B966">
        <v>66</v>
      </c>
      <c r="C966" s="22" t="s">
        <v>999</v>
      </c>
      <c r="D966" s="11">
        <v>7.4</v>
      </c>
      <c r="E966" s="12">
        <v>0.8</v>
      </c>
      <c r="F966" s="7">
        <f t="shared" si="163"/>
        <v>9.25</v>
      </c>
      <c r="G966" s="8">
        <v>1</v>
      </c>
      <c r="H966" s="9">
        <v>0</v>
      </c>
      <c r="I966" s="9">
        <v>0</v>
      </c>
      <c r="J966" s="9">
        <v>0</v>
      </c>
      <c r="K966" s="9">
        <v>0</v>
      </c>
      <c r="L966" s="8">
        <v>526</v>
      </c>
      <c r="M966" s="9">
        <v>3</v>
      </c>
      <c r="N966" s="9">
        <f t="shared" si="165"/>
        <v>522</v>
      </c>
      <c r="O966" s="9">
        <f t="shared" si="166"/>
        <v>8</v>
      </c>
      <c r="P966" s="7">
        <v>11.6</v>
      </c>
      <c r="Q966" s="7">
        <f t="shared" si="164"/>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60"/>
        <v>0</v>
      </c>
      <c r="AL966">
        <v>0.45400000000000001</v>
      </c>
      <c r="AM966" s="36">
        <f t="shared" si="167"/>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35">
      <c r="A967">
        <v>966</v>
      </c>
      <c r="B967">
        <v>66</v>
      </c>
      <c r="C967" s="22" t="s">
        <v>999</v>
      </c>
      <c r="D967" s="11">
        <v>7.1</v>
      </c>
      <c r="E967" s="12">
        <v>0.9</v>
      </c>
      <c r="F967" s="7">
        <f t="shared" si="163"/>
        <v>7.8888888888888884</v>
      </c>
      <c r="G967" s="8">
        <v>1</v>
      </c>
      <c r="H967" s="9">
        <v>0</v>
      </c>
      <c r="I967" s="9">
        <v>0</v>
      </c>
      <c r="J967" s="9">
        <v>0</v>
      </c>
      <c r="K967" s="9">
        <v>0</v>
      </c>
      <c r="L967" s="8">
        <v>515</v>
      </c>
      <c r="M967" s="9">
        <v>5</v>
      </c>
      <c r="N967" s="9">
        <f t="shared" si="165"/>
        <v>509</v>
      </c>
      <c r="O967" s="9">
        <f t="shared" si="166"/>
        <v>8</v>
      </c>
      <c r="P967" s="7">
        <v>11.6</v>
      </c>
      <c r="Q967" s="7">
        <f t="shared" si="164"/>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60"/>
        <v>0</v>
      </c>
      <c r="AL967">
        <v>0.45400000000000001</v>
      </c>
      <c r="AM967" s="36">
        <f t="shared" si="167"/>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35">
      <c r="A968">
        <v>967</v>
      </c>
      <c r="B968">
        <v>66</v>
      </c>
      <c r="C968" s="22" t="s">
        <v>999</v>
      </c>
      <c r="D968" s="11">
        <v>8.4</v>
      </c>
      <c r="E968" s="12">
        <v>1.3</v>
      </c>
      <c r="F968" s="7">
        <f t="shared" si="163"/>
        <v>6.4615384615384617</v>
      </c>
      <c r="G968" s="8">
        <v>1</v>
      </c>
      <c r="H968" s="9">
        <v>0</v>
      </c>
      <c r="I968" s="9">
        <v>0</v>
      </c>
      <c r="J968" s="9">
        <v>0</v>
      </c>
      <c r="K968" s="9">
        <v>0</v>
      </c>
      <c r="L968" s="8">
        <v>515</v>
      </c>
      <c r="M968" s="9">
        <v>13</v>
      </c>
      <c r="N968" s="9">
        <f t="shared" si="165"/>
        <v>501</v>
      </c>
      <c r="O968" s="9">
        <f t="shared" si="166"/>
        <v>8</v>
      </c>
      <c r="P968" s="7">
        <v>11.6</v>
      </c>
      <c r="Q968" s="7">
        <f t="shared" si="164"/>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60"/>
        <v>0</v>
      </c>
      <c r="AL968">
        <v>0.45400000000000001</v>
      </c>
      <c r="AM968" s="36">
        <f t="shared" si="167"/>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35">
      <c r="A969">
        <v>968</v>
      </c>
      <c r="B969">
        <v>66</v>
      </c>
      <c r="C969" s="22" t="s">
        <v>999</v>
      </c>
      <c r="D969" s="11">
        <v>8.8000000000000007</v>
      </c>
      <c r="E969" s="12">
        <v>1.5</v>
      </c>
      <c r="F969" s="7">
        <f t="shared" si="163"/>
        <v>5.8666666666666671</v>
      </c>
      <c r="G969" s="8">
        <v>1</v>
      </c>
      <c r="H969" s="9">
        <v>0</v>
      </c>
      <c r="I969" s="9">
        <v>0</v>
      </c>
      <c r="J969" s="9">
        <v>0</v>
      </c>
      <c r="K969" s="9">
        <v>0</v>
      </c>
      <c r="L969" s="8">
        <v>515</v>
      </c>
      <c r="M969" s="9">
        <v>13</v>
      </c>
      <c r="N969" s="9">
        <f t="shared" si="165"/>
        <v>501</v>
      </c>
      <c r="O969" s="9">
        <f t="shared" si="166"/>
        <v>8</v>
      </c>
      <c r="P969" s="7">
        <v>11.6</v>
      </c>
      <c r="Q969" s="7">
        <f t="shared" si="164"/>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60"/>
        <v>0</v>
      </c>
      <c r="AL969">
        <v>0.45400000000000001</v>
      </c>
      <c r="AM969" s="36">
        <f t="shared" si="167"/>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35">
      <c r="A970">
        <v>969</v>
      </c>
      <c r="B970">
        <v>67</v>
      </c>
      <c r="C970" s="22" t="s">
        <v>1013</v>
      </c>
      <c r="D970" s="11">
        <v>21.4</v>
      </c>
      <c r="E970" s="12">
        <v>12</v>
      </c>
      <c r="F970" s="7">
        <f t="shared" ref="F970:F1001" si="168">D970/E970</f>
        <v>1.7833333333333332</v>
      </c>
      <c r="G970" s="8">
        <v>0</v>
      </c>
      <c r="H970" s="9">
        <v>0</v>
      </c>
      <c r="I970" s="9">
        <v>1</v>
      </c>
      <c r="J970" s="9">
        <v>0</v>
      </c>
      <c r="K970" s="9">
        <v>0</v>
      </c>
      <c r="L970" s="8">
        <v>1900</v>
      </c>
      <c r="M970" s="9">
        <v>11</v>
      </c>
      <c r="N970" s="9">
        <f t="shared" si="165"/>
        <v>1888</v>
      </c>
      <c r="O970" s="9">
        <f t="shared" si="166"/>
        <v>7</v>
      </c>
      <c r="P970" s="7">
        <v>4.6900000000000004</v>
      </c>
      <c r="Q970" s="7">
        <f t="shared" ref="Q970:Q996" si="169">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70">0.57</f>
        <v>0.56999999999999995</v>
      </c>
      <c r="AE970" s="29">
        <v>0.25</v>
      </c>
      <c r="AF970" s="29">
        <v>0.17</v>
      </c>
      <c r="AG970" s="39">
        <v>0.01</v>
      </c>
      <c r="AH970" s="38">
        <v>0</v>
      </c>
      <c r="AI970" s="15">
        <v>1</v>
      </c>
      <c r="AJ970">
        <v>0.55000000000000004</v>
      </c>
      <c r="AK970" s="36">
        <v>0.45</v>
      </c>
      <c r="AL970">
        <v>1</v>
      </c>
      <c r="AM970" s="36">
        <f t="shared" si="167"/>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35">
      <c r="A971">
        <v>970</v>
      </c>
      <c r="B971">
        <v>67</v>
      </c>
      <c r="C971" s="22" t="s">
        <v>1013</v>
      </c>
      <c r="D971" s="11">
        <v>6</v>
      </c>
      <c r="E971" s="12">
        <v>1</v>
      </c>
      <c r="F971" s="7">
        <f t="shared" si="168"/>
        <v>6</v>
      </c>
      <c r="G971" s="8">
        <v>0</v>
      </c>
      <c r="H971" s="9">
        <v>0</v>
      </c>
      <c r="I971" s="9">
        <v>1</v>
      </c>
      <c r="J971" s="9">
        <v>0</v>
      </c>
      <c r="K971" s="9">
        <v>0</v>
      </c>
      <c r="L971" s="8">
        <v>1900</v>
      </c>
      <c r="M971" s="9">
        <v>11</v>
      </c>
      <c r="N971" s="9">
        <f t="shared" si="165"/>
        <v>1888</v>
      </c>
      <c r="O971" s="9">
        <f t="shared" si="166"/>
        <v>7</v>
      </c>
      <c r="P971" s="7">
        <v>4.6900000000000004</v>
      </c>
      <c r="Q971" s="7">
        <f t="shared" si="169"/>
        <v>28.330000000000005</v>
      </c>
      <c r="R971" s="9">
        <v>1</v>
      </c>
      <c r="S971" s="9">
        <v>0</v>
      </c>
      <c r="T971" s="9">
        <v>0</v>
      </c>
      <c r="U971" s="9">
        <v>0</v>
      </c>
      <c r="V971" s="9">
        <v>1</v>
      </c>
      <c r="W971" s="27">
        <v>0</v>
      </c>
      <c r="X971" s="9">
        <v>0</v>
      </c>
      <c r="Y971" s="9">
        <v>1</v>
      </c>
      <c r="Z971" s="27">
        <v>0</v>
      </c>
      <c r="AA971" s="9">
        <v>1</v>
      </c>
      <c r="AB971" s="27">
        <v>0</v>
      </c>
      <c r="AC971" s="18">
        <v>2005</v>
      </c>
      <c r="AD971" s="7">
        <f t="shared" si="170"/>
        <v>0.56999999999999995</v>
      </c>
      <c r="AE971" s="29">
        <v>0.25</v>
      </c>
      <c r="AF971" s="29">
        <v>0.17</v>
      </c>
      <c r="AG971" s="39">
        <v>0.01</v>
      </c>
      <c r="AH971" s="38">
        <v>0</v>
      </c>
      <c r="AI971" s="15">
        <v>1</v>
      </c>
      <c r="AJ971">
        <v>0.55000000000000004</v>
      </c>
      <c r="AK971" s="36">
        <v>0.45</v>
      </c>
      <c r="AL971">
        <v>1</v>
      </c>
      <c r="AM971" s="36">
        <f t="shared" si="167"/>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35">
      <c r="A972">
        <v>971</v>
      </c>
      <c r="B972">
        <v>67</v>
      </c>
      <c r="C972" s="22" t="s">
        <v>1013</v>
      </c>
      <c r="D972" s="11">
        <v>-4.0999999999999996</v>
      </c>
      <c r="E972" s="12">
        <v>1.2</v>
      </c>
      <c r="F972" s="7">
        <f t="shared" si="168"/>
        <v>-3.4166666666666665</v>
      </c>
      <c r="G972" s="8">
        <v>0</v>
      </c>
      <c r="H972" s="9">
        <v>0</v>
      </c>
      <c r="I972" s="9">
        <v>1</v>
      </c>
      <c r="J972" s="9">
        <v>0</v>
      </c>
      <c r="K972" s="9">
        <v>0</v>
      </c>
      <c r="L972" s="8">
        <v>2926</v>
      </c>
      <c r="M972" s="9">
        <v>11</v>
      </c>
      <c r="N972" s="9">
        <f t="shared" si="165"/>
        <v>2914</v>
      </c>
      <c r="O972" s="9">
        <f t="shared" si="166"/>
        <v>7</v>
      </c>
      <c r="P972" s="7">
        <v>4.6900000000000004</v>
      </c>
      <c r="Q972" s="7">
        <f t="shared" si="169"/>
        <v>28.330000000000005</v>
      </c>
      <c r="R972" s="9">
        <v>1</v>
      </c>
      <c r="S972" s="9">
        <v>0</v>
      </c>
      <c r="T972" s="9">
        <v>0</v>
      </c>
      <c r="U972" s="9">
        <v>0</v>
      </c>
      <c r="V972" s="9">
        <v>1</v>
      </c>
      <c r="W972" s="27">
        <v>0</v>
      </c>
      <c r="X972" s="9">
        <v>0</v>
      </c>
      <c r="Y972" s="9">
        <v>1</v>
      </c>
      <c r="Z972" s="27">
        <v>0</v>
      </c>
      <c r="AA972" s="9">
        <v>1</v>
      </c>
      <c r="AB972" s="27">
        <v>0</v>
      </c>
      <c r="AC972" s="18">
        <v>2005</v>
      </c>
      <c r="AD972" s="7">
        <f t="shared" si="170"/>
        <v>0.56999999999999995</v>
      </c>
      <c r="AE972" s="29">
        <v>0.25</v>
      </c>
      <c r="AF972" s="29">
        <v>0.17</v>
      </c>
      <c r="AG972" s="39">
        <v>0.01</v>
      </c>
      <c r="AH972" s="38">
        <v>0</v>
      </c>
      <c r="AI972" s="15">
        <v>1</v>
      </c>
      <c r="AJ972">
        <v>0.55000000000000004</v>
      </c>
      <c r="AK972" s="36">
        <v>0.45</v>
      </c>
      <c r="AL972">
        <v>1</v>
      </c>
      <c r="AM972" s="36">
        <f t="shared" si="167"/>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35">
      <c r="A973">
        <v>972</v>
      </c>
      <c r="B973">
        <v>67</v>
      </c>
      <c r="C973" s="22" t="s">
        <v>1013</v>
      </c>
      <c r="D973" s="11">
        <v>20</v>
      </c>
      <c r="E973" s="12">
        <v>9</v>
      </c>
      <c r="F973" s="7">
        <f t="shared" si="168"/>
        <v>2.2222222222222223</v>
      </c>
      <c r="G973" s="8">
        <v>0</v>
      </c>
      <c r="H973" s="9">
        <v>0</v>
      </c>
      <c r="I973" s="9">
        <v>1</v>
      </c>
      <c r="J973" s="9">
        <v>0</v>
      </c>
      <c r="K973" s="9">
        <v>0</v>
      </c>
      <c r="L973" s="8">
        <v>1027</v>
      </c>
      <c r="M973" s="9">
        <v>11</v>
      </c>
      <c r="N973" s="9">
        <f t="shared" si="165"/>
        <v>1015</v>
      </c>
      <c r="O973" s="9">
        <f t="shared" si="166"/>
        <v>7</v>
      </c>
      <c r="P973" s="7">
        <v>4.6900000000000004</v>
      </c>
      <c r="Q973" s="7">
        <f t="shared" si="169"/>
        <v>28.330000000000005</v>
      </c>
      <c r="R973" s="9">
        <v>1</v>
      </c>
      <c r="S973" s="9">
        <v>0</v>
      </c>
      <c r="T973" s="9">
        <v>0</v>
      </c>
      <c r="U973" s="9">
        <v>0</v>
      </c>
      <c r="V973" s="9">
        <v>1</v>
      </c>
      <c r="W973" s="27">
        <v>0</v>
      </c>
      <c r="X973" s="9">
        <v>0</v>
      </c>
      <c r="Y973" s="9">
        <v>1</v>
      </c>
      <c r="Z973" s="27">
        <v>0</v>
      </c>
      <c r="AA973" s="9">
        <v>1</v>
      </c>
      <c r="AB973" s="27">
        <v>0</v>
      </c>
      <c r="AC973" s="18">
        <v>2005</v>
      </c>
      <c r="AD973" s="7">
        <f t="shared" si="170"/>
        <v>0.56999999999999995</v>
      </c>
      <c r="AE973" s="29">
        <v>0.25</v>
      </c>
      <c r="AF973" s="29">
        <v>0.17</v>
      </c>
      <c r="AG973" s="39">
        <v>0.01</v>
      </c>
      <c r="AH973" s="38">
        <v>0</v>
      </c>
      <c r="AI973" s="15">
        <v>1</v>
      </c>
      <c r="AJ973">
        <v>0.55000000000000004</v>
      </c>
      <c r="AK973" s="36">
        <v>0.45</v>
      </c>
      <c r="AL973">
        <v>1</v>
      </c>
      <c r="AM973" s="36">
        <f t="shared" si="167"/>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35">
      <c r="A974">
        <v>973</v>
      </c>
      <c r="B974">
        <v>67</v>
      </c>
      <c r="C974" s="22" t="s">
        <v>1013</v>
      </c>
      <c r="D974" s="11">
        <v>20.399999999999999</v>
      </c>
      <c r="E974" s="12">
        <v>9</v>
      </c>
      <c r="F974" s="7">
        <f t="shared" si="168"/>
        <v>2.2666666666666666</v>
      </c>
      <c r="G974" s="8">
        <v>0</v>
      </c>
      <c r="H974" s="9">
        <v>0</v>
      </c>
      <c r="I974" s="9">
        <v>1</v>
      </c>
      <c r="J974" s="9">
        <v>0</v>
      </c>
      <c r="K974" s="9">
        <v>0</v>
      </c>
      <c r="L974" s="8">
        <v>1001</v>
      </c>
      <c r="M974" s="9">
        <v>11</v>
      </c>
      <c r="N974" s="9">
        <f t="shared" si="165"/>
        <v>989</v>
      </c>
      <c r="O974" s="9">
        <f t="shared" si="166"/>
        <v>7</v>
      </c>
      <c r="P974" s="7">
        <v>4.6900000000000004</v>
      </c>
      <c r="Q974" s="7">
        <f t="shared" si="169"/>
        <v>28.330000000000005</v>
      </c>
      <c r="R974" s="9">
        <v>1</v>
      </c>
      <c r="S974" s="9">
        <v>0</v>
      </c>
      <c r="T974" s="9">
        <v>0</v>
      </c>
      <c r="U974" s="9">
        <v>0</v>
      </c>
      <c r="V974" s="9">
        <v>1</v>
      </c>
      <c r="W974" s="27">
        <v>0</v>
      </c>
      <c r="X974" s="9">
        <v>0</v>
      </c>
      <c r="Y974" s="9">
        <v>1</v>
      </c>
      <c r="Z974" s="27">
        <v>0</v>
      </c>
      <c r="AA974" s="9">
        <v>1</v>
      </c>
      <c r="AB974" s="27">
        <v>0</v>
      </c>
      <c r="AC974" s="18">
        <v>2005</v>
      </c>
      <c r="AD974" s="7">
        <f t="shared" si="170"/>
        <v>0.56999999999999995</v>
      </c>
      <c r="AE974" s="29">
        <v>0.25</v>
      </c>
      <c r="AF974" s="29">
        <v>0.17</v>
      </c>
      <c r="AG974" s="39">
        <v>0.01</v>
      </c>
      <c r="AH974" s="38">
        <v>0</v>
      </c>
      <c r="AI974" s="15">
        <v>1</v>
      </c>
      <c r="AJ974">
        <v>0.55000000000000004</v>
      </c>
      <c r="AK974" s="36">
        <v>0.45</v>
      </c>
      <c r="AL974">
        <v>1</v>
      </c>
      <c r="AM974" s="36">
        <f t="shared" si="167"/>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35">
      <c r="A975">
        <v>974</v>
      </c>
      <c r="B975">
        <v>67</v>
      </c>
      <c r="C975" s="22" t="s">
        <v>1013</v>
      </c>
      <c r="D975" s="11">
        <v>2.4</v>
      </c>
      <c r="E975" s="12">
        <v>14</v>
      </c>
      <c r="F975" s="7">
        <f t="shared" si="168"/>
        <v>0.17142857142857143</v>
      </c>
      <c r="G975" s="8">
        <v>0</v>
      </c>
      <c r="H975" s="9">
        <v>0</v>
      </c>
      <c r="I975" s="9">
        <v>1</v>
      </c>
      <c r="J975" s="9">
        <v>0</v>
      </c>
      <c r="K975" s="9">
        <v>0</v>
      </c>
      <c r="L975" s="8">
        <v>493</v>
      </c>
      <c r="M975" s="9">
        <v>11</v>
      </c>
      <c r="N975" s="9">
        <f t="shared" si="165"/>
        <v>481</v>
      </c>
      <c r="O975" s="9">
        <f t="shared" si="166"/>
        <v>7</v>
      </c>
      <c r="P975" s="7">
        <v>4.6900000000000004</v>
      </c>
      <c r="Q975" s="7">
        <f t="shared" si="169"/>
        <v>28.330000000000005</v>
      </c>
      <c r="R975" s="9">
        <v>1</v>
      </c>
      <c r="S975" s="9">
        <v>0</v>
      </c>
      <c r="T975" s="9">
        <v>0</v>
      </c>
      <c r="U975" s="9">
        <v>0</v>
      </c>
      <c r="V975" s="9">
        <v>1</v>
      </c>
      <c r="W975" s="27">
        <v>0</v>
      </c>
      <c r="X975" s="9">
        <v>0</v>
      </c>
      <c r="Y975" s="9">
        <v>1</v>
      </c>
      <c r="Z975" s="27">
        <v>0</v>
      </c>
      <c r="AA975" s="9">
        <v>1</v>
      </c>
      <c r="AB975" s="27">
        <v>0</v>
      </c>
      <c r="AC975" s="18">
        <v>2005</v>
      </c>
      <c r="AD975" s="7">
        <f t="shared" si="170"/>
        <v>0.56999999999999995</v>
      </c>
      <c r="AE975" s="29">
        <v>0.25</v>
      </c>
      <c r="AF975" s="29">
        <v>0.17</v>
      </c>
      <c r="AG975" s="39">
        <v>0.01</v>
      </c>
      <c r="AH975" s="38">
        <v>0</v>
      </c>
      <c r="AI975" s="15">
        <v>1</v>
      </c>
      <c r="AJ975">
        <v>0.55000000000000004</v>
      </c>
      <c r="AK975" s="36">
        <v>0.45</v>
      </c>
      <c r="AL975">
        <v>1</v>
      </c>
      <c r="AM975" s="36">
        <f t="shared" si="167"/>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35">
      <c r="A976">
        <v>975</v>
      </c>
      <c r="B976">
        <v>67</v>
      </c>
      <c r="C976" s="22" t="s">
        <v>1013</v>
      </c>
      <c r="D976" s="11">
        <v>21.6</v>
      </c>
      <c r="E976" s="12">
        <v>4</v>
      </c>
      <c r="F976" s="7">
        <f t="shared" si="168"/>
        <v>5.4</v>
      </c>
      <c r="G976" s="8">
        <v>0</v>
      </c>
      <c r="H976" s="9">
        <v>0</v>
      </c>
      <c r="I976" s="9">
        <v>1</v>
      </c>
      <c r="J976" s="9">
        <v>0</v>
      </c>
      <c r="K976" s="9">
        <v>0</v>
      </c>
      <c r="L976" s="8">
        <v>2260</v>
      </c>
      <c r="M976" s="9">
        <v>11</v>
      </c>
      <c r="N976" s="9">
        <f t="shared" si="165"/>
        <v>2248</v>
      </c>
      <c r="O976" s="9">
        <f t="shared" si="166"/>
        <v>7</v>
      </c>
      <c r="P976" s="7">
        <v>4.6900000000000004</v>
      </c>
      <c r="Q976" s="7">
        <f t="shared" si="169"/>
        <v>28.330000000000005</v>
      </c>
      <c r="R976" s="9">
        <v>1</v>
      </c>
      <c r="S976" s="9">
        <v>0</v>
      </c>
      <c r="T976" s="9">
        <v>0</v>
      </c>
      <c r="U976" s="9">
        <v>0</v>
      </c>
      <c r="V976" s="9">
        <v>1</v>
      </c>
      <c r="W976" s="27">
        <v>0</v>
      </c>
      <c r="X976" s="9">
        <v>0</v>
      </c>
      <c r="Y976" s="9">
        <v>1</v>
      </c>
      <c r="Z976" s="27">
        <v>0</v>
      </c>
      <c r="AA976" s="9">
        <v>1</v>
      </c>
      <c r="AB976" s="27">
        <v>0</v>
      </c>
      <c r="AC976" s="18">
        <v>2005</v>
      </c>
      <c r="AD976" s="7">
        <f t="shared" si="170"/>
        <v>0.56999999999999995</v>
      </c>
      <c r="AE976" s="29">
        <v>0.25</v>
      </c>
      <c r="AF976" s="29">
        <v>0.17</v>
      </c>
      <c r="AG976" s="39">
        <v>0.01</v>
      </c>
      <c r="AH976" s="38">
        <v>0</v>
      </c>
      <c r="AI976" s="15">
        <v>1</v>
      </c>
      <c r="AJ976">
        <v>0.55000000000000004</v>
      </c>
      <c r="AK976" s="36">
        <v>0.45</v>
      </c>
      <c r="AL976">
        <v>1</v>
      </c>
      <c r="AM976" s="36">
        <f t="shared" si="167"/>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35">
      <c r="A977">
        <v>976</v>
      </c>
      <c r="B977">
        <v>68</v>
      </c>
      <c r="C977" s="22" t="s">
        <v>1021</v>
      </c>
      <c r="D977" s="11">
        <v>9</v>
      </c>
      <c r="E977" s="12">
        <v>0.4</v>
      </c>
      <c r="F977" s="7">
        <f t="shared" si="168"/>
        <v>22.5</v>
      </c>
      <c r="G977" s="8">
        <v>0</v>
      </c>
      <c r="H977" s="9">
        <v>0</v>
      </c>
      <c r="I977" s="9">
        <v>1</v>
      </c>
      <c r="J977" s="9">
        <v>0</v>
      </c>
      <c r="K977" s="9">
        <v>0</v>
      </c>
      <c r="L977" s="8">
        <v>11271</v>
      </c>
      <c r="M977" s="9">
        <v>22</v>
      </c>
      <c r="N977" s="9">
        <f t="shared" si="165"/>
        <v>11248</v>
      </c>
      <c r="O977" s="9">
        <f t="shared" si="166"/>
        <v>20</v>
      </c>
      <c r="P977" s="7">
        <v>8.8800000000000008</v>
      </c>
      <c r="Q977" s="7">
        <f t="shared" si="169"/>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71">1-AJ977</f>
        <v>0.49</v>
      </c>
      <c r="AL977" t="s">
        <v>94</v>
      </c>
      <c r="AM977" s="36" t="s">
        <v>94</v>
      </c>
      <c r="AN977">
        <v>0</v>
      </c>
      <c r="AO977" s="15">
        <v>1</v>
      </c>
      <c r="AP977">
        <v>0.75</v>
      </c>
      <c r="AQ977" s="15">
        <f t="shared" ref="AQ977:AQ986" si="172">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35">
      <c r="A978">
        <v>977</v>
      </c>
      <c r="B978">
        <v>68</v>
      </c>
      <c r="C978" s="22" t="s">
        <v>1021</v>
      </c>
      <c r="D978" s="11">
        <v>20</v>
      </c>
      <c r="E978" s="12">
        <v>6</v>
      </c>
      <c r="F978" s="7">
        <f t="shared" si="168"/>
        <v>3.3333333333333335</v>
      </c>
      <c r="G978" s="8">
        <v>0</v>
      </c>
      <c r="H978" s="9">
        <v>0</v>
      </c>
      <c r="I978" s="9">
        <v>1</v>
      </c>
      <c r="J978" s="9">
        <v>0</v>
      </c>
      <c r="K978" s="9">
        <v>0</v>
      </c>
      <c r="L978" s="8">
        <v>11271</v>
      </c>
      <c r="M978" s="9">
        <v>22</v>
      </c>
      <c r="N978" s="9">
        <f t="shared" si="165"/>
        <v>11248</v>
      </c>
      <c r="O978" s="9">
        <f t="shared" si="166"/>
        <v>20</v>
      </c>
      <c r="P978" s="7">
        <v>8.8800000000000008</v>
      </c>
      <c r="Q978" s="7">
        <f t="shared" si="169"/>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71"/>
        <v>0.49</v>
      </c>
      <c r="AL978" t="s">
        <v>94</v>
      </c>
      <c r="AM978" s="36" t="s">
        <v>94</v>
      </c>
      <c r="AN978">
        <v>0</v>
      </c>
      <c r="AO978" s="15">
        <v>1</v>
      </c>
      <c r="AP978">
        <v>0.75</v>
      </c>
      <c r="AQ978" s="15">
        <f t="shared" si="172"/>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35">
      <c r="A979">
        <v>978</v>
      </c>
      <c r="B979">
        <v>68</v>
      </c>
      <c r="C979" s="22" t="s">
        <v>1021</v>
      </c>
      <c r="D979" s="11">
        <v>9</v>
      </c>
      <c r="E979" s="12">
        <v>1</v>
      </c>
      <c r="F979" s="7">
        <f t="shared" si="168"/>
        <v>9</v>
      </c>
      <c r="G979" s="8">
        <v>0</v>
      </c>
      <c r="H979" s="9">
        <v>0</v>
      </c>
      <c r="I979" s="9">
        <v>1</v>
      </c>
      <c r="J979" s="9">
        <v>0</v>
      </c>
      <c r="K979" s="9">
        <v>0</v>
      </c>
      <c r="L979" s="8">
        <v>11271</v>
      </c>
      <c r="M979" s="9">
        <v>22</v>
      </c>
      <c r="N979" s="9">
        <f t="shared" si="165"/>
        <v>11248</v>
      </c>
      <c r="O979" s="9">
        <f t="shared" si="166"/>
        <v>20</v>
      </c>
      <c r="P979" s="7">
        <v>8.8800000000000008</v>
      </c>
      <c r="Q979" s="7">
        <f t="shared" si="169"/>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71"/>
        <v>0.49</v>
      </c>
      <c r="AL979" t="s">
        <v>94</v>
      </c>
      <c r="AM979" s="36" t="s">
        <v>94</v>
      </c>
      <c r="AN979">
        <v>0</v>
      </c>
      <c r="AO979" s="15">
        <v>1</v>
      </c>
      <c r="AP979">
        <v>0.75</v>
      </c>
      <c r="AQ979" s="15">
        <f t="shared" si="172"/>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35">
      <c r="A980">
        <v>979</v>
      </c>
      <c r="B980">
        <v>68</v>
      </c>
      <c r="C980" s="22" t="s">
        <v>1021</v>
      </c>
      <c r="D980" s="11">
        <v>26</v>
      </c>
      <c r="E980" s="12">
        <v>9</v>
      </c>
      <c r="F980" s="7">
        <f t="shared" si="168"/>
        <v>2.8888888888888888</v>
      </c>
      <c r="G980" s="8">
        <v>0</v>
      </c>
      <c r="H980" s="9">
        <v>0</v>
      </c>
      <c r="I980" s="9">
        <v>1</v>
      </c>
      <c r="J980" s="9">
        <v>0</v>
      </c>
      <c r="K980" s="9">
        <v>0</v>
      </c>
      <c r="L980" s="8">
        <v>11271</v>
      </c>
      <c r="M980" s="9">
        <v>22</v>
      </c>
      <c r="N980" s="9">
        <f t="shared" si="165"/>
        <v>11248</v>
      </c>
      <c r="O980" s="9">
        <f t="shared" si="166"/>
        <v>20</v>
      </c>
      <c r="P980" s="7">
        <v>8.8800000000000008</v>
      </c>
      <c r="Q980" s="7">
        <f t="shared" si="169"/>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71"/>
        <v>0.49</v>
      </c>
      <c r="AL980" t="s">
        <v>94</v>
      </c>
      <c r="AM980" s="36" t="s">
        <v>94</v>
      </c>
      <c r="AN980">
        <v>0</v>
      </c>
      <c r="AO980" s="15">
        <v>1</v>
      </c>
      <c r="AP980">
        <v>0.75</v>
      </c>
      <c r="AQ980" s="15">
        <f t="shared" si="172"/>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35">
      <c r="A981">
        <v>980</v>
      </c>
      <c r="B981">
        <v>68</v>
      </c>
      <c r="C981" s="22" t="s">
        <v>1021</v>
      </c>
      <c r="D981" s="11">
        <v>9</v>
      </c>
      <c r="E981" s="12">
        <v>1</v>
      </c>
      <c r="F981" s="7">
        <f t="shared" si="168"/>
        <v>9</v>
      </c>
      <c r="G981" s="8">
        <v>0</v>
      </c>
      <c r="H981" s="9">
        <v>0</v>
      </c>
      <c r="I981" s="9">
        <v>1</v>
      </c>
      <c r="J981" s="9">
        <v>0</v>
      </c>
      <c r="K981" s="9">
        <v>0</v>
      </c>
      <c r="L981" s="8">
        <v>7380</v>
      </c>
      <c r="M981" s="9">
        <v>22</v>
      </c>
      <c r="N981" s="9">
        <f t="shared" si="165"/>
        <v>7357</v>
      </c>
      <c r="O981" s="9">
        <f t="shared" si="166"/>
        <v>20</v>
      </c>
      <c r="P981" s="7">
        <v>8.66</v>
      </c>
      <c r="Q981" s="7">
        <f t="shared" si="169"/>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71"/>
        <v>0.5</v>
      </c>
      <c r="AL981" t="s">
        <v>94</v>
      </c>
      <c r="AM981" s="36" t="s">
        <v>94</v>
      </c>
      <c r="AN981">
        <v>0</v>
      </c>
      <c r="AO981" s="15">
        <v>1</v>
      </c>
      <c r="AP981">
        <v>0.73</v>
      </c>
      <c r="AQ981" s="15">
        <f t="shared" si="172"/>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35">
      <c r="A982">
        <v>981</v>
      </c>
      <c r="B982">
        <v>68</v>
      </c>
      <c r="C982" s="22" t="s">
        <v>1021</v>
      </c>
      <c r="D982" s="11">
        <v>54</v>
      </c>
      <c r="E982" s="12">
        <v>111</v>
      </c>
      <c r="F982" s="7">
        <f t="shared" si="168"/>
        <v>0.48648648648648651</v>
      </c>
      <c r="G982" s="8">
        <v>0</v>
      </c>
      <c r="H982" s="9">
        <v>0</v>
      </c>
      <c r="I982" s="9">
        <v>1</v>
      </c>
      <c r="J982" s="9">
        <v>0</v>
      </c>
      <c r="K982" s="9">
        <v>0</v>
      </c>
      <c r="L982" s="8">
        <v>7380</v>
      </c>
      <c r="M982" s="9">
        <v>22</v>
      </c>
      <c r="N982" s="9">
        <f t="shared" si="165"/>
        <v>7357</v>
      </c>
      <c r="O982" s="9">
        <f t="shared" si="166"/>
        <v>20</v>
      </c>
      <c r="P982" s="7">
        <v>8.66</v>
      </c>
      <c r="Q982" s="7">
        <f t="shared" si="169"/>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71"/>
        <v>0.5</v>
      </c>
      <c r="AL982" t="s">
        <v>94</v>
      </c>
      <c r="AM982" s="36" t="s">
        <v>94</v>
      </c>
      <c r="AN982">
        <v>0</v>
      </c>
      <c r="AO982" s="15">
        <v>1</v>
      </c>
      <c r="AP982">
        <v>0.73</v>
      </c>
      <c r="AQ982" s="15">
        <f t="shared" si="172"/>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35">
      <c r="A983">
        <v>982</v>
      </c>
      <c r="B983">
        <v>68</v>
      </c>
      <c r="C983" s="22" t="s">
        <v>1021</v>
      </c>
      <c r="D983" s="11">
        <v>1</v>
      </c>
      <c r="E983" s="12">
        <v>2</v>
      </c>
      <c r="F983" s="7">
        <f t="shared" si="168"/>
        <v>0.5</v>
      </c>
      <c r="G983" s="8">
        <v>0</v>
      </c>
      <c r="H983" s="9">
        <v>0</v>
      </c>
      <c r="I983" s="9">
        <v>1</v>
      </c>
      <c r="J983" s="9">
        <v>0</v>
      </c>
      <c r="K983" s="9">
        <v>0</v>
      </c>
      <c r="L983" s="8">
        <v>3891</v>
      </c>
      <c r="M983" s="9">
        <v>22</v>
      </c>
      <c r="N983" s="9">
        <f t="shared" si="165"/>
        <v>3868</v>
      </c>
      <c r="O983" s="9">
        <f t="shared" si="166"/>
        <v>20</v>
      </c>
      <c r="P983" s="7">
        <v>9.2799999999999994</v>
      </c>
      <c r="Q983" s="7">
        <f t="shared" si="169"/>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71"/>
        <v>0.48</v>
      </c>
      <c r="AL983" t="s">
        <v>94</v>
      </c>
      <c r="AM983" s="36" t="s">
        <v>94</v>
      </c>
      <c r="AN983">
        <v>0</v>
      </c>
      <c r="AO983" s="15">
        <v>1</v>
      </c>
      <c r="AP983">
        <v>0.79</v>
      </c>
      <c r="AQ983" s="15">
        <f t="shared" si="172"/>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35">
      <c r="A984">
        <v>983</v>
      </c>
      <c r="B984">
        <v>68</v>
      </c>
      <c r="C984" s="22" t="s">
        <v>1021</v>
      </c>
      <c r="D984" s="11">
        <v>4</v>
      </c>
      <c r="E984" s="12">
        <v>22</v>
      </c>
      <c r="F984" s="7">
        <f t="shared" si="168"/>
        <v>0.18181818181818182</v>
      </c>
      <c r="G984" s="8">
        <v>0</v>
      </c>
      <c r="H984" s="9">
        <v>0</v>
      </c>
      <c r="I984" s="9">
        <v>1</v>
      </c>
      <c r="J984" s="9">
        <v>0</v>
      </c>
      <c r="K984" s="9">
        <v>0</v>
      </c>
      <c r="L984" s="8">
        <v>3891</v>
      </c>
      <c r="M984" s="9">
        <v>22</v>
      </c>
      <c r="N984" s="9">
        <f t="shared" si="165"/>
        <v>3868</v>
      </c>
      <c r="O984" s="9">
        <f t="shared" si="166"/>
        <v>20</v>
      </c>
      <c r="P984" s="7">
        <v>9.2799999999999994</v>
      </c>
      <c r="Q984" s="7">
        <f t="shared" si="169"/>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71"/>
        <v>0.48</v>
      </c>
      <c r="AL984" t="s">
        <v>94</v>
      </c>
      <c r="AM984" s="36" t="s">
        <v>94</v>
      </c>
      <c r="AN984">
        <v>0</v>
      </c>
      <c r="AO984" s="15">
        <v>1</v>
      </c>
      <c r="AP984">
        <v>0.79</v>
      </c>
      <c r="AQ984" s="15">
        <f t="shared" si="172"/>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35">
      <c r="A985">
        <v>984</v>
      </c>
      <c r="B985">
        <v>68</v>
      </c>
      <c r="C985" s="22" t="s">
        <v>1021</v>
      </c>
      <c r="D985" s="11">
        <v>9</v>
      </c>
      <c r="E985" s="12">
        <v>1</v>
      </c>
      <c r="F985" s="7">
        <f t="shared" si="168"/>
        <v>9</v>
      </c>
      <c r="G985" s="8">
        <v>0</v>
      </c>
      <c r="H985" s="9">
        <v>0</v>
      </c>
      <c r="I985" s="9">
        <v>1</v>
      </c>
      <c r="J985" s="9">
        <v>0</v>
      </c>
      <c r="K985" s="9">
        <v>0</v>
      </c>
      <c r="L985" s="8">
        <v>11271</v>
      </c>
      <c r="M985" s="9">
        <v>22</v>
      </c>
      <c r="N985" s="9">
        <f t="shared" si="165"/>
        <v>11248</v>
      </c>
      <c r="O985" s="9">
        <f t="shared" si="166"/>
        <v>20</v>
      </c>
      <c r="P985" s="7">
        <v>8.4600000000000009</v>
      </c>
      <c r="Q985" s="7">
        <f t="shared" si="169"/>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72"/>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35">
      <c r="A986">
        <v>985</v>
      </c>
      <c r="B986">
        <v>68</v>
      </c>
      <c r="C986" s="22" t="s">
        <v>1021</v>
      </c>
      <c r="D986" s="11">
        <v>9</v>
      </c>
      <c r="E986" s="12">
        <v>1</v>
      </c>
      <c r="F986" s="7">
        <f t="shared" si="168"/>
        <v>9</v>
      </c>
      <c r="G986" s="8">
        <v>0</v>
      </c>
      <c r="H986" s="9">
        <v>0</v>
      </c>
      <c r="I986" s="9">
        <v>1</v>
      </c>
      <c r="J986" s="9">
        <v>0</v>
      </c>
      <c r="K986" s="9">
        <v>0</v>
      </c>
      <c r="L986" s="8">
        <v>11271</v>
      </c>
      <c r="M986" s="9">
        <v>22</v>
      </c>
      <c r="N986" s="9">
        <f t="shared" si="165"/>
        <v>11248</v>
      </c>
      <c r="O986" s="9">
        <f t="shared" si="166"/>
        <v>20</v>
      </c>
      <c r="P986" s="7">
        <v>9.2899999999999991</v>
      </c>
      <c r="Q986" s="7">
        <f t="shared" si="169"/>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72"/>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35">
      <c r="A987">
        <v>986</v>
      </c>
      <c r="B987">
        <v>68</v>
      </c>
      <c r="C987" s="22" t="s">
        <v>1021</v>
      </c>
      <c r="D987" s="11">
        <v>9</v>
      </c>
      <c r="E987" s="12">
        <v>1</v>
      </c>
      <c r="F987" s="7">
        <f t="shared" si="168"/>
        <v>9</v>
      </c>
      <c r="G987" s="8">
        <v>0</v>
      </c>
      <c r="H987" s="9">
        <v>0</v>
      </c>
      <c r="I987" s="9">
        <v>1</v>
      </c>
      <c r="J987" s="9">
        <v>0</v>
      </c>
      <c r="K987" s="9">
        <v>0</v>
      </c>
      <c r="L987" s="8">
        <v>11271</v>
      </c>
      <c r="M987" s="9">
        <v>22</v>
      </c>
      <c r="N987" s="9">
        <f t="shared" si="165"/>
        <v>11248</v>
      </c>
      <c r="O987" s="9">
        <f t="shared" si="166"/>
        <v>20</v>
      </c>
      <c r="P987" s="7">
        <v>8.14</v>
      </c>
      <c r="Q987" s="7">
        <f t="shared" si="169"/>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35">
      <c r="A988">
        <v>987</v>
      </c>
      <c r="B988">
        <v>68</v>
      </c>
      <c r="C988" s="22" t="s">
        <v>1021</v>
      </c>
      <c r="D988" s="11">
        <v>8</v>
      </c>
      <c r="E988" s="12">
        <v>1</v>
      </c>
      <c r="F988" s="7">
        <f t="shared" si="168"/>
        <v>8</v>
      </c>
      <c r="G988" s="8">
        <v>0</v>
      </c>
      <c r="H988" s="9">
        <v>0</v>
      </c>
      <c r="I988" s="9">
        <v>1</v>
      </c>
      <c r="J988" s="9">
        <v>0</v>
      </c>
      <c r="K988" s="9">
        <v>0</v>
      </c>
      <c r="L988" s="8">
        <v>11271</v>
      </c>
      <c r="M988" s="9">
        <v>22</v>
      </c>
      <c r="N988" s="9">
        <f t="shared" si="165"/>
        <v>11248</v>
      </c>
      <c r="O988" s="9">
        <f t="shared" si="166"/>
        <v>20</v>
      </c>
      <c r="P988" s="7">
        <v>11.09</v>
      </c>
      <c r="Q988" s="7">
        <f t="shared" si="169"/>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35">
      <c r="A989">
        <v>988</v>
      </c>
      <c r="B989">
        <v>68</v>
      </c>
      <c r="C989" s="22" t="s">
        <v>1021</v>
      </c>
      <c r="D989" s="11">
        <v>9</v>
      </c>
      <c r="E989" s="12">
        <v>1</v>
      </c>
      <c r="F989" s="7">
        <f t="shared" si="168"/>
        <v>9</v>
      </c>
      <c r="G989" s="8">
        <v>0</v>
      </c>
      <c r="H989" s="9">
        <v>0</v>
      </c>
      <c r="I989" s="9">
        <v>1</v>
      </c>
      <c r="J989" s="9">
        <v>0</v>
      </c>
      <c r="K989" s="9">
        <v>0</v>
      </c>
      <c r="L989" s="8">
        <v>11271</v>
      </c>
      <c r="M989" s="9">
        <v>22</v>
      </c>
      <c r="N989" s="9">
        <f t="shared" si="165"/>
        <v>11248</v>
      </c>
      <c r="O989" s="9">
        <f t="shared" si="166"/>
        <v>20</v>
      </c>
      <c r="P989" s="7">
        <v>8.73</v>
      </c>
      <c r="Q989" s="7">
        <f t="shared" si="169"/>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35">
      <c r="A990">
        <v>989</v>
      </c>
      <c r="B990">
        <v>68</v>
      </c>
      <c r="C990" s="22" t="s">
        <v>1021</v>
      </c>
      <c r="D990" s="11">
        <v>9</v>
      </c>
      <c r="E990" s="12">
        <v>1</v>
      </c>
      <c r="F990" s="7">
        <f t="shared" si="168"/>
        <v>9</v>
      </c>
      <c r="G990" s="8">
        <v>0</v>
      </c>
      <c r="H990" s="9">
        <v>0</v>
      </c>
      <c r="I990" s="9">
        <v>1</v>
      </c>
      <c r="J990" s="9">
        <v>0</v>
      </c>
      <c r="K990" s="9">
        <v>0</v>
      </c>
      <c r="L990" s="8">
        <v>11271</v>
      </c>
      <c r="M990" s="9">
        <v>22</v>
      </c>
      <c r="N990" s="9">
        <f t="shared" si="165"/>
        <v>11248</v>
      </c>
      <c r="O990" s="9">
        <f t="shared" si="166"/>
        <v>20</v>
      </c>
      <c r="P990" s="7">
        <v>9.24</v>
      </c>
      <c r="Q990" s="7">
        <f t="shared" si="169"/>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35">
      <c r="A991">
        <v>990</v>
      </c>
      <c r="B991">
        <v>68</v>
      </c>
      <c r="C991" s="22" t="s">
        <v>1021</v>
      </c>
      <c r="D991" s="11">
        <v>10</v>
      </c>
      <c r="E991" s="12">
        <v>5</v>
      </c>
      <c r="F991" s="7">
        <f t="shared" si="168"/>
        <v>2</v>
      </c>
      <c r="G991" s="8">
        <v>0</v>
      </c>
      <c r="H991" s="9">
        <v>0</v>
      </c>
      <c r="I991" s="9">
        <v>1</v>
      </c>
      <c r="J991" s="9">
        <v>0</v>
      </c>
      <c r="K991" s="9">
        <v>0</v>
      </c>
      <c r="L991" s="8">
        <v>11271</v>
      </c>
      <c r="M991" s="9">
        <v>22</v>
      </c>
      <c r="N991" s="9">
        <f t="shared" si="165"/>
        <v>11248</v>
      </c>
      <c r="O991" s="9">
        <f t="shared" si="166"/>
        <v>20</v>
      </c>
      <c r="P991" s="7">
        <v>8.4600000000000009</v>
      </c>
      <c r="Q991" s="7">
        <f t="shared" si="169"/>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35">
      <c r="A992">
        <v>991</v>
      </c>
      <c r="B992">
        <v>68</v>
      </c>
      <c r="C992" s="22" t="s">
        <v>1021</v>
      </c>
      <c r="D992" s="11">
        <v>51</v>
      </c>
      <c r="E992" s="12">
        <v>23</v>
      </c>
      <c r="F992" s="7">
        <f t="shared" si="168"/>
        <v>2.2173913043478262</v>
      </c>
      <c r="G992" s="8">
        <v>0</v>
      </c>
      <c r="H992" s="9">
        <v>0</v>
      </c>
      <c r="I992" s="9">
        <v>1</v>
      </c>
      <c r="J992" s="9">
        <v>0</v>
      </c>
      <c r="K992" s="9">
        <v>0</v>
      </c>
      <c r="L992" s="8">
        <v>11271</v>
      </c>
      <c r="M992" s="9">
        <v>22</v>
      </c>
      <c r="N992" s="9">
        <f t="shared" si="165"/>
        <v>11248</v>
      </c>
      <c r="O992" s="9">
        <f t="shared" si="166"/>
        <v>20</v>
      </c>
      <c r="P992" s="7">
        <v>9.2899999999999991</v>
      </c>
      <c r="Q992" s="7">
        <f t="shared" si="169"/>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35">
      <c r="A993">
        <v>992</v>
      </c>
      <c r="B993">
        <v>68</v>
      </c>
      <c r="C993" s="22" t="s">
        <v>1021</v>
      </c>
      <c r="D993" s="11">
        <v>18</v>
      </c>
      <c r="E993" s="12">
        <v>7</v>
      </c>
      <c r="F993" s="7">
        <f t="shared" si="168"/>
        <v>2.5714285714285716</v>
      </c>
      <c r="G993" s="8">
        <v>0</v>
      </c>
      <c r="H993" s="9">
        <v>0</v>
      </c>
      <c r="I993" s="9">
        <v>1</v>
      </c>
      <c r="J993" s="9">
        <v>0</v>
      </c>
      <c r="K993" s="9">
        <v>0</v>
      </c>
      <c r="L993" s="8">
        <v>11271</v>
      </c>
      <c r="M993" s="9">
        <v>22</v>
      </c>
      <c r="N993" s="9">
        <f t="shared" si="165"/>
        <v>11248</v>
      </c>
      <c r="O993" s="9">
        <f t="shared" si="166"/>
        <v>20</v>
      </c>
      <c r="P993" s="7">
        <v>8.14</v>
      </c>
      <c r="Q993" s="7">
        <f t="shared" si="169"/>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73">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35">
      <c r="A994">
        <v>993</v>
      </c>
      <c r="B994">
        <v>68</v>
      </c>
      <c r="C994" s="22" t="s">
        <v>1021</v>
      </c>
      <c r="D994" s="11">
        <v>14</v>
      </c>
      <c r="E994" s="12">
        <v>9</v>
      </c>
      <c r="F994" s="7">
        <f t="shared" si="168"/>
        <v>1.5555555555555556</v>
      </c>
      <c r="G994" s="8">
        <v>0</v>
      </c>
      <c r="H994" s="9">
        <v>0</v>
      </c>
      <c r="I994" s="9">
        <v>1</v>
      </c>
      <c r="J994" s="9">
        <v>0</v>
      </c>
      <c r="K994" s="9">
        <v>0</v>
      </c>
      <c r="L994" s="8">
        <v>11271</v>
      </c>
      <c r="M994" s="9">
        <v>22</v>
      </c>
      <c r="N994" s="9">
        <f t="shared" si="165"/>
        <v>11248</v>
      </c>
      <c r="O994" s="9">
        <f t="shared" si="166"/>
        <v>20</v>
      </c>
      <c r="P994" s="7">
        <v>11.09</v>
      </c>
      <c r="Q994" s="7">
        <f t="shared" si="169"/>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73"/>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35">
      <c r="A995">
        <v>994</v>
      </c>
      <c r="B995">
        <v>68</v>
      </c>
      <c r="C995" s="22" t="s">
        <v>1021</v>
      </c>
      <c r="D995" s="11">
        <v>12</v>
      </c>
      <c r="E995" s="12">
        <v>8</v>
      </c>
      <c r="F995" s="7">
        <f t="shared" si="168"/>
        <v>1.5</v>
      </c>
      <c r="G995" s="8">
        <v>0</v>
      </c>
      <c r="H995" s="9">
        <v>0</v>
      </c>
      <c r="I995" s="9">
        <v>1</v>
      </c>
      <c r="J995" s="9">
        <v>0</v>
      </c>
      <c r="K995" s="9">
        <v>0</v>
      </c>
      <c r="L995" s="8">
        <v>11271</v>
      </c>
      <c r="M995" s="9">
        <v>22</v>
      </c>
      <c r="N995" s="9">
        <f t="shared" si="165"/>
        <v>11248</v>
      </c>
      <c r="O995" s="9">
        <f t="shared" si="166"/>
        <v>20</v>
      </c>
      <c r="P995" s="7">
        <v>8.73</v>
      </c>
      <c r="Q995" s="7">
        <f t="shared" si="169"/>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73"/>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35">
      <c r="A996">
        <v>995</v>
      </c>
      <c r="B996">
        <v>68</v>
      </c>
      <c r="C996" s="22" t="s">
        <v>1021</v>
      </c>
      <c r="D996" s="11">
        <v>37</v>
      </c>
      <c r="E996" s="12">
        <v>12</v>
      </c>
      <c r="F996" s="7">
        <f t="shared" si="168"/>
        <v>3.0833333333333335</v>
      </c>
      <c r="G996" s="8">
        <v>0</v>
      </c>
      <c r="H996" s="9">
        <v>0</v>
      </c>
      <c r="I996" s="9">
        <v>1</v>
      </c>
      <c r="J996" s="9">
        <v>0</v>
      </c>
      <c r="K996" s="9">
        <v>0</v>
      </c>
      <c r="L996" s="8">
        <v>11271</v>
      </c>
      <c r="M996" s="9">
        <v>22</v>
      </c>
      <c r="N996" s="9">
        <f t="shared" si="165"/>
        <v>11248</v>
      </c>
      <c r="O996" s="9">
        <f t="shared" si="166"/>
        <v>20</v>
      </c>
      <c r="P996" s="7">
        <v>9.24</v>
      </c>
      <c r="Q996" s="7">
        <f t="shared" si="169"/>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73"/>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35">
      <c r="A997">
        <v>996</v>
      </c>
      <c r="B997">
        <v>69</v>
      </c>
      <c r="C997" s="22" t="s">
        <v>1032</v>
      </c>
      <c r="D997" s="11">
        <v>6.08</v>
      </c>
      <c r="E997" s="12">
        <v>0.1</v>
      </c>
      <c r="F997" s="7">
        <f t="shared" si="168"/>
        <v>60.8</v>
      </c>
      <c r="G997" s="8">
        <v>0</v>
      </c>
      <c r="H997" s="9">
        <v>0</v>
      </c>
      <c r="I997" s="9">
        <v>0</v>
      </c>
      <c r="J997" s="9">
        <v>1</v>
      </c>
      <c r="K997" s="9">
        <v>0</v>
      </c>
      <c r="L997" s="8">
        <v>990357</v>
      </c>
      <c r="M997" s="9">
        <v>3</v>
      </c>
      <c r="N997" s="9">
        <f t="shared" si="165"/>
        <v>990353</v>
      </c>
      <c r="O997" s="9">
        <f t="shared" si="166"/>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73"/>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35">
      <c r="A998">
        <v>997</v>
      </c>
      <c r="B998">
        <v>69</v>
      </c>
      <c r="C998" s="22" t="s">
        <v>1032</v>
      </c>
      <c r="D998" s="11">
        <v>7.19</v>
      </c>
      <c r="E998" s="12">
        <v>0.1</v>
      </c>
      <c r="F998" s="7">
        <f t="shared" si="168"/>
        <v>71.900000000000006</v>
      </c>
      <c r="G998" s="8">
        <v>0</v>
      </c>
      <c r="H998" s="9">
        <v>0</v>
      </c>
      <c r="I998" s="9">
        <v>0</v>
      </c>
      <c r="J998" s="9">
        <v>1</v>
      </c>
      <c r="K998" s="9">
        <v>0</v>
      </c>
      <c r="L998" s="8">
        <v>1464737</v>
      </c>
      <c r="M998" s="9">
        <v>3</v>
      </c>
      <c r="N998" s="9">
        <f t="shared" si="165"/>
        <v>1464733</v>
      </c>
      <c r="O998" s="9">
        <f t="shared" si="166"/>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73"/>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35">
      <c r="A999">
        <v>998</v>
      </c>
      <c r="B999">
        <v>69</v>
      </c>
      <c r="C999" s="22" t="s">
        <v>1032</v>
      </c>
      <c r="D999" s="11">
        <v>7.3</v>
      </c>
      <c r="E999" s="12">
        <v>0.1</v>
      </c>
      <c r="F999" s="7">
        <f t="shared" si="168"/>
        <v>73</v>
      </c>
      <c r="G999" s="8">
        <v>0</v>
      </c>
      <c r="H999" s="9">
        <v>0</v>
      </c>
      <c r="I999" s="9">
        <v>0</v>
      </c>
      <c r="J999" s="9">
        <v>1</v>
      </c>
      <c r="K999" s="9">
        <v>0</v>
      </c>
      <c r="L999" s="8">
        <v>1981128</v>
      </c>
      <c r="M999" s="9">
        <v>3</v>
      </c>
      <c r="N999" s="9">
        <f t="shared" si="165"/>
        <v>1981124</v>
      </c>
      <c r="O999" s="9">
        <f t="shared" si="166"/>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73"/>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35">
      <c r="A1000">
        <v>999</v>
      </c>
      <c r="B1000">
        <v>69</v>
      </c>
      <c r="C1000" s="22" t="s">
        <v>1032</v>
      </c>
      <c r="D1000" s="11">
        <v>7.15</v>
      </c>
      <c r="E1000" s="12">
        <v>0.1</v>
      </c>
      <c r="F1000" s="7">
        <f t="shared" si="168"/>
        <v>71.5</v>
      </c>
      <c r="G1000" s="8">
        <v>0</v>
      </c>
      <c r="H1000" s="9">
        <v>0</v>
      </c>
      <c r="I1000" s="9">
        <v>0</v>
      </c>
      <c r="J1000" s="9">
        <v>1</v>
      </c>
      <c r="K1000" s="9">
        <v>0</v>
      </c>
      <c r="L1000" s="8">
        <v>2042134</v>
      </c>
      <c r="M1000" s="9">
        <v>3</v>
      </c>
      <c r="N1000" s="9">
        <f t="shared" si="165"/>
        <v>2042130</v>
      </c>
      <c r="O1000" s="9">
        <f t="shared" si="166"/>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73"/>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35">
      <c r="A1001">
        <v>1000</v>
      </c>
      <c r="B1001">
        <v>69</v>
      </c>
      <c r="C1001" s="22" t="s">
        <v>1032</v>
      </c>
      <c r="D1001" s="11">
        <v>7.06</v>
      </c>
      <c r="E1001" s="12">
        <v>0.1</v>
      </c>
      <c r="F1001" s="7">
        <f t="shared" si="168"/>
        <v>70.599999999999994</v>
      </c>
      <c r="G1001" s="8">
        <v>0</v>
      </c>
      <c r="H1001" s="9">
        <v>0</v>
      </c>
      <c r="I1001" s="9">
        <v>0</v>
      </c>
      <c r="J1001" s="9">
        <v>1</v>
      </c>
      <c r="K1001" s="9">
        <v>0</v>
      </c>
      <c r="L1001" s="8">
        <v>1904805</v>
      </c>
      <c r="M1001" s="9">
        <v>3</v>
      </c>
      <c r="N1001" s="9">
        <f t="shared" si="165"/>
        <v>1904801</v>
      </c>
      <c r="O1001" s="9">
        <f t="shared" si="166"/>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73"/>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35">
      <c r="A1002">
        <v>1001</v>
      </c>
      <c r="B1002">
        <v>69</v>
      </c>
      <c r="C1002" s="22" t="s">
        <v>1032</v>
      </c>
      <c r="D1002" s="11">
        <v>4.78</v>
      </c>
      <c r="E1002" s="12">
        <v>0.1</v>
      </c>
      <c r="F1002" s="7">
        <f t="shared" ref="F1002:F1011" si="174">D1002/E1002</f>
        <v>47.8</v>
      </c>
      <c r="G1002" s="8">
        <v>0</v>
      </c>
      <c r="H1002" s="9">
        <v>0</v>
      </c>
      <c r="I1002" s="9">
        <v>0</v>
      </c>
      <c r="J1002" s="9">
        <v>1</v>
      </c>
      <c r="K1002" s="9">
        <v>0</v>
      </c>
      <c r="L1002" s="8">
        <v>990357</v>
      </c>
      <c r="M1002" s="9">
        <v>3</v>
      </c>
      <c r="N1002" s="9">
        <f t="shared" si="165"/>
        <v>990353</v>
      </c>
      <c r="O1002" s="9">
        <f t="shared" si="166"/>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73"/>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35">
      <c r="A1003">
        <v>1002</v>
      </c>
      <c r="B1003">
        <v>69</v>
      </c>
      <c r="C1003" s="22" t="s">
        <v>1032</v>
      </c>
      <c r="D1003" s="11">
        <v>5.8</v>
      </c>
      <c r="E1003" s="12">
        <v>0.1</v>
      </c>
      <c r="F1003" s="7">
        <f t="shared" si="174"/>
        <v>57.999999999999993</v>
      </c>
      <c r="G1003" s="8">
        <v>0</v>
      </c>
      <c r="H1003" s="9">
        <v>0</v>
      </c>
      <c r="I1003" s="9">
        <v>0</v>
      </c>
      <c r="J1003" s="9">
        <v>1</v>
      </c>
      <c r="K1003" s="9">
        <v>0</v>
      </c>
      <c r="L1003" s="8">
        <v>1464737</v>
      </c>
      <c r="M1003" s="9">
        <v>3</v>
      </c>
      <c r="N1003" s="9">
        <f t="shared" si="165"/>
        <v>1464733</v>
      </c>
      <c r="O1003" s="9">
        <f t="shared" si="166"/>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73"/>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35">
      <c r="A1004">
        <v>1003</v>
      </c>
      <c r="B1004">
        <v>69</v>
      </c>
      <c r="C1004" s="22" t="s">
        <v>1032</v>
      </c>
      <c r="D1004" s="11">
        <v>6.4</v>
      </c>
      <c r="E1004" s="12">
        <v>0.1</v>
      </c>
      <c r="F1004" s="7">
        <f t="shared" si="174"/>
        <v>64</v>
      </c>
      <c r="G1004" s="8">
        <v>0</v>
      </c>
      <c r="H1004" s="9">
        <v>0</v>
      </c>
      <c r="I1004" s="9">
        <v>0</v>
      </c>
      <c r="J1004" s="9">
        <v>1</v>
      </c>
      <c r="K1004" s="9">
        <v>0</v>
      </c>
      <c r="L1004" s="8">
        <v>1981128</v>
      </c>
      <c r="M1004" s="9">
        <v>3</v>
      </c>
      <c r="N1004" s="9">
        <f t="shared" si="165"/>
        <v>1981124</v>
      </c>
      <c r="O1004" s="9">
        <f t="shared" si="166"/>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73"/>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35">
      <c r="A1005">
        <v>1004</v>
      </c>
      <c r="B1005">
        <v>69</v>
      </c>
      <c r="C1005" s="22" t="s">
        <v>1032</v>
      </c>
      <c r="D1005" s="11">
        <v>6.38</v>
      </c>
      <c r="E1005" s="12">
        <v>0.1</v>
      </c>
      <c r="F1005" s="7">
        <f t="shared" si="174"/>
        <v>63.8</v>
      </c>
      <c r="G1005" s="8">
        <v>0</v>
      </c>
      <c r="H1005" s="9">
        <v>0</v>
      </c>
      <c r="I1005" s="9">
        <v>0</v>
      </c>
      <c r="J1005" s="9">
        <v>1</v>
      </c>
      <c r="K1005" s="9">
        <v>0</v>
      </c>
      <c r="L1005" s="8">
        <v>2042134</v>
      </c>
      <c r="M1005" s="9">
        <v>3</v>
      </c>
      <c r="N1005" s="9">
        <f t="shared" si="165"/>
        <v>2042130</v>
      </c>
      <c r="O1005" s="9">
        <f t="shared" si="166"/>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73"/>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35">
      <c r="A1006">
        <v>1005</v>
      </c>
      <c r="B1006">
        <v>69</v>
      </c>
      <c r="C1006" s="22" t="s">
        <v>1032</v>
      </c>
      <c r="D1006" s="11">
        <v>6.37</v>
      </c>
      <c r="E1006" s="12">
        <v>0.1</v>
      </c>
      <c r="F1006" s="7">
        <f t="shared" si="174"/>
        <v>63.699999999999996</v>
      </c>
      <c r="G1006" s="8">
        <v>0</v>
      </c>
      <c r="H1006" s="9">
        <v>0</v>
      </c>
      <c r="I1006" s="9">
        <v>0</v>
      </c>
      <c r="J1006" s="9">
        <v>1</v>
      </c>
      <c r="K1006" s="9">
        <v>0</v>
      </c>
      <c r="L1006" s="8">
        <v>1904805</v>
      </c>
      <c r="M1006" s="9">
        <v>3</v>
      </c>
      <c r="N1006" s="9">
        <f t="shared" si="165"/>
        <v>1904801</v>
      </c>
      <c r="O1006" s="9">
        <f t="shared" si="166"/>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73"/>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35">
      <c r="A1007">
        <v>1006</v>
      </c>
      <c r="B1007">
        <v>69</v>
      </c>
      <c r="C1007" s="22" t="s">
        <v>1032</v>
      </c>
      <c r="D1007" s="11">
        <v>6.11</v>
      </c>
      <c r="E1007" s="12">
        <v>0.1</v>
      </c>
      <c r="F1007" s="7">
        <f t="shared" si="174"/>
        <v>61.1</v>
      </c>
      <c r="G1007" s="8">
        <v>0</v>
      </c>
      <c r="H1007" s="9">
        <v>0</v>
      </c>
      <c r="I1007" s="9">
        <v>0</v>
      </c>
      <c r="J1007" s="9">
        <v>1</v>
      </c>
      <c r="K1007" s="9">
        <v>0</v>
      </c>
      <c r="L1007" s="8">
        <v>990357</v>
      </c>
      <c r="M1007" s="9">
        <v>3</v>
      </c>
      <c r="N1007" s="9">
        <f t="shared" si="165"/>
        <v>990353</v>
      </c>
      <c r="O1007" s="9">
        <f t="shared" si="166"/>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73"/>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35">
      <c r="A1008">
        <v>1007</v>
      </c>
      <c r="B1008">
        <v>69</v>
      </c>
      <c r="C1008" s="22" t="s">
        <v>1032</v>
      </c>
      <c r="D1008" s="11">
        <v>7.19</v>
      </c>
      <c r="E1008" s="12">
        <v>0.1</v>
      </c>
      <c r="F1008" s="7">
        <f t="shared" si="174"/>
        <v>71.900000000000006</v>
      </c>
      <c r="G1008" s="8">
        <v>0</v>
      </c>
      <c r="H1008" s="9">
        <v>0</v>
      </c>
      <c r="I1008" s="9">
        <v>0</v>
      </c>
      <c r="J1008" s="9">
        <v>1</v>
      </c>
      <c r="K1008" s="9">
        <v>0</v>
      </c>
      <c r="L1008" s="8">
        <v>1464737</v>
      </c>
      <c r="M1008" s="9">
        <v>3</v>
      </c>
      <c r="N1008" s="9">
        <f t="shared" si="165"/>
        <v>1464733</v>
      </c>
      <c r="O1008" s="9">
        <f t="shared" si="166"/>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73"/>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35">
      <c r="A1009">
        <v>1008</v>
      </c>
      <c r="B1009">
        <v>69</v>
      </c>
      <c r="C1009" s="22" t="s">
        <v>1032</v>
      </c>
      <c r="D1009" s="11">
        <v>7.32</v>
      </c>
      <c r="E1009" s="12">
        <v>0.1</v>
      </c>
      <c r="F1009" s="7">
        <f t="shared" si="174"/>
        <v>73.2</v>
      </c>
      <c r="G1009" s="8">
        <v>0</v>
      </c>
      <c r="H1009" s="9">
        <v>0</v>
      </c>
      <c r="I1009" s="9">
        <v>0</v>
      </c>
      <c r="J1009" s="9">
        <v>1</v>
      </c>
      <c r="K1009" s="9">
        <v>0</v>
      </c>
      <c r="L1009" s="8">
        <v>1981128</v>
      </c>
      <c r="M1009" s="9">
        <v>3</v>
      </c>
      <c r="N1009" s="9">
        <f t="shared" si="165"/>
        <v>1981124</v>
      </c>
      <c r="O1009" s="9">
        <f t="shared" si="166"/>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73"/>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35">
      <c r="A1010">
        <v>1009</v>
      </c>
      <c r="B1010">
        <v>69</v>
      </c>
      <c r="C1010" s="22" t="s">
        <v>1032</v>
      </c>
      <c r="D1010" s="11">
        <v>7.16</v>
      </c>
      <c r="E1010" s="12">
        <v>0.1</v>
      </c>
      <c r="F1010" s="7">
        <f t="shared" si="174"/>
        <v>71.599999999999994</v>
      </c>
      <c r="G1010" s="8">
        <v>0</v>
      </c>
      <c r="H1010" s="9">
        <v>0</v>
      </c>
      <c r="I1010" s="9">
        <v>0</v>
      </c>
      <c r="J1010" s="9">
        <v>1</v>
      </c>
      <c r="K1010" s="9">
        <v>0</v>
      </c>
      <c r="L1010" s="8">
        <v>2042134</v>
      </c>
      <c r="M1010" s="9">
        <v>3</v>
      </c>
      <c r="N1010" s="9">
        <f t="shared" si="165"/>
        <v>2042130</v>
      </c>
      <c r="O1010" s="9">
        <f t="shared" si="166"/>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73"/>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35">
      <c r="A1011">
        <v>1010</v>
      </c>
      <c r="B1011">
        <v>69</v>
      </c>
      <c r="C1011" s="22" t="s">
        <v>1032</v>
      </c>
      <c r="D1011" s="11">
        <v>7.09</v>
      </c>
      <c r="E1011" s="12">
        <v>0.1</v>
      </c>
      <c r="F1011" s="7">
        <f t="shared" si="174"/>
        <v>70.899999999999991</v>
      </c>
      <c r="G1011" s="8">
        <v>0</v>
      </c>
      <c r="H1011" s="9">
        <v>0</v>
      </c>
      <c r="I1011" s="9">
        <v>0</v>
      </c>
      <c r="J1011" s="9">
        <v>1</v>
      </c>
      <c r="K1011" s="9">
        <v>0</v>
      </c>
      <c r="L1011" s="8">
        <v>1904805</v>
      </c>
      <c r="M1011" s="9">
        <v>3</v>
      </c>
      <c r="N1011" s="9">
        <f t="shared" si="165"/>
        <v>1904801</v>
      </c>
      <c r="O1011" s="9">
        <f t="shared" si="166"/>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73"/>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35">
      <c r="A1012">
        <v>1011</v>
      </c>
      <c r="B1012">
        <v>70</v>
      </c>
      <c r="C1012" s="22" t="s">
        <v>1046</v>
      </c>
      <c r="D1012" s="11">
        <v>7.39</v>
      </c>
      <c r="E1012" s="12">
        <f t="shared" ref="E1012:E1047" si="175">D1012/F1012</f>
        <v>0.79147477776587771</v>
      </c>
      <c r="F1012" s="7">
        <v>9.3369999999999997</v>
      </c>
      <c r="G1012" s="8">
        <v>1</v>
      </c>
      <c r="H1012" s="9">
        <v>0</v>
      </c>
      <c r="I1012" s="9">
        <v>0</v>
      </c>
      <c r="J1012" s="9">
        <v>0</v>
      </c>
      <c r="K1012" s="9">
        <v>0</v>
      </c>
      <c r="L1012" s="8">
        <v>628</v>
      </c>
      <c r="M1012" s="9">
        <v>10</v>
      </c>
      <c r="N1012" s="9">
        <f t="shared" si="165"/>
        <v>617</v>
      </c>
      <c r="O1012" s="9">
        <f t="shared" si="166"/>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73"/>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76">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35">
      <c r="A1013">
        <v>1012</v>
      </c>
      <c r="B1013">
        <v>70</v>
      </c>
      <c r="C1013" s="22" t="s">
        <v>1046</v>
      </c>
      <c r="D1013" s="11">
        <v>7.43</v>
      </c>
      <c r="E1013" s="12">
        <f t="shared" si="175"/>
        <v>0.79067787591784611</v>
      </c>
      <c r="F1013" s="7">
        <v>9.3970000000000002</v>
      </c>
      <c r="G1013" s="8">
        <v>1</v>
      </c>
      <c r="H1013" s="9">
        <v>0</v>
      </c>
      <c r="I1013" s="9">
        <v>0</v>
      </c>
      <c r="J1013" s="9">
        <v>0</v>
      </c>
      <c r="K1013" s="9">
        <v>0</v>
      </c>
      <c r="L1013" s="8">
        <v>628</v>
      </c>
      <c r="M1013" s="9">
        <v>16</v>
      </c>
      <c r="N1013" s="9">
        <f t="shared" si="165"/>
        <v>611</v>
      </c>
      <c r="O1013" s="9">
        <f t="shared" si="166"/>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73"/>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76"/>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35">
      <c r="A1014">
        <v>1013</v>
      </c>
      <c r="B1014">
        <v>70</v>
      </c>
      <c r="C1014" s="22" t="s">
        <v>1046</v>
      </c>
      <c r="D1014" s="11">
        <v>7.37</v>
      </c>
      <c r="E1014" s="12">
        <f t="shared" si="175"/>
        <v>0.79392437789507708</v>
      </c>
      <c r="F1014" s="7">
        <v>9.2829999999999995</v>
      </c>
      <c r="G1014" s="8">
        <v>1</v>
      </c>
      <c r="H1014" s="9">
        <v>0</v>
      </c>
      <c r="I1014" s="9">
        <v>0</v>
      </c>
      <c r="J1014" s="9">
        <v>0</v>
      </c>
      <c r="K1014" s="9">
        <v>0</v>
      </c>
      <c r="L1014" s="8">
        <v>628</v>
      </c>
      <c r="M1014" s="9">
        <v>17</v>
      </c>
      <c r="N1014" s="9">
        <f t="shared" si="165"/>
        <v>610</v>
      </c>
      <c r="O1014" s="9">
        <f t="shared" si="166"/>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73"/>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76"/>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35">
      <c r="A1015">
        <v>1014</v>
      </c>
      <c r="B1015">
        <v>70</v>
      </c>
      <c r="C1015" s="22" t="s">
        <v>1046</v>
      </c>
      <c r="D1015" s="11">
        <v>6.99</v>
      </c>
      <c r="E1015" s="12">
        <f t="shared" si="175"/>
        <v>0.79721715328467146</v>
      </c>
      <c r="F1015" s="7">
        <v>8.7680000000000007</v>
      </c>
      <c r="G1015" s="8">
        <v>1</v>
      </c>
      <c r="H1015" s="9">
        <v>0</v>
      </c>
      <c r="I1015" s="9">
        <v>0</v>
      </c>
      <c r="J1015" s="9">
        <v>0</v>
      </c>
      <c r="K1015" s="9">
        <v>0</v>
      </c>
      <c r="L1015" s="8">
        <v>628</v>
      </c>
      <c r="M1015" s="9">
        <v>18</v>
      </c>
      <c r="N1015" s="9">
        <f t="shared" si="165"/>
        <v>609</v>
      </c>
      <c r="O1015" s="9">
        <f t="shared" si="166"/>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73"/>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76"/>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35">
      <c r="A1016">
        <v>1015</v>
      </c>
      <c r="B1016">
        <v>70</v>
      </c>
      <c r="C1016" s="22" t="s">
        <v>1046</v>
      </c>
      <c r="D1016" s="11">
        <v>25.3</v>
      </c>
      <c r="E1016" s="12">
        <f t="shared" si="175"/>
        <v>4.7780925401322003</v>
      </c>
      <c r="F1016" s="7">
        <v>5.2949999999999999</v>
      </c>
      <c r="G1016" s="8">
        <v>1</v>
      </c>
      <c r="H1016" s="9">
        <v>0</v>
      </c>
      <c r="I1016" s="9">
        <v>0</v>
      </c>
      <c r="J1016" s="9">
        <v>0</v>
      </c>
      <c r="K1016" s="9">
        <v>0</v>
      </c>
      <c r="L1016" s="8">
        <v>628</v>
      </c>
      <c r="M1016" s="9">
        <v>10</v>
      </c>
      <c r="N1016" s="9">
        <f t="shared" si="165"/>
        <v>617</v>
      </c>
      <c r="O1016" s="9">
        <f t="shared" si="166"/>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73"/>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76"/>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35">
      <c r="A1017">
        <v>1016</v>
      </c>
      <c r="B1017">
        <v>70</v>
      </c>
      <c r="C1017" s="22" t="s">
        <v>1046</v>
      </c>
      <c r="D1017" s="11">
        <v>29</v>
      </c>
      <c r="E1017" s="12">
        <f t="shared" si="175"/>
        <v>6.2634989200863931</v>
      </c>
      <c r="F1017" s="7">
        <v>4.63</v>
      </c>
      <c r="G1017" s="8">
        <v>1</v>
      </c>
      <c r="H1017" s="9">
        <v>0</v>
      </c>
      <c r="I1017" s="9">
        <v>0</v>
      </c>
      <c r="J1017" s="9">
        <v>0</v>
      </c>
      <c r="K1017" s="9">
        <v>0</v>
      </c>
      <c r="L1017" s="8">
        <v>628</v>
      </c>
      <c r="M1017" s="9">
        <v>10</v>
      </c>
      <c r="N1017" s="9">
        <f t="shared" si="165"/>
        <v>617</v>
      </c>
      <c r="O1017" s="9">
        <f t="shared" si="166"/>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73"/>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76"/>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35">
      <c r="A1018">
        <v>1017</v>
      </c>
      <c r="B1018">
        <v>70</v>
      </c>
      <c r="C1018" s="22" t="s">
        <v>1046</v>
      </c>
      <c r="D1018" s="11">
        <v>25.7</v>
      </c>
      <c r="E1018" s="12">
        <f t="shared" si="175"/>
        <v>3.9919229574401989</v>
      </c>
      <c r="F1018" s="7">
        <v>6.4379999999999997</v>
      </c>
      <c r="G1018" s="8">
        <v>1</v>
      </c>
      <c r="H1018" s="9">
        <v>0</v>
      </c>
      <c r="I1018" s="9">
        <v>0</v>
      </c>
      <c r="J1018" s="9">
        <v>0</v>
      </c>
      <c r="K1018" s="9">
        <v>0</v>
      </c>
      <c r="L1018" s="8">
        <v>628</v>
      </c>
      <c r="M1018" s="9">
        <v>16</v>
      </c>
      <c r="N1018" s="9">
        <f t="shared" si="165"/>
        <v>611</v>
      </c>
      <c r="O1018" s="9">
        <f t="shared" si="166"/>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73"/>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76"/>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35">
      <c r="A1019">
        <v>1018</v>
      </c>
      <c r="B1019">
        <v>70</v>
      </c>
      <c r="C1019" s="22" t="s">
        <v>1046</v>
      </c>
      <c r="D1019" s="11">
        <v>28.9</v>
      </c>
      <c r="E1019" s="12">
        <f t="shared" si="175"/>
        <v>4.0211492973424239</v>
      </c>
      <c r="F1019" s="7">
        <v>7.1870000000000003</v>
      </c>
      <c r="G1019" s="8">
        <v>1</v>
      </c>
      <c r="H1019" s="9">
        <v>0</v>
      </c>
      <c r="I1019" s="9">
        <v>0</v>
      </c>
      <c r="J1019" s="9">
        <v>0</v>
      </c>
      <c r="K1019" s="9">
        <v>0</v>
      </c>
      <c r="L1019" s="8">
        <v>628</v>
      </c>
      <c r="M1019" s="9">
        <v>16</v>
      </c>
      <c r="N1019" s="9">
        <f t="shared" si="165"/>
        <v>611</v>
      </c>
      <c r="O1019" s="9">
        <f t="shared" si="166"/>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73"/>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76"/>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35">
      <c r="A1020">
        <v>1019</v>
      </c>
      <c r="B1020">
        <v>70</v>
      </c>
      <c r="C1020" s="22" t="s">
        <v>1046</v>
      </c>
      <c r="D1020" s="11">
        <v>26.8</v>
      </c>
      <c r="E1020" s="12">
        <f t="shared" si="175"/>
        <v>3.9592258827005464</v>
      </c>
      <c r="F1020" s="7">
        <v>6.7690000000000001</v>
      </c>
      <c r="G1020" s="8">
        <v>1</v>
      </c>
      <c r="H1020" s="9">
        <v>0</v>
      </c>
      <c r="I1020" s="9">
        <v>0</v>
      </c>
      <c r="J1020" s="9">
        <v>0</v>
      </c>
      <c r="K1020" s="9">
        <v>0</v>
      </c>
      <c r="L1020" s="8">
        <v>628</v>
      </c>
      <c r="M1020" s="9">
        <v>17</v>
      </c>
      <c r="N1020" s="9">
        <f t="shared" si="165"/>
        <v>610</v>
      </c>
      <c r="O1020" s="9">
        <f t="shared" si="166"/>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73"/>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76"/>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35">
      <c r="A1021">
        <v>1020</v>
      </c>
      <c r="B1021">
        <v>70</v>
      </c>
      <c r="C1021" s="22" t="s">
        <v>1046</v>
      </c>
      <c r="D1021" s="11">
        <v>30</v>
      </c>
      <c r="E1021" s="12">
        <f t="shared" si="175"/>
        <v>3.8510911424903722</v>
      </c>
      <c r="F1021" s="7">
        <v>7.79</v>
      </c>
      <c r="G1021" s="8">
        <v>1</v>
      </c>
      <c r="H1021" s="9">
        <v>0</v>
      </c>
      <c r="I1021" s="9">
        <v>0</v>
      </c>
      <c r="J1021" s="9">
        <v>0</v>
      </c>
      <c r="K1021" s="9">
        <v>0</v>
      </c>
      <c r="L1021" s="8">
        <v>628</v>
      </c>
      <c r="M1021" s="9">
        <v>17</v>
      </c>
      <c r="N1021" s="9">
        <f t="shared" si="165"/>
        <v>610</v>
      </c>
      <c r="O1021" s="9">
        <f t="shared" si="166"/>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73"/>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76"/>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35">
      <c r="A1022">
        <v>1021</v>
      </c>
      <c r="B1022">
        <v>70</v>
      </c>
      <c r="C1022" s="22" t="s">
        <v>1046</v>
      </c>
      <c r="D1022" s="11">
        <v>22.6</v>
      </c>
      <c r="E1022" s="12">
        <f t="shared" si="175"/>
        <v>3.53125</v>
      </c>
      <c r="F1022" s="7">
        <v>6.4</v>
      </c>
      <c r="G1022" s="8">
        <v>1</v>
      </c>
      <c r="H1022" s="9">
        <v>0</v>
      </c>
      <c r="I1022" s="9">
        <v>0</v>
      </c>
      <c r="J1022" s="9">
        <v>0</v>
      </c>
      <c r="K1022" s="9">
        <v>0</v>
      </c>
      <c r="L1022" s="8">
        <v>628</v>
      </c>
      <c r="M1022" s="9">
        <v>18</v>
      </c>
      <c r="N1022" s="9">
        <f t="shared" si="165"/>
        <v>609</v>
      </c>
      <c r="O1022" s="9">
        <f t="shared" si="166"/>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73"/>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76"/>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35">
      <c r="A1023">
        <v>1022</v>
      </c>
      <c r="B1023">
        <v>70</v>
      </c>
      <c r="C1023" s="22" t="s">
        <v>1046</v>
      </c>
      <c r="D1023" s="11">
        <v>22.3</v>
      </c>
      <c r="E1023" s="12">
        <f t="shared" si="175"/>
        <v>3.8911184784505326</v>
      </c>
      <c r="F1023" s="7">
        <v>5.7309999999999999</v>
      </c>
      <c r="G1023" s="8">
        <v>1</v>
      </c>
      <c r="H1023" s="9">
        <v>0</v>
      </c>
      <c r="I1023" s="9">
        <v>0</v>
      </c>
      <c r="J1023" s="9">
        <v>0</v>
      </c>
      <c r="K1023" s="9">
        <v>0</v>
      </c>
      <c r="L1023" s="8">
        <v>628</v>
      </c>
      <c r="M1023" s="9">
        <v>18</v>
      </c>
      <c r="N1023" s="9">
        <f t="shared" si="165"/>
        <v>609</v>
      </c>
      <c r="O1023" s="9">
        <f t="shared" si="166"/>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73"/>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76"/>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35">
      <c r="A1024">
        <v>1023</v>
      </c>
      <c r="B1024">
        <v>70</v>
      </c>
      <c r="C1024" s="22" t="s">
        <v>1046</v>
      </c>
      <c r="D1024" s="11">
        <v>6.37</v>
      </c>
      <c r="E1024" s="12">
        <f t="shared" si="175"/>
        <v>1.1200984701951819</v>
      </c>
      <c r="F1024" s="7">
        <v>5.6870000000000003</v>
      </c>
      <c r="G1024" s="8">
        <v>1</v>
      </c>
      <c r="H1024" s="9">
        <v>0</v>
      </c>
      <c r="I1024" s="9">
        <v>0</v>
      </c>
      <c r="J1024" s="9">
        <v>0</v>
      </c>
      <c r="K1024" s="9">
        <v>0</v>
      </c>
      <c r="L1024" s="8">
        <v>347</v>
      </c>
      <c r="M1024" s="9">
        <v>10</v>
      </c>
      <c r="N1024" s="9">
        <f t="shared" si="165"/>
        <v>336</v>
      </c>
      <c r="O1024" s="9">
        <f t="shared" si="166"/>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76"/>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35">
      <c r="A1025">
        <v>1024</v>
      </c>
      <c r="B1025">
        <v>70</v>
      </c>
      <c r="C1025" s="22" t="s">
        <v>1046</v>
      </c>
      <c r="D1025" s="11">
        <v>8.89</v>
      </c>
      <c r="E1025" s="12">
        <f t="shared" si="175"/>
        <v>1.1154328732747805</v>
      </c>
      <c r="F1025" s="7">
        <v>7.97</v>
      </c>
      <c r="G1025" s="8">
        <v>1</v>
      </c>
      <c r="H1025" s="9">
        <v>0</v>
      </c>
      <c r="I1025" s="9">
        <v>0</v>
      </c>
      <c r="J1025" s="9">
        <v>0</v>
      </c>
      <c r="K1025" s="9">
        <v>0</v>
      </c>
      <c r="L1025" s="8">
        <v>281</v>
      </c>
      <c r="M1025" s="9">
        <v>10</v>
      </c>
      <c r="N1025" s="9">
        <f t="shared" si="165"/>
        <v>270</v>
      </c>
      <c r="O1025" s="9">
        <f t="shared" si="166"/>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76"/>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35">
      <c r="A1026">
        <v>1025</v>
      </c>
      <c r="B1026">
        <v>70</v>
      </c>
      <c r="C1026" s="22" t="s">
        <v>1046</v>
      </c>
      <c r="D1026" s="11">
        <v>16.399999999999999</v>
      </c>
      <c r="E1026" s="12">
        <f t="shared" si="175"/>
        <v>5.8217962371316991</v>
      </c>
      <c r="F1026" s="7">
        <v>2.8170000000000002</v>
      </c>
      <c r="G1026" s="8">
        <v>1</v>
      </c>
      <c r="H1026" s="9">
        <v>0</v>
      </c>
      <c r="I1026" s="9">
        <v>0</v>
      </c>
      <c r="J1026" s="9">
        <v>0</v>
      </c>
      <c r="K1026" s="9">
        <v>0</v>
      </c>
      <c r="L1026" s="8">
        <v>347</v>
      </c>
      <c r="M1026" s="9">
        <v>10</v>
      </c>
      <c r="N1026" s="9">
        <f t="shared" ref="N1026:N1089" si="177">L1026-M1026-1</f>
        <v>336</v>
      </c>
      <c r="O1026" s="9">
        <f t="shared" ref="O1026:O1089" si="178">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76"/>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35">
      <c r="A1027">
        <v>1026</v>
      </c>
      <c r="B1027">
        <v>70</v>
      </c>
      <c r="C1027" s="22" t="s">
        <v>1046</v>
      </c>
      <c r="D1027" s="11">
        <v>27.5</v>
      </c>
      <c r="E1027" s="12">
        <f t="shared" si="175"/>
        <v>5.1162790697674421</v>
      </c>
      <c r="F1027" s="7">
        <v>5.375</v>
      </c>
      <c r="G1027" s="8">
        <v>1</v>
      </c>
      <c r="H1027" s="9">
        <v>0</v>
      </c>
      <c r="I1027" s="9">
        <v>0</v>
      </c>
      <c r="J1027" s="9">
        <v>0</v>
      </c>
      <c r="K1027" s="9">
        <v>0</v>
      </c>
      <c r="L1027" s="8">
        <v>281</v>
      </c>
      <c r="M1027" s="9">
        <v>10</v>
      </c>
      <c r="N1027" s="9">
        <f t="shared" si="177"/>
        <v>270</v>
      </c>
      <c r="O1027" s="9">
        <f t="shared" si="178"/>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76"/>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35">
      <c r="A1028">
        <v>1027</v>
      </c>
      <c r="B1028">
        <v>70</v>
      </c>
      <c r="C1028" s="22" t="s">
        <v>1046</v>
      </c>
      <c r="D1028" s="11">
        <v>12.1</v>
      </c>
      <c r="E1028" s="12">
        <f t="shared" si="175"/>
        <v>11.329588014981272</v>
      </c>
      <c r="F1028" s="7">
        <v>1.0680000000000001</v>
      </c>
      <c r="G1028" s="8">
        <v>1</v>
      </c>
      <c r="H1028" s="9">
        <v>0</v>
      </c>
      <c r="I1028" s="9">
        <v>0</v>
      </c>
      <c r="J1028" s="9">
        <v>0</v>
      </c>
      <c r="K1028" s="9">
        <v>0</v>
      </c>
      <c r="L1028" s="8">
        <v>347</v>
      </c>
      <c r="M1028" s="9">
        <v>10</v>
      </c>
      <c r="N1028" s="9">
        <f t="shared" si="177"/>
        <v>336</v>
      </c>
      <c r="O1028" s="9">
        <f t="shared" si="178"/>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76"/>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35">
      <c r="A1029">
        <v>1028</v>
      </c>
      <c r="B1029">
        <v>70</v>
      </c>
      <c r="C1029" s="22" t="s">
        <v>1046</v>
      </c>
      <c r="D1029" s="11">
        <v>31.6</v>
      </c>
      <c r="E1029" s="12">
        <f t="shared" si="175"/>
        <v>4.394381866221666</v>
      </c>
      <c r="F1029" s="7">
        <v>7.1909999999999998</v>
      </c>
      <c r="G1029" s="8">
        <v>1</v>
      </c>
      <c r="H1029" s="9">
        <v>0</v>
      </c>
      <c r="I1029" s="9">
        <v>0</v>
      </c>
      <c r="J1029" s="9">
        <v>0</v>
      </c>
      <c r="K1029" s="9">
        <v>0</v>
      </c>
      <c r="L1029" s="8">
        <v>281</v>
      </c>
      <c r="M1029" s="9">
        <v>10</v>
      </c>
      <c r="N1029" s="9">
        <f t="shared" si="177"/>
        <v>270</v>
      </c>
      <c r="O1029" s="9">
        <f t="shared" si="178"/>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76"/>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35">
      <c r="A1030">
        <v>1029</v>
      </c>
      <c r="B1030">
        <v>70</v>
      </c>
      <c r="C1030" s="22" t="s">
        <v>1046</v>
      </c>
      <c r="D1030" s="11">
        <v>6.66</v>
      </c>
      <c r="E1030" s="12">
        <f t="shared" si="175"/>
        <v>1.1388508891928866</v>
      </c>
      <c r="F1030" s="7">
        <v>5.8479999999999999</v>
      </c>
      <c r="G1030" s="8">
        <v>1</v>
      </c>
      <c r="H1030" s="9">
        <v>0</v>
      </c>
      <c r="I1030" s="9">
        <v>0</v>
      </c>
      <c r="J1030" s="9">
        <v>0</v>
      </c>
      <c r="K1030" s="9">
        <v>0</v>
      </c>
      <c r="L1030" s="8">
        <v>347</v>
      </c>
      <c r="M1030" s="9">
        <v>16</v>
      </c>
      <c r="N1030" s="9">
        <f t="shared" si="177"/>
        <v>330</v>
      </c>
      <c r="O1030" s="9">
        <f t="shared" si="178"/>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76"/>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35">
      <c r="A1031">
        <v>1030</v>
      </c>
      <c r="B1031">
        <v>70</v>
      </c>
      <c r="C1031" s="22" t="s">
        <v>1046</v>
      </c>
      <c r="D1031" s="11">
        <v>9.08</v>
      </c>
      <c r="E1031" s="12">
        <f t="shared" si="175"/>
        <v>1.1167138113393187</v>
      </c>
      <c r="F1031" s="7">
        <v>8.1310000000000002</v>
      </c>
      <c r="G1031" s="8">
        <v>1</v>
      </c>
      <c r="H1031" s="9">
        <v>0</v>
      </c>
      <c r="I1031" s="9">
        <v>0</v>
      </c>
      <c r="J1031" s="9">
        <v>0</v>
      </c>
      <c r="K1031" s="9">
        <v>0</v>
      </c>
      <c r="L1031" s="8">
        <v>281</v>
      </c>
      <c r="M1031" s="9">
        <v>16</v>
      </c>
      <c r="N1031" s="9">
        <f t="shared" si="177"/>
        <v>264</v>
      </c>
      <c r="O1031" s="9">
        <f t="shared" si="178"/>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76"/>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35">
      <c r="A1032">
        <v>1031</v>
      </c>
      <c r="B1032">
        <v>70</v>
      </c>
      <c r="C1032" s="22" t="s">
        <v>1046</v>
      </c>
      <c r="D1032" s="11">
        <v>18.7</v>
      </c>
      <c r="E1032" s="12">
        <f t="shared" si="175"/>
        <v>5.3125</v>
      </c>
      <c r="F1032" s="7">
        <v>3.52</v>
      </c>
      <c r="G1032" s="8">
        <v>1</v>
      </c>
      <c r="H1032" s="9">
        <v>0</v>
      </c>
      <c r="I1032" s="9">
        <v>0</v>
      </c>
      <c r="J1032" s="9">
        <v>0</v>
      </c>
      <c r="K1032" s="9">
        <v>0</v>
      </c>
      <c r="L1032" s="8">
        <v>347</v>
      </c>
      <c r="M1032" s="9">
        <v>16</v>
      </c>
      <c r="N1032" s="9">
        <f t="shared" si="177"/>
        <v>330</v>
      </c>
      <c r="O1032" s="9">
        <f t="shared" si="178"/>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76"/>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35">
      <c r="A1033">
        <v>1032</v>
      </c>
      <c r="B1033">
        <v>70</v>
      </c>
      <c r="C1033" s="22" t="s">
        <v>1046</v>
      </c>
      <c r="D1033" s="11">
        <v>24.4</v>
      </c>
      <c r="E1033" s="12">
        <f t="shared" si="175"/>
        <v>3.8607594936708858</v>
      </c>
      <c r="F1033" s="7">
        <v>6.32</v>
      </c>
      <c r="G1033" s="8">
        <v>1</v>
      </c>
      <c r="H1033" s="9">
        <v>0</v>
      </c>
      <c r="I1033" s="9">
        <v>0</v>
      </c>
      <c r="J1033" s="9">
        <v>0</v>
      </c>
      <c r="K1033" s="9">
        <v>0</v>
      </c>
      <c r="L1033" s="8">
        <v>281</v>
      </c>
      <c r="M1033" s="9">
        <v>16</v>
      </c>
      <c r="N1033" s="9">
        <f t="shared" si="177"/>
        <v>264</v>
      </c>
      <c r="O1033" s="9">
        <f t="shared" si="178"/>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76"/>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35">
      <c r="A1034">
        <v>1033</v>
      </c>
      <c r="B1034">
        <v>70</v>
      </c>
      <c r="C1034" s="22" t="s">
        <v>1046</v>
      </c>
      <c r="D1034" s="11">
        <v>26.2</v>
      </c>
      <c r="E1034" s="12">
        <f t="shared" si="175"/>
        <v>7.3512906846240176</v>
      </c>
      <c r="F1034" s="7">
        <v>3.5640000000000001</v>
      </c>
      <c r="G1034" s="8">
        <v>1</v>
      </c>
      <c r="H1034" s="9">
        <v>0</v>
      </c>
      <c r="I1034" s="9">
        <v>0</v>
      </c>
      <c r="J1034" s="9">
        <v>0</v>
      </c>
      <c r="K1034" s="9">
        <v>0</v>
      </c>
      <c r="L1034" s="8">
        <v>347</v>
      </c>
      <c r="M1034" s="9">
        <v>16</v>
      </c>
      <c r="N1034" s="9">
        <f t="shared" si="177"/>
        <v>330</v>
      </c>
      <c r="O1034" s="9">
        <f t="shared" si="178"/>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76"/>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35">
      <c r="A1035">
        <v>1034</v>
      </c>
      <c r="B1035">
        <v>70</v>
      </c>
      <c r="C1035" s="22" t="s">
        <v>1046</v>
      </c>
      <c r="D1035" s="11">
        <v>28.6</v>
      </c>
      <c r="E1035" s="12">
        <f t="shared" si="175"/>
        <v>3.232368896925859</v>
      </c>
      <c r="F1035" s="7">
        <v>8.8480000000000008</v>
      </c>
      <c r="G1035" s="8">
        <v>1</v>
      </c>
      <c r="H1035" s="9">
        <v>0</v>
      </c>
      <c r="I1035" s="9">
        <v>0</v>
      </c>
      <c r="J1035" s="9">
        <v>0</v>
      </c>
      <c r="K1035" s="9">
        <v>0</v>
      </c>
      <c r="L1035" s="8">
        <v>281</v>
      </c>
      <c r="M1035" s="9">
        <v>16</v>
      </c>
      <c r="N1035" s="9">
        <f t="shared" si="177"/>
        <v>264</v>
      </c>
      <c r="O1035" s="9">
        <f t="shared" si="178"/>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76"/>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35">
      <c r="A1036">
        <v>1035</v>
      </c>
      <c r="B1036">
        <v>70</v>
      </c>
      <c r="C1036" s="22" t="s">
        <v>1046</v>
      </c>
      <c r="D1036" s="11">
        <v>6.67</v>
      </c>
      <c r="E1036" s="12">
        <f t="shared" si="175"/>
        <v>1.1575841721624436</v>
      </c>
      <c r="F1036" s="7">
        <v>5.7619999999999996</v>
      </c>
      <c r="G1036" s="8">
        <v>1</v>
      </c>
      <c r="H1036" s="9">
        <v>0</v>
      </c>
      <c r="I1036" s="9">
        <v>0</v>
      </c>
      <c r="J1036" s="9">
        <v>0</v>
      </c>
      <c r="K1036" s="9">
        <v>0</v>
      </c>
      <c r="L1036" s="8">
        <v>347</v>
      </c>
      <c r="M1036" s="9">
        <v>17</v>
      </c>
      <c r="N1036" s="9">
        <f t="shared" si="177"/>
        <v>329</v>
      </c>
      <c r="O1036" s="9">
        <f t="shared" si="178"/>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76"/>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35">
      <c r="A1037">
        <v>1036</v>
      </c>
      <c r="B1037">
        <v>70</v>
      </c>
      <c r="C1037" s="22" t="s">
        <v>1046</v>
      </c>
      <c r="D1037" s="11">
        <v>9.07</v>
      </c>
      <c r="E1037" s="12">
        <f t="shared" si="175"/>
        <v>1.1211372064276885</v>
      </c>
      <c r="F1037" s="7">
        <v>8.09</v>
      </c>
      <c r="G1037" s="8">
        <v>1</v>
      </c>
      <c r="H1037" s="9">
        <v>0</v>
      </c>
      <c r="I1037" s="9">
        <v>0</v>
      </c>
      <c r="J1037" s="9">
        <v>0</v>
      </c>
      <c r="K1037" s="9">
        <v>0</v>
      </c>
      <c r="L1037" s="8">
        <v>281</v>
      </c>
      <c r="M1037" s="9">
        <v>17</v>
      </c>
      <c r="N1037" s="9">
        <f t="shared" si="177"/>
        <v>263</v>
      </c>
      <c r="O1037" s="9">
        <f t="shared" si="178"/>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76"/>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35">
      <c r="A1038">
        <v>1037</v>
      </c>
      <c r="B1038">
        <v>70</v>
      </c>
      <c r="C1038" s="22" t="s">
        <v>1046</v>
      </c>
      <c r="D1038" s="11">
        <v>14.4</v>
      </c>
      <c r="E1038" s="12">
        <f t="shared" si="175"/>
        <v>4.6346958480849691</v>
      </c>
      <c r="F1038" s="7">
        <v>3.1070000000000002</v>
      </c>
      <c r="G1038" s="8">
        <v>1</v>
      </c>
      <c r="H1038" s="9">
        <v>0</v>
      </c>
      <c r="I1038" s="9">
        <v>0</v>
      </c>
      <c r="J1038" s="9">
        <v>0</v>
      </c>
      <c r="K1038" s="9">
        <v>0</v>
      </c>
      <c r="L1038" s="8">
        <v>347</v>
      </c>
      <c r="M1038" s="9">
        <v>17</v>
      </c>
      <c r="N1038" s="9">
        <f t="shared" si="177"/>
        <v>329</v>
      </c>
      <c r="O1038" s="9">
        <f t="shared" si="178"/>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76"/>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35">
      <c r="A1039">
        <v>1038</v>
      </c>
      <c r="B1039">
        <v>70</v>
      </c>
      <c r="C1039" s="22" t="s">
        <v>1046</v>
      </c>
      <c r="D1039" s="11">
        <v>24.5</v>
      </c>
      <c r="E1039" s="12">
        <f t="shared" si="175"/>
        <v>3.7251026303785921</v>
      </c>
      <c r="F1039" s="7">
        <v>6.577</v>
      </c>
      <c r="G1039" s="8">
        <v>1</v>
      </c>
      <c r="H1039" s="9">
        <v>0</v>
      </c>
      <c r="I1039" s="9">
        <v>0</v>
      </c>
      <c r="J1039" s="9">
        <v>0</v>
      </c>
      <c r="K1039" s="9">
        <v>0</v>
      </c>
      <c r="L1039" s="8">
        <v>281</v>
      </c>
      <c r="M1039" s="9">
        <v>17</v>
      </c>
      <c r="N1039" s="9">
        <f t="shared" si="177"/>
        <v>263</v>
      </c>
      <c r="O1039" s="9">
        <f t="shared" si="178"/>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76"/>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35">
      <c r="A1040">
        <v>1039</v>
      </c>
      <c r="B1040">
        <v>70</v>
      </c>
      <c r="C1040" s="22" t="s">
        <v>1046</v>
      </c>
      <c r="D1040" s="11">
        <v>20.7</v>
      </c>
      <c r="E1040" s="12">
        <f t="shared" si="175"/>
        <v>7.2478991596638656</v>
      </c>
      <c r="F1040" s="7">
        <v>2.8559999999999999</v>
      </c>
      <c r="G1040" s="8">
        <v>1</v>
      </c>
      <c r="H1040" s="9">
        <v>0</v>
      </c>
      <c r="I1040" s="9">
        <v>0</v>
      </c>
      <c r="J1040" s="9">
        <v>0</v>
      </c>
      <c r="K1040" s="9">
        <v>0</v>
      </c>
      <c r="L1040" s="8">
        <v>347</v>
      </c>
      <c r="M1040" s="9">
        <v>17</v>
      </c>
      <c r="N1040" s="9">
        <f t="shared" si="177"/>
        <v>329</v>
      </c>
      <c r="O1040" s="9">
        <f t="shared" si="178"/>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76"/>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35">
      <c r="A1041">
        <v>1040</v>
      </c>
      <c r="B1041">
        <v>70</v>
      </c>
      <c r="C1041" s="22" t="s">
        <v>1046</v>
      </c>
      <c r="D1041" s="11">
        <v>28</v>
      </c>
      <c r="E1041" s="12">
        <f t="shared" si="175"/>
        <v>3.1069684864624945</v>
      </c>
      <c r="F1041" s="7">
        <v>9.0120000000000005</v>
      </c>
      <c r="G1041" s="8">
        <v>1</v>
      </c>
      <c r="H1041" s="9">
        <v>0</v>
      </c>
      <c r="I1041" s="9">
        <v>0</v>
      </c>
      <c r="J1041" s="9">
        <v>0</v>
      </c>
      <c r="K1041" s="9">
        <v>0</v>
      </c>
      <c r="L1041" s="8">
        <v>281</v>
      </c>
      <c r="M1041" s="9">
        <v>17</v>
      </c>
      <c r="N1041" s="9">
        <f t="shared" si="177"/>
        <v>263</v>
      </c>
      <c r="O1041" s="9">
        <f t="shared" si="178"/>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76"/>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35">
      <c r="A1042">
        <v>1041</v>
      </c>
      <c r="B1042">
        <v>70</v>
      </c>
      <c r="C1042" s="22" t="s">
        <v>1046</v>
      </c>
      <c r="D1042" s="11">
        <v>6.61</v>
      </c>
      <c r="E1042" s="12">
        <f t="shared" si="175"/>
        <v>1.1598526057203018</v>
      </c>
      <c r="F1042" s="7">
        <v>5.6989999999999998</v>
      </c>
      <c r="G1042" s="8">
        <v>1</v>
      </c>
      <c r="H1042" s="9">
        <v>0</v>
      </c>
      <c r="I1042" s="9">
        <v>0</v>
      </c>
      <c r="J1042" s="9">
        <v>0</v>
      </c>
      <c r="K1042" s="9">
        <v>0</v>
      </c>
      <c r="L1042" s="8">
        <v>347</v>
      </c>
      <c r="M1042" s="9">
        <v>18</v>
      </c>
      <c r="N1042" s="9">
        <f t="shared" si="177"/>
        <v>328</v>
      </c>
      <c r="O1042" s="9">
        <f t="shared" si="178"/>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76"/>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35">
      <c r="A1043">
        <v>1042</v>
      </c>
      <c r="B1043">
        <v>70</v>
      </c>
      <c r="C1043" s="22" t="s">
        <v>1046</v>
      </c>
      <c r="D1043" s="11">
        <v>8.76</v>
      </c>
      <c r="E1043" s="12">
        <f t="shared" si="175"/>
        <v>1.1546065638592329</v>
      </c>
      <c r="F1043" s="7">
        <v>7.5869999999999997</v>
      </c>
      <c r="G1043" s="8">
        <v>1</v>
      </c>
      <c r="H1043" s="9">
        <v>0</v>
      </c>
      <c r="I1043" s="9">
        <v>0</v>
      </c>
      <c r="J1043" s="9">
        <v>0</v>
      </c>
      <c r="K1043" s="9">
        <v>0</v>
      </c>
      <c r="L1043" s="8">
        <v>281</v>
      </c>
      <c r="M1043" s="9">
        <v>18</v>
      </c>
      <c r="N1043" s="9">
        <f t="shared" si="177"/>
        <v>262</v>
      </c>
      <c r="O1043" s="9">
        <f t="shared" si="178"/>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76"/>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35">
      <c r="A1044">
        <v>1043</v>
      </c>
      <c r="B1044">
        <v>70</v>
      </c>
      <c r="C1044" s="22" t="s">
        <v>1046</v>
      </c>
      <c r="D1044" s="11">
        <v>17.899999999999999</v>
      </c>
      <c r="E1044" s="12">
        <f t="shared" si="175"/>
        <v>3.9306104523495824</v>
      </c>
      <c r="F1044" s="7">
        <v>4.5540000000000003</v>
      </c>
      <c r="G1044" s="8">
        <v>1</v>
      </c>
      <c r="H1044" s="9">
        <v>0</v>
      </c>
      <c r="I1044" s="9">
        <v>0</v>
      </c>
      <c r="J1044" s="9">
        <v>0</v>
      </c>
      <c r="K1044" s="9">
        <v>0</v>
      </c>
      <c r="L1044" s="8">
        <v>347</v>
      </c>
      <c r="M1044" s="9">
        <v>18</v>
      </c>
      <c r="N1044" s="9">
        <f t="shared" si="177"/>
        <v>328</v>
      </c>
      <c r="O1044" s="9">
        <f t="shared" si="178"/>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76"/>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35">
      <c r="A1045">
        <v>1044</v>
      </c>
      <c r="B1045">
        <v>70</v>
      </c>
      <c r="C1045" s="22" t="s">
        <v>1046</v>
      </c>
      <c r="D1045" s="11">
        <v>20.8</v>
      </c>
      <c r="E1045" s="12">
        <f t="shared" si="175"/>
        <v>3.3317315393240428</v>
      </c>
      <c r="F1045" s="7">
        <v>6.2430000000000003</v>
      </c>
      <c r="G1045" s="8">
        <v>1</v>
      </c>
      <c r="H1045" s="9">
        <v>0</v>
      </c>
      <c r="I1045" s="9">
        <v>0</v>
      </c>
      <c r="J1045" s="9">
        <v>0</v>
      </c>
      <c r="K1045" s="9">
        <v>0</v>
      </c>
      <c r="L1045" s="8">
        <v>281</v>
      </c>
      <c r="M1045" s="9">
        <v>18</v>
      </c>
      <c r="N1045" s="9">
        <f t="shared" si="177"/>
        <v>262</v>
      </c>
      <c r="O1045" s="9">
        <f t="shared" si="178"/>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76"/>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35">
      <c r="A1046">
        <v>1045</v>
      </c>
      <c r="B1046">
        <v>70</v>
      </c>
      <c r="C1046" s="22" t="s">
        <v>1046</v>
      </c>
      <c r="D1046" s="11">
        <v>14.2</v>
      </c>
      <c r="E1046" s="12">
        <f t="shared" si="175"/>
        <v>4.3881334981458586</v>
      </c>
      <c r="F1046" s="7">
        <v>3.2360000000000002</v>
      </c>
      <c r="G1046" s="8">
        <v>1</v>
      </c>
      <c r="H1046" s="9">
        <v>0</v>
      </c>
      <c r="I1046" s="9">
        <v>0</v>
      </c>
      <c r="J1046" s="9">
        <v>0</v>
      </c>
      <c r="K1046" s="9">
        <v>0</v>
      </c>
      <c r="L1046" s="8">
        <v>347</v>
      </c>
      <c r="M1046" s="9">
        <v>18</v>
      </c>
      <c r="N1046" s="9">
        <f t="shared" si="177"/>
        <v>328</v>
      </c>
      <c r="O1046" s="9">
        <f t="shared" si="178"/>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76"/>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35">
      <c r="A1047">
        <v>1046</v>
      </c>
      <c r="B1047">
        <v>70</v>
      </c>
      <c r="C1047" s="22" t="s">
        <v>1046</v>
      </c>
      <c r="D1047" s="11">
        <v>23.5</v>
      </c>
      <c r="E1047" s="12">
        <f t="shared" si="175"/>
        <v>3.2525951557093427</v>
      </c>
      <c r="F1047" s="7">
        <v>7.2249999999999996</v>
      </c>
      <c r="G1047" s="8">
        <v>1</v>
      </c>
      <c r="H1047" s="9">
        <v>0</v>
      </c>
      <c r="I1047" s="9">
        <v>0</v>
      </c>
      <c r="J1047" s="9">
        <v>0</v>
      </c>
      <c r="K1047" s="9">
        <v>0</v>
      </c>
      <c r="L1047" s="8">
        <v>281</v>
      </c>
      <c r="M1047" s="9">
        <v>18</v>
      </c>
      <c r="N1047" s="9">
        <f t="shared" si="177"/>
        <v>262</v>
      </c>
      <c r="O1047" s="9">
        <f t="shared" si="178"/>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76"/>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3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77"/>
        <v>9103</v>
      </c>
      <c r="O1048" s="9">
        <f t="shared" si="178"/>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3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77"/>
        <v>4487</v>
      </c>
      <c r="O1049" s="9">
        <f t="shared" si="178"/>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3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77"/>
        <v>1325</v>
      </c>
      <c r="O1050" s="9">
        <f t="shared" si="178"/>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35">
      <c r="A1051">
        <v>1050</v>
      </c>
      <c r="B1051">
        <v>71</v>
      </c>
      <c r="C1051" s="22" t="s">
        <v>1052</v>
      </c>
      <c r="D1051" s="11">
        <v>0.6</v>
      </c>
      <c r="E1051" s="12">
        <f t="shared" ref="E1051:E1080" si="179">D1051/F1051</f>
        <v>0.82499999999999996</v>
      </c>
      <c r="F1051" s="7">
        <v>0.72727272727272729</v>
      </c>
      <c r="G1051" s="8">
        <v>0</v>
      </c>
      <c r="H1051" s="9">
        <v>0</v>
      </c>
      <c r="I1051" s="9">
        <v>0</v>
      </c>
      <c r="J1051" s="9">
        <v>0</v>
      </c>
      <c r="K1051" s="9">
        <v>1</v>
      </c>
      <c r="L1051" s="8">
        <v>9106</v>
      </c>
      <c r="M1051" s="9">
        <v>7</v>
      </c>
      <c r="N1051" s="9">
        <f t="shared" si="177"/>
        <v>9098</v>
      </c>
      <c r="O1051" s="9">
        <f t="shared" si="178"/>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35">
      <c r="A1052">
        <v>1051</v>
      </c>
      <c r="B1052">
        <v>71</v>
      </c>
      <c r="C1052" s="22" t="s">
        <v>1052</v>
      </c>
      <c r="D1052" s="11">
        <v>3.1</v>
      </c>
      <c r="E1052" s="12">
        <f t="shared" si="179"/>
        <v>0.71185185185185196</v>
      </c>
      <c r="F1052" s="7">
        <v>4.354838709677419</v>
      </c>
      <c r="G1052" s="8">
        <v>0</v>
      </c>
      <c r="H1052" s="9">
        <v>0</v>
      </c>
      <c r="I1052" s="9">
        <v>0</v>
      </c>
      <c r="J1052" s="9">
        <v>0</v>
      </c>
      <c r="K1052" s="9">
        <v>1</v>
      </c>
      <c r="L1052" s="8">
        <v>9106</v>
      </c>
      <c r="M1052" s="9">
        <v>7</v>
      </c>
      <c r="N1052" s="9">
        <f t="shared" si="177"/>
        <v>9098</v>
      </c>
      <c r="O1052" s="9">
        <f t="shared" si="178"/>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35">
      <c r="A1053">
        <v>1052</v>
      </c>
      <c r="B1053">
        <v>71</v>
      </c>
      <c r="C1053" s="22" t="s">
        <v>1052</v>
      </c>
      <c r="D1053" s="11">
        <v>4.0999999999999996</v>
      </c>
      <c r="E1053" s="12">
        <f t="shared" si="179"/>
        <v>0.37639344262295088</v>
      </c>
      <c r="F1053" s="7">
        <v>10.892857142857141</v>
      </c>
      <c r="G1053" s="8">
        <v>0</v>
      </c>
      <c r="H1053" s="9">
        <v>0</v>
      </c>
      <c r="I1053" s="9">
        <v>0</v>
      </c>
      <c r="J1053" s="9">
        <v>0</v>
      </c>
      <c r="K1053" s="9">
        <v>1</v>
      </c>
      <c r="L1053" s="8">
        <v>9106</v>
      </c>
      <c r="M1053" s="9">
        <v>7</v>
      </c>
      <c r="N1053" s="9">
        <f t="shared" si="177"/>
        <v>9098</v>
      </c>
      <c r="O1053" s="9">
        <f t="shared" si="178"/>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35">
      <c r="A1054">
        <v>1053</v>
      </c>
      <c r="B1054">
        <v>71</v>
      </c>
      <c r="C1054" s="22" t="s">
        <v>1052</v>
      </c>
      <c r="D1054" s="11">
        <v>6.6</v>
      </c>
      <c r="E1054" s="12">
        <f t="shared" si="179"/>
        <v>0.61971830985915488</v>
      </c>
      <c r="F1054" s="7">
        <v>10.65</v>
      </c>
      <c r="G1054" s="8">
        <v>0</v>
      </c>
      <c r="H1054" s="9">
        <v>0</v>
      </c>
      <c r="I1054" s="9">
        <v>0</v>
      </c>
      <c r="J1054" s="9">
        <v>0</v>
      </c>
      <c r="K1054" s="9">
        <v>1</v>
      </c>
      <c r="L1054" s="8">
        <v>9106</v>
      </c>
      <c r="M1054" s="9">
        <v>7</v>
      </c>
      <c r="N1054" s="9">
        <f t="shared" si="177"/>
        <v>9098</v>
      </c>
      <c r="O1054" s="9">
        <f t="shared" si="178"/>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35">
      <c r="A1055">
        <v>1054</v>
      </c>
      <c r="B1055">
        <v>71</v>
      </c>
      <c r="C1055" s="22" t="s">
        <v>1052</v>
      </c>
      <c r="D1055" s="11">
        <v>9.1999999999999993</v>
      </c>
      <c r="E1055" s="12">
        <f t="shared" si="179"/>
        <v>0.41255605381165916</v>
      </c>
      <c r="F1055" s="7">
        <v>22.3</v>
      </c>
      <c r="G1055" s="8">
        <v>0</v>
      </c>
      <c r="H1055" s="9">
        <v>0</v>
      </c>
      <c r="I1055" s="9">
        <v>0</v>
      </c>
      <c r="J1055" s="9">
        <v>0</v>
      </c>
      <c r="K1055" s="9">
        <v>1</v>
      </c>
      <c r="L1055" s="8">
        <v>9106</v>
      </c>
      <c r="M1055" s="9">
        <v>7</v>
      </c>
      <c r="N1055" s="9">
        <f t="shared" si="177"/>
        <v>9098</v>
      </c>
      <c r="O1055" s="9">
        <f t="shared" si="178"/>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35">
      <c r="A1056">
        <v>1055</v>
      </c>
      <c r="B1056">
        <v>71</v>
      </c>
      <c r="C1056" s="22" t="s">
        <v>1052</v>
      </c>
      <c r="D1056" s="11">
        <v>0.4</v>
      </c>
      <c r="E1056" s="12">
        <f t="shared" si="179"/>
        <v>1.2749999999999999</v>
      </c>
      <c r="F1056" s="7">
        <v>0.31372549019607848</v>
      </c>
      <c r="G1056" s="8">
        <v>0</v>
      </c>
      <c r="H1056" s="9">
        <v>0</v>
      </c>
      <c r="I1056" s="9">
        <v>0</v>
      </c>
      <c r="J1056" s="9">
        <v>0</v>
      </c>
      <c r="K1056" s="9">
        <v>1</v>
      </c>
      <c r="L1056" s="8">
        <v>9106</v>
      </c>
      <c r="M1056" s="9">
        <v>25</v>
      </c>
      <c r="N1056" s="9">
        <f t="shared" si="177"/>
        <v>9080</v>
      </c>
      <c r="O1056" s="9">
        <f t="shared" si="178"/>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35">
      <c r="A1057">
        <v>1056</v>
      </c>
      <c r="B1057">
        <v>71</v>
      </c>
      <c r="C1057" s="22" t="s">
        <v>1052</v>
      </c>
      <c r="D1057" s="11">
        <v>2.8</v>
      </c>
      <c r="E1057" s="12">
        <f t="shared" si="179"/>
        <v>1.3517241379310341</v>
      </c>
      <c r="F1057" s="7">
        <v>2.0714285714285721</v>
      </c>
      <c r="G1057" s="8">
        <v>0</v>
      </c>
      <c r="H1057" s="9">
        <v>0</v>
      </c>
      <c r="I1057" s="9">
        <v>0</v>
      </c>
      <c r="J1057" s="9">
        <v>0</v>
      </c>
      <c r="K1057" s="9">
        <v>1</v>
      </c>
      <c r="L1057" s="8">
        <v>9106</v>
      </c>
      <c r="M1057" s="9">
        <v>25</v>
      </c>
      <c r="N1057" s="9">
        <f t="shared" si="177"/>
        <v>9080</v>
      </c>
      <c r="O1057" s="9">
        <f t="shared" si="178"/>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35">
      <c r="A1058">
        <v>1057</v>
      </c>
      <c r="B1058">
        <v>71</v>
      </c>
      <c r="C1058" s="22" t="s">
        <v>1052</v>
      </c>
      <c r="D1058" s="11">
        <v>6.5</v>
      </c>
      <c r="E1058" s="12">
        <f t="shared" si="179"/>
        <v>0.85880829015544036</v>
      </c>
      <c r="F1058" s="7">
        <v>7.5686274509803928</v>
      </c>
      <c r="G1058" s="8">
        <v>0</v>
      </c>
      <c r="H1058" s="9">
        <v>0</v>
      </c>
      <c r="I1058" s="9">
        <v>0</v>
      </c>
      <c r="J1058" s="9">
        <v>0</v>
      </c>
      <c r="K1058" s="9">
        <v>1</v>
      </c>
      <c r="L1058" s="8">
        <v>9106</v>
      </c>
      <c r="M1058" s="9">
        <v>25</v>
      </c>
      <c r="N1058" s="9">
        <f t="shared" si="177"/>
        <v>9080</v>
      </c>
      <c r="O1058" s="9">
        <f t="shared" si="178"/>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35">
      <c r="A1059">
        <v>1058</v>
      </c>
      <c r="B1059">
        <v>71</v>
      </c>
      <c r="C1059" s="22" t="s">
        <v>1052</v>
      </c>
      <c r="D1059" s="11">
        <v>2.5</v>
      </c>
      <c r="E1059" s="12">
        <f t="shared" si="179"/>
        <v>0.48032407407407407</v>
      </c>
      <c r="F1059" s="7">
        <v>5.2048192771084336</v>
      </c>
      <c r="G1059" s="8">
        <v>0</v>
      </c>
      <c r="H1059" s="9">
        <v>0</v>
      </c>
      <c r="I1059" s="9">
        <v>0</v>
      </c>
      <c r="J1059" s="9">
        <v>0</v>
      </c>
      <c r="K1059" s="9">
        <v>1</v>
      </c>
      <c r="L1059" s="8">
        <v>9106</v>
      </c>
      <c r="M1059" s="9">
        <v>25</v>
      </c>
      <c r="N1059" s="9">
        <f t="shared" si="177"/>
        <v>9080</v>
      </c>
      <c r="O1059" s="9">
        <f t="shared" si="178"/>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35">
      <c r="A1060">
        <v>1059</v>
      </c>
      <c r="B1060">
        <v>71</v>
      </c>
      <c r="C1060" s="22" t="s">
        <v>1052</v>
      </c>
      <c r="D1060" s="11">
        <v>10.5</v>
      </c>
      <c r="E1060" s="12">
        <f t="shared" si="179"/>
        <v>0.7865168539325843</v>
      </c>
      <c r="F1060" s="7">
        <v>13.35</v>
      </c>
      <c r="G1060" s="8">
        <v>0</v>
      </c>
      <c r="H1060" s="9">
        <v>0</v>
      </c>
      <c r="I1060" s="9">
        <v>0</v>
      </c>
      <c r="J1060" s="9">
        <v>0</v>
      </c>
      <c r="K1060" s="9">
        <v>1</v>
      </c>
      <c r="L1060" s="8">
        <v>9106</v>
      </c>
      <c r="M1060" s="9">
        <v>25</v>
      </c>
      <c r="N1060" s="9">
        <f t="shared" si="177"/>
        <v>9080</v>
      </c>
      <c r="O1060" s="9">
        <f t="shared" si="178"/>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35">
      <c r="A1061">
        <v>1060</v>
      </c>
      <c r="B1061">
        <v>71</v>
      </c>
      <c r="C1061" s="22" t="s">
        <v>1052</v>
      </c>
      <c r="D1061" s="11">
        <v>3</v>
      </c>
      <c r="E1061" s="12">
        <f t="shared" si="179"/>
        <v>1.6046511627906981</v>
      </c>
      <c r="F1061" s="7">
        <v>1.869565217391304</v>
      </c>
      <c r="G1061" s="8">
        <v>0</v>
      </c>
      <c r="H1061" s="9">
        <v>0</v>
      </c>
      <c r="I1061" s="9">
        <v>0</v>
      </c>
      <c r="J1061" s="9">
        <v>0</v>
      </c>
      <c r="K1061" s="9">
        <v>1</v>
      </c>
      <c r="L1061" s="8">
        <v>4491</v>
      </c>
      <c r="M1061" s="9">
        <v>7</v>
      </c>
      <c r="N1061" s="9">
        <f t="shared" si="177"/>
        <v>4483</v>
      </c>
      <c r="O1061" s="9">
        <f t="shared" si="178"/>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35">
      <c r="A1062">
        <v>1061</v>
      </c>
      <c r="B1062">
        <v>71</v>
      </c>
      <c r="C1062" s="22" t="s">
        <v>1052</v>
      </c>
      <c r="D1062" s="11">
        <v>3.7</v>
      </c>
      <c r="E1062" s="12">
        <f t="shared" si="179"/>
        <v>1.0060422960725075</v>
      </c>
      <c r="F1062" s="7">
        <v>3.677777777777778</v>
      </c>
      <c r="G1062" s="8">
        <v>0</v>
      </c>
      <c r="H1062" s="9">
        <v>0</v>
      </c>
      <c r="I1062" s="9">
        <v>0</v>
      </c>
      <c r="J1062" s="9">
        <v>0</v>
      </c>
      <c r="K1062" s="9">
        <v>1</v>
      </c>
      <c r="L1062" s="8">
        <v>4491</v>
      </c>
      <c r="M1062" s="9">
        <v>7</v>
      </c>
      <c r="N1062" s="9">
        <f t="shared" si="177"/>
        <v>4483</v>
      </c>
      <c r="O1062" s="9">
        <f t="shared" si="178"/>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35">
      <c r="A1063">
        <v>1062</v>
      </c>
      <c r="B1063">
        <v>71</v>
      </c>
      <c r="C1063" s="22" t="s">
        <v>1052</v>
      </c>
      <c r="D1063" s="11">
        <v>5.2</v>
      </c>
      <c r="E1063" s="12">
        <f t="shared" si="179"/>
        <v>1.0514285714285714</v>
      </c>
      <c r="F1063" s="7">
        <v>4.9456521739130439</v>
      </c>
      <c r="G1063" s="8">
        <v>0</v>
      </c>
      <c r="H1063" s="9">
        <v>0</v>
      </c>
      <c r="I1063" s="9">
        <v>0</v>
      </c>
      <c r="J1063" s="9">
        <v>0</v>
      </c>
      <c r="K1063" s="9">
        <v>1</v>
      </c>
      <c r="L1063" s="8">
        <v>4491</v>
      </c>
      <c r="M1063" s="9">
        <v>7</v>
      </c>
      <c r="N1063" s="9">
        <f t="shared" si="177"/>
        <v>4483</v>
      </c>
      <c r="O1063" s="9">
        <f t="shared" si="178"/>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35">
      <c r="A1064">
        <v>1063</v>
      </c>
      <c r="B1064">
        <v>71</v>
      </c>
      <c r="C1064" s="22" t="s">
        <v>1052</v>
      </c>
      <c r="D1064" s="11">
        <v>10.199999999999999</v>
      </c>
      <c r="E1064" s="12">
        <f t="shared" si="179"/>
        <v>1.5795716639209225</v>
      </c>
      <c r="F1064" s="7">
        <v>6.457446808510638</v>
      </c>
      <c r="G1064" s="8">
        <v>0</v>
      </c>
      <c r="H1064" s="9">
        <v>0</v>
      </c>
      <c r="I1064" s="9">
        <v>0</v>
      </c>
      <c r="J1064" s="9">
        <v>0</v>
      </c>
      <c r="K1064" s="9">
        <v>1</v>
      </c>
      <c r="L1064" s="8">
        <v>4491</v>
      </c>
      <c r="M1064" s="9">
        <v>7</v>
      </c>
      <c r="N1064" s="9">
        <f t="shared" si="177"/>
        <v>4483</v>
      </c>
      <c r="O1064" s="9">
        <f t="shared" si="178"/>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35">
      <c r="A1065">
        <v>1064</v>
      </c>
      <c r="B1065">
        <v>71</v>
      </c>
      <c r="C1065" s="22" t="s">
        <v>1052</v>
      </c>
      <c r="D1065" s="11">
        <v>13.2</v>
      </c>
      <c r="E1065" s="12">
        <f t="shared" si="179"/>
        <v>1.2447668393782387</v>
      </c>
      <c r="F1065" s="7">
        <v>10.6043956043956</v>
      </c>
      <c r="G1065" s="8">
        <v>0</v>
      </c>
      <c r="H1065" s="9">
        <v>0</v>
      </c>
      <c r="I1065" s="9">
        <v>0</v>
      </c>
      <c r="J1065" s="9">
        <v>0</v>
      </c>
      <c r="K1065" s="9">
        <v>1</v>
      </c>
      <c r="L1065" s="8">
        <v>4491</v>
      </c>
      <c r="M1065" s="9">
        <v>7</v>
      </c>
      <c r="N1065" s="9">
        <f t="shared" si="177"/>
        <v>4483</v>
      </c>
      <c r="O1065" s="9">
        <f t="shared" si="178"/>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35">
      <c r="A1066">
        <v>1065</v>
      </c>
      <c r="B1066">
        <v>71</v>
      </c>
      <c r="C1066" s="22" t="s">
        <v>1052</v>
      </c>
      <c r="D1066" s="11">
        <v>4.4000000000000004</v>
      </c>
      <c r="E1066" s="12">
        <f t="shared" si="179"/>
        <v>2.1223529411764708</v>
      </c>
      <c r="F1066" s="7">
        <v>2.0731707317073171</v>
      </c>
      <c r="G1066" s="8">
        <v>0</v>
      </c>
      <c r="H1066" s="9">
        <v>0</v>
      </c>
      <c r="I1066" s="9">
        <v>0</v>
      </c>
      <c r="J1066" s="9">
        <v>0</v>
      </c>
      <c r="K1066" s="9">
        <v>1</v>
      </c>
      <c r="L1066" s="8">
        <v>4491</v>
      </c>
      <c r="M1066" s="9">
        <v>25</v>
      </c>
      <c r="N1066" s="9">
        <f t="shared" si="177"/>
        <v>4465</v>
      </c>
      <c r="O1066" s="9">
        <f t="shared" si="178"/>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35">
      <c r="A1067">
        <v>1066</v>
      </c>
      <c r="B1067">
        <v>71</v>
      </c>
      <c r="C1067" s="22" t="s">
        <v>1052</v>
      </c>
      <c r="D1067" s="11">
        <v>0.8</v>
      </c>
      <c r="E1067" s="12">
        <f t="shared" si="179"/>
        <v>0.32989690721649489</v>
      </c>
      <c r="F1067" s="7">
        <v>2.4249999999999998</v>
      </c>
      <c r="G1067" s="8">
        <v>0</v>
      </c>
      <c r="H1067" s="9">
        <v>0</v>
      </c>
      <c r="I1067" s="9">
        <v>0</v>
      </c>
      <c r="J1067" s="9">
        <v>0</v>
      </c>
      <c r="K1067" s="9">
        <v>1</v>
      </c>
      <c r="L1067" s="8">
        <v>4491</v>
      </c>
      <c r="M1067" s="9">
        <v>25</v>
      </c>
      <c r="N1067" s="9">
        <f t="shared" si="177"/>
        <v>4465</v>
      </c>
      <c r="O1067" s="9">
        <f t="shared" si="178"/>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35">
      <c r="A1068">
        <v>1067</v>
      </c>
      <c r="B1068">
        <v>71</v>
      </c>
      <c r="C1068" s="22" t="s">
        <v>1052</v>
      </c>
      <c r="D1068" s="11">
        <v>4.2</v>
      </c>
      <c r="E1068" s="12">
        <f t="shared" si="179"/>
        <v>1.3607142857142855</v>
      </c>
      <c r="F1068" s="7">
        <v>3.0866141732283472</v>
      </c>
      <c r="G1068" s="8">
        <v>0</v>
      </c>
      <c r="H1068" s="9">
        <v>0</v>
      </c>
      <c r="I1068" s="9">
        <v>0</v>
      </c>
      <c r="J1068" s="9">
        <v>0</v>
      </c>
      <c r="K1068" s="9">
        <v>1</v>
      </c>
      <c r="L1068" s="8">
        <v>4491</v>
      </c>
      <c r="M1068" s="9">
        <v>25</v>
      </c>
      <c r="N1068" s="9">
        <f t="shared" si="177"/>
        <v>4465</v>
      </c>
      <c r="O1068" s="9">
        <f t="shared" si="178"/>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35">
      <c r="A1069">
        <v>1068</v>
      </c>
      <c r="B1069">
        <v>71</v>
      </c>
      <c r="C1069" s="22" t="s">
        <v>1052</v>
      </c>
      <c r="D1069" s="11">
        <v>17.899999999999999</v>
      </c>
      <c r="E1069" s="12">
        <f t="shared" si="179"/>
        <v>3.8027314112291348</v>
      </c>
      <c r="F1069" s="7">
        <v>4.7071428571428573</v>
      </c>
      <c r="G1069" s="8">
        <v>0</v>
      </c>
      <c r="H1069" s="9">
        <v>0</v>
      </c>
      <c r="I1069" s="9">
        <v>0</v>
      </c>
      <c r="J1069" s="9">
        <v>0</v>
      </c>
      <c r="K1069" s="9">
        <v>1</v>
      </c>
      <c r="L1069" s="8">
        <v>4491</v>
      </c>
      <c r="M1069" s="9">
        <v>25</v>
      </c>
      <c r="N1069" s="9">
        <f t="shared" si="177"/>
        <v>4465</v>
      </c>
      <c r="O1069" s="9">
        <f t="shared" si="178"/>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35">
      <c r="A1070">
        <v>1069</v>
      </c>
      <c r="B1070">
        <v>71</v>
      </c>
      <c r="C1070" s="22" t="s">
        <v>1052</v>
      </c>
      <c r="D1070" s="11">
        <v>19.600000000000001</v>
      </c>
      <c r="E1070" s="12">
        <f t="shared" si="179"/>
        <v>2.2043591979075852</v>
      </c>
      <c r="F1070" s="7">
        <v>8.8914728682170541</v>
      </c>
      <c r="G1070" s="8">
        <v>0</v>
      </c>
      <c r="H1070" s="9">
        <v>0</v>
      </c>
      <c r="I1070" s="9">
        <v>0</v>
      </c>
      <c r="J1070" s="9">
        <v>0</v>
      </c>
      <c r="K1070" s="9">
        <v>1</v>
      </c>
      <c r="L1070" s="8">
        <v>4491</v>
      </c>
      <c r="M1070" s="9">
        <v>25</v>
      </c>
      <c r="N1070" s="9">
        <f t="shared" si="177"/>
        <v>4465</v>
      </c>
      <c r="O1070" s="9">
        <f t="shared" si="178"/>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35">
      <c r="A1071">
        <v>1070</v>
      </c>
      <c r="B1071">
        <v>71</v>
      </c>
      <c r="C1071" s="22" t="s">
        <v>1052</v>
      </c>
      <c r="D1071" s="11">
        <v>1.3</v>
      </c>
      <c r="E1071" s="12">
        <f t="shared" si="179"/>
        <v>1.3661016949152542</v>
      </c>
      <c r="F1071" s="7">
        <v>0.95161290322580649</v>
      </c>
      <c r="G1071" s="8">
        <v>0</v>
      </c>
      <c r="H1071" s="9">
        <v>0</v>
      </c>
      <c r="I1071" s="9">
        <v>0</v>
      </c>
      <c r="J1071" s="9">
        <v>0</v>
      </c>
      <c r="K1071" s="9">
        <v>1</v>
      </c>
      <c r="L1071" s="8">
        <v>1319</v>
      </c>
      <c r="M1071" s="9">
        <v>7</v>
      </c>
      <c r="N1071" s="9">
        <f t="shared" si="177"/>
        <v>1311</v>
      </c>
      <c r="O1071" s="9">
        <f t="shared" si="178"/>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35">
      <c r="A1072">
        <v>1071</v>
      </c>
      <c r="B1072">
        <v>71</v>
      </c>
      <c r="C1072" s="22" t="s">
        <v>1052</v>
      </c>
      <c r="D1072" s="11">
        <v>5.4</v>
      </c>
      <c r="E1072" s="12">
        <f t="shared" si="179"/>
        <v>1.7270270270270269</v>
      </c>
      <c r="F1072" s="7">
        <v>3.126760563380282</v>
      </c>
      <c r="G1072" s="8">
        <v>0</v>
      </c>
      <c r="H1072" s="9">
        <v>0</v>
      </c>
      <c r="I1072" s="9">
        <v>0</v>
      </c>
      <c r="J1072" s="9">
        <v>0</v>
      </c>
      <c r="K1072" s="9">
        <v>1</v>
      </c>
      <c r="L1072" s="8">
        <v>1319</v>
      </c>
      <c r="M1072" s="9">
        <v>7</v>
      </c>
      <c r="N1072" s="9">
        <f t="shared" si="177"/>
        <v>1311</v>
      </c>
      <c r="O1072" s="9">
        <f t="shared" si="178"/>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35">
      <c r="A1073">
        <v>1072</v>
      </c>
      <c r="B1073">
        <v>71</v>
      </c>
      <c r="C1073" s="22" t="s">
        <v>1052</v>
      </c>
      <c r="D1073" s="11">
        <v>8</v>
      </c>
      <c r="E1073" s="12">
        <f t="shared" si="179"/>
        <v>1.0849673202614381</v>
      </c>
      <c r="F1073" s="7">
        <v>7.3734939759036138</v>
      </c>
      <c r="G1073" s="8">
        <v>0</v>
      </c>
      <c r="H1073" s="9">
        <v>0</v>
      </c>
      <c r="I1073" s="9">
        <v>0</v>
      </c>
      <c r="J1073" s="9">
        <v>0</v>
      </c>
      <c r="K1073" s="9">
        <v>1</v>
      </c>
      <c r="L1073" s="8">
        <v>1319</v>
      </c>
      <c r="M1073" s="9">
        <v>7</v>
      </c>
      <c r="N1073" s="9">
        <f t="shared" si="177"/>
        <v>1311</v>
      </c>
      <c r="O1073" s="9">
        <f t="shared" si="178"/>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35">
      <c r="A1074">
        <v>1073</v>
      </c>
      <c r="B1074">
        <v>71</v>
      </c>
      <c r="C1074" s="22" t="s">
        <v>1052</v>
      </c>
      <c r="D1074" s="11">
        <v>16.5</v>
      </c>
      <c r="E1074" s="12">
        <f t="shared" si="179"/>
        <v>1.4134078212290504</v>
      </c>
      <c r="F1074" s="7">
        <v>11.67391304347826</v>
      </c>
      <c r="G1074" s="8">
        <v>0</v>
      </c>
      <c r="H1074" s="9">
        <v>0</v>
      </c>
      <c r="I1074" s="9">
        <v>0</v>
      </c>
      <c r="J1074" s="9">
        <v>0</v>
      </c>
      <c r="K1074" s="9">
        <v>1</v>
      </c>
      <c r="L1074" s="8">
        <v>1319</v>
      </c>
      <c r="M1074" s="9">
        <v>7</v>
      </c>
      <c r="N1074" s="9">
        <f t="shared" si="177"/>
        <v>1311</v>
      </c>
      <c r="O1074" s="9">
        <f t="shared" si="178"/>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35">
      <c r="A1075">
        <v>1074</v>
      </c>
      <c r="B1075">
        <v>71</v>
      </c>
      <c r="C1075" s="22" t="s">
        <v>1052</v>
      </c>
      <c r="D1075" s="11">
        <v>17.8</v>
      </c>
      <c r="E1075" s="12">
        <f t="shared" si="179"/>
        <v>1.2201612903225805</v>
      </c>
      <c r="F1075" s="7">
        <v>14.58823529411765</v>
      </c>
      <c r="G1075" s="8">
        <v>0</v>
      </c>
      <c r="H1075" s="9">
        <v>0</v>
      </c>
      <c r="I1075" s="9">
        <v>0</v>
      </c>
      <c r="J1075" s="9">
        <v>0</v>
      </c>
      <c r="K1075" s="9">
        <v>1</v>
      </c>
      <c r="L1075" s="8">
        <v>1319</v>
      </c>
      <c r="M1075" s="9">
        <v>7</v>
      </c>
      <c r="N1075" s="9">
        <f t="shared" si="177"/>
        <v>1311</v>
      </c>
      <c r="O1075" s="9">
        <f t="shared" si="178"/>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35">
      <c r="A1076">
        <v>1075</v>
      </c>
      <c r="B1076">
        <v>71</v>
      </c>
      <c r="C1076" s="22" t="s">
        <v>1052</v>
      </c>
      <c r="D1076" s="11">
        <v>1.4</v>
      </c>
      <c r="E1076" s="12">
        <f t="shared" si="179"/>
        <v>1.8307692307692307</v>
      </c>
      <c r="F1076" s="7">
        <v>0.76470588235294112</v>
      </c>
      <c r="G1076" s="8">
        <v>0</v>
      </c>
      <c r="H1076" s="9">
        <v>0</v>
      </c>
      <c r="I1076" s="9">
        <v>0</v>
      </c>
      <c r="J1076" s="9">
        <v>0</v>
      </c>
      <c r="K1076" s="9">
        <v>1</v>
      </c>
      <c r="L1076" s="8">
        <v>1284</v>
      </c>
      <c r="M1076" s="9">
        <v>25</v>
      </c>
      <c r="N1076" s="9">
        <f t="shared" si="177"/>
        <v>1258</v>
      </c>
      <c r="O1076" s="9">
        <f t="shared" si="178"/>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35">
      <c r="A1077">
        <v>1076</v>
      </c>
      <c r="B1077">
        <v>71</v>
      </c>
      <c r="C1077" s="22" t="s">
        <v>1052</v>
      </c>
      <c r="D1077" s="11">
        <v>4.9000000000000004</v>
      </c>
      <c r="E1077" s="12">
        <f t="shared" si="179"/>
        <v>2.0801886792452828</v>
      </c>
      <c r="F1077" s="7">
        <v>2.3555555555555561</v>
      </c>
      <c r="G1077" s="8">
        <v>0</v>
      </c>
      <c r="H1077" s="9">
        <v>0</v>
      </c>
      <c r="I1077" s="9">
        <v>0</v>
      </c>
      <c r="J1077" s="9">
        <v>0</v>
      </c>
      <c r="K1077" s="9">
        <v>1</v>
      </c>
      <c r="L1077" s="8">
        <v>1284</v>
      </c>
      <c r="M1077" s="9">
        <v>25</v>
      </c>
      <c r="N1077" s="9">
        <f t="shared" si="177"/>
        <v>1258</v>
      </c>
      <c r="O1077" s="9">
        <f t="shared" si="178"/>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35">
      <c r="A1078">
        <v>1077</v>
      </c>
      <c r="B1078">
        <v>71</v>
      </c>
      <c r="C1078" s="22" t="s">
        <v>1052</v>
      </c>
      <c r="D1078" s="11">
        <v>3.8</v>
      </c>
      <c r="E1078" s="12">
        <f t="shared" si="179"/>
        <v>1.5777215189873417</v>
      </c>
      <c r="F1078" s="7">
        <v>2.4085365853658538</v>
      </c>
      <c r="G1078" s="8">
        <v>0</v>
      </c>
      <c r="H1078" s="9">
        <v>0</v>
      </c>
      <c r="I1078" s="9">
        <v>0</v>
      </c>
      <c r="J1078" s="9">
        <v>0</v>
      </c>
      <c r="K1078" s="9">
        <v>1</v>
      </c>
      <c r="L1078" s="8">
        <v>1284</v>
      </c>
      <c r="M1078" s="9">
        <v>25</v>
      </c>
      <c r="N1078" s="9">
        <f t="shared" si="177"/>
        <v>1258</v>
      </c>
      <c r="O1078" s="9">
        <f t="shared" si="178"/>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35">
      <c r="A1079">
        <v>1078</v>
      </c>
      <c r="B1079">
        <v>71</v>
      </c>
      <c r="C1079" s="22" t="s">
        <v>1052</v>
      </c>
      <c r="D1079" s="11">
        <v>22.9</v>
      </c>
      <c r="E1079" s="12">
        <f t="shared" si="179"/>
        <v>3.6321083172146991</v>
      </c>
      <c r="F1079" s="7">
        <v>6.3048780487804894</v>
      </c>
      <c r="G1079" s="8">
        <v>0</v>
      </c>
      <c r="H1079" s="9">
        <v>0</v>
      </c>
      <c r="I1079" s="9">
        <v>0</v>
      </c>
      <c r="J1079" s="9">
        <v>0</v>
      </c>
      <c r="K1079" s="9">
        <v>1</v>
      </c>
      <c r="L1079" s="8">
        <v>1284</v>
      </c>
      <c r="M1079" s="9">
        <v>25</v>
      </c>
      <c r="N1079" s="9">
        <f t="shared" si="177"/>
        <v>1258</v>
      </c>
      <c r="O1079" s="9">
        <f t="shared" si="178"/>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35">
      <c r="A1080">
        <v>1079</v>
      </c>
      <c r="B1080">
        <v>71</v>
      </c>
      <c r="C1080" s="22" t="s">
        <v>1052</v>
      </c>
      <c r="D1080" s="11">
        <v>13.6</v>
      </c>
      <c r="E1080" s="12">
        <f t="shared" si="179"/>
        <v>2.349671361502347</v>
      </c>
      <c r="F1080" s="7">
        <v>5.7880434782608701</v>
      </c>
      <c r="G1080" s="8">
        <v>0</v>
      </c>
      <c r="H1080" s="9">
        <v>0</v>
      </c>
      <c r="I1080" s="9">
        <v>0</v>
      </c>
      <c r="J1080" s="9">
        <v>0</v>
      </c>
      <c r="K1080" s="9">
        <v>1</v>
      </c>
      <c r="L1080" s="8">
        <v>1284</v>
      </c>
      <c r="M1080" s="9">
        <v>25</v>
      </c>
      <c r="N1080" s="9">
        <f t="shared" si="177"/>
        <v>1258</v>
      </c>
      <c r="O1080" s="9">
        <f t="shared" si="178"/>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35">
      <c r="A1081">
        <v>1080</v>
      </c>
      <c r="B1081">
        <v>72</v>
      </c>
      <c r="C1081" s="22" t="s">
        <v>1062</v>
      </c>
      <c r="D1081" s="11">
        <v>5.87</v>
      </c>
      <c r="E1081" s="12">
        <v>0.09</v>
      </c>
      <c r="F1081" s="7">
        <f t="shared" ref="F1081:F1090" si="180">D1081/E1081</f>
        <v>65.222222222222229</v>
      </c>
      <c r="G1081" s="8">
        <v>0</v>
      </c>
      <c r="H1081" s="9">
        <v>0</v>
      </c>
      <c r="I1081" s="9">
        <v>0</v>
      </c>
      <c r="J1081" s="9">
        <v>1</v>
      </c>
      <c r="K1081" s="9">
        <v>0</v>
      </c>
      <c r="L1081" s="8">
        <v>12169</v>
      </c>
      <c r="M1081" s="9">
        <v>3</v>
      </c>
      <c r="N1081" s="9">
        <f t="shared" si="177"/>
        <v>12165</v>
      </c>
      <c r="O1081" s="9">
        <f t="shared" si="178"/>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35">
      <c r="A1082">
        <v>1081</v>
      </c>
      <c r="B1082">
        <v>72</v>
      </c>
      <c r="C1082" s="22" t="s">
        <v>1062</v>
      </c>
      <c r="D1082" s="11">
        <v>7.51</v>
      </c>
      <c r="E1082" s="12">
        <v>0.22</v>
      </c>
      <c r="F1082" s="7">
        <f t="shared" si="180"/>
        <v>34.136363636363633</v>
      </c>
      <c r="G1082" s="8">
        <v>0</v>
      </c>
      <c r="H1082" s="9">
        <v>0</v>
      </c>
      <c r="I1082" s="9">
        <v>0</v>
      </c>
      <c r="J1082" s="9">
        <v>1</v>
      </c>
      <c r="K1082" s="9">
        <v>0</v>
      </c>
      <c r="L1082" s="8">
        <v>11781</v>
      </c>
      <c r="M1082" s="9">
        <v>3</v>
      </c>
      <c r="N1082" s="9">
        <f t="shared" si="177"/>
        <v>11777</v>
      </c>
      <c r="O1082" s="9">
        <f t="shared" si="178"/>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35">
      <c r="A1083">
        <v>1082</v>
      </c>
      <c r="B1083">
        <v>72</v>
      </c>
      <c r="C1083" s="22" t="s">
        <v>1062</v>
      </c>
      <c r="D1083" s="11">
        <v>5.68</v>
      </c>
      <c r="E1083" s="12">
        <v>0.1</v>
      </c>
      <c r="F1083" s="7">
        <f t="shared" si="180"/>
        <v>56.8</v>
      </c>
      <c r="G1083" s="8">
        <v>0</v>
      </c>
      <c r="H1083" s="9">
        <v>0</v>
      </c>
      <c r="I1083" s="9">
        <v>0</v>
      </c>
      <c r="J1083" s="9">
        <v>1</v>
      </c>
      <c r="K1083" s="9">
        <v>0</v>
      </c>
      <c r="L1083" s="8">
        <v>11603</v>
      </c>
      <c r="M1083" s="9">
        <v>4</v>
      </c>
      <c r="N1083" s="9">
        <f t="shared" si="177"/>
        <v>11598</v>
      </c>
      <c r="O1083" s="9">
        <f t="shared" si="178"/>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35">
      <c r="A1084">
        <v>1083</v>
      </c>
      <c r="B1084">
        <v>72</v>
      </c>
      <c r="C1084" s="22" t="s">
        <v>1062</v>
      </c>
      <c r="D1084" s="11">
        <v>7.37</v>
      </c>
      <c r="E1084" s="12">
        <v>0.23</v>
      </c>
      <c r="F1084" s="7">
        <f t="shared" si="180"/>
        <v>32.043478260869563</v>
      </c>
      <c r="G1084" s="8">
        <v>0</v>
      </c>
      <c r="H1084" s="9">
        <v>0</v>
      </c>
      <c r="I1084" s="9">
        <v>0</v>
      </c>
      <c r="J1084" s="9">
        <v>1</v>
      </c>
      <c r="K1084" s="9">
        <v>0</v>
      </c>
      <c r="L1084" s="8">
        <v>11239</v>
      </c>
      <c r="M1084" s="9">
        <v>4</v>
      </c>
      <c r="N1084" s="9">
        <f t="shared" si="177"/>
        <v>11234</v>
      </c>
      <c r="O1084" s="9">
        <f t="shared" si="178"/>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35">
      <c r="A1085">
        <v>1084</v>
      </c>
      <c r="B1085">
        <v>72</v>
      </c>
      <c r="C1085" s="22" t="s">
        <v>1062</v>
      </c>
      <c r="D1085" s="11">
        <v>4.84</v>
      </c>
      <c r="E1085" s="12">
        <v>0.19</v>
      </c>
      <c r="F1085" s="7">
        <f t="shared" si="180"/>
        <v>25.473684210526315</v>
      </c>
      <c r="G1085" s="8">
        <v>0</v>
      </c>
      <c r="H1085" s="9">
        <v>0</v>
      </c>
      <c r="I1085" s="9">
        <v>0</v>
      </c>
      <c r="J1085" s="9">
        <v>1</v>
      </c>
      <c r="K1085" s="9">
        <v>0</v>
      </c>
      <c r="L1085" s="8">
        <v>12169</v>
      </c>
      <c r="M1085" s="9">
        <v>4</v>
      </c>
      <c r="N1085" s="9">
        <f t="shared" si="177"/>
        <v>12164</v>
      </c>
      <c r="O1085" s="9">
        <f t="shared" si="178"/>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35">
      <c r="A1086">
        <v>1085</v>
      </c>
      <c r="B1086">
        <v>72</v>
      </c>
      <c r="C1086" s="22" t="s">
        <v>1062</v>
      </c>
      <c r="D1086" s="11">
        <v>3.74</v>
      </c>
      <c r="E1086" s="12">
        <v>0.27</v>
      </c>
      <c r="F1086" s="7">
        <f t="shared" si="180"/>
        <v>13.851851851851851</v>
      </c>
      <c r="G1086" s="8">
        <v>0</v>
      </c>
      <c r="H1086" s="9">
        <v>0</v>
      </c>
      <c r="I1086" s="9">
        <v>0</v>
      </c>
      <c r="J1086" s="9">
        <v>1</v>
      </c>
      <c r="K1086" s="9">
        <v>0</v>
      </c>
      <c r="L1086" s="8">
        <v>12169</v>
      </c>
      <c r="M1086" s="9">
        <v>7</v>
      </c>
      <c r="N1086" s="9">
        <f t="shared" si="177"/>
        <v>12161</v>
      </c>
      <c r="O1086" s="9">
        <f t="shared" si="178"/>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35">
      <c r="A1087">
        <v>1086</v>
      </c>
      <c r="B1087">
        <v>72</v>
      </c>
      <c r="C1087" s="22" t="s">
        <v>1062</v>
      </c>
      <c r="D1087" s="11">
        <v>3.95</v>
      </c>
      <c r="E1087" s="12">
        <v>0.21</v>
      </c>
      <c r="F1087" s="7">
        <f t="shared" si="180"/>
        <v>18.80952380952381</v>
      </c>
      <c r="G1087" s="8">
        <v>0</v>
      </c>
      <c r="H1087" s="9">
        <v>0</v>
      </c>
      <c r="I1087" s="9">
        <v>0</v>
      </c>
      <c r="J1087" s="9">
        <v>1</v>
      </c>
      <c r="K1087" s="9">
        <v>0</v>
      </c>
      <c r="L1087" s="8">
        <v>9867</v>
      </c>
      <c r="M1087" s="9">
        <v>4</v>
      </c>
      <c r="N1087" s="9">
        <f t="shared" si="177"/>
        <v>9862</v>
      </c>
      <c r="O1087" s="9">
        <f t="shared" si="178"/>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35">
      <c r="A1088">
        <v>1087</v>
      </c>
      <c r="B1088">
        <v>72</v>
      </c>
      <c r="C1088" s="22" t="s">
        <v>1062</v>
      </c>
      <c r="D1088" s="11">
        <v>3.04</v>
      </c>
      <c r="E1088" s="12">
        <v>0.3</v>
      </c>
      <c r="F1088" s="7">
        <f t="shared" si="180"/>
        <v>10.133333333333335</v>
      </c>
      <c r="G1088" s="8">
        <v>0</v>
      </c>
      <c r="H1088" s="9">
        <v>0</v>
      </c>
      <c r="I1088" s="9">
        <v>0</v>
      </c>
      <c r="J1088" s="9">
        <v>1</v>
      </c>
      <c r="K1088" s="9">
        <v>0</v>
      </c>
      <c r="L1088" s="8">
        <v>9867</v>
      </c>
      <c r="M1088" s="9">
        <v>7</v>
      </c>
      <c r="N1088" s="9">
        <f t="shared" si="177"/>
        <v>9859</v>
      </c>
      <c r="O1088" s="9">
        <f t="shared" si="178"/>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35">
      <c r="A1089">
        <v>1088</v>
      </c>
      <c r="B1089">
        <v>72</v>
      </c>
      <c r="C1089" s="22" t="s">
        <v>1062</v>
      </c>
      <c r="D1089" s="11">
        <v>6.26</v>
      </c>
      <c r="E1089" s="12">
        <v>0.44</v>
      </c>
      <c r="F1089" s="7">
        <f t="shared" si="180"/>
        <v>14.227272727272727</v>
      </c>
      <c r="G1089" s="8">
        <v>0</v>
      </c>
      <c r="H1089" s="9">
        <v>0</v>
      </c>
      <c r="I1089" s="9">
        <v>0</v>
      </c>
      <c r="J1089" s="9">
        <v>1</v>
      </c>
      <c r="K1089" s="9">
        <v>0</v>
      </c>
      <c r="L1089" s="8">
        <v>2302</v>
      </c>
      <c r="M1089" s="9">
        <v>4</v>
      </c>
      <c r="N1089" s="9">
        <f t="shared" si="177"/>
        <v>2297</v>
      </c>
      <c r="O1089" s="9">
        <f t="shared" si="178"/>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35">
      <c r="A1090">
        <v>1089</v>
      </c>
      <c r="B1090">
        <v>72</v>
      </c>
      <c r="C1090" s="22" t="s">
        <v>1062</v>
      </c>
      <c r="D1090" s="11">
        <v>6.24</v>
      </c>
      <c r="E1090" s="12">
        <v>0.73</v>
      </c>
      <c r="F1090" s="7">
        <f t="shared" si="180"/>
        <v>8.5479452054794525</v>
      </c>
      <c r="G1090" s="8">
        <v>0</v>
      </c>
      <c r="H1090" s="9">
        <v>0</v>
      </c>
      <c r="I1090" s="9">
        <v>0</v>
      </c>
      <c r="J1090" s="9">
        <v>1</v>
      </c>
      <c r="K1090" s="9">
        <v>0</v>
      </c>
      <c r="L1090" s="8">
        <v>2302</v>
      </c>
      <c r="M1090" s="9">
        <v>7</v>
      </c>
      <c r="N1090" s="9">
        <f t="shared" ref="N1090:N1153" si="181">L1090-M1090-1</f>
        <v>2294</v>
      </c>
      <c r="O1090" s="9">
        <f t="shared" ref="O1090:O1153" si="182">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35">
      <c r="A1091">
        <v>1090</v>
      </c>
      <c r="B1091">
        <v>73</v>
      </c>
      <c r="C1091" s="22" t="s">
        <v>1070</v>
      </c>
      <c r="D1091" s="11">
        <v>6.51</v>
      </c>
      <c r="E1091" s="12">
        <f t="shared" ref="E1091:E1102" si="183">D1091/F1091</f>
        <v>0.1207120341183015</v>
      </c>
      <c r="F1091" s="7">
        <v>53.93</v>
      </c>
      <c r="G1091" s="8">
        <v>0</v>
      </c>
      <c r="H1091" s="9">
        <v>0</v>
      </c>
      <c r="I1091" s="9">
        <v>0</v>
      </c>
      <c r="J1091" s="9">
        <v>1</v>
      </c>
      <c r="K1091" s="9">
        <v>0</v>
      </c>
      <c r="L1091" s="8">
        <v>126199</v>
      </c>
      <c r="M1091" s="9">
        <v>18</v>
      </c>
      <c r="N1091" s="9">
        <f t="shared" si="181"/>
        <v>126180</v>
      </c>
      <c r="O1091" s="9">
        <f t="shared" si="182"/>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84">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35">
      <c r="A1092">
        <v>1091</v>
      </c>
      <c r="B1092">
        <v>73</v>
      </c>
      <c r="C1092" s="22" t="s">
        <v>1070</v>
      </c>
      <c r="D1092" s="11">
        <v>5.52</v>
      </c>
      <c r="E1092" s="12">
        <f t="shared" si="183"/>
        <v>0.1047637122793699</v>
      </c>
      <c r="F1092" s="7">
        <v>52.69</v>
      </c>
      <c r="G1092" s="8">
        <v>0</v>
      </c>
      <c r="H1092" s="9">
        <v>0</v>
      </c>
      <c r="I1092" s="9">
        <v>0</v>
      </c>
      <c r="J1092" s="9">
        <v>1</v>
      </c>
      <c r="K1092" s="9">
        <v>0</v>
      </c>
      <c r="L1092" s="8">
        <v>126199</v>
      </c>
      <c r="M1092" s="9">
        <v>18</v>
      </c>
      <c r="N1092" s="9">
        <f t="shared" si="181"/>
        <v>126180</v>
      </c>
      <c r="O1092" s="9">
        <f t="shared" si="182"/>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84"/>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35">
      <c r="A1093">
        <v>1092</v>
      </c>
      <c r="B1093">
        <v>73</v>
      </c>
      <c r="C1093" s="22" t="s">
        <v>1070</v>
      </c>
      <c r="D1093" s="11">
        <v>6.47</v>
      </c>
      <c r="E1093" s="12">
        <f t="shared" si="183"/>
        <v>0.11959334565619223</v>
      </c>
      <c r="F1093" s="7">
        <v>54.1</v>
      </c>
      <c r="G1093" s="8">
        <v>0</v>
      </c>
      <c r="H1093" s="9">
        <v>0</v>
      </c>
      <c r="I1093" s="9">
        <v>0</v>
      </c>
      <c r="J1093" s="9">
        <v>1</v>
      </c>
      <c r="K1093" s="9">
        <v>0</v>
      </c>
      <c r="L1093" s="8">
        <v>126199</v>
      </c>
      <c r="M1093" s="9">
        <v>18</v>
      </c>
      <c r="N1093" s="9">
        <f t="shared" si="181"/>
        <v>126180</v>
      </c>
      <c r="O1093" s="9">
        <f t="shared" si="182"/>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84"/>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35">
      <c r="A1094">
        <v>1093</v>
      </c>
      <c r="B1094">
        <v>73</v>
      </c>
      <c r="C1094" s="22" t="s">
        <v>1070</v>
      </c>
      <c r="D1094" s="11">
        <v>5.53</v>
      </c>
      <c r="E1094" s="12">
        <f t="shared" si="183"/>
        <v>0.10533333333333333</v>
      </c>
      <c r="F1094" s="7">
        <v>52.5</v>
      </c>
      <c r="G1094" s="8">
        <v>0</v>
      </c>
      <c r="H1094" s="9">
        <v>0</v>
      </c>
      <c r="I1094" s="9">
        <v>0</v>
      </c>
      <c r="J1094" s="9">
        <v>1</v>
      </c>
      <c r="K1094" s="9">
        <v>0</v>
      </c>
      <c r="L1094" s="8">
        <v>126199</v>
      </c>
      <c r="M1094" s="9">
        <v>18</v>
      </c>
      <c r="N1094" s="9">
        <f t="shared" si="181"/>
        <v>126180</v>
      </c>
      <c r="O1094" s="9">
        <f t="shared" si="182"/>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84"/>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35">
      <c r="A1095">
        <v>1094</v>
      </c>
      <c r="B1095">
        <v>73</v>
      </c>
      <c r="C1095" s="22" t="s">
        <v>1070</v>
      </c>
      <c r="D1095" s="11">
        <v>6.47</v>
      </c>
      <c r="E1095" s="12">
        <f t="shared" si="183"/>
        <v>0.18683222639330058</v>
      </c>
      <c r="F1095" s="7">
        <v>34.630000000000003</v>
      </c>
      <c r="G1095" s="8">
        <v>0</v>
      </c>
      <c r="H1095" s="9">
        <v>0</v>
      </c>
      <c r="I1095" s="9">
        <v>0</v>
      </c>
      <c r="J1095" s="9">
        <v>1</v>
      </c>
      <c r="K1095" s="9">
        <v>0</v>
      </c>
      <c r="L1095" s="8">
        <v>64302</v>
      </c>
      <c r="M1095" s="9">
        <v>18</v>
      </c>
      <c r="N1095" s="9">
        <f t="shared" si="181"/>
        <v>64283</v>
      </c>
      <c r="O1095" s="9">
        <f t="shared" si="182"/>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84"/>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35">
      <c r="A1096">
        <v>1095</v>
      </c>
      <c r="B1096">
        <v>73</v>
      </c>
      <c r="C1096" s="22" t="s">
        <v>1070</v>
      </c>
      <c r="D1096" s="11">
        <v>5.39</v>
      </c>
      <c r="E1096" s="12">
        <f t="shared" si="183"/>
        <v>0.16181326928850193</v>
      </c>
      <c r="F1096" s="7">
        <v>33.31</v>
      </c>
      <c r="G1096" s="8">
        <v>0</v>
      </c>
      <c r="H1096" s="9">
        <v>0</v>
      </c>
      <c r="I1096" s="9">
        <v>0</v>
      </c>
      <c r="J1096" s="9">
        <v>1</v>
      </c>
      <c r="K1096" s="9">
        <v>0</v>
      </c>
      <c r="L1096" s="8">
        <v>64302</v>
      </c>
      <c r="M1096" s="9">
        <v>18</v>
      </c>
      <c r="N1096" s="9">
        <f t="shared" si="181"/>
        <v>64283</v>
      </c>
      <c r="O1096" s="9">
        <f t="shared" si="182"/>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84"/>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35">
      <c r="A1097">
        <v>1096</v>
      </c>
      <c r="B1097">
        <v>73</v>
      </c>
      <c r="C1097" s="22" t="s">
        <v>1070</v>
      </c>
      <c r="D1097" s="11">
        <v>6.51</v>
      </c>
      <c r="E1097" s="12">
        <f t="shared" si="183"/>
        <v>0.16303531179564237</v>
      </c>
      <c r="F1097" s="7">
        <v>39.93</v>
      </c>
      <c r="G1097" s="8">
        <v>0</v>
      </c>
      <c r="H1097" s="9">
        <v>0</v>
      </c>
      <c r="I1097" s="9">
        <v>0</v>
      </c>
      <c r="J1097" s="9">
        <v>1</v>
      </c>
      <c r="K1097" s="9">
        <v>0</v>
      </c>
      <c r="L1097" s="8">
        <v>61897</v>
      </c>
      <c r="M1097" s="9">
        <v>18</v>
      </c>
      <c r="N1097" s="9">
        <f t="shared" si="181"/>
        <v>61878</v>
      </c>
      <c r="O1097" s="9">
        <f t="shared" si="182"/>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84"/>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35">
      <c r="A1098">
        <v>1097</v>
      </c>
      <c r="B1098">
        <v>73</v>
      </c>
      <c r="C1098" s="22" t="s">
        <v>1070</v>
      </c>
      <c r="D1098" s="11">
        <v>5.55</v>
      </c>
      <c r="E1098" s="12">
        <f t="shared" si="183"/>
        <v>0.1410060975609756</v>
      </c>
      <c r="F1098" s="7">
        <v>39.36</v>
      </c>
      <c r="G1098" s="8">
        <v>0</v>
      </c>
      <c r="H1098" s="9">
        <v>0</v>
      </c>
      <c r="I1098" s="9">
        <v>0</v>
      </c>
      <c r="J1098" s="9">
        <v>1</v>
      </c>
      <c r="K1098" s="9">
        <v>0</v>
      </c>
      <c r="L1098" s="8">
        <v>61897</v>
      </c>
      <c r="M1098" s="9">
        <v>18</v>
      </c>
      <c r="N1098" s="9">
        <f t="shared" si="181"/>
        <v>61878</v>
      </c>
      <c r="O1098" s="9">
        <f t="shared" si="182"/>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84"/>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35">
      <c r="A1099">
        <v>1098</v>
      </c>
      <c r="B1099">
        <v>73</v>
      </c>
      <c r="C1099" s="22" t="s">
        <v>1070</v>
      </c>
      <c r="D1099" s="11">
        <v>6.55</v>
      </c>
      <c r="E1099" s="12">
        <f t="shared" si="183"/>
        <v>0.14070891514500539</v>
      </c>
      <c r="F1099" s="7">
        <v>46.55</v>
      </c>
      <c r="G1099" s="8">
        <v>0</v>
      </c>
      <c r="H1099" s="9">
        <v>0</v>
      </c>
      <c r="I1099" s="9">
        <v>0</v>
      </c>
      <c r="J1099" s="9">
        <v>1</v>
      </c>
      <c r="K1099" s="9">
        <v>0</v>
      </c>
      <c r="L1099" s="8">
        <v>75803</v>
      </c>
      <c r="M1099" s="9">
        <v>18</v>
      </c>
      <c r="N1099" s="9">
        <f t="shared" si="181"/>
        <v>75784</v>
      </c>
      <c r="O1099" s="9">
        <f t="shared" si="182"/>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84"/>
        <v>0.65700000000000003</v>
      </c>
      <c r="AG1099" s="39">
        <v>0.25</v>
      </c>
      <c r="AH1099" s="38" t="s">
        <v>94</v>
      </c>
      <c r="AI1099" s="15" t="s">
        <v>94</v>
      </c>
      <c r="AJ1099" s="29">
        <v>0.50949999999999995</v>
      </c>
      <c r="AK1099" s="36">
        <f t="shared" ref="AK1099:AK1116" si="185">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35">
      <c r="A1100">
        <v>1099</v>
      </c>
      <c r="B1100">
        <v>73</v>
      </c>
      <c r="C1100" s="22" t="s">
        <v>1070</v>
      </c>
      <c r="D1100" s="11">
        <v>5.61</v>
      </c>
      <c r="E1100" s="12">
        <f t="shared" si="183"/>
        <v>0.12384105960264902</v>
      </c>
      <c r="F1100" s="7">
        <v>45.3</v>
      </c>
      <c r="G1100" s="8">
        <v>0</v>
      </c>
      <c r="H1100" s="9">
        <v>0</v>
      </c>
      <c r="I1100" s="9">
        <v>0</v>
      </c>
      <c r="J1100" s="9">
        <v>1</v>
      </c>
      <c r="K1100" s="9">
        <v>0</v>
      </c>
      <c r="L1100" s="8">
        <v>75803</v>
      </c>
      <c r="M1100" s="9">
        <v>18</v>
      </c>
      <c r="N1100" s="9">
        <f t="shared" si="181"/>
        <v>75784</v>
      </c>
      <c r="O1100" s="9">
        <f t="shared" si="182"/>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84"/>
        <v>0.65700000000000003</v>
      </c>
      <c r="AG1100" s="39">
        <v>0.25</v>
      </c>
      <c r="AH1100" s="38" t="s">
        <v>94</v>
      </c>
      <c r="AI1100" s="15" t="s">
        <v>94</v>
      </c>
      <c r="AJ1100" s="29">
        <v>0.50949999999999995</v>
      </c>
      <c r="AK1100" s="36">
        <f t="shared" si="185"/>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35">
      <c r="A1101">
        <v>1100</v>
      </c>
      <c r="B1101">
        <v>73</v>
      </c>
      <c r="C1101" s="22" t="s">
        <v>1070</v>
      </c>
      <c r="D1101" s="11">
        <v>6.24</v>
      </c>
      <c r="E1101" s="12">
        <f t="shared" si="183"/>
        <v>0.19734345351043645</v>
      </c>
      <c r="F1101" s="7">
        <v>31.62</v>
      </c>
      <c r="G1101" s="8">
        <v>0</v>
      </c>
      <c r="H1101" s="9">
        <v>0</v>
      </c>
      <c r="I1101" s="9">
        <v>0</v>
      </c>
      <c r="J1101" s="9">
        <v>1</v>
      </c>
      <c r="K1101" s="9">
        <v>0</v>
      </c>
      <c r="L1101" s="8">
        <v>50396</v>
      </c>
      <c r="M1101" s="9">
        <v>18</v>
      </c>
      <c r="N1101" s="9">
        <f t="shared" si="181"/>
        <v>50377</v>
      </c>
      <c r="O1101" s="9">
        <f t="shared" si="182"/>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84"/>
        <v>0.65700000000000003</v>
      </c>
      <c r="AG1101" s="39">
        <v>0.25</v>
      </c>
      <c r="AH1101" s="38" t="s">
        <v>94</v>
      </c>
      <c r="AI1101" s="15" t="s">
        <v>94</v>
      </c>
      <c r="AJ1101" s="29">
        <v>0.50949999999999995</v>
      </c>
      <c r="AK1101" s="36">
        <f t="shared" si="185"/>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35">
      <c r="A1102">
        <v>1101</v>
      </c>
      <c r="B1102">
        <v>73</v>
      </c>
      <c r="C1102" s="22" t="s">
        <v>1070</v>
      </c>
      <c r="D1102" s="11">
        <v>5.21</v>
      </c>
      <c r="E1102" s="12">
        <f t="shared" si="183"/>
        <v>0.1722883597883598</v>
      </c>
      <c r="F1102" s="7">
        <v>30.24</v>
      </c>
      <c r="G1102" s="8">
        <v>0</v>
      </c>
      <c r="H1102" s="9">
        <v>0</v>
      </c>
      <c r="I1102" s="9">
        <v>0</v>
      </c>
      <c r="J1102" s="9">
        <v>1</v>
      </c>
      <c r="K1102" s="9">
        <v>0</v>
      </c>
      <c r="L1102" s="8">
        <v>50396</v>
      </c>
      <c r="M1102" s="9">
        <v>18</v>
      </c>
      <c r="N1102" s="9">
        <f t="shared" si="181"/>
        <v>50377</v>
      </c>
      <c r="O1102" s="9">
        <f t="shared" si="182"/>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84"/>
        <v>0.65700000000000003</v>
      </c>
      <c r="AG1102" s="39">
        <v>0.25</v>
      </c>
      <c r="AH1102" s="38" t="s">
        <v>94</v>
      </c>
      <c r="AI1102" s="15" t="s">
        <v>94</v>
      </c>
      <c r="AJ1102" s="29">
        <v>0.50949999999999995</v>
      </c>
      <c r="AK1102" s="36">
        <f t="shared" si="185"/>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35">
      <c r="A1103">
        <v>1102</v>
      </c>
      <c r="B1103">
        <v>74</v>
      </c>
      <c r="C1103" s="22" t="s">
        <v>1079</v>
      </c>
      <c r="D1103" s="11">
        <v>7.2</v>
      </c>
      <c r="E1103" s="12">
        <v>0.6</v>
      </c>
      <c r="F1103" s="7">
        <f t="shared" ref="F1103:F1134" si="186">D1103/E1103</f>
        <v>12</v>
      </c>
      <c r="G1103" s="8">
        <v>0</v>
      </c>
      <c r="H1103" s="9">
        <v>1</v>
      </c>
      <c r="I1103" s="9">
        <v>0</v>
      </c>
      <c r="J1103" s="9">
        <v>0</v>
      </c>
      <c r="K1103" s="9">
        <v>0</v>
      </c>
      <c r="L1103" s="8">
        <v>3316</v>
      </c>
      <c r="M1103" s="9">
        <v>10</v>
      </c>
      <c r="N1103" s="9">
        <f t="shared" si="181"/>
        <v>3305</v>
      </c>
      <c r="O1103" s="9">
        <f t="shared" si="182"/>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85"/>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35">
      <c r="A1104">
        <v>1103</v>
      </c>
      <c r="B1104">
        <v>74</v>
      </c>
      <c r="C1104" s="22" t="s">
        <v>1079</v>
      </c>
      <c r="D1104" s="11">
        <v>9.1</v>
      </c>
      <c r="E1104" s="12">
        <v>2.2999999999999998</v>
      </c>
      <c r="F1104" s="7">
        <f t="shared" si="186"/>
        <v>3.956521739130435</v>
      </c>
      <c r="G1104" s="8">
        <v>0</v>
      </c>
      <c r="H1104" s="9">
        <v>1</v>
      </c>
      <c r="I1104" s="9">
        <v>0</v>
      </c>
      <c r="J1104" s="9">
        <v>0</v>
      </c>
      <c r="K1104" s="9">
        <v>0</v>
      </c>
      <c r="L1104" s="8">
        <v>3316</v>
      </c>
      <c r="M1104" s="9">
        <v>9</v>
      </c>
      <c r="N1104" s="9">
        <f t="shared" si="181"/>
        <v>3306</v>
      </c>
      <c r="O1104" s="9">
        <f t="shared" si="182"/>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85"/>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35">
      <c r="A1105">
        <v>1104</v>
      </c>
      <c r="B1105">
        <v>74</v>
      </c>
      <c r="C1105" s="22" t="s">
        <v>1079</v>
      </c>
      <c r="D1105" s="11">
        <v>5.7</v>
      </c>
      <c r="E1105" s="12">
        <v>0.6</v>
      </c>
      <c r="F1105" s="7">
        <f t="shared" si="186"/>
        <v>9.5</v>
      </c>
      <c r="G1105" s="8">
        <v>0</v>
      </c>
      <c r="H1105" s="9">
        <v>1</v>
      </c>
      <c r="I1105" s="9">
        <v>0</v>
      </c>
      <c r="J1105" s="9">
        <v>0</v>
      </c>
      <c r="K1105" s="9">
        <v>0</v>
      </c>
      <c r="L1105" s="8">
        <v>2451</v>
      </c>
      <c r="M1105" s="9">
        <v>12</v>
      </c>
      <c r="N1105" s="9">
        <f t="shared" si="181"/>
        <v>2438</v>
      </c>
      <c r="O1105" s="9">
        <f t="shared" si="182"/>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85"/>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35">
      <c r="A1106">
        <v>1105</v>
      </c>
      <c r="B1106">
        <v>74</v>
      </c>
      <c r="C1106" s="22" t="s">
        <v>1079</v>
      </c>
      <c r="D1106" s="11">
        <v>5.4</v>
      </c>
      <c r="E1106" s="12">
        <v>0.6</v>
      </c>
      <c r="F1106" s="7">
        <f t="shared" si="186"/>
        <v>9.0000000000000018</v>
      </c>
      <c r="G1106" s="8">
        <v>0</v>
      </c>
      <c r="H1106" s="9">
        <v>1</v>
      </c>
      <c r="I1106" s="9">
        <v>0</v>
      </c>
      <c r="J1106" s="9">
        <v>0</v>
      </c>
      <c r="K1106" s="9">
        <v>0</v>
      </c>
      <c r="L1106" s="8">
        <v>3119</v>
      </c>
      <c r="M1106" s="9">
        <v>12</v>
      </c>
      <c r="N1106" s="9">
        <f t="shared" si="181"/>
        <v>3106</v>
      </c>
      <c r="O1106" s="9">
        <f t="shared" si="182"/>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85"/>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35">
      <c r="A1107">
        <v>1106</v>
      </c>
      <c r="B1107">
        <v>74</v>
      </c>
      <c r="C1107" s="22" t="s">
        <v>1079</v>
      </c>
      <c r="D1107" s="11">
        <v>5</v>
      </c>
      <c r="E1107" s="12">
        <v>1.5</v>
      </c>
      <c r="F1107" s="7">
        <f t="shared" si="186"/>
        <v>3.3333333333333335</v>
      </c>
      <c r="G1107" s="8">
        <v>0</v>
      </c>
      <c r="H1107" s="9">
        <v>1</v>
      </c>
      <c r="I1107" s="9">
        <v>0</v>
      </c>
      <c r="J1107" s="9">
        <v>0</v>
      </c>
      <c r="K1107" s="9">
        <v>0</v>
      </c>
      <c r="L1107" s="8">
        <v>2451</v>
      </c>
      <c r="M1107" s="9">
        <v>11</v>
      </c>
      <c r="N1107" s="9">
        <f t="shared" si="181"/>
        <v>2439</v>
      </c>
      <c r="O1107" s="9">
        <f t="shared" si="182"/>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85"/>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35">
      <c r="A1108">
        <v>1107</v>
      </c>
      <c r="B1108">
        <v>74</v>
      </c>
      <c r="C1108" s="22" t="s">
        <v>1079</v>
      </c>
      <c r="D1108" s="11">
        <v>6.3</v>
      </c>
      <c r="E1108" s="12">
        <v>1.3</v>
      </c>
      <c r="F1108" s="7">
        <f t="shared" si="186"/>
        <v>4.8461538461538458</v>
      </c>
      <c r="G1108" s="8">
        <v>0</v>
      </c>
      <c r="H1108" s="9">
        <v>1</v>
      </c>
      <c r="I1108" s="9">
        <v>0</v>
      </c>
      <c r="J1108" s="9">
        <v>0</v>
      </c>
      <c r="K1108" s="9">
        <v>0</v>
      </c>
      <c r="L1108" s="8">
        <v>2451</v>
      </c>
      <c r="M1108" s="9">
        <v>12</v>
      </c>
      <c r="N1108" s="9">
        <f t="shared" si="181"/>
        <v>2438</v>
      </c>
      <c r="O1108" s="9">
        <f t="shared" si="182"/>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85"/>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35">
      <c r="A1109">
        <v>1108</v>
      </c>
      <c r="B1109">
        <v>74</v>
      </c>
      <c r="C1109" s="22" t="s">
        <v>1079</v>
      </c>
      <c r="D1109" s="11">
        <v>4.5</v>
      </c>
      <c r="E1109" s="12">
        <v>0.9</v>
      </c>
      <c r="F1109" s="7">
        <f t="shared" si="186"/>
        <v>5</v>
      </c>
      <c r="G1109" s="8">
        <v>0</v>
      </c>
      <c r="H1109" s="9">
        <v>1</v>
      </c>
      <c r="I1109" s="9">
        <v>0</v>
      </c>
      <c r="J1109" s="9">
        <v>0</v>
      </c>
      <c r="K1109" s="9">
        <v>0</v>
      </c>
      <c r="L1109" s="8">
        <v>1405</v>
      </c>
      <c r="M1109" s="9">
        <v>11</v>
      </c>
      <c r="N1109" s="9">
        <f t="shared" si="181"/>
        <v>1393</v>
      </c>
      <c r="O1109" s="9">
        <f t="shared" si="182"/>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85"/>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35">
      <c r="A1110">
        <v>1109</v>
      </c>
      <c r="B1110">
        <v>74</v>
      </c>
      <c r="C1110" s="22" t="s">
        <v>1079</v>
      </c>
      <c r="D1110" s="11">
        <v>8</v>
      </c>
      <c r="E1110" s="12">
        <v>3.4</v>
      </c>
      <c r="F1110" s="7">
        <f t="shared" si="186"/>
        <v>2.3529411764705883</v>
      </c>
      <c r="G1110" s="8">
        <v>0</v>
      </c>
      <c r="H1110" s="9">
        <v>1</v>
      </c>
      <c r="I1110" s="9">
        <v>0</v>
      </c>
      <c r="J1110" s="9">
        <v>0</v>
      </c>
      <c r="K1110" s="9">
        <v>0</v>
      </c>
      <c r="L1110" s="8">
        <v>1405</v>
      </c>
      <c r="M1110" s="9">
        <v>9</v>
      </c>
      <c r="N1110" s="9">
        <f t="shared" si="181"/>
        <v>1395</v>
      </c>
      <c r="O1110" s="9">
        <f t="shared" si="182"/>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85"/>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35">
      <c r="A1111">
        <v>1110</v>
      </c>
      <c r="B1111">
        <v>74</v>
      </c>
      <c r="C1111" s="22" t="s">
        <v>1079</v>
      </c>
      <c r="D1111" s="11">
        <v>8</v>
      </c>
      <c r="E1111" s="12">
        <v>3.5</v>
      </c>
      <c r="F1111" s="7">
        <f t="shared" si="186"/>
        <v>2.2857142857142856</v>
      </c>
      <c r="G1111" s="8">
        <v>0</v>
      </c>
      <c r="H1111" s="9">
        <v>1</v>
      </c>
      <c r="I1111" s="9">
        <v>0</v>
      </c>
      <c r="J1111" s="9">
        <v>0</v>
      </c>
      <c r="K1111" s="9">
        <v>0</v>
      </c>
      <c r="L1111" s="8">
        <v>1405</v>
      </c>
      <c r="M1111" s="9">
        <v>9</v>
      </c>
      <c r="N1111" s="9">
        <f t="shared" si="181"/>
        <v>1395</v>
      </c>
      <c r="O1111" s="9">
        <f t="shared" si="182"/>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85"/>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35">
      <c r="A1112">
        <v>1111</v>
      </c>
      <c r="B1112">
        <v>74</v>
      </c>
      <c r="C1112" s="22" t="s">
        <v>1079</v>
      </c>
      <c r="D1112" s="11">
        <v>8.4</v>
      </c>
      <c r="E1112" s="12">
        <v>3.8</v>
      </c>
      <c r="F1112" s="7">
        <f t="shared" si="186"/>
        <v>2.2105263157894739</v>
      </c>
      <c r="G1112" s="8">
        <v>0</v>
      </c>
      <c r="H1112" s="9">
        <v>1</v>
      </c>
      <c r="I1112" s="9">
        <v>0</v>
      </c>
      <c r="J1112" s="9">
        <v>0</v>
      </c>
      <c r="K1112" s="9">
        <v>0</v>
      </c>
      <c r="L1112" s="8">
        <v>1405</v>
      </c>
      <c r="M1112" s="9">
        <v>9</v>
      </c>
      <c r="N1112" s="9">
        <f t="shared" si="181"/>
        <v>1395</v>
      </c>
      <c r="O1112" s="9">
        <f t="shared" si="182"/>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85"/>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35">
      <c r="A1113">
        <v>1112</v>
      </c>
      <c r="B1113">
        <v>74</v>
      </c>
      <c r="C1113" s="22" t="s">
        <v>1079</v>
      </c>
      <c r="D1113" s="11">
        <v>3.6</v>
      </c>
      <c r="E1113" s="12">
        <v>0.8</v>
      </c>
      <c r="F1113" s="7">
        <f t="shared" si="186"/>
        <v>4.5</v>
      </c>
      <c r="G1113" s="8">
        <v>0</v>
      </c>
      <c r="H1113" s="9">
        <v>1</v>
      </c>
      <c r="I1113" s="9">
        <v>0</v>
      </c>
      <c r="J1113" s="9">
        <v>0</v>
      </c>
      <c r="K1113" s="9">
        <v>0</v>
      </c>
      <c r="L1113" s="8">
        <v>945</v>
      </c>
      <c r="M1113" s="9">
        <v>11</v>
      </c>
      <c r="N1113" s="9">
        <f t="shared" si="181"/>
        <v>933</v>
      </c>
      <c r="O1113" s="9">
        <f t="shared" si="182"/>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85"/>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35">
      <c r="A1114">
        <v>1113</v>
      </c>
      <c r="B1114">
        <v>74</v>
      </c>
      <c r="C1114" s="22" t="s">
        <v>1079</v>
      </c>
      <c r="D1114" s="11">
        <v>3.3</v>
      </c>
      <c r="E1114" s="12">
        <v>0.9</v>
      </c>
      <c r="F1114" s="7">
        <f t="shared" si="186"/>
        <v>3.6666666666666665</v>
      </c>
      <c r="G1114" s="8">
        <v>0</v>
      </c>
      <c r="H1114" s="9">
        <v>1</v>
      </c>
      <c r="I1114" s="9">
        <v>0</v>
      </c>
      <c r="J1114" s="9">
        <v>0</v>
      </c>
      <c r="K1114" s="9">
        <v>0</v>
      </c>
      <c r="L1114" s="8">
        <v>1047</v>
      </c>
      <c r="M1114" s="9">
        <v>11</v>
      </c>
      <c r="N1114" s="9">
        <f t="shared" si="181"/>
        <v>1035</v>
      </c>
      <c r="O1114" s="9">
        <f t="shared" si="182"/>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85"/>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35">
      <c r="A1115">
        <v>1114</v>
      </c>
      <c r="B1115">
        <v>74</v>
      </c>
      <c r="C1115" s="22" t="s">
        <v>1079</v>
      </c>
      <c r="D1115" s="11">
        <v>7.4</v>
      </c>
      <c r="E1115" s="12">
        <v>3.2</v>
      </c>
      <c r="F1115" s="7">
        <f t="shared" si="186"/>
        <v>2.3125</v>
      </c>
      <c r="G1115" s="8">
        <v>0</v>
      </c>
      <c r="H1115" s="9">
        <v>1</v>
      </c>
      <c r="I1115" s="9">
        <v>0</v>
      </c>
      <c r="J1115" s="9">
        <v>0</v>
      </c>
      <c r="K1115" s="9">
        <v>0</v>
      </c>
      <c r="L1115" s="8">
        <v>945</v>
      </c>
      <c r="M1115" s="9">
        <v>10</v>
      </c>
      <c r="N1115" s="9">
        <f t="shared" si="181"/>
        <v>934</v>
      </c>
      <c r="O1115" s="9">
        <f t="shared" si="182"/>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85"/>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35">
      <c r="A1116">
        <v>1115</v>
      </c>
      <c r="B1116">
        <v>74</v>
      </c>
      <c r="C1116" s="22" t="s">
        <v>1079</v>
      </c>
      <c r="D1116" s="11">
        <v>7.2</v>
      </c>
      <c r="E1116" s="12">
        <v>4</v>
      </c>
      <c r="F1116" s="7">
        <f t="shared" si="186"/>
        <v>1.8</v>
      </c>
      <c r="G1116" s="8">
        <v>0</v>
      </c>
      <c r="H1116" s="9">
        <v>1</v>
      </c>
      <c r="I1116" s="9">
        <v>0</v>
      </c>
      <c r="J1116" s="9">
        <v>0</v>
      </c>
      <c r="K1116" s="9">
        <v>0</v>
      </c>
      <c r="L1116" s="8">
        <v>945</v>
      </c>
      <c r="M1116" s="9">
        <v>9</v>
      </c>
      <c r="N1116" s="9">
        <f t="shared" si="181"/>
        <v>935</v>
      </c>
      <c r="O1116" s="9">
        <f t="shared" si="182"/>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85"/>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35">
      <c r="A1117">
        <v>1116</v>
      </c>
      <c r="B1117">
        <v>75</v>
      </c>
      <c r="C1117" s="22" t="s">
        <v>1087</v>
      </c>
      <c r="D1117" s="11">
        <v>8.1999999999999993</v>
      </c>
      <c r="E1117" s="12">
        <v>0.1</v>
      </c>
      <c r="F1117" s="7">
        <f t="shared" si="186"/>
        <v>81.999999999999986</v>
      </c>
      <c r="G1117" s="8">
        <v>0</v>
      </c>
      <c r="H1117" s="9">
        <v>0</v>
      </c>
      <c r="I1117" s="9">
        <v>0</v>
      </c>
      <c r="J1117" s="9">
        <v>1</v>
      </c>
      <c r="K1117" s="9">
        <v>0</v>
      </c>
      <c r="L1117" s="8">
        <v>203387</v>
      </c>
      <c r="M1117" s="9">
        <v>10</v>
      </c>
      <c r="N1117" s="9">
        <f t="shared" si="181"/>
        <v>203376</v>
      </c>
      <c r="O1117" s="9">
        <f t="shared" si="182"/>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35">
      <c r="A1118">
        <v>1117</v>
      </c>
      <c r="B1118">
        <v>75</v>
      </c>
      <c r="C1118" s="22" t="s">
        <v>1087</v>
      </c>
      <c r="D1118" s="11">
        <v>9.4</v>
      </c>
      <c r="E1118" s="12">
        <v>0.2</v>
      </c>
      <c r="F1118" s="7">
        <f t="shared" si="186"/>
        <v>47</v>
      </c>
      <c r="G1118" s="8">
        <v>0</v>
      </c>
      <c r="H1118" s="9">
        <v>0</v>
      </c>
      <c r="I1118" s="9">
        <v>0</v>
      </c>
      <c r="J1118" s="9">
        <v>1</v>
      </c>
      <c r="K1118" s="9">
        <v>0</v>
      </c>
      <c r="L1118" s="8">
        <v>203387</v>
      </c>
      <c r="M1118" s="9">
        <v>11</v>
      </c>
      <c r="N1118" s="9">
        <f t="shared" si="181"/>
        <v>203375</v>
      </c>
      <c r="O1118" s="9">
        <f t="shared" si="182"/>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35">
      <c r="A1119">
        <v>1118</v>
      </c>
      <c r="B1119">
        <v>75</v>
      </c>
      <c r="C1119" s="22" t="s">
        <v>1087</v>
      </c>
      <c r="D1119" s="11">
        <v>7.4</v>
      </c>
      <c r="E1119" s="12">
        <v>0.5</v>
      </c>
      <c r="F1119" s="7">
        <f t="shared" si="186"/>
        <v>14.8</v>
      </c>
      <c r="G1119" s="8">
        <v>0</v>
      </c>
      <c r="H1119" s="9">
        <v>0</v>
      </c>
      <c r="I1119" s="9">
        <v>0</v>
      </c>
      <c r="J1119" s="9">
        <v>1</v>
      </c>
      <c r="K1119" s="9">
        <v>0</v>
      </c>
      <c r="L1119" s="8">
        <v>203387</v>
      </c>
      <c r="M1119" s="9">
        <v>12</v>
      </c>
      <c r="N1119" s="9">
        <f t="shared" si="181"/>
        <v>203374</v>
      </c>
      <c r="O1119" s="9">
        <f t="shared" si="182"/>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35">
      <c r="A1120">
        <v>1119</v>
      </c>
      <c r="B1120">
        <v>76</v>
      </c>
      <c r="C1120" s="22" t="s">
        <v>1092</v>
      </c>
      <c r="D1120" s="11">
        <v>4</v>
      </c>
      <c r="E1120" s="12">
        <v>0.3</v>
      </c>
      <c r="F1120" s="7">
        <f t="shared" si="186"/>
        <v>13.333333333333334</v>
      </c>
      <c r="G1120" s="8">
        <v>0</v>
      </c>
      <c r="H1120" s="9">
        <v>0</v>
      </c>
      <c r="I1120" s="9">
        <v>1</v>
      </c>
      <c r="J1120" s="9">
        <v>0</v>
      </c>
      <c r="K1120" s="9">
        <v>0</v>
      </c>
      <c r="L1120" s="8">
        <v>30215</v>
      </c>
      <c r="M1120" s="9">
        <v>4</v>
      </c>
      <c r="N1120" s="9">
        <f t="shared" si="181"/>
        <v>30210</v>
      </c>
      <c r="O1120" s="9">
        <f t="shared" si="182"/>
        <v>10</v>
      </c>
      <c r="P1120" s="7">
        <v>7.84</v>
      </c>
      <c r="Q1120" s="7">
        <f t="shared" ref="Q1120:Q1157" si="187">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88">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35">
      <c r="A1121">
        <v>1120</v>
      </c>
      <c r="B1121">
        <v>76</v>
      </c>
      <c r="C1121" s="22" t="s">
        <v>1092</v>
      </c>
      <c r="D1121" s="11">
        <v>3.2</v>
      </c>
      <c r="E1121" s="12">
        <v>0.3</v>
      </c>
      <c r="F1121" s="7">
        <f t="shared" si="186"/>
        <v>10.666666666666668</v>
      </c>
      <c r="G1121" s="8">
        <v>0</v>
      </c>
      <c r="H1121" s="9">
        <v>0</v>
      </c>
      <c r="I1121" s="9">
        <v>1</v>
      </c>
      <c r="J1121" s="9">
        <v>0</v>
      </c>
      <c r="K1121" s="9">
        <v>0</v>
      </c>
      <c r="L1121" s="8">
        <v>30962</v>
      </c>
      <c r="M1121" s="9">
        <v>4</v>
      </c>
      <c r="N1121" s="9">
        <f t="shared" si="181"/>
        <v>30957</v>
      </c>
      <c r="O1121" s="9">
        <f t="shared" si="182"/>
        <v>10</v>
      </c>
      <c r="P1121" s="7">
        <v>7.98</v>
      </c>
      <c r="Q1121" s="7">
        <f t="shared" si="187"/>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88"/>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35">
      <c r="A1122">
        <v>1121</v>
      </c>
      <c r="B1122">
        <v>76</v>
      </c>
      <c r="C1122" s="22" t="s">
        <v>1092</v>
      </c>
      <c r="D1122" s="11">
        <v>3.9</v>
      </c>
      <c r="E1122" s="12">
        <v>0.3</v>
      </c>
      <c r="F1122" s="7">
        <f t="shared" si="186"/>
        <v>13</v>
      </c>
      <c r="G1122" s="8">
        <v>0</v>
      </c>
      <c r="H1122" s="9">
        <v>0</v>
      </c>
      <c r="I1122" s="9">
        <v>1</v>
      </c>
      <c r="J1122" s="9">
        <v>0</v>
      </c>
      <c r="K1122" s="9">
        <v>0</v>
      </c>
      <c r="L1122" s="8">
        <v>33737</v>
      </c>
      <c r="M1122" s="9">
        <v>4</v>
      </c>
      <c r="N1122" s="9">
        <f t="shared" si="181"/>
        <v>33732</v>
      </c>
      <c r="O1122" s="9">
        <f t="shared" si="182"/>
        <v>10</v>
      </c>
      <c r="P1122" s="7">
        <v>8.07</v>
      </c>
      <c r="Q1122" s="7">
        <f t="shared" si="187"/>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88"/>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35">
      <c r="A1123">
        <v>1122</v>
      </c>
      <c r="B1123">
        <v>76</v>
      </c>
      <c r="C1123" s="22" t="s">
        <v>1092</v>
      </c>
      <c r="D1123" s="11">
        <v>3.1</v>
      </c>
      <c r="E1123" s="12">
        <v>0.3</v>
      </c>
      <c r="F1123" s="7">
        <f t="shared" si="186"/>
        <v>10.333333333333334</v>
      </c>
      <c r="G1123" s="8">
        <v>0</v>
      </c>
      <c r="H1123" s="9">
        <v>0</v>
      </c>
      <c r="I1123" s="9">
        <v>1</v>
      </c>
      <c r="J1123" s="9">
        <v>0</v>
      </c>
      <c r="K1123" s="9">
        <v>0</v>
      </c>
      <c r="L1123" s="8">
        <v>34309</v>
      </c>
      <c r="M1123" s="9">
        <v>4</v>
      </c>
      <c r="N1123" s="9">
        <f t="shared" si="181"/>
        <v>34304</v>
      </c>
      <c r="O1123" s="9">
        <f t="shared" si="182"/>
        <v>10</v>
      </c>
      <c r="P1123" s="7">
        <v>8.19</v>
      </c>
      <c r="Q1123" s="7">
        <f t="shared" si="187"/>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88"/>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35">
      <c r="A1124">
        <v>1123</v>
      </c>
      <c r="B1124">
        <v>76</v>
      </c>
      <c r="C1124" s="22" t="s">
        <v>1092</v>
      </c>
      <c r="D1124" s="11">
        <v>2.1</v>
      </c>
      <c r="E1124" s="12">
        <v>0.2</v>
      </c>
      <c r="F1124" s="7">
        <f t="shared" si="186"/>
        <v>10.5</v>
      </c>
      <c r="G1124" s="8">
        <v>0</v>
      </c>
      <c r="H1124" s="9">
        <v>0</v>
      </c>
      <c r="I1124" s="9">
        <v>1</v>
      </c>
      <c r="J1124" s="9">
        <v>0</v>
      </c>
      <c r="K1124" s="9">
        <v>0</v>
      </c>
      <c r="L1124" s="8">
        <v>36137</v>
      </c>
      <c r="M1124" s="9">
        <v>4</v>
      </c>
      <c r="N1124" s="9">
        <f t="shared" si="181"/>
        <v>36132</v>
      </c>
      <c r="O1124" s="9">
        <f t="shared" si="182"/>
        <v>10</v>
      </c>
      <c r="P1124" s="7">
        <v>8.3699999999999992</v>
      </c>
      <c r="Q1124" s="7">
        <f t="shared" si="187"/>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88"/>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35">
      <c r="A1125">
        <v>1124</v>
      </c>
      <c r="B1125">
        <v>76</v>
      </c>
      <c r="C1125" s="22" t="s">
        <v>1092</v>
      </c>
      <c r="D1125" s="11">
        <v>2.6</v>
      </c>
      <c r="E1125" s="12">
        <v>0.2</v>
      </c>
      <c r="F1125" s="7">
        <f t="shared" si="186"/>
        <v>13</v>
      </c>
      <c r="G1125" s="8">
        <v>0</v>
      </c>
      <c r="H1125" s="9">
        <v>0</v>
      </c>
      <c r="I1125" s="9">
        <v>1</v>
      </c>
      <c r="J1125" s="9">
        <v>0</v>
      </c>
      <c r="K1125" s="9">
        <v>0</v>
      </c>
      <c r="L1125" s="8">
        <v>39222</v>
      </c>
      <c r="M1125" s="9">
        <v>4</v>
      </c>
      <c r="N1125" s="9">
        <f t="shared" si="181"/>
        <v>39217</v>
      </c>
      <c r="O1125" s="9">
        <f t="shared" si="182"/>
        <v>10</v>
      </c>
      <c r="P1125" s="7">
        <v>8.36</v>
      </c>
      <c r="Q1125" s="7">
        <f t="shared" si="187"/>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88"/>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35">
      <c r="A1126">
        <v>1125</v>
      </c>
      <c r="B1126">
        <v>76</v>
      </c>
      <c r="C1126" s="22" t="s">
        <v>1092</v>
      </c>
      <c r="D1126" s="11">
        <v>1.1000000000000001</v>
      </c>
      <c r="E1126" s="12">
        <v>0.2</v>
      </c>
      <c r="F1126" s="7">
        <f t="shared" si="186"/>
        <v>5.5</v>
      </c>
      <c r="G1126" s="8">
        <v>0</v>
      </c>
      <c r="H1126" s="9">
        <v>0</v>
      </c>
      <c r="I1126" s="9">
        <v>1</v>
      </c>
      <c r="J1126" s="9">
        <v>0</v>
      </c>
      <c r="K1126" s="9">
        <v>0</v>
      </c>
      <c r="L1126" s="8">
        <v>34525</v>
      </c>
      <c r="M1126" s="9">
        <v>4</v>
      </c>
      <c r="N1126" s="9">
        <f t="shared" si="181"/>
        <v>34520</v>
      </c>
      <c r="O1126" s="9">
        <f t="shared" si="182"/>
        <v>10</v>
      </c>
      <c r="P1126" s="7">
        <v>8.39</v>
      </c>
      <c r="Q1126" s="7">
        <f t="shared" si="187"/>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88"/>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35">
      <c r="A1127">
        <v>1126</v>
      </c>
      <c r="B1127">
        <v>76</v>
      </c>
      <c r="C1127" s="22" t="s">
        <v>1092</v>
      </c>
      <c r="D1127" s="11">
        <v>0.3</v>
      </c>
      <c r="E1127" s="12">
        <v>0.3</v>
      </c>
      <c r="F1127" s="7">
        <f t="shared" si="186"/>
        <v>1</v>
      </c>
      <c r="G1127" s="8">
        <v>0</v>
      </c>
      <c r="H1127" s="9">
        <v>0</v>
      </c>
      <c r="I1127" s="9">
        <v>1</v>
      </c>
      <c r="J1127" s="9">
        <v>0</v>
      </c>
      <c r="K1127" s="9">
        <v>0</v>
      </c>
      <c r="L1127" s="8">
        <v>35292</v>
      </c>
      <c r="M1127" s="9">
        <v>4</v>
      </c>
      <c r="N1127" s="9">
        <f t="shared" si="181"/>
        <v>35287</v>
      </c>
      <c r="O1127" s="9">
        <f t="shared" si="182"/>
        <v>10</v>
      </c>
      <c r="P1127" s="7">
        <v>8.49</v>
      </c>
      <c r="Q1127" s="7">
        <f t="shared" si="187"/>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88"/>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35">
      <c r="A1128">
        <v>1127</v>
      </c>
      <c r="B1128">
        <v>76</v>
      </c>
      <c r="C1128" s="22" t="s">
        <v>1092</v>
      </c>
      <c r="D1128" s="11">
        <v>1.4</v>
      </c>
      <c r="E1128" s="12">
        <v>0.2</v>
      </c>
      <c r="F1128" s="7">
        <f t="shared" si="186"/>
        <v>6.9999999999999991</v>
      </c>
      <c r="G1128" s="8">
        <v>0</v>
      </c>
      <c r="H1128" s="9">
        <v>0</v>
      </c>
      <c r="I1128" s="9">
        <v>1</v>
      </c>
      <c r="J1128" s="9">
        <v>0</v>
      </c>
      <c r="K1128" s="9">
        <v>0</v>
      </c>
      <c r="L1128" s="8">
        <v>36665</v>
      </c>
      <c r="M1128" s="9">
        <v>4</v>
      </c>
      <c r="N1128" s="9">
        <f t="shared" si="181"/>
        <v>36660</v>
      </c>
      <c r="O1128" s="9">
        <f t="shared" si="182"/>
        <v>10</v>
      </c>
      <c r="P1128" s="7">
        <v>8.5299999999999994</v>
      </c>
      <c r="Q1128" s="7">
        <f t="shared" si="187"/>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88"/>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35">
      <c r="A1129">
        <v>1128</v>
      </c>
      <c r="B1129">
        <v>76</v>
      </c>
      <c r="C1129" s="22" t="s">
        <v>1092</v>
      </c>
      <c r="D1129" s="11">
        <v>1.7</v>
      </c>
      <c r="E1129" s="12">
        <v>0.3</v>
      </c>
      <c r="F1129" s="7">
        <f t="shared" si="186"/>
        <v>5.666666666666667</v>
      </c>
      <c r="G1129" s="8">
        <v>0</v>
      </c>
      <c r="H1129" s="9">
        <v>0</v>
      </c>
      <c r="I1129" s="9">
        <v>1</v>
      </c>
      <c r="J1129" s="9">
        <v>0</v>
      </c>
      <c r="K1129" s="9">
        <v>0</v>
      </c>
      <c r="L1129" s="8">
        <v>34139</v>
      </c>
      <c r="M1129" s="9">
        <v>4</v>
      </c>
      <c r="N1129" s="9">
        <f t="shared" si="181"/>
        <v>34134</v>
      </c>
      <c r="O1129" s="9">
        <f t="shared" si="182"/>
        <v>10</v>
      </c>
      <c r="P1129" s="7">
        <v>8.65</v>
      </c>
      <c r="Q1129" s="7">
        <f t="shared" si="187"/>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88"/>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35">
      <c r="A1130">
        <v>1129</v>
      </c>
      <c r="B1130">
        <v>77</v>
      </c>
      <c r="C1130" s="22" t="s">
        <v>1096</v>
      </c>
      <c r="D1130" s="11">
        <v>7.15</v>
      </c>
      <c r="E1130" s="12">
        <v>2.19</v>
      </c>
      <c r="F1130" s="7">
        <f t="shared" si="186"/>
        <v>3.2648401826484021</v>
      </c>
      <c r="G1130" s="8">
        <v>0</v>
      </c>
      <c r="H1130" s="9">
        <v>0</v>
      </c>
      <c r="I1130" s="9">
        <v>0</v>
      </c>
      <c r="J1130" s="9">
        <v>1</v>
      </c>
      <c r="K1130" s="9">
        <v>0</v>
      </c>
      <c r="L1130" s="8">
        <v>247199</v>
      </c>
      <c r="M1130" s="9">
        <v>4</v>
      </c>
      <c r="N1130" s="9">
        <f t="shared" si="181"/>
        <v>247194</v>
      </c>
      <c r="O1130" s="9">
        <f t="shared" si="182"/>
        <v>28</v>
      </c>
      <c r="P1130" s="7">
        <v>12.79</v>
      </c>
      <c r="Q1130" s="7">
        <f t="shared" si="187"/>
        <v>35.71</v>
      </c>
      <c r="R1130" s="9">
        <v>1</v>
      </c>
      <c r="S1130" s="9">
        <v>0</v>
      </c>
      <c r="T1130" s="9">
        <v>0</v>
      </c>
      <c r="U1130" s="9">
        <v>0</v>
      </c>
      <c r="V1130" s="9">
        <v>1</v>
      </c>
      <c r="W1130" s="27">
        <v>0</v>
      </c>
      <c r="X1130" s="9">
        <v>0</v>
      </c>
      <c r="Y1130" s="9">
        <v>1</v>
      </c>
      <c r="Z1130" s="27">
        <v>0</v>
      </c>
      <c r="AA1130" s="9">
        <v>1</v>
      </c>
      <c r="AB1130" s="27">
        <v>0</v>
      </c>
      <c r="AC1130" s="18">
        <v>1970</v>
      </c>
      <c r="AD1130" s="29">
        <f t="shared" ref="AD1130:AE1157" si="189">(1-$AF1130-$AG1130)/2</f>
        <v>0.11499999999999999</v>
      </c>
      <c r="AE1130" s="29">
        <f t="shared" si="189"/>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35">
      <c r="A1131">
        <v>1130</v>
      </c>
      <c r="B1131">
        <v>77</v>
      </c>
      <c r="C1131" s="22" t="s">
        <v>1096</v>
      </c>
      <c r="D1131" s="11">
        <v>8.01</v>
      </c>
      <c r="E1131" s="12">
        <v>0.04</v>
      </c>
      <c r="F1131" s="7">
        <f t="shared" si="186"/>
        <v>200.25</v>
      </c>
      <c r="G1131" s="8">
        <v>0</v>
      </c>
      <c r="H1131" s="9">
        <v>0</v>
      </c>
      <c r="I1131" s="9">
        <v>0</v>
      </c>
      <c r="J1131" s="9">
        <v>1</v>
      </c>
      <c r="K1131" s="9">
        <v>0</v>
      </c>
      <c r="L1131" s="8">
        <v>247199</v>
      </c>
      <c r="M1131" s="9">
        <v>4</v>
      </c>
      <c r="N1131" s="9">
        <f t="shared" si="181"/>
        <v>247194</v>
      </c>
      <c r="O1131" s="9">
        <f t="shared" si="182"/>
        <v>28</v>
      </c>
      <c r="P1131" s="7">
        <v>12.79</v>
      </c>
      <c r="Q1131" s="7">
        <f t="shared" si="187"/>
        <v>35.71</v>
      </c>
      <c r="R1131" s="9">
        <v>1</v>
      </c>
      <c r="S1131" s="9">
        <v>0</v>
      </c>
      <c r="T1131" s="9">
        <v>0</v>
      </c>
      <c r="U1131" s="9">
        <v>0</v>
      </c>
      <c r="V1131" s="9">
        <v>1</v>
      </c>
      <c r="W1131" s="27">
        <v>0</v>
      </c>
      <c r="X1131" s="9">
        <v>0</v>
      </c>
      <c r="Y1131" s="9">
        <v>1</v>
      </c>
      <c r="Z1131" s="27">
        <v>0</v>
      </c>
      <c r="AA1131" s="9">
        <v>1</v>
      </c>
      <c r="AB1131" s="27">
        <v>0</v>
      </c>
      <c r="AC1131" s="18">
        <v>1970</v>
      </c>
      <c r="AD1131" s="29">
        <f t="shared" si="189"/>
        <v>0.11499999999999999</v>
      </c>
      <c r="AE1131" s="29">
        <f t="shared" si="189"/>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35">
      <c r="A1132">
        <v>1131</v>
      </c>
      <c r="B1132">
        <v>77</v>
      </c>
      <c r="C1132" s="22" t="s">
        <v>1096</v>
      </c>
      <c r="D1132" s="11">
        <v>10.199999999999999</v>
      </c>
      <c r="E1132" s="12">
        <v>2.39</v>
      </c>
      <c r="F1132" s="7">
        <f t="shared" si="186"/>
        <v>4.2677824267782425</v>
      </c>
      <c r="G1132" s="8">
        <v>0</v>
      </c>
      <c r="H1132" s="9">
        <v>0</v>
      </c>
      <c r="I1132" s="9">
        <v>0</v>
      </c>
      <c r="J1132" s="9">
        <v>1</v>
      </c>
      <c r="K1132" s="9">
        <v>0</v>
      </c>
      <c r="L1132" s="8">
        <v>327509</v>
      </c>
      <c r="M1132" s="9">
        <v>4</v>
      </c>
      <c r="N1132" s="9">
        <f t="shared" si="181"/>
        <v>327504</v>
      </c>
      <c r="O1132" s="9">
        <f t="shared" si="182"/>
        <v>28</v>
      </c>
      <c r="P1132" s="7">
        <v>12.79</v>
      </c>
      <c r="Q1132" s="7">
        <f t="shared" si="187"/>
        <v>35.71</v>
      </c>
      <c r="R1132" s="9">
        <v>1</v>
      </c>
      <c r="S1132" s="9">
        <v>0</v>
      </c>
      <c r="T1132" s="9">
        <v>0</v>
      </c>
      <c r="U1132" s="9">
        <v>0</v>
      </c>
      <c r="V1132" s="9">
        <v>1</v>
      </c>
      <c r="W1132" s="27">
        <v>0</v>
      </c>
      <c r="X1132" s="9">
        <v>0</v>
      </c>
      <c r="Y1132" s="9">
        <v>1</v>
      </c>
      <c r="Z1132" s="27">
        <v>0</v>
      </c>
      <c r="AA1132" s="9">
        <v>1</v>
      </c>
      <c r="AB1132" s="27">
        <v>0</v>
      </c>
      <c r="AC1132" s="18">
        <v>1970</v>
      </c>
      <c r="AD1132" s="29">
        <f t="shared" si="189"/>
        <v>0.11499999999999999</v>
      </c>
      <c r="AE1132" s="29">
        <f t="shared" si="189"/>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35">
      <c r="A1133">
        <v>1132</v>
      </c>
      <c r="B1133">
        <v>77</v>
      </c>
      <c r="C1133" s="22" t="s">
        <v>1096</v>
      </c>
      <c r="D1133" s="11">
        <v>7.09</v>
      </c>
      <c r="E1133" s="12">
        <v>0.03</v>
      </c>
      <c r="F1133" s="7">
        <f t="shared" si="186"/>
        <v>236.33333333333334</v>
      </c>
      <c r="G1133" s="8">
        <v>0</v>
      </c>
      <c r="H1133" s="9">
        <v>0</v>
      </c>
      <c r="I1133" s="9">
        <v>0</v>
      </c>
      <c r="J1133" s="9">
        <v>1</v>
      </c>
      <c r="K1133" s="9">
        <v>0</v>
      </c>
      <c r="L1133" s="8">
        <v>327509</v>
      </c>
      <c r="M1133" s="9">
        <v>4</v>
      </c>
      <c r="N1133" s="9">
        <f t="shared" si="181"/>
        <v>327504</v>
      </c>
      <c r="O1133" s="9">
        <f t="shared" si="182"/>
        <v>28</v>
      </c>
      <c r="P1133" s="7">
        <v>12.79</v>
      </c>
      <c r="Q1133" s="7">
        <f t="shared" si="187"/>
        <v>35.71</v>
      </c>
      <c r="R1133" s="9">
        <v>1</v>
      </c>
      <c r="S1133" s="9">
        <v>0</v>
      </c>
      <c r="T1133" s="9">
        <v>0</v>
      </c>
      <c r="U1133" s="9">
        <v>0</v>
      </c>
      <c r="V1133" s="9">
        <v>1</v>
      </c>
      <c r="W1133" s="27">
        <v>0</v>
      </c>
      <c r="X1133" s="9">
        <v>0</v>
      </c>
      <c r="Y1133" s="9">
        <v>1</v>
      </c>
      <c r="Z1133" s="27">
        <v>0</v>
      </c>
      <c r="AA1133" s="9">
        <v>1</v>
      </c>
      <c r="AB1133" s="27">
        <v>0</v>
      </c>
      <c r="AC1133" s="18">
        <v>1970</v>
      </c>
      <c r="AD1133" s="29">
        <f t="shared" si="189"/>
        <v>0.11499999999999999</v>
      </c>
      <c r="AE1133" s="29">
        <f t="shared" si="189"/>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35">
      <c r="A1134">
        <v>1133</v>
      </c>
      <c r="B1134">
        <v>77</v>
      </c>
      <c r="C1134" s="22" t="s">
        <v>1096</v>
      </c>
      <c r="D1134" s="11">
        <v>5.73</v>
      </c>
      <c r="E1134" s="12">
        <v>0.03</v>
      </c>
      <c r="F1134" s="7">
        <f t="shared" si="186"/>
        <v>191.00000000000003</v>
      </c>
      <c r="G1134" s="8">
        <v>0</v>
      </c>
      <c r="H1134" s="9">
        <v>0</v>
      </c>
      <c r="I1134" s="9">
        <v>0</v>
      </c>
      <c r="J1134" s="9">
        <v>1</v>
      </c>
      <c r="K1134" s="9">
        <v>0</v>
      </c>
      <c r="L1134" s="8">
        <v>486926</v>
      </c>
      <c r="M1134" s="9">
        <v>10</v>
      </c>
      <c r="N1134" s="9">
        <f t="shared" si="181"/>
        <v>486915</v>
      </c>
      <c r="O1134" s="9">
        <f t="shared" si="182"/>
        <v>28</v>
      </c>
      <c r="P1134" s="7">
        <v>13.56</v>
      </c>
      <c r="Q1134" s="7">
        <f t="shared" si="187"/>
        <v>24.939999999999998</v>
      </c>
      <c r="R1134" s="9">
        <v>1</v>
      </c>
      <c r="S1134" s="9">
        <v>0</v>
      </c>
      <c r="T1134" s="9">
        <v>0</v>
      </c>
      <c r="U1134" s="9">
        <v>0</v>
      </c>
      <c r="V1134" s="9">
        <v>1</v>
      </c>
      <c r="W1134" s="27">
        <v>0</v>
      </c>
      <c r="X1134" s="9">
        <v>0</v>
      </c>
      <c r="Y1134" s="9">
        <v>1</v>
      </c>
      <c r="Z1134" s="27">
        <v>0</v>
      </c>
      <c r="AA1134" s="9">
        <v>1</v>
      </c>
      <c r="AB1134" s="27">
        <v>0</v>
      </c>
      <c r="AC1134" s="18">
        <v>1980</v>
      </c>
      <c r="AD1134" s="29">
        <f t="shared" si="189"/>
        <v>6.9999999999999979E-2</v>
      </c>
      <c r="AE1134" s="29">
        <f t="shared" si="189"/>
        <v>6.9999999999999979E-2</v>
      </c>
      <c r="AF1134" s="29">
        <f t="shared" ref="AF1134:AF1141" si="190">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35">
      <c r="A1135">
        <v>1134</v>
      </c>
      <c r="B1135">
        <v>77</v>
      </c>
      <c r="C1135" s="22" t="s">
        <v>1096</v>
      </c>
      <c r="D1135" s="11">
        <v>5.53</v>
      </c>
      <c r="E1135" s="12">
        <v>1.38</v>
      </c>
      <c r="F1135" s="7">
        <f t="shared" ref="F1135:F1157" si="191">D1135/E1135</f>
        <v>4.0072463768115947</v>
      </c>
      <c r="G1135" s="8">
        <v>0</v>
      </c>
      <c r="H1135" s="9">
        <v>0</v>
      </c>
      <c r="I1135" s="9">
        <v>0</v>
      </c>
      <c r="J1135" s="9">
        <v>1</v>
      </c>
      <c r="K1135" s="9">
        <v>0</v>
      </c>
      <c r="L1135" s="8">
        <v>486926</v>
      </c>
      <c r="M1135" s="9">
        <v>10</v>
      </c>
      <c r="N1135" s="9">
        <f t="shared" si="181"/>
        <v>486915</v>
      </c>
      <c r="O1135" s="9">
        <f t="shared" si="182"/>
        <v>28</v>
      </c>
      <c r="P1135" s="7">
        <v>13.56</v>
      </c>
      <c r="Q1135" s="7">
        <f t="shared" si="187"/>
        <v>24.939999999999998</v>
      </c>
      <c r="R1135" s="9">
        <v>1</v>
      </c>
      <c r="S1135" s="9">
        <v>0</v>
      </c>
      <c r="T1135" s="9">
        <v>0</v>
      </c>
      <c r="U1135" s="9">
        <v>0</v>
      </c>
      <c r="V1135" s="9">
        <v>1</v>
      </c>
      <c r="W1135" s="27">
        <v>0</v>
      </c>
      <c r="X1135" s="9">
        <v>0</v>
      </c>
      <c r="Y1135" s="9">
        <v>1</v>
      </c>
      <c r="Z1135" s="27">
        <v>0</v>
      </c>
      <c r="AA1135" s="9">
        <v>1</v>
      </c>
      <c r="AB1135" s="27">
        <v>0</v>
      </c>
      <c r="AC1135" s="18">
        <v>1980</v>
      </c>
      <c r="AD1135" s="29">
        <f t="shared" si="189"/>
        <v>6.9999999999999979E-2</v>
      </c>
      <c r="AE1135" s="29">
        <f t="shared" si="189"/>
        <v>6.9999999999999979E-2</v>
      </c>
      <c r="AF1135" s="29">
        <f t="shared" si="190"/>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35">
      <c r="A1136">
        <v>1135</v>
      </c>
      <c r="B1136">
        <v>77</v>
      </c>
      <c r="C1136" s="22" t="s">
        <v>1096</v>
      </c>
      <c r="D1136" s="11">
        <v>5.73</v>
      </c>
      <c r="E1136" s="12">
        <v>0.03</v>
      </c>
      <c r="F1136" s="7">
        <f t="shared" si="191"/>
        <v>191.00000000000003</v>
      </c>
      <c r="G1136" s="8">
        <v>0</v>
      </c>
      <c r="H1136" s="9">
        <v>0</v>
      </c>
      <c r="I1136" s="9">
        <v>0</v>
      </c>
      <c r="J1136" s="9">
        <v>1</v>
      </c>
      <c r="K1136" s="9">
        <v>0</v>
      </c>
      <c r="L1136" s="8">
        <v>486926</v>
      </c>
      <c r="M1136" s="9">
        <v>12</v>
      </c>
      <c r="N1136" s="9">
        <f t="shared" si="181"/>
        <v>486913</v>
      </c>
      <c r="O1136" s="9">
        <f t="shared" si="182"/>
        <v>28</v>
      </c>
      <c r="P1136" s="7">
        <v>13.56</v>
      </c>
      <c r="Q1136" s="7">
        <f t="shared" si="187"/>
        <v>24.939999999999998</v>
      </c>
      <c r="R1136" s="9">
        <v>1</v>
      </c>
      <c r="S1136" s="9">
        <v>0</v>
      </c>
      <c r="T1136" s="9">
        <v>0</v>
      </c>
      <c r="U1136" s="9">
        <v>0</v>
      </c>
      <c r="V1136" s="9">
        <v>1</v>
      </c>
      <c r="W1136" s="27">
        <v>0</v>
      </c>
      <c r="X1136" s="9">
        <v>0</v>
      </c>
      <c r="Y1136" s="9">
        <v>1</v>
      </c>
      <c r="Z1136" s="27">
        <v>0</v>
      </c>
      <c r="AA1136" s="9">
        <v>1</v>
      </c>
      <c r="AB1136" s="27">
        <v>0</v>
      </c>
      <c r="AC1136" s="18">
        <v>1980</v>
      </c>
      <c r="AD1136" s="29">
        <f t="shared" si="189"/>
        <v>6.9999999999999979E-2</v>
      </c>
      <c r="AE1136" s="29">
        <f t="shared" si="189"/>
        <v>6.9999999999999979E-2</v>
      </c>
      <c r="AF1136" s="29">
        <f t="shared" si="190"/>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35">
      <c r="A1137">
        <v>1136</v>
      </c>
      <c r="B1137">
        <v>77</v>
      </c>
      <c r="C1137" s="22" t="s">
        <v>1096</v>
      </c>
      <c r="D1137" s="11">
        <v>9.48</v>
      </c>
      <c r="E1137" s="12">
        <v>2.23</v>
      </c>
      <c r="F1137" s="7">
        <f t="shared" si="191"/>
        <v>4.2511210762331837</v>
      </c>
      <c r="G1137" s="8">
        <v>0</v>
      </c>
      <c r="H1137" s="9">
        <v>0</v>
      </c>
      <c r="I1137" s="9">
        <v>0</v>
      </c>
      <c r="J1137" s="9">
        <v>1</v>
      </c>
      <c r="K1137" s="9">
        <v>0</v>
      </c>
      <c r="L1137" s="8">
        <v>486926</v>
      </c>
      <c r="M1137" s="9">
        <v>12</v>
      </c>
      <c r="N1137" s="9">
        <f t="shared" si="181"/>
        <v>486913</v>
      </c>
      <c r="O1137" s="9">
        <f t="shared" si="182"/>
        <v>28</v>
      </c>
      <c r="P1137" s="7">
        <v>13.56</v>
      </c>
      <c r="Q1137" s="7">
        <f t="shared" si="187"/>
        <v>24.939999999999998</v>
      </c>
      <c r="R1137" s="9">
        <v>1</v>
      </c>
      <c r="S1137" s="9">
        <v>0</v>
      </c>
      <c r="T1137" s="9">
        <v>0</v>
      </c>
      <c r="U1137" s="9">
        <v>0</v>
      </c>
      <c r="V1137" s="9">
        <v>1</v>
      </c>
      <c r="W1137" s="27">
        <v>0</v>
      </c>
      <c r="X1137" s="9">
        <v>0</v>
      </c>
      <c r="Y1137" s="9">
        <v>1</v>
      </c>
      <c r="Z1137" s="27">
        <v>0</v>
      </c>
      <c r="AA1137" s="9">
        <v>1</v>
      </c>
      <c r="AB1137" s="27">
        <v>0</v>
      </c>
      <c r="AC1137" s="18">
        <v>1980</v>
      </c>
      <c r="AD1137" s="29">
        <f t="shared" si="189"/>
        <v>6.9999999999999979E-2</v>
      </c>
      <c r="AE1137" s="29">
        <f t="shared" si="189"/>
        <v>6.9999999999999979E-2</v>
      </c>
      <c r="AF1137" s="29">
        <f t="shared" si="190"/>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35">
      <c r="A1138">
        <v>1137</v>
      </c>
      <c r="B1138">
        <v>77</v>
      </c>
      <c r="C1138" s="22" t="s">
        <v>1096</v>
      </c>
      <c r="D1138" s="11">
        <v>5.2</v>
      </c>
      <c r="E1138" s="12">
        <v>0.03</v>
      </c>
      <c r="F1138" s="7">
        <f t="shared" si="191"/>
        <v>173.33333333333334</v>
      </c>
      <c r="G1138" s="8">
        <v>0</v>
      </c>
      <c r="H1138" s="9">
        <v>0</v>
      </c>
      <c r="I1138" s="9">
        <v>0</v>
      </c>
      <c r="J1138" s="9">
        <v>1</v>
      </c>
      <c r="K1138" s="9">
        <v>0</v>
      </c>
      <c r="L1138" s="8">
        <v>486926</v>
      </c>
      <c r="M1138" s="9">
        <v>21</v>
      </c>
      <c r="N1138" s="9">
        <f t="shared" si="181"/>
        <v>486904</v>
      </c>
      <c r="O1138" s="9">
        <f t="shared" si="182"/>
        <v>28</v>
      </c>
      <c r="P1138" s="7">
        <v>13.56</v>
      </c>
      <c r="Q1138" s="7">
        <f t="shared" si="187"/>
        <v>24.939999999999998</v>
      </c>
      <c r="R1138" s="9">
        <v>1</v>
      </c>
      <c r="S1138" s="9">
        <v>0</v>
      </c>
      <c r="T1138" s="9">
        <v>0</v>
      </c>
      <c r="U1138" s="9">
        <v>0</v>
      </c>
      <c r="V1138" s="9">
        <v>1</v>
      </c>
      <c r="W1138" s="27">
        <v>0</v>
      </c>
      <c r="X1138" s="9">
        <v>0</v>
      </c>
      <c r="Y1138" s="9">
        <v>1</v>
      </c>
      <c r="Z1138" s="27">
        <v>0</v>
      </c>
      <c r="AA1138" s="9">
        <v>1</v>
      </c>
      <c r="AB1138" s="27">
        <v>0</v>
      </c>
      <c r="AC1138" s="18">
        <v>1980</v>
      </c>
      <c r="AD1138" s="29">
        <f t="shared" si="189"/>
        <v>6.9999999999999979E-2</v>
      </c>
      <c r="AE1138" s="29">
        <f t="shared" si="189"/>
        <v>6.9999999999999979E-2</v>
      </c>
      <c r="AF1138" s="29">
        <f t="shared" si="190"/>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35">
      <c r="A1139">
        <v>1138</v>
      </c>
      <c r="B1139">
        <v>77</v>
      </c>
      <c r="C1139" s="22" t="s">
        <v>1096</v>
      </c>
      <c r="D1139" s="11">
        <v>3.93</v>
      </c>
      <c r="E1139" s="12">
        <v>1.45</v>
      </c>
      <c r="F1139" s="7">
        <f t="shared" si="191"/>
        <v>2.7103448275862072</v>
      </c>
      <c r="G1139" s="8">
        <v>0</v>
      </c>
      <c r="H1139" s="9">
        <v>0</v>
      </c>
      <c r="I1139" s="9">
        <v>0</v>
      </c>
      <c r="J1139" s="9">
        <v>1</v>
      </c>
      <c r="K1139" s="9">
        <v>0</v>
      </c>
      <c r="L1139" s="8">
        <v>486926</v>
      </c>
      <c r="M1139" s="9">
        <v>21</v>
      </c>
      <c r="N1139" s="9">
        <f t="shared" si="181"/>
        <v>486904</v>
      </c>
      <c r="O1139" s="9">
        <f t="shared" si="182"/>
        <v>28</v>
      </c>
      <c r="P1139" s="7">
        <v>13.56</v>
      </c>
      <c r="Q1139" s="7">
        <f t="shared" si="187"/>
        <v>24.939999999999998</v>
      </c>
      <c r="R1139" s="9">
        <v>1</v>
      </c>
      <c r="S1139" s="9">
        <v>0</v>
      </c>
      <c r="T1139" s="9">
        <v>0</v>
      </c>
      <c r="U1139" s="9">
        <v>0</v>
      </c>
      <c r="V1139" s="9">
        <v>1</v>
      </c>
      <c r="W1139" s="27">
        <v>0</v>
      </c>
      <c r="X1139" s="9">
        <v>0</v>
      </c>
      <c r="Y1139" s="9">
        <v>1</v>
      </c>
      <c r="Z1139" s="27">
        <v>0</v>
      </c>
      <c r="AA1139" s="9">
        <v>1</v>
      </c>
      <c r="AB1139" s="27">
        <v>0</v>
      </c>
      <c r="AC1139" s="18">
        <v>1980</v>
      </c>
      <c r="AD1139" s="29">
        <f t="shared" si="189"/>
        <v>6.9999999999999979E-2</v>
      </c>
      <c r="AE1139" s="29">
        <f t="shared" si="189"/>
        <v>6.9999999999999979E-2</v>
      </c>
      <c r="AF1139" s="29">
        <f t="shared" si="190"/>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35">
      <c r="A1140">
        <v>1139</v>
      </c>
      <c r="B1140">
        <v>77</v>
      </c>
      <c r="C1140" s="22" t="s">
        <v>1096</v>
      </c>
      <c r="D1140" s="11">
        <v>5.21</v>
      </c>
      <c r="E1140" s="12">
        <v>0.03</v>
      </c>
      <c r="F1140" s="7">
        <f t="shared" si="191"/>
        <v>173.66666666666669</v>
      </c>
      <c r="G1140" s="8">
        <v>0</v>
      </c>
      <c r="H1140" s="9">
        <v>0</v>
      </c>
      <c r="I1140" s="9">
        <v>0</v>
      </c>
      <c r="J1140" s="9">
        <v>1</v>
      </c>
      <c r="K1140" s="9">
        <v>0</v>
      </c>
      <c r="L1140" s="8">
        <v>486926</v>
      </c>
      <c r="M1140" s="9">
        <v>23</v>
      </c>
      <c r="N1140" s="9">
        <f t="shared" si="181"/>
        <v>486902</v>
      </c>
      <c r="O1140" s="9">
        <f t="shared" si="182"/>
        <v>28</v>
      </c>
      <c r="P1140" s="7">
        <v>13.56</v>
      </c>
      <c r="Q1140" s="7">
        <f t="shared" si="187"/>
        <v>24.939999999999998</v>
      </c>
      <c r="R1140" s="9">
        <v>1</v>
      </c>
      <c r="S1140" s="9">
        <v>0</v>
      </c>
      <c r="T1140" s="9">
        <v>0</v>
      </c>
      <c r="U1140" s="9">
        <v>0</v>
      </c>
      <c r="V1140" s="9">
        <v>1</v>
      </c>
      <c r="W1140" s="27">
        <v>0</v>
      </c>
      <c r="X1140" s="9">
        <v>0</v>
      </c>
      <c r="Y1140" s="9">
        <v>1</v>
      </c>
      <c r="Z1140" s="27">
        <v>0</v>
      </c>
      <c r="AA1140" s="9">
        <v>1</v>
      </c>
      <c r="AB1140" s="27">
        <v>0</v>
      </c>
      <c r="AC1140" s="18">
        <v>1980</v>
      </c>
      <c r="AD1140" s="29">
        <f t="shared" si="189"/>
        <v>6.9999999999999979E-2</v>
      </c>
      <c r="AE1140" s="29">
        <f t="shared" si="189"/>
        <v>6.9999999999999979E-2</v>
      </c>
      <c r="AF1140" s="29">
        <f t="shared" si="190"/>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35">
      <c r="A1141">
        <v>1140</v>
      </c>
      <c r="B1141">
        <v>77</v>
      </c>
      <c r="C1141" s="22" t="s">
        <v>1096</v>
      </c>
      <c r="D1141" s="11">
        <v>7.79</v>
      </c>
      <c r="E1141" s="12">
        <v>2.39</v>
      </c>
      <c r="F1141" s="7">
        <f t="shared" si="191"/>
        <v>3.2594142259414225</v>
      </c>
      <c r="G1141" s="8">
        <v>0</v>
      </c>
      <c r="H1141" s="9">
        <v>0</v>
      </c>
      <c r="I1141" s="9">
        <v>0</v>
      </c>
      <c r="J1141" s="9">
        <v>1</v>
      </c>
      <c r="K1141" s="9">
        <v>0</v>
      </c>
      <c r="L1141" s="8">
        <v>486926</v>
      </c>
      <c r="M1141" s="9">
        <v>23</v>
      </c>
      <c r="N1141" s="9">
        <f t="shared" si="181"/>
        <v>486902</v>
      </c>
      <c r="O1141" s="9">
        <f t="shared" si="182"/>
        <v>28</v>
      </c>
      <c r="P1141" s="7">
        <v>13.56</v>
      </c>
      <c r="Q1141" s="7">
        <f t="shared" si="187"/>
        <v>24.939999999999998</v>
      </c>
      <c r="R1141" s="9">
        <v>1</v>
      </c>
      <c r="S1141" s="9">
        <v>0</v>
      </c>
      <c r="T1141" s="9">
        <v>0</v>
      </c>
      <c r="U1141" s="9">
        <v>0</v>
      </c>
      <c r="V1141" s="9">
        <v>1</v>
      </c>
      <c r="W1141" s="27">
        <v>0</v>
      </c>
      <c r="X1141" s="9">
        <v>0</v>
      </c>
      <c r="Y1141" s="9">
        <v>1</v>
      </c>
      <c r="Z1141" s="27">
        <v>0</v>
      </c>
      <c r="AA1141" s="9">
        <v>1</v>
      </c>
      <c r="AB1141" s="27">
        <v>0</v>
      </c>
      <c r="AC1141" s="18">
        <v>1980</v>
      </c>
      <c r="AD1141" s="29">
        <f t="shared" si="189"/>
        <v>6.9999999999999979E-2</v>
      </c>
      <c r="AE1141" s="29">
        <f t="shared" si="189"/>
        <v>6.9999999999999979E-2</v>
      </c>
      <c r="AF1141" s="29">
        <f t="shared" si="190"/>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35">
      <c r="A1142">
        <v>1141</v>
      </c>
      <c r="B1142">
        <v>77</v>
      </c>
      <c r="C1142" s="22" t="s">
        <v>1096</v>
      </c>
      <c r="D1142" s="11">
        <v>6.73</v>
      </c>
      <c r="E1142" s="12">
        <v>0.03</v>
      </c>
      <c r="F1142" s="7">
        <f t="shared" si="191"/>
        <v>224.33333333333334</v>
      </c>
      <c r="G1142" s="8">
        <v>0</v>
      </c>
      <c r="H1142" s="9">
        <v>0</v>
      </c>
      <c r="I1142" s="9">
        <v>0</v>
      </c>
      <c r="J1142" s="9">
        <v>1</v>
      </c>
      <c r="K1142" s="9">
        <v>0</v>
      </c>
      <c r="L1142" s="8">
        <v>329509</v>
      </c>
      <c r="M1142" s="9">
        <v>10</v>
      </c>
      <c r="N1142" s="9">
        <f t="shared" si="181"/>
        <v>329498</v>
      </c>
      <c r="O1142" s="9">
        <f t="shared" si="182"/>
        <v>28</v>
      </c>
      <c r="P1142" s="7">
        <v>12.79</v>
      </c>
      <c r="Q1142" s="7">
        <f t="shared" si="187"/>
        <v>35.71</v>
      </c>
      <c r="R1142" s="9">
        <v>1</v>
      </c>
      <c r="S1142" s="9">
        <v>0</v>
      </c>
      <c r="T1142" s="9">
        <v>0</v>
      </c>
      <c r="U1142" s="9">
        <v>0</v>
      </c>
      <c r="V1142" s="9">
        <v>1</v>
      </c>
      <c r="W1142" s="27">
        <v>0</v>
      </c>
      <c r="X1142" s="9">
        <v>0</v>
      </c>
      <c r="Y1142" s="9">
        <v>1</v>
      </c>
      <c r="Z1142" s="27">
        <v>0</v>
      </c>
      <c r="AA1142" s="9">
        <v>1</v>
      </c>
      <c r="AB1142" s="27">
        <v>0</v>
      </c>
      <c r="AC1142" s="18">
        <v>1980</v>
      </c>
      <c r="AD1142" s="29">
        <f t="shared" si="189"/>
        <v>0.11499999999999999</v>
      </c>
      <c r="AE1142" s="29">
        <f t="shared" si="189"/>
        <v>0.11499999999999999</v>
      </c>
      <c r="AF1142" s="29">
        <f t="shared" ref="AF1142:AF1157" si="192">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35">
      <c r="A1143">
        <v>1142</v>
      </c>
      <c r="B1143">
        <v>77</v>
      </c>
      <c r="C1143" s="22" t="s">
        <v>1096</v>
      </c>
      <c r="D1143" s="11">
        <v>9.2799999999999994</v>
      </c>
      <c r="E1143" s="12">
        <v>0.93</v>
      </c>
      <c r="F1143" s="7">
        <f t="shared" si="191"/>
        <v>9.9784946236559122</v>
      </c>
      <c r="G1143" s="8">
        <v>0</v>
      </c>
      <c r="H1143" s="9">
        <v>0</v>
      </c>
      <c r="I1143" s="9">
        <v>0</v>
      </c>
      <c r="J1143" s="9">
        <v>1</v>
      </c>
      <c r="K1143" s="9">
        <v>0</v>
      </c>
      <c r="L1143" s="8">
        <v>329509</v>
      </c>
      <c r="M1143" s="9">
        <v>10</v>
      </c>
      <c r="N1143" s="9">
        <f t="shared" si="181"/>
        <v>329498</v>
      </c>
      <c r="O1143" s="9">
        <f t="shared" si="182"/>
        <v>28</v>
      </c>
      <c r="P1143" s="7">
        <v>12.79</v>
      </c>
      <c r="Q1143" s="7">
        <f t="shared" si="187"/>
        <v>35.71</v>
      </c>
      <c r="R1143" s="9">
        <v>1</v>
      </c>
      <c r="S1143" s="9">
        <v>0</v>
      </c>
      <c r="T1143" s="9">
        <v>0</v>
      </c>
      <c r="U1143" s="9">
        <v>0</v>
      </c>
      <c r="V1143" s="9">
        <v>1</v>
      </c>
      <c r="W1143" s="27">
        <v>0</v>
      </c>
      <c r="X1143" s="9">
        <v>0</v>
      </c>
      <c r="Y1143" s="9">
        <v>1</v>
      </c>
      <c r="Z1143" s="27">
        <v>0</v>
      </c>
      <c r="AA1143" s="9">
        <v>1</v>
      </c>
      <c r="AB1143" s="27">
        <v>0</v>
      </c>
      <c r="AC1143" s="18">
        <v>1980</v>
      </c>
      <c r="AD1143" s="29">
        <f t="shared" si="189"/>
        <v>0.11499999999999999</v>
      </c>
      <c r="AE1143" s="29">
        <f t="shared" si="189"/>
        <v>0.11499999999999999</v>
      </c>
      <c r="AF1143" s="29">
        <f t="shared" si="192"/>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35">
      <c r="A1144">
        <v>1143</v>
      </c>
      <c r="B1144">
        <v>77</v>
      </c>
      <c r="C1144" s="22" t="s">
        <v>1096</v>
      </c>
      <c r="D1144" s="11">
        <v>6.73</v>
      </c>
      <c r="E1144" s="12">
        <v>0.03</v>
      </c>
      <c r="F1144" s="7">
        <f t="shared" si="191"/>
        <v>224.33333333333334</v>
      </c>
      <c r="G1144" s="8">
        <v>0</v>
      </c>
      <c r="H1144" s="9">
        <v>0</v>
      </c>
      <c r="I1144" s="9">
        <v>0</v>
      </c>
      <c r="J1144" s="9">
        <v>1</v>
      </c>
      <c r="K1144" s="9">
        <v>0</v>
      </c>
      <c r="L1144" s="8">
        <v>329509</v>
      </c>
      <c r="M1144" s="9">
        <v>12</v>
      </c>
      <c r="N1144" s="9">
        <f t="shared" si="181"/>
        <v>329496</v>
      </c>
      <c r="O1144" s="9">
        <f t="shared" si="182"/>
        <v>28</v>
      </c>
      <c r="P1144" s="7">
        <v>12.79</v>
      </c>
      <c r="Q1144" s="7">
        <f t="shared" si="187"/>
        <v>35.71</v>
      </c>
      <c r="R1144" s="9">
        <v>1</v>
      </c>
      <c r="S1144" s="9">
        <v>0</v>
      </c>
      <c r="T1144" s="9">
        <v>0</v>
      </c>
      <c r="U1144" s="9">
        <v>0</v>
      </c>
      <c r="V1144" s="9">
        <v>1</v>
      </c>
      <c r="W1144" s="27">
        <v>0</v>
      </c>
      <c r="X1144" s="9">
        <v>0</v>
      </c>
      <c r="Y1144" s="9">
        <v>1</v>
      </c>
      <c r="Z1144" s="27">
        <v>0</v>
      </c>
      <c r="AA1144" s="9">
        <v>1</v>
      </c>
      <c r="AB1144" s="27">
        <v>0</v>
      </c>
      <c r="AC1144" s="18">
        <v>1980</v>
      </c>
      <c r="AD1144" s="29">
        <f t="shared" si="189"/>
        <v>0.11499999999999999</v>
      </c>
      <c r="AE1144" s="29">
        <f t="shared" si="189"/>
        <v>0.11499999999999999</v>
      </c>
      <c r="AF1144" s="29">
        <f t="shared" si="192"/>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35">
      <c r="A1145">
        <v>1144</v>
      </c>
      <c r="B1145">
        <v>77</v>
      </c>
      <c r="C1145" s="22" t="s">
        <v>1096</v>
      </c>
      <c r="D1145" s="11">
        <v>9.07</v>
      </c>
      <c r="E1145" s="12">
        <v>1.07</v>
      </c>
      <c r="F1145" s="7">
        <f t="shared" si="191"/>
        <v>8.4766355140186906</v>
      </c>
      <c r="G1145" s="8">
        <v>0</v>
      </c>
      <c r="H1145" s="9">
        <v>0</v>
      </c>
      <c r="I1145" s="9">
        <v>0</v>
      </c>
      <c r="J1145" s="9">
        <v>1</v>
      </c>
      <c r="K1145" s="9">
        <v>0</v>
      </c>
      <c r="L1145" s="8">
        <v>329509</v>
      </c>
      <c r="M1145" s="9">
        <v>12</v>
      </c>
      <c r="N1145" s="9">
        <f t="shared" si="181"/>
        <v>329496</v>
      </c>
      <c r="O1145" s="9">
        <f t="shared" si="182"/>
        <v>28</v>
      </c>
      <c r="P1145" s="7">
        <v>12.79</v>
      </c>
      <c r="Q1145" s="7">
        <f t="shared" si="187"/>
        <v>35.71</v>
      </c>
      <c r="R1145" s="9">
        <v>1</v>
      </c>
      <c r="S1145" s="9">
        <v>0</v>
      </c>
      <c r="T1145" s="9">
        <v>0</v>
      </c>
      <c r="U1145" s="9">
        <v>0</v>
      </c>
      <c r="V1145" s="9">
        <v>1</v>
      </c>
      <c r="W1145" s="27">
        <v>0</v>
      </c>
      <c r="X1145" s="9">
        <v>0</v>
      </c>
      <c r="Y1145" s="9">
        <v>1</v>
      </c>
      <c r="Z1145" s="27">
        <v>0</v>
      </c>
      <c r="AA1145" s="9">
        <v>1</v>
      </c>
      <c r="AB1145" s="27">
        <v>0</v>
      </c>
      <c r="AC1145" s="18">
        <v>1980</v>
      </c>
      <c r="AD1145" s="29">
        <f t="shared" si="189"/>
        <v>0.11499999999999999</v>
      </c>
      <c r="AE1145" s="29">
        <f t="shared" si="189"/>
        <v>0.11499999999999999</v>
      </c>
      <c r="AF1145" s="29">
        <f t="shared" si="192"/>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35">
      <c r="A1146">
        <v>1145</v>
      </c>
      <c r="B1146">
        <v>77</v>
      </c>
      <c r="C1146" s="22" t="s">
        <v>1096</v>
      </c>
      <c r="D1146" s="11">
        <v>6.28</v>
      </c>
      <c r="E1146" s="12">
        <v>0.03</v>
      </c>
      <c r="F1146" s="7">
        <f t="shared" si="191"/>
        <v>209.33333333333334</v>
      </c>
      <c r="G1146" s="8">
        <v>0</v>
      </c>
      <c r="H1146" s="9">
        <v>0</v>
      </c>
      <c r="I1146" s="9">
        <v>0</v>
      </c>
      <c r="J1146" s="9">
        <v>1</v>
      </c>
      <c r="K1146" s="9">
        <v>0</v>
      </c>
      <c r="L1146" s="8">
        <v>329509</v>
      </c>
      <c r="M1146" s="9">
        <v>21</v>
      </c>
      <c r="N1146" s="9">
        <f t="shared" si="181"/>
        <v>329487</v>
      </c>
      <c r="O1146" s="9">
        <f t="shared" si="182"/>
        <v>28</v>
      </c>
      <c r="P1146" s="7">
        <v>12.79</v>
      </c>
      <c r="Q1146" s="7">
        <f t="shared" si="187"/>
        <v>35.71</v>
      </c>
      <c r="R1146" s="9">
        <v>1</v>
      </c>
      <c r="S1146" s="9">
        <v>0</v>
      </c>
      <c r="T1146" s="9">
        <v>0</v>
      </c>
      <c r="U1146" s="9">
        <v>0</v>
      </c>
      <c r="V1146" s="9">
        <v>1</v>
      </c>
      <c r="W1146" s="27">
        <v>0</v>
      </c>
      <c r="X1146" s="9">
        <v>0</v>
      </c>
      <c r="Y1146" s="9">
        <v>1</v>
      </c>
      <c r="Z1146" s="27">
        <v>0</v>
      </c>
      <c r="AA1146" s="9">
        <v>1</v>
      </c>
      <c r="AB1146" s="27">
        <v>0</v>
      </c>
      <c r="AC1146" s="18">
        <v>1980</v>
      </c>
      <c r="AD1146" s="29">
        <f t="shared" si="189"/>
        <v>0.11499999999999999</v>
      </c>
      <c r="AE1146" s="29">
        <f t="shared" si="189"/>
        <v>0.11499999999999999</v>
      </c>
      <c r="AF1146" s="29">
        <f t="shared" si="192"/>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35">
      <c r="A1147">
        <v>1146</v>
      </c>
      <c r="B1147">
        <v>77</v>
      </c>
      <c r="C1147" s="22" t="s">
        <v>1096</v>
      </c>
      <c r="D1147" s="11">
        <v>8.31</v>
      </c>
      <c r="E1147" s="12">
        <v>0.95</v>
      </c>
      <c r="F1147" s="7">
        <f t="shared" si="191"/>
        <v>8.7473684210526326</v>
      </c>
      <c r="G1147" s="8">
        <v>0</v>
      </c>
      <c r="H1147" s="9">
        <v>0</v>
      </c>
      <c r="I1147" s="9">
        <v>0</v>
      </c>
      <c r="J1147" s="9">
        <v>1</v>
      </c>
      <c r="K1147" s="9">
        <v>0</v>
      </c>
      <c r="L1147" s="8">
        <v>329509</v>
      </c>
      <c r="M1147" s="9">
        <v>21</v>
      </c>
      <c r="N1147" s="9">
        <f t="shared" si="181"/>
        <v>329487</v>
      </c>
      <c r="O1147" s="9">
        <f t="shared" si="182"/>
        <v>28</v>
      </c>
      <c r="P1147" s="7">
        <v>12.79</v>
      </c>
      <c r="Q1147" s="7">
        <f t="shared" si="187"/>
        <v>35.71</v>
      </c>
      <c r="R1147" s="9">
        <v>1</v>
      </c>
      <c r="S1147" s="9">
        <v>0</v>
      </c>
      <c r="T1147" s="9">
        <v>0</v>
      </c>
      <c r="U1147" s="9">
        <v>0</v>
      </c>
      <c r="V1147" s="9">
        <v>1</v>
      </c>
      <c r="W1147" s="27">
        <v>0</v>
      </c>
      <c r="X1147" s="9">
        <v>0</v>
      </c>
      <c r="Y1147" s="9">
        <v>1</v>
      </c>
      <c r="Z1147" s="27">
        <v>0</v>
      </c>
      <c r="AA1147" s="9">
        <v>1</v>
      </c>
      <c r="AB1147" s="27">
        <v>0</v>
      </c>
      <c r="AC1147" s="18">
        <v>1980</v>
      </c>
      <c r="AD1147" s="29">
        <f t="shared" si="189"/>
        <v>0.11499999999999999</v>
      </c>
      <c r="AE1147" s="29">
        <f t="shared" si="189"/>
        <v>0.11499999999999999</v>
      </c>
      <c r="AF1147" s="29">
        <f t="shared" si="192"/>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35">
      <c r="A1148">
        <v>1147</v>
      </c>
      <c r="B1148">
        <v>77</v>
      </c>
      <c r="C1148" s="22" t="s">
        <v>1096</v>
      </c>
      <c r="D1148" s="11">
        <v>6.28</v>
      </c>
      <c r="E1148" s="12">
        <v>0.03</v>
      </c>
      <c r="F1148" s="7">
        <f t="shared" si="191"/>
        <v>209.33333333333334</v>
      </c>
      <c r="G1148" s="8">
        <v>0</v>
      </c>
      <c r="H1148" s="9">
        <v>0</v>
      </c>
      <c r="I1148" s="9">
        <v>0</v>
      </c>
      <c r="J1148" s="9">
        <v>1</v>
      </c>
      <c r="K1148" s="9">
        <v>0</v>
      </c>
      <c r="L1148" s="8">
        <v>329509</v>
      </c>
      <c r="M1148" s="9">
        <v>23</v>
      </c>
      <c r="N1148" s="9">
        <f t="shared" si="181"/>
        <v>329485</v>
      </c>
      <c r="O1148" s="9">
        <f t="shared" si="182"/>
        <v>28</v>
      </c>
      <c r="P1148" s="7">
        <v>12.79</v>
      </c>
      <c r="Q1148" s="7">
        <f t="shared" si="187"/>
        <v>35.71</v>
      </c>
      <c r="R1148" s="9">
        <v>1</v>
      </c>
      <c r="S1148" s="9">
        <v>0</v>
      </c>
      <c r="T1148" s="9">
        <v>0</v>
      </c>
      <c r="U1148" s="9">
        <v>0</v>
      </c>
      <c r="V1148" s="9">
        <v>1</v>
      </c>
      <c r="W1148" s="27">
        <v>0</v>
      </c>
      <c r="X1148" s="9">
        <v>0</v>
      </c>
      <c r="Y1148" s="9">
        <v>1</v>
      </c>
      <c r="Z1148" s="27">
        <v>0</v>
      </c>
      <c r="AA1148" s="9">
        <v>1</v>
      </c>
      <c r="AB1148" s="27">
        <v>0</v>
      </c>
      <c r="AC1148" s="18">
        <v>1980</v>
      </c>
      <c r="AD1148" s="29">
        <f t="shared" si="189"/>
        <v>0.11499999999999999</v>
      </c>
      <c r="AE1148" s="29">
        <f t="shared" si="189"/>
        <v>0.11499999999999999</v>
      </c>
      <c r="AF1148" s="29">
        <f t="shared" si="192"/>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35">
      <c r="A1149">
        <v>1148</v>
      </c>
      <c r="B1149">
        <v>77</v>
      </c>
      <c r="C1149" s="22" t="s">
        <v>1096</v>
      </c>
      <c r="D1149" s="11">
        <v>8.11</v>
      </c>
      <c r="E1149" s="12">
        <v>1.0900000000000001</v>
      </c>
      <c r="F1149" s="7">
        <f t="shared" si="191"/>
        <v>7.4403669724770634</v>
      </c>
      <c r="G1149" s="8">
        <v>0</v>
      </c>
      <c r="H1149" s="9">
        <v>0</v>
      </c>
      <c r="I1149" s="9">
        <v>0</v>
      </c>
      <c r="J1149" s="9">
        <v>1</v>
      </c>
      <c r="K1149" s="9">
        <v>0</v>
      </c>
      <c r="L1149" s="8">
        <v>329509</v>
      </c>
      <c r="M1149" s="9">
        <v>23</v>
      </c>
      <c r="N1149" s="9">
        <f t="shared" si="181"/>
        <v>329485</v>
      </c>
      <c r="O1149" s="9">
        <f t="shared" si="182"/>
        <v>28</v>
      </c>
      <c r="P1149" s="7">
        <v>12.79</v>
      </c>
      <c r="Q1149" s="7">
        <f t="shared" si="187"/>
        <v>35.71</v>
      </c>
      <c r="R1149" s="9">
        <v>1</v>
      </c>
      <c r="S1149" s="9">
        <v>0</v>
      </c>
      <c r="T1149" s="9">
        <v>0</v>
      </c>
      <c r="U1149" s="9">
        <v>0</v>
      </c>
      <c r="V1149" s="9">
        <v>1</v>
      </c>
      <c r="W1149" s="27">
        <v>0</v>
      </c>
      <c r="X1149" s="9">
        <v>0</v>
      </c>
      <c r="Y1149" s="9">
        <v>1</v>
      </c>
      <c r="Z1149" s="27">
        <v>0</v>
      </c>
      <c r="AA1149" s="9">
        <v>1</v>
      </c>
      <c r="AB1149" s="27">
        <v>0</v>
      </c>
      <c r="AC1149" s="18">
        <v>1980</v>
      </c>
      <c r="AD1149" s="29">
        <f t="shared" si="189"/>
        <v>0.11499999999999999</v>
      </c>
      <c r="AE1149" s="29">
        <f t="shared" si="189"/>
        <v>0.11499999999999999</v>
      </c>
      <c r="AF1149" s="29">
        <f t="shared" si="192"/>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35">
      <c r="A1150">
        <v>1149</v>
      </c>
      <c r="B1150">
        <v>77</v>
      </c>
      <c r="C1150" s="22" t="s">
        <v>1096</v>
      </c>
      <c r="D1150" s="11">
        <v>6.72</v>
      </c>
      <c r="E1150" s="12">
        <v>0.13</v>
      </c>
      <c r="F1150" s="7">
        <f t="shared" si="191"/>
        <v>51.692307692307686</v>
      </c>
      <c r="G1150" s="8">
        <v>0</v>
      </c>
      <c r="H1150" s="9">
        <v>0</v>
      </c>
      <c r="I1150" s="9">
        <v>0</v>
      </c>
      <c r="J1150" s="9">
        <v>1</v>
      </c>
      <c r="K1150" s="9">
        <v>0</v>
      </c>
      <c r="L1150" s="8">
        <v>26913</v>
      </c>
      <c r="M1150" s="9">
        <v>58</v>
      </c>
      <c r="N1150" s="9">
        <f t="shared" si="181"/>
        <v>26854</v>
      </c>
      <c r="O1150" s="9">
        <f t="shared" si="182"/>
        <v>28</v>
      </c>
      <c r="P1150" s="7">
        <v>12.79</v>
      </c>
      <c r="Q1150" s="7">
        <f t="shared" si="187"/>
        <v>35.71</v>
      </c>
      <c r="R1150" s="9">
        <v>1</v>
      </c>
      <c r="S1150" s="9">
        <v>0</v>
      </c>
      <c r="T1150" s="9">
        <v>0</v>
      </c>
      <c r="U1150" s="9">
        <v>0</v>
      </c>
      <c r="V1150" s="9">
        <v>1</v>
      </c>
      <c r="W1150" s="27">
        <v>0</v>
      </c>
      <c r="X1150" s="9">
        <v>0</v>
      </c>
      <c r="Y1150" s="9">
        <v>1</v>
      </c>
      <c r="Z1150" s="27">
        <v>0</v>
      </c>
      <c r="AA1150" s="9">
        <v>1</v>
      </c>
      <c r="AB1150" s="27">
        <v>0</v>
      </c>
      <c r="AC1150" s="18">
        <v>1980</v>
      </c>
      <c r="AD1150" s="29">
        <f t="shared" si="189"/>
        <v>0.11499999999999999</v>
      </c>
      <c r="AE1150" s="29">
        <f t="shared" si="189"/>
        <v>0.11499999999999999</v>
      </c>
      <c r="AF1150" s="29">
        <f t="shared" si="192"/>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35">
      <c r="A1151">
        <v>1150</v>
      </c>
      <c r="B1151">
        <v>77</v>
      </c>
      <c r="C1151" s="22" t="s">
        <v>1096</v>
      </c>
      <c r="D1151" s="11">
        <v>6.35</v>
      </c>
      <c r="E1151" s="12">
        <v>1.85</v>
      </c>
      <c r="F1151" s="7">
        <f t="shared" si="191"/>
        <v>3.432432432432432</v>
      </c>
      <c r="G1151" s="8">
        <v>0</v>
      </c>
      <c r="H1151" s="9">
        <v>0</v>
      </c>
      <c r="I1151" s="9">
        <v>0</v>
      </c>
      <c r="J1151" s="9">
        <v>1</v>
      </c>
      <c r="K1151" s="9">
        <v>0</v>
      </c>
      <c r="L1151" s="8">
        <v>26913</v>
      </c>
      <c r="M1151" s="9">
        <v>58</v>
      </c>
      <c r="N1151" s="9">
        <f t="shared" si="181"/>
        <v>26854</v>
      </c>
      <c r="O1151" s="9">
        <f t="shared" si="182"/>
        <v>28</v>
      </c>
      <c r="P1151" s="7">
        <v>12.79</v>
      </c>
      <c r="Q1151" s="7">
        <f t="shared" si="187"/>
        <v>35.71</v>
      </c>
      <c r="R1151" s="9">
        <v>1</v>
      </c>
      <c r="S1151" s="9">
        <v>0</v>
      </c>
      <c r="T1151" s="9">
        <v>0</v>
      </c>
      <c r="U1151" s="9">
        <v>0</v>
      </c>
      <c r="V1151" s="9">
        <v>1</v>
      </c>
      <c r="W1151" s="27">
        <v>0</v>
      </c>
      <c r="X1151" s="9">
        <v>0</v>
      </c>
      <c r="Y1151" s="9">
        <v>1</v>
      </c>
      <c r="Z1151" s="27">
        <v>0</v>
      </c>
      <c r="AA1151" s="9">
        <v>1</v>
      </c>
      <c r="AB1151" s="27">
        <v>0</v>
      </c>
      <c r="AC1151" s="18">
        <v>1980</v>
      </c>
      <c r="AD1151" s="29">
        <f t="shared" si="189"/>
        <v>0.11499999999999999</v>
      </c>
      <c r="AE1151" s="29">
        <f t="shared" si="189"/>
        <v>0.11499999999999999</v>
      </c>
      <c r="AF1151" s="29">
        <f t="shared" si="192"/>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35">
      <c r="A1152">
        <v>1151</v>
      </c>
      <c r="B1152">
        <v>77</v>
      </c>
      <c r="C1152" s="22" t="s">
        <v>1096</v>
      </c>
      <c r="D1152" s="11">
        <v>6.71</v>
      </c>
      <c r="E1152" s="12">
        <v>0.03</v>
      </c>
      <c r="F1152" s="7">
        <f t="shared" si="191"/>
        <v>223.66666666666669</v>
      </c>
      <c r="G1152" s="8">
        <v>0</v>
      </c>
      <c r="H1152" s="9">
        <v>0</v>
      </c>
      <c r="I1152" s="9">
        <v>0</v>
      </c>
      <c r="J1152" s="9">
        <v>1</v>
      </c>
      <c r="K1152" s="9">
        <v>0</v>
      </c>
      <c r="L1152" s="8">
        <v>26913</v>
      </c>
      <c r="M1152" s="9">
        <v>60</v>
      </c>
      <c r="N1152" s="9">
        <f t="shared" si="181"/>
        <v>26852</v>
      </c>
      <c r="O1152" s="9">
        <f t="shared" si="182"/>
        <v>28</v>
      </c>
      <c r="P1152" s="7">
        <v>12.79</v>
      </c>
      <c r="Q1152" s="7">
        <f t="shared" si="187"/>
        <v>35.71</v>
      </c>
      <c r="R1152" s="9">
        <v>1</v>
      </c>
      <c r="S1152" s="9">
        <v>0</v>
      </c>
      <c r="T1152" s="9">
        <v>0</v>
      </c>
      <c r="U1152" s="9">
        <v>0</v>
      </c>
      <c r="V1152" s="9">
        <v>1</v>
      </c>
      <c r="W1152" s="27">
        <v>0</v>
      </c>
      <c r="X1152" s="9">
        <v>0</v>
      </c>
      <c r="Y1152" s="9">
        <v>1</v>
      </c>
      <c r="Z1152" s="27">
        <v>0</v>
      </c>
      <c r="AA1152" s="9">
        <v>1</v>
      </c>
      <c r="AB1152" s="27">
        <v>0</v>
      </c>
      <c r="AC1152" s="18">
        <v>1980</v>
      </c>
      <c r="AD1152" s="29">
        <f t="shared" si="189"/>
        <v>0.11499999999999999</v>
      </c>
      <c r="AE1152" s="29">
        <f t="shared" si="189"/>
        <v>0.11499999999999999</v>
      </c>
      <c r="AF1152" s="29">
        <f t="shared" si="192"/>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35">
      <c r="A1153">
        <v>1152</v>
      </c>
      <c r="B1153">
        <v>77</v>
      </c>
      <c r="C1153" s="22" t="s">
        <v>1096</v>
      </c>
      <c r="D1153" s="11">
        <v>5.55</v>
      </c>
      <c r="E1153" s="12">
        <v>1.99</v>
      </c>
      <c r="F1153" s="7">
        <f t="shared" si="191"/>
        <v>2.7889447236180902</v>
      </c>
      <c r="G1153" s="8">
        <v>0</v>
      </c>
      <c r="H1153" s="9">
        <v>0</v>
      </c>
      <c r="I1153" s="9">
        <v>0</v>
      </c>
      <c r="J1153" s="9">
        <v>1</v>
      </c>
      <c r="K1153" s="9">
        <v>0</v>
      </c>
      <c r="L1153" s="8">
        <v>26913</v>
      </c>
      <c r="M1153" s="9">
        <v>60</v>
      </c>
      <c r="N1153" s="9">
        <f t="shared" si="181"/>
        <v>26852</v>
      </c>
      <c r="O1153" s="9">
        <f t="shared" si="182"/>
        <v>28</v>
      </c>
      <c r="P1153" s="7">
        <v>12.79</v>
      </c>
      <c r="Q1153" s="7">
        <f t="shared" si="187"/>
        <v>35.71</v>
      </c>
      <c r="R1153" s="9">
        <v>1</v>
      </c>
      <c r="S1153" s="9">
        <v>0</v>
      </c>
      <c r="T1153" s="9">
        <v>0</v>
      </c>
      <c r="U1153" s="9">
        <v>0</v>
      </c>
      <c r="V1153" s="9">
        <v>1</v>
      </c>
      <c r="W1153" s="27">
        <v>0</v>
      </c>
      <c r="X1153" s="9">
        <v>0</v>
      </c>
      <c r="Y1153" s="9">
        <v>1</v>
      </c>
      <c r="Z1153" s="27">
        <v>0</v>
      </c>
      <c r="AA1153" s="9">
        <v>1</v>
      </c>
      <c r="AB1153" s="27">
        <v>0</v>
      </c>
      <c r="AC1153" s="18">
        <v>1980</v>
      </c>
      <c r="AD1153" s="29">
        <f t="shared" si="189"/>
        <v>0.11499999999999999</v>
      </c>
      <c r="AE1153" s="29">
        <f t="shared" si="189"/>
        <v>0.11499999999999999</v>
      </c>
      <c r="AF1153" s="29">
        <f t="shared" si="192"/>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35">
      <c r="A1154">
        <v>1153</v>
      </c>
      <c r="B1154">
        <v>77</v>
      </c>
      <c r="C1154" s="22" t="s">
        <v>1096</v>
      </c>
      <c r="D1154" s="11">
        <v>5.76</v>
      </c>
      <c r="E1154" s="12">
        <v>0.13</v>
      </c>
      <c r="F1154" s="7">
        <f t="shared" si="191"/>
        <v>44.307692307692307</v>
      </c>
      <c r="G1154" s="8">
        <v>0</v>
      </c>
      <c r="H1154" s="9">
        <v>0</v>
      </c>
      <c r="I1154" s="9">
        <v>0</v>
      </c>
      <c r="J1154" s="9">
        <v>1</v>
      </c>
      <c r="K1154" s="9">
        <v>0</v>
      </c>
      <c r="L1154" s="8">
        <v>26913</v>
      </c>
      <c r="M1154" s="9">
        <v>69</v>
      </c>
      <c r="N1154" s="9">
        <f t="shared" ref="N1154:N1217" si="193">L1154-M1154-1</f>
        <v>26843</v>
      </c>
      <c r="O1154" s="9">
        <f t="shared" ref="O1154:O1217" si="194">COUNTIF(B:B,B1154)</f>
        <v>28</v>
      </c>
      <c r="P1154" s="7">
        <v>12.79</v>
      </c>
      <c r="Q1154" s="7">
        <f t="shared" si="187"/>
        <v>35.71</v>
      </c>
      <c r="R1154" s="9">
        <v>1</v>
      </c>
      <c r="S1154" s="9">
        <v>0</v>
      </c>
      <c r="T1154" s="9">
        <v>0</v>
      </c>
      <c r="U1154" s="9">
        <v>0</v>
      </c>
      <c r="V1154" s="9">
        <v>1</v>
      </c>
      <c r="W1154" s="27">
        <v>0</v>
      </c>
      <c r="X1154" s="9">
        <v>0</v>
      </c>
      <c r="Y1154" s="9">
        <v>1</v>
      </c>
      <c r="Z1154" s="27">
        <v>0</v>
      </c>
      <c r="AA1154" s="9">
        <v>1</v>
      </c>
      <c r="AB1154" s="27">
        <v>0</v>
      </c>
      <c r="AC1154" s="18">
        <v>1980</v>
      </c>
      <c r="AD1154" s="29">
        <f t="shared" si="189"/>
        <v>0.11499999999999999</v>
      </c>
      <c r="AE1154" s="29">
        <f t="shared" si="189"/>
        <v>0.11499999999999999</v>
      </c>
      <c r="AF1154" s="29">
        <f t="shared" si="192"/>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35">
      <c r="A1155">
        <v>1154</v>
      </c>
      <c r="B1155">
        <v>77</v>
      </c>
      <c r="C1155" s="22" t="s">
        <v>1096</v>
      </c>
      <c r="D1155" s="11">
        <v>4.6100000000000003</v>
      </c>
      <c r="E1155" s="12">
        <v>1.87</v>
      </c>
      <c r="F1155" s="7">
        <f t="shared" si="191"/>
        <v>2.46524064171123</v>
      </c>
      <c r="G1155" s="8">
        <v>0</v>
      </c>
      <c r="H1155" s="9">
        <v>0</v>
      </c>
      <c r="I1155" s="9">
        <v>0</v>
      </c>
      <c r="J1155" s="9">
        <v>1</v>
      </c>
      <c r="K1155" s="9">
        <v>0</v>
      </c>
      <c r="L1155" s="8">
        <v>26913</v>
      </c>
      <c r="M1155" s="9">
        <v>69</v>
      </c>
      <c r="N1155" s="9">
        <f t="shared" si="193"/>
        <v>26843</v>
      </c>
      <c r="O1155" s="9">
        <f t="shared" si="194"/>
        <v>28</v>
      </c>
      <c r="P1155" s="7">
        <v>12.79</v>
      </c>
      <c r="Q1155" s="7">
        <f t="shared" si="187"/>
        <v>35.71</v>
      </c>
      <c r="R1155" s="9">
        <v>1</v>
      </c>
      <c r="S1155" s="9">
        <v>0</v>
      </c>
      <c r="T1155" s="9">
        <v>0</v>
      </c>
      <c r="U1155" s="9">
        <v>0</v>
      </c>
      <c r="V1155" s="9">
        <v>1</v>
      </c>
      <c r="W1155" s="27">
        <v>0</v>
      </c>
      <c r="X1155" s="9">
        <v>0</v>
      </c>
      <c r="Y1155" s="9">
        <v>1</v>
      </c>
      <c r="Z1155" s="27">
        <v>0</v>
      </c>
      <c r="AA1155" s="9">
        <v>1</v>
      </c>
      <c r="AB1155" s="27">
        <v>0</v>
      </c>
      <c r="AC1155" s="18">
        <v>1980</v>
      </c>
      <c r="AD1155" s="29">
        <f t="shared" si="189"/>
        <v>0.11499999999999999</v>
      </c>
      <c r="AE1155" s="29">
        <f t="shared" si="189"/>
        <v>0.11499999999999999</v>
      </c>
      <c r="AF1155" s="29">
        <f t="shared" si="192"/>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35">
      <c r="A1156">
        <v>1155</v>
      </c>
      <c r="B1156">
        <v>77</v>
      </c>
      <c r="C1156" s="22" t="s">
        <v>1096</v>
      </c>
      <c r="D1156" s="11">
        <v>5.76</v>
      </c>
      <c r="E1156" s="12">
        <v>0.13</v>
      </c>
      <c r="F1156" s="7">
        <f t="shared" si="191"/>
        <v>44.307692307692307</v>
      </c>
      <c r="G1156" s="8">
        <v>0</v>
      </c>
      <c r="H1156" s="9">
        <v>0</v>
      </c>
      <c r="I1156" s="9">
        <v>0</v>
      </c>
      <c r="J1156" s="9">
        <v>1</v>
      </c>
      <c r="K1156" s="9">
        <v>0</v>
      </c>
      <c r="L1156" s="8">
        <v>26913</v>
      </c>
      <c r="M1156" s="9">
        <v>71</v>
      </c>
      <c r="N1156" s="9">
        <f t="shared" si="193"/>
        <v>26841</v>
      </c>
      <c r="O1156" s="9">
        <f t="shared" si="194"/>
        <v>28</v>
      </c>
      <c r="P1156" s="7">
        <v>12.79</v>
      </c>
      <c r="Q1156" s="7">
        <f t="shared" si="187"/>
        <v>35.71</v>
      </c>
      <c r="R1156" s="9">
        <v>1</v>
      </c>
      <c r="S1156" s="9">
        <v>0</v>
      </c>
      <c r="T1156" s="9">
        <v>0</v>
      </c>
      <c r="U1156" s="9">
        <v>0</v>
      </c>
      <c r="V1156" s="9">
        <v>1</v>
      </c>
      <c r="W1156" s="27">
        <v>0</v>
      </c>
      <c r="X1156" s="9">
        <v>0</v>
      </c>
      <c r="Y1156" s="9">
        <v>1</v>
      </c>
      <c r="Z1156" s="27">
        <v>0</v>
      </c>
      <c r="AA1156" s="9">
        <v>1</v>
      </c>
      <c r="AB1156" s="27">
        <v>0</v>
      </c>
      <c r="AC1156" s="18">
        <v>1980</v>
      </c>
      <c r="AD1156" s="29">
        <f t="shared" si="189"/>
        <v>0.11499999999999999</v>
      </c>
      <c r="AE1156" s="29">
        <f t="shared" si="189"/>
        <v>0.11499999999999999</v>
      </c>
      <c r="AF1156" s="29">
        <f t="shared" si="192"/>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35">
      <c r="A1157">
        <v>1156</v>
      </c>
      <c r="B1157">
        <v>77</v>
      </c>
      <c r="C1157" s="22" t="s">
        <v>1096</v>
      </c>
      <c r="D1157" s="11">
        <v>3.91</v>
      </c>
      <c r="E1157" s="12">
        <v>1.99</v>
      </c>
      <c r="F1157" s="7">
        <f t="shared" si="191"/>
        <v>1.9648241206030153</v>
      </c>
      <c r="G1157" s="8">
        <v>0</v>
      </c>
      <c r="H1157" s="9">
        <v>0</v>
      </c>
      <c r="I1157" s="9">
        <v>0</v>
      </c>
      <c r="J1157" s="9">
        <v>1</v>
      </c>
      <c r="K1157" s="9">
        <v>0</v>
      </c>
      <c r="L1157" s="8">
        <v>26913</v>
      </c>
      <c r="M1157" s="9">
        <v>71</v>
      </c>
      <c r="N1157" s="9">
        <f t="shared" si="193"/>
        <v>26841</v>
      </c>
      <c r="O1157" s="9">
        <f t="shared" si="194"/>
        <v>28</v>
      </c>
      <c r="P1157" s="7">
        <v>12.79</v>
      </c>
      <c r="Q1157" s="7">
        <f t="shared" si="187"/>
        <v>35.71</v>
      </c>
      <c r="R1157" s="9">
        <v>1</v>
      </c>
      <c r="S1157" s="9">
        <v>0</v>
      </c>
      <c r="T1157" s="9">
        <v>0</v>
      </c>
      <c r="U1157" s="9">
        <v>0</v>
      </c>
      <c r="V1157" s="9">
        <v>1</v>
      </c>
      <c r="W1157" s="27">
        <v>0</v>
      </c>
      <c r="X1157" s="9">
        <v>0</v>
      </c>
      <c r="Y1157" s="9">
        <v>1</v>
      </c>
      <c r="Z1157" s="27">
        <v>0</v>
      </c>
      <c r="AA1157" s="9">
        <v>1</v>
      </c>
      <c r="AB1157" s="27">
        <v>0</v>
      </c>
      <c r="AC1157" s="18">
        <v>1980</v>
      </c>
      <c r="AD1157" s="29">
        <f t="shared" si="189"/>
        <v>0.11499999999999999</v>
      </c>
      <c r="AE1157" s="29">
        <f t="shared" si="189"/>
        <v>0.11499999999999999</v>
      </c>
      <c r="AF1157" s="29">
        <f t="shared" si="192"/>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3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93"/>
        <v>1706</v>
      </c>
      <c r="O1158" s="9">
        <f t="shared" si="194"/>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3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93"/>
        <v>1706</v>
      </c>
      <c r="O1159" s="9">
        <f t="shared" si="194"/>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3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93"/>
        <v>1706</v>
      </c>
      <c r="O1160" s="9">
        <f t="shared" si="194"/>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3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93"/>
        <v>1706</v>
      </c>
      <c r="O1161" s="9">
        <f t="shared" si="194"/>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3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93"/>
        <v>1706</v>
      </c>
      <c r="O1162" s="9">
        <f t="shared" si="194"/>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3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93"/>
        <v>1706</v>
      </c>
      <c r="O1163" s="9">
        <f t="shared" si="194"/>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3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93"/>
        <v>1706</v>
      </c>
      <c r="O1164" s="9">
        <f t="shared" si="194"/>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3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93"/>
        <v>1706</v>
      </c>
      <c r="O1165" s="9">
        <f t="shared" si="194"/>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3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93"/>
        <v>1706</v>
      </c>
      <c r="O1166" s="9">
        <f t="shared" si="194"/>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3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93"/>
        <v>1706</v>
      </c>
      <c r="O1167" s="9">
        <f t="shared" si="194"/>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3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93"/>
        <v>1706</v>
      </c>
      <c r="O1168" s="9">
        <f t="shared" si="194"/>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3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93"/>
        <v>1706</v>
      </c>
      <c r="O1169" s="9">
        <f t="shared" si="194"/>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3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93"/>
        <v>1706</v>
      </c>
      <c r="O1170" s="9">
        <f t="shared" si="194"/>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3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93"/>
        <v>1706</v>
      </c>
      <c r="O1171" s="9">
        <f t="shared" si="194"/>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3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93"/>
        <v>1706</v>
      </c>
      <c r="O1172" s="9">
        <f t="shared" si="194"/>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3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93"/>
        <v>1706</v>
      </c>
      <c r="O1173" s="9">
        <f t="shared" si="194"/>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35">
      <c r="A1174">
        <v>1173</v>
      </c>
      <c r="B1174">
        <v>79</v>
      </c>
      <c r="C1174" s="22" t="s">
        <v>1115</v>
      </c>
      <c r="D1174" s="11">
        <v>3.1</v>
      </c>
      <c r="E1174" s="12">
        <f t="shared" ref="E1174:E1179" si="195">D1174/F1174</f>
        <v>0.60665362035225046</v>
      </c>
      <c r="F1174" s="7">
        <v>5.1100000000000003</v>
      </c>
      <c r="G1174" s="8">
        <v>0</v>
      </c>
      <c r="H1174" s="9">
        <v>0</v>
      </c>
      <c r="I1174" s="9">
        <v>1</v>
      </c>
      <c r="J1174" s="9">
        <v>0</v>
      </c>
      <c r="K1174" s="9">
        <v>0</v>
      </c>
      <c r="L1174" s="8">
        <v>900</v>
      </c>
      <c r="M1174" s="9">
        <v>7</v>
      </c>
      <c r="N1174" s="9">
        <f t="shared" si="193"/>
        <v>892</v>
      </c>
      <c r="O1174" s="9">
        <f t="shared" si="194"/>
        <v>6</v>
      </c>
      <c r="P1174" s="7">
        <v>10.900499999999999</v>
      </c>
      <c r="Q1174" s="7">
        <f t="shared" ref="Q1174:Q1179" si="196">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97">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35">
      <c r="A1175">
        <v>1174</v>
      </c>
      <c r="B1175">
        <v>79</v>
      </c>
      <c r="C1175" s="22" t="s">
        <v>1115</v>
      </c>
      <c r="D1175" s="11">
        <v>6.6</v>
      </c>
      <c r="E1175" s="12">
        <f t="shared" si="195"/>
        <v>0.63461538461538458</v>
      </c>
      <c r="F1175" s="7">
        <v>10.4</v>
      </c>
      <c r="G1175" s="8">
        <v>0</v>
      </c>
      <c r="H1175" s="9">
        <v>0</v>
      </c>
      <c r="I1175" s="9">
        <v>1</v>
      </c>
      <c r="J1175" s="9">
        <v>0</v>
      </c>
      <c r="K1175" s="9">
        <v>0</v>
      </c>
      <c r="L1175" s="8">
        <v>2984</v>
      </c>
      <c r="M1175" s="9">
        <v>67</v>
      </c>
      <c r="N1175" s="9">
        <f t="shared" si="193"/>
        <v>2916</v>
      </c>
      <c r="O1175" s="9">
        <f t="shared" si="194"/>
        <v>6</v>
      </c>
      <c r="P1175" s="7">
        <v>11.75</v>
      </c>
      <c r="Q1175" s="7">
        <f t="shared" si="196"/>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97"/>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35">
      <c r="A1176">
        <v>1175</v>
      </c>
      <c r="B1176">
        <v>79</v>
      </c>
      <c r="C1176" s="22" t="s">
        <v>1115</v>
      </c>
      <c r="D1176" s="11">
        <v>6.7</v>
      </c>
      <c r="E1176" s="12">
        <f t="shared" si="195"/>
        <v>0.72198275862068972</v>
      </c>
      <c r="F1176" s="7">
        <v>9.2799999999999994</v>
      </c>
      <c r="G1176" s="8">
        <v>0</v>
      </c>
      <c r="H1176" s="9">
        <v>0</v>
      </c>
      <c r="I1176" s="9">
        <v>1</v>
      </c>
      <c r="J1176" s="9">
        <v>0</v>
      </c>
      <c r="K1176" s="9">
        <v>0</v>
      </c>
      <c r="L1176" s="8">
        <v>2198</v>
      </c>
      <c r="M1176" s="9">
        <v>67</v>
      </c>
      <c r="N1176" s="9">
        <f t="shared" si="193"/>
        <v>2130</v>
      </c>
      <c r="O1176" s="9">
        <f t="shared" si="194"/>
        <v>6</v>
      </c>
      <c r="P1176" s="7">
        <v>11.291</v>
      </c>
      <c r="Q1176" s="7">
        <f t="shared" si="196"/>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97"/>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35">
      <c r="A1177">
        <v>1176</v>
      </c>
      <c r="B1177">
        <v>79</v>
      </c>
      <c r="C1177" s="22" t="s">
        <v>1115</v>
      </c>
      <c r="D1177" s="11">
        <v>5.4</v>
      </c>
      <c r="E1177" s="12">
        <f t="shared" si="195"/>
        <v>0.61784897025171626</v>
      </c>
      <c r="F1177" s="7">
        <v>8.74</v>
      </c>
      <c r="G1177" s="8">
        <v>0</v>
      </c>
      <c r="H1177" s="9">
        <v>0</v>
      </c>
      <c r="I1177" s="9">
        <v>1</v>
      </c>
      <c r="J1177" s="9">
        <v>0</v>
      </c>
      <c r="K1177" s="9">
        <v>0</v>
      </c>
      <c r="L1177" s="8">
        <v>819</v>
      </c>
      <c r="M1177" s="9">
        <v>7</v>
      </c>
      <c r="N1177" s="9">
        <f t="shared" si="193"/>
        <v>811</v>
      </c>
      <c r="O1177" s="9">
        <f t="shared" si="194"/>
        <v>6</v>
      </c>
      <c r="P1177" s="7">
        <v>10.900499999999999</v>
      </c>
      <c r="Q1177" s="7">
        <f t="shared" si="196"/>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97"/>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35">
      <c r="A1178">
        <v>1177</v>
      </c>
      <c r="B1178">
        <v>79</v>
      </c>
      <c r="C1178" s="22" t="s">
        <v>1115</v>
      </c>
      <c r="D1178" s="11">
        <v>7.4</v>
      </c>
      <c r="E1178" s="12">
        <f t="shared" si="195"/>
        <v>0.56060606060606066</v>
      </c>
      <c r="F1178" s="7">
        <v>13.2</v>
      </c>
      <c r="G1178" s="8">
        <v>0</v>
      </c>
      <c r="H1178" s="9">
        <v>0</v>
      </c>
      <c r="I1178" s="9">
        <v>1</v>
      </c>
      <c r="J1178" s="9">
        <v>0</v>
      </c>
      <c r="K1178" s="9">
        <v>0</v>
      </c>
      <c r="L1178" s="8">
        <v>3702</v>
      </c>
      <c r="M1178" s="9">
        <v>67</v>
      </c>
      <c r="N1178" s="9">
        <f t="shared" si="193"/>
        <v>3634</v>
      </c>
      <c r="O1178" s="9">
        <f t="shared" si="194"/>
        <v>6</v>
      </c>
      <c r="P1178" s="7">
        <v>11.75</v>
      </c>
      <c r="Q1178" s="7">
        <f t="shared" si="196"/>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97"/>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35">
      <c r="A1179">
        <v>1178</v>
      </c>
      <c r="B1179">
        <v>79</v>
      </c>
      <c r="C1179" s="22" t="s">
        <v>1115</v>
      </c>
      <c r="D1179" s="11">
        <v>9.6</v>
      </c>
      <c r="E1179" s="12">
        <f t="shared" si="195"/>
        <v>0.62745098039215685</v>
      </c>
      <c r="F1179" s="7">
        <v>15.3</v>
      </c>
      <c r="G1179" s="8">
        <v>0</v>
      </c>
      <c r="H1179" s="9">
        <v>0</v>
      </c>
      <c r="I1179" s="9">
        <v>1</v>
      </c>
      <c r="J1179" s="9">
        <v>0</v>
      </c>
      <c r="K1179" s="9">
        <v>0</v>
      </c>
      <c r="L1179" s="8">
        <v>2718</v>
      </c>
      <c r="M1179" s="9">
        <v>67</v>
      </c>
      <c r="N1179" s="9">
        <f t="shared" si="193"/>
        <v>2650</v>
      </c>
      <c r="O1179" s="9">
        <f t="shared" si="194"/>
        <v>6</v>
      </c>
      <c r="P1179" s="7">
        <v>11.291</v>
      </c>
      <c r="Q1179" s="7">
        <f t="shared" si="196"/>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97"/>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3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93"/>
        <v>97737</v>
      </c>
      <c r="O1180" s="9">
        <f t="shared" si="194"/>
        <v>21</v>
      </c>
      <c r="P1180" s="7">
        <f t="shared" ref="P1180:P1200" si="198">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3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93"/>
        <v>97737</v>
      </c>
      <c r="O1181" s="9">
        <f t="shared" si="194"/>
        <v>21</v>
      </c>
      <c r="P1181" s="7">
        <f t="shared" si="198"/>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3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93"/>
        <v>97737</v>
      </c>
      <c r="O1182" s="9">
        <f t="shared" si="194"/>
        <v>21</v>
      </c>
      <c r="P1182" s="7">
        <f t="shared" si="198"/>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3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93"/>
        <v>97723</v>
      </c>
      <c r="O1183" s="9">
        <f t="shared" si="194"/>
        <v>21</v>
      </c>
      <c r="P1183" s="7">
        <f t="shared" si="198"/>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3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93"/>
        <v>97723</v>
      </c>
      <c r="O1184" s="9">
        <f t="shared" si="194"/>
        <v>21</v>
      </c>
      <c r="P1184" s="7">
        <f t="shared" si="198"/>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3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93"/>
        <v>97723</v>
      </c>
      <c r="O1185" s="9">
        <f t="shared" si="194"/>
        <v>21</v>
      </c>
      <c r="P1185" s="7">
        <f t="shared" si="198"/>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3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93"/>
        <v>97723</v>
      </c>
      <c r="O1186" s="9">
        <f t="shared" si="194"/>
        <v>21</v>
      </c>
      <c r="P1186" s="7">
        <f t="shared" si="198"/>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3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93"/>
        <v>97723</v>
      </c>
      <c r="O1187" s="9">
        <f t="shared" si="194"/>
        <v>21</v>
      </c>
      <c r="P1187" s="7">
        <f t="shared" si="198"/>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3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93"/>
        <v>97723</v>
      </c>
      <c r="O1188" s="9">
        <f t="shared" si="194"/>
        <v>21</v>
      </c>
      <c r="P1188" s="7">
        <f t="shared" si="198"/>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3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93"/>
        <v>6435</v>
      </c>
      <c r="O1189" s="9">
        <f t="shared" si="194"/>
        <v>21</v>
      </c>
      <c r="P1189" s="7">
        <f t="shared" si="198"/>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3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93"/>
        <v>6435</v>
      </c>
      <c r="O1190" s="9">
        <f t="shared" si="194"/>
        <v>21</v>
      </c>
      <c r="P1190" s="7">
        <f t="shared" si="198"/>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3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93"/>
        <v>6435</v>
      </c>
      <c r="O1191" s="9">
        <f t="shared" si="194"/>
        <v>21</v>
      </c>
      <c r="P1191" s="7">
        <f t="shared" si="198"/>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3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93"/>
        <v>6359</v>
      </c>
      <c r="O1192" s="9">
        <f t="shared" si="194"/>
        <v>21</v>
      </c>
      <c r="P1192" s="7">
        <f t="shared" si="198"/>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3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93"/>
        <v>6359</v>
      </c>
      <c r="O1193" s="9">
        <f t="shared" si="194"/>
        <v>21</v>
      </c>
      <c r="P1193" s="7">
        <f t="shared" si="198"/>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3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93"/>
        <v>6359</v>
      </c>
      <c r="O1194" s="9">
        <f t="shared" si="194"/>
        <v>21</v>
      </c>
      <c r="P1194" s="7">
        <f t="shared" si="198"/>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3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93"/>
        <v>6329</v>
      </c>
      <c r="O1195" s="9">
        <f t="shared" si="194"/>
        <v>21</v>
      </c>
      <c r="P1195" s="7">
        <f t="shared" si="198"/>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3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93"/>
        <v>6329</v>
      </c>
      <c r="O1196" s="9">
        <f t="shared" si="194"/>
        <v>21</v>
      </c>
      <c r="P1196" s="7">
        <f t="shared" si="198"/>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3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93"/>
        <v>6329</v>
      </c>
      <c r="O1197" s="9">
        <f t="shared" si="194"/>
        <v>21</v>
      </c>
      <c r="P1197" s="7">
        <f t="shared" si="198"/>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3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93"/>
        <v>4933</v>
      </c>
      <c r="O1198" s="9">
        <f t="shared" si="194"/>
        <v>21</v>
      </c>
      <c r="P1198" s="7">
        <f t="shared" si="198"/>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3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93"/>
        <v>4933</v>
      </c>
      <c r="O1199" s="9">
        <f t="shared" si="194"/>
        <v>21</v>
      </c>
      <c r="P1199" s="7">
        <f t="shared" si="198"/>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3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93"/>
        <v>4933</v>
      </c>
      <c r="O1200" s="9">
        <f t="shared" si="194"/>
        <v>21</v>
      </c>
      <c r="P1200" s="7">
        <f t="shared" si="198"/>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3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93"/>
        <v>122134</v>
      </c>
      <c r="O1201" s="9">
        <f t="shared" si="194"/>
        <v>62</v>
      </c>
      <c r="P1201" s="7">
        <v>14</v>
      </c>
      <c r="Q1201" s="7">
        <f t="shared" ref="Q1201:Q1232" si="199">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3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93"/>
        <v>122134</v>
      </c>
      <c r="O1202" s="9">
        <f t="shared" si="194"/>
        <v>62</v>
      </c>
      <c r="P1202" s="7">
        <v>14</v>
      </c>
      <c r="Q1202" s="7">
        <f t="shared" si="199"/>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3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93"/>
        <v>122134</v>
      </c>
      <c r="O1203" s="9">
        <f t="shared" si="194"/>
        <v>62</v>
      </c>
      <c r="P1203" s="7">
        <v>14</v>
      </c>
      <c r="Q1203" s="7">
        <f t="shared" si="199"/>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3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93"/>
        <v>122134</v>
      </c>
      <c r="O1204" s="9">
        <f t="shared" si="194"/>
        <v>62</v>
      </c>
      <c r="P1204" s="7">
        <v>14</v>
      </c>
      <c r="Q1204" s="7">
        <f t="shared" si="199"/>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3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93"/>
        <v>122134</v>
      </c>
      <c r="O1205" s="9">
        <f t="shared" si="194"/>
        <v>62</v>
      </c>
      <c r="P1205" s="7">
        <v>14</v>
      </c>
      <c r="Q1205" s="7">
        <f t="shared" si="199"/>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3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93"/>
        <v>122134</v>
      </c>
      <c r="O1206" s="9">
        <f t="shared" si="194"/>
        <v>62</v>
      </c>
      <c r="P1206" s="7">
        <v>14</v>
      </c>
      <c r="Q1206" s="7">
        <f t="shared" si="199"/>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3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93"/>
        <v>122134</v>
      </c>
      <c r="O1207" s="9">
        <f t="shared" si="194"/>
        <v>62</v>
      </c>
      <c r="P1207" s="7">
        <v>14</v>
      </c>
      <c r="Q1207" s="7">
        <f t="shared" si="199"/>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3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93"/>
        <v>122134</v>
      </c>
      <c r="O1208" s="9">
        <f t="shared" si="194"/>
        <v>62</v>
      </c>
      <c r="P1208" s="7">
        <v>14</v>
      </c>
      <c r="Q1208" s="7">
        <f t="shared" si="199"/>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3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93"/>
        <v>122134</v>
      </c>
      <c r="O1209" s="9">
        <f t="shared" si="194"/>
        <v>62</v>
      </c>
      <c r="P1209" s="7">
        <v>14</v>
      </c>
      <c r="Q1209" s="7">
        <f t="shared" si="199"/>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3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93"/>
        <v>122134</v>
      </c>
      <c r="O1210" s="9">
        <f t="shared" si="194"/>
        <v>62</v>
      </c>
      <c r="P1210" s="7">
        <v>14</v>
      </c>
      <c r="Q1210" s="7">
        <f t="shared" si="199"/>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3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93"/>
        <v>122134</v>
      </c>
      <c r="O1211" s="9">
        <f t="shared" si="194"/>
        <v>62</v>
      </c>
      <c r="P1211" s="7">
        <v>14</v>
      </c>
      <c r="Q1211" s="7">
        <f t="shared" si="199"/>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3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93"/>
        <v>122134</v>
      </c>
      <c r="O1212" s="9">
        <f t="shared" si="194"/>
        <v>62</v>
      </c>
      <c r="P1212" s="7">
        <v>14</v>
      </c>
      <c r="Q1212" s="7">
        <f t="shared" si="199"/>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3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93"/>
        <v>122134</v>
      </c>
      <c r="O1213" s="9">
        <f t="shared" si="194"/>
        <v>62</v>
      </c>
      <c r="P1213" s="7">
        <v>14</v>
      </c>
      <c r="Q1213" s="7">
        <f t="shared" si="199"/>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3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93"/>
        <v>122134</v>
      </c>
      <c r="O1214" s="9">
        <f t="shared" si="194"/>
        <v>62</v>
      </c>
      <c r="P1214" s="7">
        <v>14</v>
      </c>
      <c r="Q1214" s="7">
        <f t="shared" si="199"/>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3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93"/>
        <v>122134</v>
      </c>
      <c r="O1215" s="9">
        <f t="shared" si="194"/>
        <v>62</v>
      </c>
      <c r="P1215" s="7">
        <v>14</v>
      </c>
      <c r="Q1215" s="7">
        <f t="shared" si="199"/>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3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93"/>
        <v>122134</v>
      </c>
      <c r="O1216" s="9">
        <f t="shared" si="194"/>
        <v>62</v>
      </c>
      <c r="P1216" s="7">
        <v>14</v>
      </c>
      <c r="Q1216" s="7">
        <f t="shared" si="199"/>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3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93"/>
        <v>122134</v>
      </c>
      <c r="O1217" s="9">
        <f t="shared" si="194"/>
        <v>62</v>
      </c>
      <c r="P1217" s="7">
        <v>14</v>
      </c>
      <c r="Q1217" s="7">
        <f t="shared" si="199"/>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3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200">L1218-M1218-1</f>
        <v>122134</v>
      </c>
      <c r="O1218" s="9">
        <f t="shared" ref="O1218:O1281" si="201">COUNTIF(B:B,B1218)</f>
        <v>62</v>
      </c>
      <c r="P1218" s="7">
        <v>14</v>
      </c>
      <c r="Q1218" s="7">
        <f t="shared" si="199"/>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3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200"/>
        <v>122134</v>
      </c>
      <c r="O1219" s="9">
        <f t="shared" si="201"/>
        <v>62</v>
      </c>
      <c r="P1219" s="7">
        <v>14</v>
      </c>
      <c r="Q1219" s="7">
        <f t="shared" si="199"/>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3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200"/>
        <v>122134</v>
      </c>
      <c r="O1220" s="9">
        <f t="shared" si="201"/>
        <v>62</v>
      </c>
      <c r="P1220" s="7">
        <v>14</v>
      </c>
      <c r="Q1220" s="7">
        <f t="shared" si="199"/>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3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200"/>
        <v>122134</v>
      </c>
      <c r="O1221" s="9">
        <f t="shared" si="201"/>
        <v>62</v>
      </c>
      <c r="P1221" s="7">
        <v>14</v>
      </c>
      <c r="Q1221" s="7">
        <f t="shared" si="199"/>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3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200"/>
        <v>122134</v>
      </c>
      <c r="O1222" s="9">
        <f t="shared" si="201"/>
        <v>62</v>
      </c>
      <c r="P1222" s="7">
        <v>14</v>
      </c>
      <c r="Q1222" s="7">
        <f t="shared" si="199"/>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3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200"/>
        <v>122134</v>
      </c>
      <c r="O1223" s="9">
        <f t="shared" si="201"/>
        <v>62</v>
      </c>
      <c r="P1223" s="7">
        <v>14</v>
      </c>
      <c r="Q1223" s="7">
        <f t="shared" si="199"/>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3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200"/>
        <v>122134</v>
      </c>
      <c r="O1224" s="9">
        <f t="shared" si="201"/>
        <v>62</v>
      </c>
      <c r="P1224" s="7">
        <v>14</v>
      </c>
      <c r="Q1224" s="7">
        <f t="shared" si="199"/>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3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200"/>
        <v>122134</v>
      </c>
      <c r="O1225" s="9">
        <f t="shared" si="201"/>
        <v>62</v>
      </c>
      <c r="P1225" s="7">
        <v>14</v>
      </c>
      <c r="Q1225" s="7">
        <f t="shared" si="199"/>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3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200"/>
        <v>122134</v>
      </c>
      <c r="O1226" s="9">
        <f t="shared" si="201"/>
        <v>62</v>
      </c>
      <c r="P1226" s="7">
        <v>14</v>
      </c>
      <c r="Q1226" s="7">
        <f t="shared" si="199"/>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3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200"/>
        <v>122134</v>
      </c>
      <c r="O1227" s="9">
        <f t="shared" si="201"/>
        <v>62</v>
      </c>
      <c r="P1227" s="7">
        <v>14</v>
      </c>
      <c r="Q1227" s="7">
        <f t="shared" si="199"/>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3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200"/>
        <v>122134</v>
      </c>
      <c r="O1228" s="9">
        <f t="shared" si="201"/>
        <v>62</v>
      </c>
      <c r="P1228" s="7">
        <v>14</v>
      </c>
      <c r="Q1228" s="7">
        <f t="shared" si="199"/>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3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200"/>
        <v>122134</v>
      </c>
      <c r="O1229" s="9">
        <f t="shared" si="201"/>
        <v>62</v>
      </c>
      <c r="P1229" s="7">
        <v>14</v>
      </c>
      <c r="Q1229" s="7">
        <f t="shared" si="199"/>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3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200"/>
        <v>122134</v>
      </c>
      <c r="O1230" s="9">
        <f t="shared" si="201"/>
        <v>62</v>
      </c>
      <c r="P1230" s="7">
        <v>14</v>
      </c>
      <c r="Q1230" s="7">
        <f t="shared" si="199"/>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3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200"/>
        <v>122134</v>
      </c>
      <c r="O1231" s="9">
        <f t="shared" si="201"/>
        <v>62</v>
      </c>
      <c r="P1231" s="7">
        <v>14</v>
      </c>
      <c r="Q1231" s="7">
        <f t="shared" si="199"/>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3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200"/>
        <v>122134</v>
      </c>
      <c r="O1232" s="9">
        <f t="shared" si="201"/>
        <v>62</v>
      </c>
      <c r="P1232" s="7">
        <v>14</v>
      </c>
      <c r="Q1232" s="7">
        <f t="shared" si="199"/>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3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200"/>
        <v>122134</v>
      </c>
      <c r="O1233" s="9">
        <f t="shared" si="201"/>
        <v>62</v>
      </c>
      <c r="P1233" s="7">
        <v>14</v>
      </c>
      <c r="Q1233" s="7">
        <f t="shared" ref="Q1233:Q1262" si="20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3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200"/>
        <v>122134</v>
      </c>
      <c r="O1234" s="9">
        <f t="shared" si="201"/>
        <v>62</v>
      </c>
      <c r="P1234" s="7">
        <v>14</v>
      </c>
      <c r="Q1234" s="7">
        <f t="shared" si="20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3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200"/>
        <v>122134</v>
      </c>
      <c r="O1235" s="9">
        <f t="shared" si="201"/>
        <v>62</v>
      </c>
      <c r="P1235" s="7">
        <v>14</v>
      </c>
      <c r="Q1235" s="7">
        <f t="shared" si="20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3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200"/>
        <v>122134</v>
      </c>
      <c r="O1236" s="9">
        <f t="shared" si="201"/>
        <v>62</v>
      </c>
      <c r="P1236" s="7">
        <v>14</v>
      </c>
      <c r="Q1236" s="7">
        <f t="shared" si="20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3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200"/>
        <v>122134</v>
      </c>
      <c r="O1237" s="9">
        <f t="shared" si="201"/>
        <v>62</v>
      </c>
      <c r="P1237" s="7">
        <v>14</v>
      </c>
      <c r="Q1237" s="7">
        <f t="shared" si="20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3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200"/>
        <v>122134</v>
      </c>
      <c r="O1238" s="9">
        <f t="shared" si="201"/>
        <v>62</v>
      </c>
      <c r="P1238" s="7">
        <v>14</v>
      </c>
      <c r="Q1238" s="7">
        <f t="shared" si="20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3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200"/>
        <v>122134</v>
      </c>
      <c r="O1239" s="9">
        <f t="shared" si="201"/>
        <v>62</v>
      </c>
      <c r="P1239" s="7">
        <v>14</v>
      </c>
      <c r="Q1239" s="7">
        <f t="shared" si="20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3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200"/>
        <v>122134</v>
      </c>
      <c r="O1240" s="9">
        <f t="shared" si="201"/>
        <v>62</v>
      </c>
      <c r="P1240" s="7">
        <v>14</v>
      </c>
      <c r="Q1240" s="7">
        <f t="shared" si="20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3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200"/>
        <v>122134</v>
      </c>
      <c r="O1241" s="9">
        <f t="shared" si="201"/>
        <v>62</v>
      </c>
      <c r="P1241" s="7">
        <v>14</v>
      </c>
      <c r="Q1241" s="7">
        <f t="shared" si="20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3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200"/>
        <v>122134</v>
      </c>
      <c r="O1242" s="9">
        <f t="shared" si="201"/>
        <v>62</v>
      </c>
      <c r="P1242" s="7">
        <v>14</v>
      </c>
      <c r="Q1242" s="7">
        <f t="shared" si="20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3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200"/>
        <v>122134</v>
      </c>
      <c r="O1243" s="9">
        <f t="shared" si="201"/>
        <v>62</v>
      </c>
      <c r="P1243" s="7">
        <v>14</v>
      </c>
      <c r="Q1243" s="7">
        <f t="shared" si="20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3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200"/>
        <v>122134</v>
      </c>
      <c r="O1244" s="9">
        <f t="shared" si="201"/>
        <v>62</v>
      </c>
      <c r="P1244" s="7">
        <v>14</v>
      </c>
      <c r="Q1244" s="7">
        <f t="shared" si="20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3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200"/>
        <v>122134</v>
      </c>
      <c r="O1245" s="9">
        <f t="shared" si="201"/>
        <v>62</v>
      </c>
      <c r="P1245" s="7">
        <v>14</v>
      </c>
      <c r="Q1245" s="7">
        <f t="shared" si="20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3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200"/>
        <v>122134</v>
      </c>
      <c r="O1246" s="9">
        <f t="shared" si="201"/>
        <v>62</v>
      </c>
      <c r="P1246" s="7">
        <v>14</v>
      </c>
      <c r="Q1246" s="7">
        <f t="shared" si="20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3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200"/>
        <v>122134</v>
      </c>
      <c r="O1247" s="9">
        <f t="shared" si="201"/>
        <v>62</v>
      </c>
      <c r="P1247" s="7">
        <v>14</v>
      </c>
      <c r="Q1247" s="7">
        <f t="shared" si="20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3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200"/>
        <v>122134</v>
      </c>
      <c r="O1248" s="9">
        <f t="shared" si="201"/>
        <v>62</v>
      </c>
      <c r="P1248" s="7">
        <v>14</v>
      </c>
      <c r="Q1248" s="7">
        <f t="shared" si="20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3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200"/>
        <v>122134</v>
      </c>
      <c r="O1249" s="9">
        <f t="shared" si="201"/>
        <v>62</v>
      </c>
      <c r="P1249" s="7">
        <v>14</v>
      </c>
      <c r="Q1249" s="7">
        <f t="shared" si="20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3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200"/>
        <v>122134</v>
      </c>
      <c r="O1250" s="9">
        <f t="shared" si="201"/>
        <v>62</v>
      </c>
      <c r="P1250" s="7">
        <v>14</v>
      </c>
      <c r="Q1250" s="7">
        <f t="shared" si="20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3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200"/>
        <v>122134</v>
      </c>
      <c r="O1251" s="9">
        <f t="shared" si="201"/>
        <v>62</v>
      </c>
      <c r="P1251" s="7">
        <v>14</v>
      </c>
      <c r="Q1251" s="7">
        <f t="shared" si="20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3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200"/>
        <v>122134</v>
      </c>
      <c r="O1252" s="9">
        <f t="shared" si="201"/>
        <v>62</v>
      </c>
      <c r="P1252" s="7">
        <v>14</v>
      </c>
      <c r="Q1252" s="7">
        <f t="shared" si="20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3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200"/>
        <v>122134</v>
      </c>
      <c r="O1253" s="9">
        <f t="shared" si="201"/>
        <v>62</v>
      </c>
      <c r="P1253" s="7">
        <v>14</v>
      </c>
      <c r="Q1253" s="7">
        <f t="shared" si="20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3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200"/>
        <v>122134</v>
      </c>
      <c r="O1254" s="9">
        <f t="shared" si="201"/>
        <v>62</v>
      </c>
      <c r="P1254" s="7">
        <v>14</v>
      </c>
      <c r="Q1254" s="7">
        <f t="shared" si="20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3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200"/>
        <v>122134</v>
      </c>
      <c r="O1255" s="9">
        <f t="shared" si="201"/>
        <v>62</v>
      </c>
      <c r="P1255" s="7">
        <v>14</v>
      </c>
      <c r="Q1255" s="7">
        <f t="shared" si="20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3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200"/>
        <v>122134</v>
      </c>
      <c r="O1256" s="9">
        <f t="shared" si="201"/>
        <v>62</v>
      </c>
      <c r="P1256" s="7">
        <v>14</v>
      </c>
      <c r="Q1256" s="7">
        <f t="shared" si="20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3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200"/>
        <v>122134</v>
      </c>
      <c r="O1257" s="9">
        <f t="shared" si="201"/>
        <v>62</v>
      </c>
      <c r="P1257" s="7">
        <v>14</v>
      </c>
      <c r="Q1257" s="7">
        <f t="shared" si="20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3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200"/>
        <v>122134</v>
      </c>
      <c r="O1258" s="9">
        <f t="shared" si="201"/>
        <v>62</v>
      </c>
      <c r="P1258" s="7">
        <v>14</v>
      </c>
      <c r="Q1258" s="7">
        <f t="shared" si="20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3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200"/>
        <v>122134</v>
      </c>
      <c r="O1259" s="9">
        <f t="shared" si="201"/>
        <v>62</v>
      </c>
      <c r="P1259" s="7">
        <v>14</v>
      </c>
      <c r="Q1259" s="7">
        <f t="shared" si="20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3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200"/>
        <v>122134</v>
      </c>
      <c r="O1260" s="9">
        <f t="shared" si="201"/>
        <v>62</v>
      </c>
      <c r="P1260" s="7">
        <v>14</v>
      </c>
      <c r="Q1260" s="7">
        <f t="shared" si="20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3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200"/>
        <v>122134</v>
      </c>
      <c r="O1261" s="9">
        <f t="shared" si="201"/>
        <v>62</v>
      </c>
      <c r="P1261" s="7">
        <v>14</v>
      </c>
      <c r="Q1261" s="7">
        <f t="shared" si="20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3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200"/>
        <v>122134</v>
      </c>
      <c r="O1262" s="9">
        <f t="shared" si="201"/>
        <v>62</v>
      </c>
      <c r="P1262" s="7">
        <v>14</v>
      </c>
      <c r="Q1262" s="7">
        <f t="shared" si="20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35">
      <c r="A1263">
        <v>1262</v>
      </c>
      <c r="B1263">
        <v>82</v>
      </c>
      <c r="C1263" s="22" t="s">
        <v>1153</v>
      </c>
      <c r="D1263" s="11">
        <v>7.4</v>
      </c>
      <c r="E1263" s="12">
        <v>0.4</v>
      </c>
      <c r="F1263" s="7">
        <f t="shared" ref="F1263:F1303" si="203">D1263/E1263</f>
        <v>18.5</v>
      </c>
      <c r="G1263" s="8">
        <v>0</v>
      </c>
      <c r="H1263" s="9">
        <v>0</v>
      </c>
      <c r="I1263" s="9">
        <v>1</v>
      </c>
      <c r="J1263" s="9">
        <v>0</v>
      </c>
      <c r="K1263" s="9">
        <v>0</v>
      </c>
      <c r="L1263" s="8">
        <v>3010</v>
      </c>
      <c r="M1263" s="9">
        <v>6</v>
      </c>
      <c r="N1263" s="9">
        <f t="shared" si="200"/>
        <v>3003</v>
      </c>
      <c r="O1263" s="9">
        <f t="shared" si="201"/>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20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35">
      <c r="A1264">
        <v>1263</v>
      </c>
      <c r="B1264">
        <v>82</v>
      </c>
      <c r="C1264" s="22" t="s">
        <v>1153</v>
      </c>
      <c r="D1264" s="11">
        <v>7.5</v>
      </c>
      <c r="E1264" s="12">
        <v>0.3</v>
      </c>
      <c r="F1264" s="7">
        <f t="shared" si="203"/>
        <v>25</v>
      </c>
      <c r="G1264" s="8">
        <v>0</v>
      </c>
      <c r="H1264" s="9">
        <v>0</v>
      </c>
      <c r="I1264" s="9">
        <v>1</v>
      </c>
      <c r="J1264" s="9">
        <v>0</v>
      </c>
      <c r="K1264" s="9">
        <v>0</v>
      </c>
      <c r="L1264" s="8">
        <v>3010</v>
      </c>
      <c r="M1264" s="9">
        <v>15</v>
      </c>
      <c r="N1264" s="9">
        <f t="shared" si="200"/>
        <v>2994</v>
      </c>
      <c r="O1264" s="9">
        <f t="shared" si="201"/>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20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35">
      <c r="A1265">
        <v>1264</v>
      </c>
      <c r="B1265">
        <v>82</v>
      </c>
      <c r="C1265" s="22" t="s">
        <v>1153</v>
      </c>
      <c r="D1265" s="11">
        <v>7.3</v>
      </c>
      <c r="E1265" s="12">
        <v>0.4</v>
      </c>
      <c r="F1265" s="7">
        <f t="shared" si="203"/>
        <v>18.25</v>
      </c>
      <c r="G1265" s="8">
        <v>0</v>
      </c>
      <c r="H1265" s="9">
        <v>0</v>
      </c>
      <c r="I1265" s="9">
        <v>1</v>
      </c>
      <c r="J1265" s="9">
        <v>0</v>
      </c>
      <c r="K1265" s="9">
        <v>0</v>
      </c>
      <c r="L1265" s="8">
        <v>3010</v>
      </c>
      <c r="M1265" s="9">
        <v>16</v>
      </c>
      <c r="N1265" s="9">
        <f t="shared" si="200"/>
        <v>2993</v>
      </c>
      <c r="O1265" s="9">
        <f t="shared" si="201"/>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20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35">
      <c r="A1266">
        <v>1265</v>
      </c>
      <c r="B1266">
        <v>82</v>
      </c>
      <c r="C1266" s="22" t="s">
        <v>1153</v>
      </c>
      <c r="D1266" s="11">
        <v>7.4</v>
      </c>
      <c r="E1266" s="12">
        <v>0.4</v>
      </c>
      <c r="F1266" s="7">
        <f t="shared" si="203"/>
        <v>18.5</v>
      </c>
      <c r="G1266" s="8">
        <v>0</v>
      </c>
      <c r="H1266" s="9">
        <v>0</v>
      </c>
      <c r="I1266" s="9">
        <v>1</v>
      </c>
      <c r="J1266" s="9">
        <v>0</v>
      </c>
      <c r="K1266" s="9">
        <v>0</v>
      </c>
      <c r="L1266" s="8">
        <v>3010</v>
      </c>
      <c r="M1266" s="9">
        <v>17</v>
      </c>
      <c r="N1266" s="9">
        <f t="shared" si="200"/>
        <v>2992</v>
      </c>
      <c r="O1266" s="9">
        <f t="shared" si="201"/>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20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35">
      <c r="A1267">
        <v>1266</v>
      </c>
      <c r="B1267">
        <v>82</v>
      </c>
      <c r="C1267" s="22" t="s">
        <v>1153</v>
      </c>
      <c r="D1267" s="11">
        <v>7.3</v>
      </c>
      <c r="E1267" s="12">
        <v>0.4</v>
      </c>
      <c r="F1267" s="7">
        <f t="shared" si="203"/>
        <v>18.25</v>
      </c>
      <c r="G1267" s="8">
        <v>0</v>
      </c>
      <c r="H1267" s="9">
        <v>0</v>
      </c>
      <c r="I1267" s="9">
        <v>1</v>
      </c>
      <c r="J1267" s="9">
        <v>0</v>
      </c>
      <c r="K1267" s="9">
        <v>0</v>
      </c>
      <c r="L1267" s="8">
        <v>3010</v>
      </c>
      <c r="M1267" s="9">
        <v>19</v>
      </c>
      <c r="N1267" s="9">
        <f t="shared" si="200"/>
        <v>2990</v>
      </c>
      <c r="O1267" s="9">
        <f t="shared" si="201"/>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20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35">
      <c r="A1268">
        <v>1267</v>
      </c>
      <c r="B1268">
        <v>82</v>
      </c>
      <c r="C1268" s="22" t="s">
        <v>1153</v>
      </c>
      <c r="D1268" s="11">
        <v>13.2</v>
      </c>
      <c r="E1268" s="12">
        <v>5.5</v>
      </c>
      <c r="F1268" s="7">
        <f t="shared" si="203"/>
        <v>2.4</v>
      </c>
      <c r="G1268" s="8">
        <v>0</v>
      </c>
      <c r="H1268" s="9">
        <v>0</v>
      </c>
      <c r="I1268" s="9">
        <v>1</v>
      </c>
      <c r="J1268" s="9">
        <v>0</v>
      </c>
      <c r="K1268" s="9">
        <v>0</v>
      </c>
      <c r="L1268" s="8">
        <v>3010</v>
      </c>
      <c r="M1268" s="9">
        <v>6</v>
      </c>
      <c r="N1268" s="9">
        <f t="shared" si="200"/>
        <v>3003</v>
      </c>
      <c r="O1268" s="9">
        <f t="shared" si="201"/>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20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35">
      <c r="A1269">
        <v>1268</v>
      </c>
      <c r="B1269">
        <v>82</v>
      </c>
      <c r="C1269" s="22" t="s">
        <v>1153</v>
      </c>
      <c r="D1269" s="11">
        <v>14</v>
      </c>
      <c r="E1269" s="12">
        <v>5.5</v>
      </c>
      <c r="F1269" s="7">
        <f t="shared" si="203"/>
        <v>2.5454545454545454</v>
      </c>
      <c r="G1269" s="8">
        <v>0</v>
      </c>
      <c r="H1269" s="9">
        <v>0</v>
      </c>
      <c r="I1269" s="9">
        <v>1</v>
      </c>
      <c r="J1269" s="9">
        <v>0</v>
      </c>
      <c r="K1269" s="9">
        <v>0</v>
      </c>
      <c r="L1269" s="8">
        <v>3010</v>
      </c>
      <c r="M1269" s="9">
        <v>20</v>
      </c>
      <c r="N1269" s="9">
        <f t="shared" si="200"/>
        <v>2989</v>
      </c>
      <c r="O1269" s="9">
        <f t="shared" si="201"/>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20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35">
      <c r="A1270">
        <v>1269</v>
      </c>
      <c r="B1270">
        <v>82</v>
      </c>
      <c r="C1270" s="22" t="s">
        <v>1153</v>
      </c>
      <c r="D1270" s="11">
        <v>12.2</v>
      </c>
      <c r="E1270" s="12">
        <v>4.5999999999999996</v>
      </c>
      <c r="F1270" s="7">
        <f t="shared" si="203"/>
        <v>2.6521739130434785</v>
      </c>
      <c r="G1270" s="8">
        <v>0</v>
      </c>
      <c r="H1270" s="9">
        <v>0</v>
      </c>
      <c r="I1270" s="9">
        <v>1</v>
      </c>
      <c r="J1270" s="9">
        <v>0</v>
      </c>
      <c r="K1270" s="9">
        <v>0</v>
      </c>
      <c r="L1270" s="8">
        <v>3010</v>
      </c>
      <c r="M1270" s="9">
        <v>6</v>
      </c>
      <c r="N1270" s="9">
        <f t="shared" si="200"/>
        <v>3003</v>
      </c>
      <c r="O1270" s="9">
        <f t="shared" si="201"/>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20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35">
      <c r="A1271">
        <v>1270</v>
      </c>
      <c r="B1271">
        <v>82</v>
      </c>
      <c r="C1271" s="22" t="s">
        <v>1153</v>
      </c>
      <c r="D1271" s="11">
        <v>13.2</v>
      </c>
      <c r="E1271" s="12">
        <v>4.9000000000000004</v>
      </c>
      <c r="F1271" s="7">
        <f t="shared" si="203"/>
        <v>2.6938775510204076</v>
      </c>
      <c r="G1271" s="8">
        <v>0</v>
      </c>
      <c r="H1271" s="9">
        <v>0</v>
      </c>
      <c r="I1271" s="9">
        <v>1</v>
      </c>
      <c r="J1271" s="9">
        <v>0</v>
      </c>
      <c r="K1271" s="9">
        <v>0</v>
      </c>
      <c r="L1271" s="8">
        <v>3010</v>
      </c>
      <c r="M1271" s="9">
        <v>20</v>
      </c>
      <c r="N1271" s="9">
        <f t="shared" si="200"/>
        <v>2989</v>
      </c>
      <c r="O1271" s="9">
        <f t="shared" si="201"/>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20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35">
      <c r="A1272">
        <v>1271</v>
      </c>
      <c r="B1272">
        <v>82</v>
      </c>
      <c r="C1272" s="22" t="s">
        <v>1153</v>
      </c>
      <c r="D1272" s="11">
        <v>6.6</v>
      </c>
      <c r="E1272" s="12">
        <v>0.6</v>
      </c>
      <c r="F1272" s="7">
        <f t="shared" si="203"/>
        <v>11</v>
      </c>
      <c r="G1272" s="8">
        <v>0</v>
      </c>
      <c r="H1272" s="9">
        <v>0</v>
      </c>
      <c r="I1272" s="9">
        <v>1</v>
      </c>
      <c r="J1272" s="9">
        <v>0</v>
      </c>
      <c r="K1272" s="9">
        <v>0</v>
      </c>
      <c r="L1272" s="8">
        <v>2639</v>
      </c>
      <c r="M1272" s="9">
        <v>15</v>
      </c>
      <c r="N1272" s="9">
        <f t="shared" si="200"/>
        <v>2623</v>
      </c>
      <c r="O1272" s="9">
        <f t="shared" si="201"/>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20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35">
      <c r="A1273">
        <v>1272</v>
      </c>
      <c r="B1273">
        <v>82</v>
      </c>
      <c r="C1273" s="22" t="s">
        <v>1153</v>
      </c>
      <c r="D1273" s="11">
        <v>5.5</v>
      </c>
      <c r="E1273" s="12">
        <v>0.4</v>
      </c>
      <c r="F1273" s="7">
        <f t="shared" si="203"/>
        <v>13.75</v>
      </c>
      <c r="G1273" s="8">
        <v>0</v>
      </c>
      <c r="H1273" s="9">
        <v>0</v>
      </c>
      <c r="I1273" s="9">
        <v>1</v>
      </c>
      <c r="J1273" s="9">
        <v>0</v>
      </c>
      <c r="K1273" s="9">
        <v>0</v>
      </c>
      <c r="L1273" s="8">
        <v>2963</v>
      </c>
      <c r="M1273" s="9">
        <v>15</v>
      </c>
      <c r="N1273" s="9">
        <f t="shared" si="200"/>
        <v>2947</v>
      </c>
      <c r="O1273" s="9">
        <f t="shared" si="201"/>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20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35">
      <c r="A1274">
        <v>1273</v>
      </c>
      <c r="B1274">
        <v>82</v>
      </c>
      <c r="C1274" s="22" t="s">
        <v>1153</v>
      </c>
      <c r="D1274" s="11">
        <v>6.1</v>
      </c>
      <c r="E1274" s="12">
        <v>0.5</v>
      </c>
      <c r="F1274" s="7">
        <f t="shared" si="203"/>
        <v>12.2</v>
      </c>
      <c r="G1274" s="8">
        <v>0</v>
      </c>
      <c r="H1274" s="9">
        <v>0</v>
      </c>
      <c r="I1274" s="9">
        <v>1</v>
      </c>
      <c r="J1274" s="9">
        <v>0</v>
      </c>
      <c r="K1274" s="9">
        <v>0</v>
      </c>
      <c r="L1274" s="8">
        <v>2040</v>
      </c>
      <c r="M1274" s="9">
        <v>15</v>
      </c>
      <c r="N1274" s="9">
        <f t="shared" si="200"/>
        <v>2024</v>
      </c>
      <c r="O1274" s="9">
        <f t="shared" si="201"/>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20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35">
      <c r="A1275">
        <v>1274</v>
      </c>
      <c r="B1275">
        <v>82</v>
      </c>
      <c r="C1275" s="22" t="s">
        <v>1153</v>
      </c>
      <c r="D1275" s="11">
        <v>7.3</v>
      </c>
      <c r="E1275" s="12">
        <v>0.4</v>
      </c>
      <c r="F1275" s="7">
        <f t="shared" si="203"/>
        <v>18.25</v>
      </c>
      <c r="G1275" s="8">
        <v>0</v>
      </c>
      <c r="H1275" s="9">
        <v>0</v>
      </c>
      <c r="I1275" s="9">
        <v>1</v>
      </c>
      <c r="J1275" s="9">
        <v>0</v>
      </c>
      <c r="K1275" s="9">
        <v>0</v>
      </c>
      <c r="L1275" s="8">
        <v>3010</v>
      </c>
      <c r="M1275" s="9">
        <v>15</v>
      </c>
      <c r="N1275" s="9">
        <f t="shared" si="200"/>
        <v>2994</v>
      </c>
      <c r="O1275" s="9">
        <f t="shared" si="201"/>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20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35">
      <c r="A1276">
        <v>1275</v>
      </c>
      <c r="B1276">
        <v>82</v>
      </c>
      <c r="C1276" s="22" t="s">
        <v>1153</v>
      </c>
      <c r="D1276" s="11">
        <v>7.3</v>
      </c>
      <c r="E1276" s="12">
        <v>0.4</v>
      </c>
      <c r="F1276" s="7">
        <f t="shared" si="203"/>
        <v>18.25</v>
      </c>
      <c r="G1276" s="8">
        <v>0</v>
      </c>
      <c r="H1276" s="9">
        <v>0</v>
      </c>
      <c r="I1276" s="9">
        <v>1</v>
      </c>
      <c r="J1276" s="9">
        <v>0</v>
      </c>
      <c r="K1276" s="9">
        <v>0</v>
      </c>
      <c r="L1276" s="8">
        <v>3010</v>
      </c>
      <c r="M1276" s="9">
        <v>15</v>
      </c>
      <c r="N1276" s="9">
        <f t="shared" si="200"/>
        <v>2994</v>
      </c>
      <c r="O1276" s="9">
        <f t="shared" si="201"/>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20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35">
      <c r="A1277">
        <v>1276</v>
      </c>
      <c r="B1277">
        <v>82</v>
      </c>
      <c r="C1277" s="22" t="s">
        <v>1153</v>
      </c>
      <c r="D1277" s="11">
        <v>7.6</v>
      </c>
      <c r="E1277" s="12">
        <v>0.6</v>
      </c>
      <c r="F1277" s="7">
        <f t="shared" si="203"/>
        <v>12.666666666666666</v>
      </c>
      <c r="G1277" s="8">
        <v>0</v>
      </c>
      <c r="H1277" s="9">
        <v>0</v>
      </c>
      <c r="I1277" s="9">
        <v>1</v>
      </c>
      <c r="J1277" s="9">
        <v>0</v>
      </c>
      <c r="K1277" s="9">
        <v>0</v>
      </c>
      <c r="L1277" s="8">
        <v>2037</v>
      </c>
      <c r="M1277" s="9">
        <v>15</v>
      </c>
      <c r="N1277" s="9">
        <f t="shared" si="200"/>
        <v>2021</v>
      </c>
      <c r="O1277" s="9">
        <f t="shared" si="201"/>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35">
      <c r="A1278">
        <v>1277</v>
      </c>
      <c r="B1278">
        <v>82</v>
      </c>
      <c r="C1278" s="22" t="s">
        <v>1153</v>
      </c>
      <c r="D1278" s="11">
        <v>13.2</v>
      </c>
      <c r="E1278" s="12">
        <v>4.9000000000000004</v>
      </c>
      <c r="F1278" s="7">
        <f t="shared" si="203"/>
        <v>2.6938775510204076</v>
      </c>
      <c r="G1278" s="8">
        <v>0</v>
      </c>
      <c r="H1278" s="9">
        <v>0</v>
      </c>
      <c r="I1278" s="9">
        <v>1</v>
      </c>
      <c r="J1278" s="9">
        <v>0</v>
      </c>
      <c r="K1278" s="9">
        <v>0</v>
      </c>
      <c r="L1278" s="8">
        <v>3010</v>
      </c>
      <c r="M1278" s="9">
        <v>15</v>
      </c>
      <c r="N1278" s="9">
        <f t="shared" si="200"/>
        <v>2994</v>
      </c>
      <c r="O1278" s="9">
        <f t="shared" si="201"/>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20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35">
      <c r="A1279">
        <v>1278</v>
      </c>
      <c r="B1279">
        <v>82</v>
      </c>
      <c r="C1279" s="22" t="s">
        <v>1153</v>
      </c>
      <c r="D1279" s="11">
        <v>11.7</v>
      </c>
      <c r="E1279" s="12">
        <v>6.1</v>
      </c>
      <c r="F1279" s="7">
        <f t="shared" si="203"/>
        <v>1.9180327868852458</v>
      </c>
      <c r="G1279" s="8">
        <v>0</v>
      </c>
      <c r="H1279" s="9">
        <v>0</v>
      </c>
      <c r="I1279" s="9">
        <v>1</v>
      </c>
      <c r="J1279" s="9">
        <v>0</v>
      </c>
      <c r="K1279" s="9">
        <v>0</v>
      </c>
      <c r="L1279" s="8">
        <v>2639</v>
      </c>
      <c r="M1279" s="9">
        <v>15</v>
      </c>
      <c r="N1279" s="9">
        <f t="shared" si="200"/>
        <v>2623</v>
      </c>
      <c r="O1279" s="9">
        <f t="shared" si="201"/>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20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35">
      <c r="A1280">
        <v>1279</v>
      </c>
      <c r="B1280">
        <v>82</v>
      </c>
      <c r="C1280" s="22" t="s">
        <v>1153</v>
      </c>
      <c r="D1280" s="11">
        <v>13.6</v>
      </c>
      <c r="E1280" s="12">
        <v>7.8</v>
      </c>
      <c r="F1280" s="7">
        <f t="shared" si="203"/>
        <v>1.7435897435897436</v>
      </c>
      <c r="G1280" s="8">
        <v>0</v>
      </c>
      <c r="H1280" s="9">
        <v>0</v>
      </c>
      <c r="I1280" s="9">
        <v>1</v>
      </c>
      <c r="J1280" s="9">
        <v>0</v>
      </c>
      <c r="K1280" s="9">
        <v>0</v>
      </c>
      <c r="L1280" s="8">
        <v>2963</v>
      </c>
      <c r="M1280" s="9">
        <v>15</v>
      </c>
      <c r="N1280" s="9">
        <f t="shared" si="200"/>
        <v>2947</v>
      </c>
      <c r="O1280" s="9">
        <f t="shared" si="201"/>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20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35">
      <c r="A1281">
        <v>1280</v>
      </c>
      <c r="B1281">
        <v>82</v>
      </c>
      <c r="C1281" s="22" t="s">
        <v>1153</v>
      </c>
      <c r="D1281" s="11">
        <v>8.9</v>
      </c>
      <c r="E1281" s="12">
        <v>8.5</v>
      </c>
      <c r="F1281" s="7">
        <f t="shared" si="203"/>
        <v>1.0470588235294118</v>
      </c>
      <c r="G1281" s="8">
        <v>0</v>
      </c>
      <c r="H1281" s="9">
        <v>0</v>
      </c>
      <c r="I1281" s="9">
        <v>1</v>
      </c>
      <c r="J1281" s="9">
        <v>0</v>
      </c>
      <c r="K1281" s="9">
        <v>0</v>
      </c>
      <c r="L1281" s="8">
        <v>2040</v>
      </c>
      <c r="M1281" s="9">
        <v>15</v>
      </c>
      <c r="N1281" s="9">
        <f t="shared" si="200"/>
        <v>2024</v>
      </c>
      <c r="O1281" s="9">
        <f t="shared" si="201"/>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20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35">
      <c r="A1282">
        <v>1281</v>
      </c>
      <c r="B1282">
        <v>82</v>
      </c>
      <c r="C1282" s="22" t="s">
        <v>1153</v>
      </c>
      <c r="D1282" s="11">
        <v>19.399999999999999</v>
      </c>
      <c r="E1282" s="12">
        <v>5.9</v>
      </c>
      <c r="F1282" s="7">
        <f t="shared" si="203"/>
        <v>3.2881355932203387</v>
      </c>
      <c r="G1282" s="8">
        <v>0</v>
      </c>
      <c r="H1282" s="9">
        <v>0</v>
      </c>
      <c r="I1282" s="9">
        <v>1</v>
      </c>
      <c r="J1282" s="9">
        <v>0</v>
      </c>
      <c r="K1282" s="9">
        <v>0</v>
      </c>
      <c r="L1282" s="8">
        <v>3010</v>
      </c>
      <c r="M1282" s="9">
        <v>15</v>
      </c>
      <c r="N1282" s="9">
        <f t="shared" ref="N1282:N1345" si="206">L1282-M1282-1</f>
        <v>2994</v>
      </c>
      <c r="O1282" s="9">
        <f t="shared" ref="O1282:O1345" si="207">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20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35">
      <c r="A1283">
        <v>1282</v>
      </c>
      <c r="B1283">
        <v>82</v>
      </c>
      <c r="C1283" s="22" t="s">
        <v>1153</v>
      </c>
      <c r="D1283" s="11">
        <v>11.7</v>
      </c>
      <c r="E1283" s="12">
        <v>4.7</v>
      </c>
      <c r="F1283" s="7">
        <f t="shared" si="203"/>
        <v>2.4893617021276593</v>
      </c>
      <c r="G1283" s="8">
        <v>0</v>
      </c>
      <c r="H1283" s="9">
        <v>0</v>
      </c>
      <c r="I1283" s="9">
        <v>1</v>
      </c>
      <c r="J1283" s="9">
        <v>0</v>
      </c>
      <c r="K1283" s="9">
        <v>0</v>
      </c>
      <c r="L1283" s="8">
        <v>3010</v>
      </c>
      <c r="M1283" s="9">
        <v>15</v>
      </c>
      <c r="N1283" s="9">
        <f t="shared" si="206"/>
        <v>2994</v>
      </c>
      <c r="O1283" s="9">
        <f t="shared" si="207"/>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20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35">
      <c r="A1284">
        <v>1283</v>
      </c>
      <c r="B1284">
        <v>82</v>
      </c>
      <c r="C1284" s="22" t="s">
        <v>1153</v>
      </c>
      <c r="D1284" s="11">
        <v>9.4</v>
      </c>
      <c r="E1284" s="12">
        <v>6.4</v>
      </c>
      <c r="F1284" s="7">
        <f t="shared" si="203"/>
        <v>1.46875</v>
      </c>
      <c r="G1284" s="8">
        <v>0</v>
      </c>
      <c r="H1284" s="9">
        <v>0</v>
      </c>
      <c r="I1284" s="9">
        <v>1</v>
      </c>
      <c r="J1284" s="9">
        <v>0</v>
      </c>
      <c r="K1284" s="9">
        <v>0</v>
      </c>
      <c r="L1284" s="8">
        <v>2037</v>
      </c>
      <c r="M1284" s="9">
        <v>15</v>
      </c>
      <c r="N1284" s="9">
        <f t="shared" si="206"/>
        <v>2021</v>
      </c>
      <c r="O1284" s="9">
        <f t="shared" si="207"/>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35">
      <c r="A1285">
        <v>1284</v>
      </c>
      <c r="B1285">
        <v>82</v>
      </c>
      <c r="C1285" s="22" t="s">
        <v>1153</v>
      </c>
      <c r="D1285" s="11">
        <v>9.3000000000000007</v>
      </c>
      <c r="E1285" s="12">
        <v>6.5</v>
      </c>
      <c r="F1285" s="7">
        <f t="shared" si="203"/>
        <v>1.4307692307692308</v>
      </c>
      <c r="G1285" s="8">
        <v>0</v>
      </c>
      <c r="H1285" s="9">
        <v>0</v>
      </c>
      <c r="I1285" s="9">
        <v>1</v>
      </c>
      <c r="J1285" s="9">
        <v>0</v>
      </c>
      <c r="K1285" s="9">
        <v>0</v>
      </c>
      <c r="L1285" s="8">
        <v>3010</v>
      </c>
      <c r="M1285" s="9">
        <v>20</v>
      </c>
      <c r="N1285" s="9">
        <f t="shared" si="206"/>
        <v>2989</v>
      </c>
      <c r="O1285" s="9">
        <f t="shared" si="207"/>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35">
      <c r="A1286">
        <v>1285</v>
      </c>
      <c r="B1286">
        <v>82</v>
      </c>
      <c r="C1286" s="22" t="s">
        <v>1153</v>
      </c>
      <c r="D1286" s="11">
        <v>9.6999999999999993</v>
      </c>
      <c r="E1286" s="12">
        <v>4.8</v>
      </c>
      <c r="F1286" s="7">
        <f t="shared" si="203"/>
        <v>2.0208333333333335</v>
      </c>
      <c r="G1286" s="8">
        <v>0</v>
      </c>
      <c r="H1286" s="9">
        <v>0</v>
      </c>
      <c r="I1286" s="9">
        <v>1</v>
      </c>
      <c r="J1286" s="9">
        <v>0</v>
      </c>
      <c r="K1286" s="9">
        <v>0</v>
      </c>
      <c r="L1286" s="8">
        <v>3010</v>
      </c>
      <c r="M1286" s="9">
        <v>20</v>
      </c>
      <c r="N1286" s="9">
        <f t="shared" si="206"/>
        <v>2989</v>
      </c>
      <c r="O1286" s="9">
        <f t="shared" si="207"/>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35">
      <c r="A1287">
        <v>1286</v>
      </c>
      <c r="B1287">
        <v>83</v>
      </c>
      <c r="C1287" s="22" t="s">
        <v>1158</v>
      </c>
      <c r="D1287" s="11">
        <v>6.7</v>
      </c>
      <c r="E1287" s="12">
        <v>3.78</v>
      </c>
      <c r="F1287" s="7">
        <f t="shared" si="203"/>
        <v>1.7724867724867726</v>
      </c>
      <c r="G1287" s="8">
        <v>0</v>
      </c>
      <c r="H1287" s="9">
        <v>0</v>
      </c>
      <c r="I1287" s="9">
        <v>0</v>
      </c>
      <c r="J1287" s="9">
        <v>1</v>
      </c>
      <c r="K1287" s="9">
        <v>0</v>
      </c>
      <c r="L1287" s="8">
        <v>1747</v>
      </c>
      <c r="M1287" s="9">
        <v>14</v>
      </c>
      <c r="N1287" s="9">
        <f t="shared" si="206"/>
        <v>1732</v>
      </c>
      <c r="O1287" s="9">
        <f t="shared" si="207"/>
        <v>17</v>
      </c>
      <c r="P1287" s="7">
        <f t="shared" ref="P1287:P1303" si="208">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209">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35">
      <c r="A1288">
        <v>1287</v>
      </c>
      <c r="B1288">
        <v>83</v>
      </c>
      <c r="C1288" s="22" t="s">
        <v>1158</v>
      </c>
      <c r="D1288" s="11">
        <v>14.33</v>
      </c>
      <c r="E1288" s="12">
        <v>3.46</v>
      </c>
      <c r="F1288" s="7">
        <f t="shared" si="203"/>
        <v>4.1416184971098264</v>
      </c>
      <c r="G1288" s="8">
        <v>0</v>
      </c>
      <c r="H1288" s="9">
        <v>0</v>
      </c>
      <c r="I1288" s="9">
        <v>0</v>
      </c>
      <c r="J1288" s="9">
        <v>1</v>
      </c>
      <c r="K1288" s="9">
        <v>0</v>
      </c>
      <c r="L1288" s="8">
        <v>1747</v>
      </c>
      <c r="M1288" s="9">
        <v>14</v>
      </c>
      <c r="N1288" s="9">
        <f t="shared" si="206"/>
        <v>1732</v>
      </c>
      <c r="O1288" s="9">
        <f t="shared" si="207"/>
        <v>17</v>
      </c>
      <c r="P1288" s="7">
        <f t="shared" si="208"/>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209"/>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35">
      <c r="A1289">
        <v>1288</v>
      </c>
      <c r="B1289">
        <v>83</v>
      </c>
      <c r="C1289" s="22" t="s">
        <v>1158</v>
      </c>
      <c r="D1289" s="11">
        <v>-0.66</v>
      </c>
      <c r="E1289" s="12">
        <v>7.07</v>
      </c>
      <c r="F1289" s="7">
        <f t="shared" si="203"/>
        <v>-9.3352192362093356E-2</v>
      </c>
      <c r="G1289" s="8">
        <v>0</v>
      </c>
      <c r="H1289" s="9">
        <v>0</v>
      </c>
      <c r="I1289" s="9">
        <v>0</v>
      </c>
      <c r="J1289" s="9">
        <v>1</v>
      </c>
      <c r="K1289" s="9">
        <v>0</v>
      </c>
      <c r="L1289" s="8">
        <v>1747</v>
      </c>
      <c r="M1289" s="9">
        <v>14</v>
      </c>
      <c r="N1289" s="9">
        <f t="shared" si="206"/>
        <v>1732</v>
      </c>
      <c r="O1289" s="9">
        <f t="shared" si="207"/>
        <v>17</v>
      </c>
      <c r="P1289" s="7">
        <f t="shared" si="208"/>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209"/>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35">
      <c r="A1290">
        <v>1289</v>
      </c>
      <c r="B1290">
        <v>83</v>
      </c>
      <c r="C1290" s="22" t="s">
        <v>1158</v>
      </c>
      <c r="D1290" s="11">
        <v>6.62</v>
      </c>
      <c r="E1290" s="12">
        <v>3.73</v>
      </c>
      <c r="F1290" s="7">
        <f t="shared" si="203"/>
        <v>1.7747989276139411</v>
      </c>
      <c r="G1290" s="8">
        <v>0</v>
      </c>
      <c r="H1290" s="9">
        <v>0</v>
      </c>
      <c r="I1290" s="9">
        <v>0</v>
      </c>
      <c r="J1290" s="9">
        <v>1</v>
      </c>
      <c r="K1290" s="9">
        <v>0</v>
      </c>
      <c r="L1290" s="8">
        <v>1747</v>
      </c>
      <c r="M1290" s="9">
        <v>14</v>
      </c>
      <c r="N1290" s="9">
        <f t="shared" si="206"/>
        <v>1732</v>
      </c>
      <c r="O1290" s="9">
        <f t="shared" si="207"/>
        <v>17</v>
      </c>
      <c r="P1290" s="7">
        <f t="shared" si="208"/>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209"/>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35">
      <c r="A1291">
        <v>1290</v>
      </c>
      <c r="B1291">
        <v>83</v>
      </c>
      <c r="C1291" s="22" t="s">
        <v>1158</v>
      </c>
      <c r="D1291" s="11">
        <v>6.37</v>
      </c>
      <c r="E1291" s="12">
        <v>3.79</v>
      </c>
      <c r="F1291" s="7">
        <f t="shared" si="203"/>
        <v>1.6807387862796834</v>
      </c>
      <c r="G1291" s="8">
        <v>0</v>
      </c>
      <c r="H1291" s="9">
        <v>0</v>
      </c>
      <c r="I1291" s="9">
        <v>0</v>
      </c>
      <c r="J1291" s="9">
        <v>1</v>
      </c>
      <c r="K1291" s="9">
        <v>0</v>
      </c>
      <c r="L1291" s="8">
        <v>1747</v>
      </c>
      <c r="M1291" s="9">
        <v>14</v>
      </c>
      <c r="N1291" s="9">
        <f t="shared" si="206"/>
        <v>1732</v>
      </c>
      <c r="O1291" s="9">
        <f t="shared" si="207"/>
        <v>17</v>
      </c>
      <c r="P1291" s="7">
        <f t="shared" si="208"/>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209"/>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35">
      <c r="A1292">
        <v>1291</v>
      </c>
      <c r="B1292">
        <v>83</v>
      </c>
      <c r="C1292" s="22" t="s">
        <v>1158</v>
      </c>
      <c r="D1292" s="11">
        <v>3.63</v>
      </c>
      <c r="E1292" s="12">
        <v>5.69</v>
      </c>
      <c r="F1292" s="7">
        <f t="shared" si="203"/>
        <v>0.63796133567662561</v>
      </c>
      <c r="G1292" s="8">
        <v>0</v>
      </c>
      <c r="H1292" s="9">
        <v>0</v>
      </c>
      <c r="I1292" s="9">
        <v>0</v>
      </c>
      <c r="J1292" s="9">
        <v>1</v>
      </c>
      <c r="K1292" s="9">
        <v>0</v>
      </c>
      <c r="L1292" s="8">
        <v>1747</v>
      </c>
      <c r="M1292" s="9">
        <v>14</v>
      </c>
      <c r="N1292" s="9">
        <f t="shared" si="206"/>
        <v>1732</v>
      </c>
      <c r="O1292" s="9">
        <f t="shared" si="207"/>
        <v>17</v>
      </c>
      <c r="P1292" s="7">
        <f t="shared" si="208"/>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209"/>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35">
      <c r="A1293">
        <v>1292</v>
      </c>
      <c r="B1293">
        <v>83</v>
      </c>
      <c r="C1293" s="22" t="s">
        <v>1158</v>
      </c>
      <c r="D1293" s="11">
        <v>8.02</v>
      </c>
      <c r="E1293" s="12">
        <v>4.24</v>
      </c>
      <c r="F1293" s="7">
        <f t="shared" si="203"/>
        <v>1.891509433962264</v>
      </c>
      <c r="G1293" s="8">
        <v>0</v>
      </c>
      <c r="H1293" s="9">
        <v>0</v>
      </c>
      <c r="I1293" s="9">
        <v>0</v>
      </c>
      <c r="J1293" s="9">
        <v>1</v>
      </c>
      <c r="K1293" s="9">
        <v>0</v>
      </c>
      <c r="L1293" s="8">
        <v>1747</v>
      </c>
      <c r="M1293" s="9">
        <v>14</v>
      </c>
      <c r="N1293" s="9">
        <f t="shared" si="206"/>
        <v>1732</v>
      </c>
      <c r="O1293" s="9">
        <f t="shared" si="207"/>
        <v>17</v>
      </c>
      <c r="P1293" s="7">
        <f t="shared" si="208"/>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209"/>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35">
      <c r="A1294">
        <v>1293</v>
      </c>
      <c r="B1294">
        <v>83</v>
      </c>
      <c r="C1294" s="22" t="s">
        <v>1158</v>
      </c>
      <c r="D1294" s="11">
        <v>8.65</v>
      </c>
      <c r="E1294" s="12">
        <v>4.55</v>
      </c>
      <c r="F1294" s="7">
        <f t="shared" si="203"/>
        <v>1.9010989010989012</v>
      </c>
      <c r="G1294" s="8">
        <v>0</v>
      </c>
      <c r="H1294" s="9">
        <v>0</v>
      </c>
      <c r="I1294" s="9">
        <v>0</v>
      </c>
      <c r="J1294" s="9">
        <v>1</v>
      </c>
      <c r="K1294" s="9">
        <v>0</v>
      </c>
      <c r="L1294" s="8">
        <v>1747</v>
      </c>
      <c r="M1294" s="9">
        <v>14</v>
      </c>
      <c r="N1294" s="9">
        <f t="shared" si="206"/>
        <v>1732</v>
      </c>
      <c r="O1294" s="9">
        <f t="shared" si="207"/>
        <v>17</v>
      </c>
      <c r="P1294" s="7">
        <f t="shared" si="208"/>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209"/>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35">
      <c r="A1295">
        <v>1294</v>
      </c>
      <c r="B1295">
        <v>83</v>
      </c>
      <c r="C1295" s="22" t="s">
        <v>1158</v>
      </c>
      <c r="D1295" s="11">
        <v>1.48</v>
      </c>
      <c r="E1295" s="12">
        <v>5.89</v>
      </c>
      <c r="F1295" s="7">
        <f t="shared" si="203"/>
        <v>0.25127334465195245</v>
      </c>
      <c r="G1295" s="8">
        <v>0</v>
      </c>
      <c r="H1295" s="9">
        <v>0</v>
      </c>
      <c r="I1295" s="9">
        <v>0</v>
      </c>
      <c r="J1295" s="9">
        <v>1</v>
      </c>
      <c r="K1295" s="9">
        <v>0</v>
      </c>
      <c r="L1295" s="8">
        <v>1747</v>
      </c>
      <c r="M1295" s="9">
        <v>14</v>
      </c>
      <c r="N1295" s="9">
        <f t="shared" si="206"/>
        <v>1732</v>
      </c>
      <c r="O1295" s="9">
        <f t="shared" si="207"/>
        <v>17</v>
      </c>
      <c r="P1295" s="7">
        <f t="shared" si="208"/>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209"/>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35">
      <c r="A1296">
        <v>1295</v>
      </c>
      <c r="B1296">
        <v>83</v>
      </c>
      <c r="C1296" s="22" t="s">
        <v>1158</v>
      </c>
      <c r="D1296" s="11">
        <v>9.51</v>
      </c>
      <c r="E1296" s="12">
        <v>3.86</v>
      </c>
      <c r="F1296" s="7">
        <f t="shared" si="203"/>
        <v>2.4637305699481864</v>
      </c>
      <c r="G1296" s="8">
        <v>0</v>
      </c>
      <c r="H1296" s="9">
        <v>0</v>
      </c>
      <c r="I1296" s="9">
        <v>0</v>
      </c>
      <c r="J1296" s="9">
        <v>1</v>
      </c>
      <c r="K1296" s="9">
        <v>0</v>
      </c>
      <c r="L1296" s="8">
        <v>1747</v>
      </c>
      <c r="M1296" s="9">
        <v>14</v>
      </c>
      <c r="N1296" s="9">
        <f t="shared" si="206"/>
        <v>1732</v>
      </c>
      <c r="O1296" s="9">
        <f t="shared" si="207"/>
        <v>17</v>
      </c>
      <c r="P1296" s="7">
        <f t="shared" si="208"/>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209"/>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35">
      <c r="A1297">
        <v>1296</v>
      </c>
      <c r="B1297">
        <v>83</v>
      </c>
      <c r="C1297" s="22" t="s">
        <v>1158</v>
      </c>
      <c r="D1297" s="11">
        <v>8.36</v>
      </c>
      <c r="E1297" s="12">
        <v>0.68</v>
      </c>
      <c r="F1297" s="7">
        <f t="shared" si="203"/>
        <v>12.294117647058822</v>
      </c>
      <c r="G1297" s="8">
        <v>0</v>
      </c>
      <c r="H1297" s="9">
        <v>0</v>
      </c>
      <c r="I1297" s="9">
        <v>0</v>
      </c>
      <c r="J1297" s="9">
        <v>1</v>
      </c>
      <c r="K1297" s="9">
        <v>0</v>
      </c>
      <c r="L1297" s="8">
        <v>1747</v>
      </c>
      <c r="M1297" s="9">
        <v>14</v>
      </c>
      <c r="N1297" s="9">
        <f t="shared" si="206"/>
        <v>1732</v>
      </c>
      <c r="O1297" s="9">
        <f t="shared" si="207"/>
        <v>17</v>
      </c>
      <c r="P1297" s="7">
        <f t="shared" si="208"/>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209"/>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35">
      <c r="A1298">
        <v>1297</v>
      </c>
      <c r="B1298">
        <v>83</v>
      </c>
      <c r="C1298" s="22" t="s">
        <v>1158</v>
      </c>
      <c r="D1298" s="11">
        <v>5.76</v>
      </c>
      <c r="E1298" s="12">
        <v>7.27</v>
      </c>
      <c r="F1298" s="7">
        <f t="shared" si="203"/>
        <v>0.79229711141678127</v>
      </c>
      <c r="G1298" s="8">
        <v>0</v>
      </c>
      <c r="H1298" s="9">
        <v>0</v>
      </c>
      <c r="I1298" s="9">
        <v>0</v>
      </c>
      <c r="J1298" s="9">
        <v>1</v>
      </c>
      <c r="K1298" s="9">
        <v>0</v>
      </c>
      <c r="L1298" s="8">
        <v>1747</v>
      </c>
      <c r="M1298" s="9">
        <v>14</v>
      </c>
      <c r="N1298" s="9">
        <f t="shared" si="206"/>
        <v>1732</v>
      </c>
      <c r="O1298" s="9">
        <f t="shared" si="207"/>
        <v>17</v>
      </c>
      <c r="P1298" s="7">
        <f t="shared" si="208"/>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209"/>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35">
      <c r="A1299">
        <v>1298</v>
      </c>
      <c r="B1299">
        <v>83</v>
      </c>
      <c r="C1299" s="22" t="s">
        <v>1158</v>
      </c>
      <c r="D1299" s="11">
        <v>17.36</v>
      </c>
      <c r="E1299" s="12">
        <v>7.88</v>
      </c>
      <c r="F1299" s="7">
        <f t="shared" si="203"/>
        <v>2.203045685279188</v>
      </c>
      <c r="G1299" s="8">
        <v>0</v>
      </c>
      <c r="H1299" s="9">
        <v>0</v>
      </c>
      <c r="I1299" s="9">
        <v>0</v>
      </c>
      <c r="J1299" s="9">
        <v>1</v>
      </c>
      <c r="K1299" s="9">
        <v>0</v>
      </c>
      <c r="L1299" s="8">
        <v>1747</v>
      </c>
      <c r="M1299" s="9">
        <v>14</v>
      </c>
      <c r="N1299" s="9">
        <f t="shared" si="206"/>
        <v>1732</v>
      </c>
      <c r="O1299" s="9">
        <f t="shared" si="207"/>
        <v>17</v>
      </c>
      <c r="P1299" s="7">
        <f t="shared" si="208"/>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209"/>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35">
      <c r="A1300">
        <v>1299</v>
      </c>
      <c r="B1300">
        <v>83</v>
      </c>
      <c r="C1300" s="22" t="s">
        <v>1158</v>
      </c>
      <c r="D1300" s="11">
        <v>15.82</v>
      </c>
      <c r="E1300" s="12">
        <v>18.97</v>
      </c>
      <c r="F1300" s="7">
        <f t="shared" si="203"/>
        <v>0.83394833948339486</v>
      </c>
      <c r="G1300" s="8">
        <v>0</v>
      </c>
      <c r="H1300" s="9">
        <v>0</v>
      </c>
      <c r="I1300" s="9">
        <v>0</v>
      </c>
      <c r="J1300" s="9">
        <v>1</v>
      </c>
      <c r="K1300" s="9">
        <v>0</v>
      </c>
      <c r="L1300" s="8">
        <v>1747</v>
      </c>
      <c r="M1300" s="9">
        <v>14</v>
      </c>
      <c r="N1300" s="9">
        <f t="shared" si="206"/>
        <v>1732</v>
      </c>
      <c r="O1300" s="9">
        <f t="shared" si="207"/>
        <v>17</v>
      </c>
      <c r="P1300" s="7">
        <f t="shared" si="208"/>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209"/>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35">
      <c r="A1301">
        <v>1300</v>
      </c>
      <c r="B1301">
        <v>83</v>
      </c>
      <c r="C1301" s="22" t="s">
        <v>1158</v>
      </c>
      <c r="D1301" s="11">
        <v>12.11</v>
      </c>
      <c r="E1301" s="12">
        <v>9.09</v>
      </c>
      <c r="F1301" s="7">
        <f t="shared" si="203"/>
        <v>1.3322332233223322</v>
      </c>
      <c r="G1301" s="8">
        <v>0</v>
      </c>
      <c r="H1301" s="9">
        <v>0</v>
      </c>
      <c r="I1301" s="9">
        <v>0</v>
      </c>
      <c r="J1301" s="9">
        <v>1</v>
      </c>
      <c r="K1301" s="9">
        <v>0</v>
      </c>
      <c r="L1301" s="8">
        <v>1747</v>
      </c>
      <c r="M1301" s="9">
        <v>14</v>
      </c>
      <c r="N1301" s="9">
        <f t="shared" si="206"/>
        <v>1732</v>
      </c>
      <c r="O1301" s="9">
        <f t="shared" si="207"/>
        <v>17</v>
      </c>
      <c r="P1301" s="7">
        <f t="shared" si="208"/>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209"/>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35">
      <c r="A1302">
        <v>1301</v>
      </c>
      <c r="B1302">
        <v>83</v>
      </c>
      <c r="C1302" s="22" t="s">
        <v>1158</v>
      </c>
      <c r="D1302" s="11">
        <v>12.53</v>
      </c>
      <c r="E1302" s="12">
        <v>4.33</v>
      </c>
      <c r="F1302" s="7">
        <f t="shared" si="203"/>
        <v>2.8937644341801385</v>
      </c>
      <c r="G1302" s="8">
        <v>0</v>
      </c>
      <c r="H1302" s="9">
        <v>0</v>
      </c>
      <c r="I1302" s="9">
        <v>0</v>
      </c>
      <c r="J1302" s="9">
        <v>1</v>
      </c>
      <c r="K1302" s="9">
        <v>0</v>
      </c>
      <c r="L1302" s="8">
        <v>1747</v>
      </c>
      <c r="M1302" s="9">
        <v>14</v>
      </c>
      <c r="N1302" s="9">
        <f t="shared" si="206"/>
        <v>1732</v>
      </c>
      <c r="O1302" s="9">
        <f t="shared" si="207"/>
        <v>17</v>
      </c>
      <c r="P1302" s="7">
        <f t="shared" si="208"/>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209"/>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35">
      <c r="A1303">
        <v>1302</v>
      </c>
      <c r="B1303">
        <v>83</v>
      </c>
      <c r="C1303" s="22" t="s">
        <v>1158</v>
      </c>
      <c r="D1303" s="11">
        <v>9.51</v>
      </c>
      <c r="E1303" s="12">
        <v>3.86</v>
      </c>
      <c r="F1303" s="7">
        <f t="shared" si="203"/>
        <v>2.4637305699481864</v>
      </c>
      <c r="G1303" s="8">
        <v>0</v>
      </c>
      <c r="H1303" s="9">
        <v>0</v>
      </c>
      <c r="I1303" s="9">
        <v>0</v>
      </c>
      <c r="J1303" s="9">
        <v>1</v>
      </c>
      <c r="K1303" s="9">
        <v>0</v>
      </c>
      <c r="L1303" s="8">
        <v>1747</v>
      </c>
      <c r="M1303" s="9">
        <v>14</v>
      </c>
      <c r="N1303" s="9">
        <f t="shared" si="206"/>
        <v>1732</v>
      </c>
      <c r="O1303" s="9">
        <f t="shared" si="207"/>
        <v>17</v>
      </c>
      <c r="P1303" s="7">
        <f t="shared" si="208"/>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209"/>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35">
      <c r="A1304">
        <v>1303</v>
      </c>
      <c r="B1304">
        <v>84</v>
      </c>
      <c r="C1304" s="22" t="s">
        <v>1162</v>
      </c>
      <c r="D1304" s="11">
        <v>2.4</v>
      </c>
      <c r="E1304" s="12">
        <f t="shared" ref="E1304:E1327" si="210">D1304/F1304</f>
        <v>0.16666666666666666</v>
      </c>
      <c r="F1304" s="7">
        <v>14.4</v>
      </c>
      <c r="G1304" s="8">
        <v>0</v>
      </c>
      <c r="H1304" s="9">
        <v>0</v>
      </c>
      <c r="I1304" s="9">
        <v>0</v>
      </c>
      <c r="J1304" s="9">
        <v>0</v>
      </c>
      <c r="K1304" s="9">
        <v>1</v>
      </c>
      <c r="L1304" s="8">
        <v>4278</v>
      </c>
      <c r="M1304" s="9">
        <v>3</v>
      </c>
      <c r="N1304" s="9">
        <f t="shared" si="206"/>
        <v>4274</v>
      </c>
      <c r="O1304" s="9">
        <f t="shared" si="207"/>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211">1-AE1304-AG1304</f>
        <v>0.69800000000000006</v>
      </c>
      <c r="AG1304" s="39">
        <v>9.1999999999999998E-2</v>
      </c>
      <c r="AH1304" s="38" t="s">
        <v>94</v>
      </c>
      <c r="AI1304" s="15" t="s">
        <v>94</v>
      </c>
      <c r="AJ1304" s="29">
        <v>1</v>
      </c>
      <c r="AK1304" s="36">
        <f t="shared" ref="AK1304:AK1327" si="212">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213">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35">
      <c r="A1305">
        <v>1304</v>
      </c>
      <c r="B1305">
        <v>84</v>
      </c>
      <c r="C1305" s="22" t="s">
        <v>1162</v>
      </c>
      <c r="D1305" s="11">
        <v>5.2</v>
      </c>
      <c r="E1305" s="12">
        <f t="shared" si="210"/>
        <v>0.31980319803198032</v>
      </c>
      <c r="F1305" s="7">
        <v>16.260000000000002</v>
      </c>
      <c r="G1305" s="8">
        <v>0</v>
      </c>
      <c r="H1305" s="9">
        <v>0</v>
      </c>
      <c r="I1305" s="9">
        <v>0</v>
      </c>
      <c r="J1305" s="9">
        <v>0</v>
      </c>
      <c r="K1305" s="9">
        <v>1</v>
      </c>
      <c r="L1305" s="8">
        <v>1862</v>
      </c>
      <c r="M1305" s="9">
        <v>3</v>
      </c>
      <c r="N1305" s="9">
        <f t="shared" si="206"/>
        <v>1858</v>
      </c>
      <c r="O1305" s="9">
        <f t="shared" si="207"/>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211"/>
        <v>0.73</v>
      </c>
      <c r="AG1305" s="39">
        <v>0.14000000000000001</v>
      </c>
      <c r="AH1305" s="38" t="s">
        <v>94</v>
      </c>
      <c r="AI1305" s="15" t="s">
        <v>94</v>
      </c>
      <c r="AJ1305" s="29">
        <v>1</v>
      </c>
      <c r="AK1305" s="36">
        <f t="shared" si="212"/>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213"/>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35">
      <c r="A1306">
        <v>1305</v>
      </c>
      <c r="B1306">
        <v>84</v>
      </c>
      <c r="C1306" s="22" t="s">
        <v>1162</v>
      </c>
      <c r="D1306" s="11">
        <v>4.2</v>
      </c>
      <c r="E1306" s="12">
        <f t="shared" si="210"/>
        <v>0.18584070796460175</v>
      </c>
      <c r="F1306" s="7">
        <v>22.6</v>
      </c>
      <c r="G1306" s="8">
        <v>0</v>
      </c>
      <c r="H1306" s="9">
        <v>0</v>
      </c>
      <c r="I1306" s="9">
        <v>0</v>
      </c>
      <c r="J1306" s="9">
        <v>0</v>
      </c>
      <c r="K1306" s="9">
        <v>1</v>
      </c>
      <c r="L1306" s="8">
        <v>4144</v>
      </c>
      <c r="M1306" s="9">
        <v>3</v>
      </c>
      <c r="N1306" s="9">
        <f t="shared" si="206"/>
        <v>4140</v>
      </c>
      <c r="O1306" s="9">
        <f t="shared" si="207"/>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211"/>
        <v>0.69800000000000006</v>
      </c>
      <c r="AG1306" s="39">
        <v>9.1999999999999998E-2</v>
      </c>
      <c r="AH1306" s="38" t="s">
        <v>94</v>
      </c>
      <c r="AI1306" s="15" t="s">
        <v>94</v>
      </c>
      <c r="AJ1306" s="29">
        <v>0</v>
      </c>
      <c r="AK1306" s="36">
        <f t="shared" si="212"/>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213"/>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35">
      <c r="A1307">
        <v>1306</v>
      </c>
      <c r="B1307">
        <v>84</v>
      </c>
      <c r="C1307" s="22" t="s">
        <v>1162</v>
      </c>
      <c r="D1307" s="11">
        <v>5.8</v>
      </c>
      <c r="E1307" s="12">
        <f t="shared" si="210"/>
        <v>0.3344867358708189</v>
      </c>
      <c r="F1307" s="7">
        <v>17.34</v>
      </c>
      <c r="G1307" s="8">
        <v>0</v>
      </c>
      <c r="H1307" s="9">
        <v>0</v>
      </c>
      <c r="I1307" s="9">
        <v>0</v>
      </c>
      <c r="J1307" s="9">
        <v>0</v>
      </c>
      <c r="K1307" s="9">
        <v>1</v>
      </c>
      <c r="L1307" s="8">
        <v>1753</v>
      </c>
      <c r="M1307" s="9">
        <v>3</v>
      </c>
      <c r="N1307" s="9">
        <f t="shared" si="206"/>
        <v>1749</v>
      </c>
      <c r="O1307" s="9">
        <f t="shared" si="207"/>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211"/>
        <v>0.73</v>
      </c>
      <c r="AG1307" s="39">
        <v>0.14000000000000001</v>
      </c>
      <c r="AH1307" s="38" t="s">
        <v>94</v>
      </c>
      <c r="AI1307" s="15" t="s">
        <v>94</v>
      </c>
      <c r="AJ1307" s="29">
        <v>0</v>
      </c>
      <c r="AK1307" s="36">
        <f t="shared" si="212"/>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213"/>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35">
      <c r="A1308">
        <v>1307</v>
      </c>
      <c r="B1308">
        <v>84</v>
      </c>
      <c r="C1308" s="22" t="s">
        <v>1162</v>
      </c>
      <c r="D1308" s="11">
        <v>2.8</v>
      </c>
      <c r="E1308" s="12">
        <f t="shared" si="210"/>
        <v>0.21196063588190761</v>
      </c>
      <c r="F1308" s="7">
        <v>13.21</v>
      </c>
      <c r="G1308" s="8">
        <v>0</v>
      </c>
      <c r="H1308" s="9">
        <v>0</v>
      </c>
      <c r="I1308" s="9">
        <v>0</v>
      </c>
      <c r="J1308" s="9">
        <v>0</v>
      </c>
      <c r="K1308" s="9">
        <v>1</v>
      </c>
      <c r="L1308" s="8">
        <v>2131</v>
      </c>
      <c r="M1308" s="9">
        <v>3</v>
      </c>
      <c r="N1308" s="9">
        <f t="shared" si="206"/>
        <v>2127</v>
      </c>
      <c r="O1308" s="9">
        <f t="shared" si="207"/>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211"/>
        <v>0.61199999999999999</v>
      </c>
      <c r="AG1308" s="39">
        <v>0.108</v>
      </c>
      <c r="AH1308" s="38" t="s">
        <v>94</v>
      </c>
      <c r="AI1308" s="15" t="s">
        <v>94</v>
      </c>
      <c r="AJ1308" s="29">
        <v>1</v>
      </c>
      <c r="AK1308" s="36">
        <f t="shared" si="212"/>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213"/>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35">
      <c r="A1309">
        <v>1308</v>
      </c>
      <c r="B1309">
        <v>84</v>
      </c>
      <c r="C1309" s="22" t="s">
        <v>1162</v>
      </c>
      <c r="D1309" s="11">
        <v>4.9000000000000004</v>
      </c>
      <c r="E1309" s="12">
        <f t="shared" si="210"/>
        <v>0.28654970760233917</v>
      </c>
      <c r="F1309" s="7">
        <v>17.100000000000001</v>
      </c>
      <c r="G1309" s="8">
        <v>0</v>
      </c>
      <c r="H1309" s="9">
        <v>0</v>
      </c>
      <c r="I1309" s="9">
        <v>0</v>
      </c>
      <c r="J1309" s="9">
        <v>0</v>
      </c>
      <c r="K1309" s="9">
        <v>1</v>
      </c>
      <c r="L1309" s="8">
        <v>1776</v>
      </c>
      <c r="M1309" s="9">
        <v>3</v>
      </c>
      <c r="N1309" s="9">
        <f t="shared" si="206"/>
        <v>1772</v>
      </c>
      <c r="O1309" s="9">
        <f t="shared" si="207"/>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211"/>
        <v>0.68199999999999994</v>
      </c>
      <c r="AG1309" s="39">
        <v>0.158</v>
      </c>
      <c r="AH1309" s="38" t="s">
        <v>94</v>
      </c>
      <c r="AI1309" s="15" t="s">
        <v>94</v>
      </c>
      <c r="AJ1309" s="29">
        <v>1</v>
      </c>
      <c r="AK1309" s="36">
        <f t="shared" si="212"/>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213"/>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35">
      <c r="A1310">
        <v>1309</v>
      </c>
      <c r="B1310">
        <v>84</v>
      </c>
      <c r="C1310" s="22" t="s">
        <v>1162</v>
      </c>
      <c r="D1310" s="11">
        <v>4.4000000000000004</v>
      </c>
      <c r="E1310" s="12">
        <f t="shared" si="210"/>
        <v>0.25056947608200458</v>
      </c>
      <c r="F1310" s="7">
        <v>17.559999999999999</v>
      </c>
      <c r="G1310" s="8">
        <v>0</v>
      </c>
      <c r="H1310" s="9">
        <v>0</v>
      </c>
      <c r="I1310" s="9">
        <v>0</v>
      </c>
      <c r="J1310" s="9">
        <v>0</v>
      </c>
      <c r="K1310" s="9">
        <v>1</v>
      </c>
      <c r="L1310" s="8">
        <v>1992</v>
      </c>
      <c r="M1310" s="9">
        <v>3</v>
      </c>
      <c r="N1310" s="9">
        <f t="shared" si="206"/>
        <v>1988</v>
      </c>
      <c r="O1310" s="9">
        <f t="shared" si="207"/>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211"/>
        <v>0.61199999999999999</v>
      </c>
      <c r="AG1310" s="39">
        <v>0.108</v>
      </c>
      <c r="AH1310" s="38" t="s">
        <v>94</v>
      </c>
      <c r="AI1310" s="15" t="s">
        <v>94</v>
      </c>
      <c r="AJ1310" s="29">
        <v>0</v>
      </c>
      <c r="AK1310" s="36">
        <f t="shared" si="212"/>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213"/>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35">
      <c r="A1311">
        <v>1310</v>
      </c>
      <c r="B1311">
        <v>84</v>
      </c>
      <c r="C1311" s="22" t="s">
        <v>1162</v>
      </c>
      <c r="D1311" s="11">
        <v>5.4</v>
      </c>
      <c r="E1311" s="12">
        <f t="shared" si="210"/>
        <v>0.29670329670329676</v>
      </c>
      <c r="F1311" s="7">
        <v>18.2</v>
      </c>
      <c r="G1311" s="8">
        <v>0</v>
      </c>
      <c r="H1311" s="9">
        <v>0</v>
      </c>
      <c r="I1311" s="9">
        <v>0</v>
      </c>
      <c r="J1311" s="9">
        <v>0</v>
      </c>
      <c r="K1311" s="9">
        <v>1</v>
      </c>
      <c r="L1311" s="8">
        <v>1492</v>
      </c>
      <c r="M1311" s="9">
        <v>3</v>
      </c>
      <c r="N1311" s="9">
        <f t="shared" si="206"/>
        <v>1488</v>
      </c>
      <c r="O1311" s="9">
        <f t="shared" si="207"/>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211"/>
        <v>0.68199999999999994</v>
      </c>
      <c r="AG1311" s="39">
        <v>0.158</v>
      </c>
      <c r="AH1311" s="38" t="s">
        <v>94</v>
      </c>
      <c r="AI1311" s="15" t="s">
        <v>94</v>
      </c>
      <c r="AJ1311" s="29">
        <v>0</v>
      </c>
      <c r="AK1311" s="36">
        <f t="shared" si="212"/>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213"/>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35">
      <c r="A1312">
        <v>1311</v>
      </c>
      <c r="B1312">
        <v>84</v>
      </c>
      <c r="C1312" s="22" t="s">
        <v>1162</v>
      </c>
      <c r="D1312" s="11">
        <v>2.4</v>
      </c>
      <c r="E1312" s="12">
        <f t="shared" si="210"/>
        <v>0.16666666666666666</v>
      </c>
      <c r="F1312" s="7">
        <v>14.4</v>
      </c>
      <c r="G1312" s="8">
        <v>0</v>
      </c>
      <c r="H1312" s="9">
        <v>1</v>
      </c>
      <c r="I1312" s="9">
        <v>0</v>
      </c>
      <c r="J1312" s="9">
        <v>0</v>
      </c>
      <c r="K1312" s="9">
        <v>0</v>
      </c>
      <c r="L1312" s="8">
        <v>460</v>
      </c>
      <c r="M1312" s="9">
        <v>3</v>
      </c>
      <c r="N1312" s="9">
        <f t="shared" si="206"/>
        <v>456</v>
      </c>
      <c r="O1312" s="9">
        <f t="shared" si="207"/>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211"/>
        <v>0.69800000000000006</v>
      </c>
      <c r="AG1312" s="39">
        <v>9.1999999999999998E-2</v>
      </c>
      <c r="AH1312" s="38" t="s">
        <v>94</v>
      </c>
      <c r="AI1312" s="15" t="s">
        <v>94</v>
      </c>
      <c r="AJ1312" s="29">
        <v>1</v>
      </c>
      <c r="AK1312" s="36">
        <f t="shared" si="212"/>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213"/>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35">
      <c r="A1313">
        <v>1312</v>
      </c>
      <c r="B1313">
        <v>84</v>
      </c>
      <c r="C1313" s="22" t="s">
        <v>1162</v>
      </c>
      <c r="D1313" s="11">
        <v>3.6</v>
      </c>
      <c r="E1313" s="12">
        <f t="shared" si="210"/>
        <v>0.22140221402214019</v>
      </c>
      <c r="F1313" s="7">
        <v>16.260000000000002</v>
      </c>
      <c r="G1313" s="8">
        <v>0</v>
      </c>
      <c r="H1313" s="9">
        <v>1</v>
      </c>
      <c r="I1313" s="9">
        <v>0</v>
      </c>
      <c r="J1313" s="9">
        <v>0</v>
      </c>
      <c r="K1313" s="9">
        <v>0</v>
      </c>
      <c r="L1313" s="8">
        <v>458</v>
      </c>
      <c r="M1313" s="9">
        <v>3</v>
      </c>
      <c r="N1313" s="9">
        <f t="shared" si="206"/>
        <v>454</v>
      </c>
      <c r="O1313" s="9">
        <f t="shared" si="207"/>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211"/>
        <v>0.73</v>
      </c>
      <c r="AG1313" s="39">
        <v>0.14000000000000001</v>
      </c>
      <c r="AH1313" s="38" t="s">
        <v>94</v>
      </c>
      <c r="AI1313" s="15" t="s">
        <v>94</v>
      </c>
      <c r="AJ1313" s="29">
        <v>1</v>
      </c>
      <c r="AK1313" s="36">
        <f t="shared" si="212"/>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213"/>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35">
      <c r="A1314">
        <v>1313</v>
      </c>
      <c r="B1314">
        <v>84</v>
      </c>
      <c r="C1314" s="22" t="s">
        <v>1162</v>
      </c>
      <c r="D1314" s="11">
        <v>5</v>
      </c>
      <c r="E1314" s="12">
        <f t="shared" si="210"/>
        <v>0.22123893805309733</v>
      </c>
      <c r="F1314" s="7">
        <v>22.6</v>
      </c>
      <c r="G1314" s="8">
        <v>0</v>
      </c>
      <c r="H1314" s="9">
        <v>1</v>
      </c>
      <c r="I1314" s="9">
        <v>0</v>
      </c>
      <c r="J1314" s="9">
        <v>0</v>
      </c>
      <c r="K1314" s="9">
        <v>0</v>
      </c>
      <c r="L1314" s="8">
        <v>505</v>
      </c>
      <c r="M1314" s="9">
        <v>3</v>
      </c>
      <c r="N1314" s="9">
        <f t="shared" si="206"/>
        <v>501</v>
      </c>
      <c r="O1314" s="9">
        <f t="shared" si="207"/>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211"/>
        <v>0.69800000000000006</v>
      </c>
      <c r="AG1314" s="39">
        <v>9.1999999999999998E-2</v>
      </c>
      <c r="AH1314" s="38" t="s">
        <v>94</v>
      </c>
      <c r="AI1314" s="15" t="s">
        <v>94</v>
      </c>
      <c r="AJ1314" s="29">
        <v>0</v>
      </c>
      <c r="AK1314" s="36">
        <f t="shared" si="212"/>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213"/>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35">
      <c r="A1315">
        <v>1314</v>
      </c>
      <c r="B1315">
        <v>84</v>
      </c>
      <c r="C1315" s="22" t="s">
        <v>1162</v>
      </c>
      <c r="D1315" s="11">
        <v>5</v>
      </c>
      <c r="E1315" s="12">
        <f t="shared" si="210"/>
        <v>0.28835063437139563</v>
      </c>
      <c r="F1315" s="7">
        <v>17.34</v>
      </c>
      <c r="G1315" s="8">
        <v>0</v>
      </c>
      <c r="H1315" s="9">
        <v>1</v>
      </c>
      <c r="I1315" s="9">
        <v>0</v>
      </c>
      <c r="J1315" s="9">
        <v>0</v>
      </c>
      <c r="K1315" s="9">
        <v>0</v>
      </c>
      <c r="L1315" s="8">
        <v>475</v>
      </c>
      <c r="M1315" s="9">
        <v>3</v>
      </c>
      <c r="N1315" s="9">
        <f t="shared" si="206"/>
        <v>471</v>
      </c>
      <c r="O1315" s="9">
        <f t="shared" si="207"/>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211"/>
        <v>0.73</v>
      </c>
      <c r="AG1315" s="39">
        <v>0.14000000000000001</v>
      </c>
      <c r="AH1315" s="38" t="s">
        <v>94</v>
      </c>
      <c r="AI1315" s="15" t="s">
        <v>94</v>
      </c>
      <c r="AJ1315" s="29">
        <v>0</v>
      </c>
      <c r="AK1315" s="36">
        <f t="shared" si="212"/>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213"/>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35">
      <c r="A1316">
        <v>1315</v>
      </c>
      <c r="B1316">
        <v>84</v>
      </c>
      <c r="C1316" s="22" t="s">
        <v>1162</v>
      </c>
      <c r="D1316" s="11">
        <v>2.4</v>
      </c>
      <c r="E1316" s="12">
        <f t="shared" si="210"/>
        <v>0.41594454072790299</v>
      </c>
      <c r="F1316" s="7">
        <v>5.77</v>
      </c>
      <c r="G1316" s="8">
        <v>0</v>
      </c>
      <c r="H1316" s="9">
        <v>1</v>
      </c>
      <c r="I1316" s="9">
        <v>0</v>
      </c>
      <c r="J1316" s="9">
        <v>0</v>
      </c>
      <c r="K1316" s="9">
        <v>0</v>
      </c>
      <c r="L1316" s="8">
        <v>3818</v>
      </c>
      <c r="M1316" s="9">
        <v>3</v>
      </c>
      <c r="N1316" s="9">
        <f t="shared" si="206"/>
        <v>3814</v>
      </c>
      <c r="O1316" s="9">
        <f t="shared" si="207"/>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211"/>
        <v>0.69800000000000006</v>
      </c>
      <c r="AG1316" s="39">
        <v>9.1999999999999998E-2</v>
      </c>
      <c r="AH1316" s="38" t="s">
        <v>94</v>
      </c>
      <c r="AI1316" s="15" t="s">
        <v>94</v>
      </c>
      <c r="AJ1316" s="29">
        <v>1</v>
      </c>
      <c r="AK1316" s="36">
        <f t="shared" si="212"/>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213"/>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35">
      <c r="A1317">
        <v>1316</v>
      </c>
      <c r="B1317">
        <v>84</v>
      </c>
      <c r="C1317" s="22" t="s">
        <v>1162</v>
      </c>
      <c r="D1317" s="11">
        <v>5.3</v>
      </c>
      <c r="E1317" s="12">
        <f t="shared" si="210"/>
        <v>0.86178861788617878</v>
      </c>
      <c r="F1317" s="7">
        <v>6.15</v>
      </c>
      <c r="G1317" s="8">
        <v>0</v>
      </c>
      <c r="H1317" s="9">
        <v>1</v>
      </c>
      <c r="I1317" s="9">
        <v>0</v>
      </c>
      <c r="J1317" s="9">
        <v>0</v>
      </c>
      <c r="K1317" s="9">
        <v>0</v>
      </c>
      <c r="L1317" s="8">
        <v>1404</v>
      </c>
      <c r="M1317" s="9">
        <v>3</v>
      </c>
      <c r="N1317" s="9">
        <f t="shared" si="206"/>
        <v>1400</v>
      </c>
      <c r="O1317" s="9">
        <f t="shared" si="207"/>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211"/>
        <v>0.73</v>
      </c>
      <c r="AG1317" s="39">
        <v>0.14000000000000001</v>
      </c>
      <c r="AH1317" s="38" t="s">
        <v>94</v>
      </c>
      <c r="AI1317" s="15" t="s">
        <v>94</v>
      </c>
      <c r="AJ1317" s="29">
        <v>1</v>
      </c>
      <c r="AK1317" s="36">
        <f t="shared" si="212"/>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213"/>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35">
      <c r="A1318">
        <v>1317</v>
      </c>
      <c r="B1318">
        <v>84</v>
      </c>
      <c r="C1318" s="22" t="s">
        <v>1162</v>
      </c>
      <c r="D1318" s="11">
        <v>3.9</v>
      </c>
      <c r="E1318" s="12">
        <f t="shared" si="210"/>
        <v>0.36211699164345407</v>
      </c>
      <c r="F1318" s="7">
        <v>10.77</v>
      </c>
      <c r="G1318" s="8">
        <v>0</v>
      </c>
      <c r="H1318" s="9">
        <v>1</v>
      </c>
      <c r="I1318" s="9">
        <v>0</v>
      </c>
      <c r="J1318" s="9">
        <v>0</v>
      </c>
      <c r="K1318" s="9">
        <v>0</v>
      </c>
      <c r="L1318" s="8">
        <v>3639</v>
      </c>
      <c r="M1318" s="9">
        <v>3</v>
      </c>
      <c r="N1318" s="9">
        <f t="shared" si="206"/>
        <v>3635</v>
      </c>
      <c r="O1318" s="9">
        <f t="shared" si="207"/>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211"/>
        <v>0.69800000000000006</v>
      </c>
      <c r="AG1318" s="39">
        <v>9.1999999999999998E-2</v>
      </c>
      <c r="AH1318" s="38" t="s">
        <v>94</v>
      </c>
      <c r="AI1318" s="15" t="s">
        <v>94</v>
      </c>
      <c r="AJ1318" s="29">
        <v>0</v>
      </c>
      <c r="AK1318" s="36">
        <f t="shared" si="212"/>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213"/>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35">
      <c r="A1319">
        <v>1318</v>
      </c>
      <c r="B1319">
        <v>84</v>
      </c>
      <c r="C1319" s="22" t="s">
        <v>1162</v>
      </c>
      <c r="D1319" s="11">
        <v>5.2</v>
      </c>
      <c r="E1319" s="12">
        <f t="shared" si="210"/>
        <v>0.67357512953367882</v>
      </c>
      <c r="F1319" s="7">
        <v>7.72</v>
      </c>
      <c r="G1319" s="8">
        <v>0</v>
      </c>
      <c r="H1319" s="9">
        <v>1</v>
      </c>
      <c r="I1319" s="9">
        <v>0</v>
      </c>
      <c r="J1319" s="9">
        <v>0</v>
      </c>
      <c r="K1319" s="9">
        <v>0</v>
      </c>
      <c r="L1319" s="8">
        <v>1278</v>
      </c>
      <c r="M1319" s="9">
        <v>3</v>
      </c>
      <c r="N1319" s="9">
        <f t="shared" si="206"/>
        <v>1274</v>
      </c>
      <c r="O1319" s="9">
        <f t="shared" si="207"/>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211"/>
        <v>0.73</v>
      </c>
      <c r="AG1319" s="39">
        <v>0.14000000000000001</v>
      </c>
      <c r="AH1319" s="38" t="s">
        <v>94</v>
      </c>
      <c r="AI1319" s="15" t="s">
        <v>94</v>
      </c>
      <c r="AJ1319" s="29">
        <v>0</v>
      </c>
      <c r="AK1319" s="36">
        <f t="shared" si="212"/>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213"/>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35">
      <c r="A1320">
        <v>1319</v>
      </c>
      <c r="B1320">
        <v>84</v>
      </c>
      <c r="C1320" s="22" t="s">
        <v>1162</v>
      </c>
      <c r="D1320" s="11">
        <v>3</v>
      </c>
      <c r="E1320" s="12">
        <f t="shared" si="210"/>
        <v>0.17964071856287425</v>
      </c>
      <c r="F1320" s="7">
        <v>16.7</v>
      </c>
      <c r="G1320" s="8">
        <v>0</v>
      </c>
      <c r="H1320" s="9">
        <v>1</v>
      </c>
      <c r="I1320" s="9">
        <v>0</v>
      </c>
      <c r="J1320" s="9">
        <v>0</v>
      </c>
      <c r="K1320" s="9">
        <v>0</v>
      </c>
      <c r="L1320" s="8">
        <v>4278</v>
      </c>
      <c r="M1320" s="9">
        <v>17</v>
      </c>
      <c r="N1320" s="9">
        <f t="shared" si="206"/>
        <v>4260</v>
      </c>
      <c r="O1320" s="9">
        <f t="shared" si="207"/>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211"/>
        <v>0.69800000000000006</v>
      </c>
      <c r="AG1320" s="39">
        <v>9.1999999999999998E-2</v>
      </c>
      <c r="AH1320" s="38" t="s">
        <v>94</v>
      </c>
      <c r="AI1320" s="15" t="s">
        <v>94</v>
      </c>
      <c r="AJ1320" s="29">
        <v>1</v>
      </c>
      <c r="AK1320" s="36">
        <f t="shared" si="212"/>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213"/>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35">
      <c r="A1321">
        <v>1320</v>
      </c>
      <c r="B1321">
        <v>84</v>
      </c>
      <c r="C1321" s="22" t="s">
        <v>1162</v>
      </c>
      <c r="D1321" s="11">
        <v>4.9000000000000004</v>
      </c>
      <c r="E1321" s="12">
        <f t="shared" si="210"/>
        <v>0.34098816979819074</v>
      </c>
      <c r="F1321" s="7">
        <v>14.37</v>
      </c>
      <c r="G1321" s="8">
        <v>0</v>
      </c>
      <c r="H1321" s="9">
        <v>1</v>
      </c>
      <c r="I1321" s="9">
        <v>0</v>
      </c>
      <c r="J1321" s="9">
        <v>0</v>
      </c>
      <c r="K1321" s="9">
        <v>0</v>
      </c>
      <c r="L1321" s="8">
        <v>1862</v>
      </c>
      <c r="M1321" s="9">
        <v>17</v>
      </c>
      <c r="N1321" s="9">
        <f t="shared" si="206"/>
        <v>1844</v>
      </c>
      <c r="O1321" s="9">
        <f t="shared" si="207"/>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211"/>
        <v>0.73</v>
      </c>
      <c r="AG1321" s="39">
        <v>0.14000000000000001</v>
      </c>
      <c r="AH1321" s="38" t="s">
        <v>94</v>
      </c>
      <c r="AI1321" s="15" t="s">
        <v>94</v>
      </c>
      <c r="AJ1321" s="29">
        <v>1</v>
      </c>
      <c r="AK1321" s="36">
        <f t="shared" si="212"/>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213"/>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35">
      <c r="A1322">
        <v>1321</v>
      </c>
      <c r="B1322">
        <v>84</v>
      </c>
      <c r="C1322" s="22" t="s">
        <v>1162</v>
      </c>
      <c r="D1322" s="11">
        <v>4.8</v>
      </c>
      <c r="E1322" s="12">
        <f t="shared" si="210"/>
        <v>0.20227560050568899</v>
      </c>
      <c r="F1322" s="7">
        <v>23.73</v>
      </c>
      <c r="G1322" s="8">
        <v>0</v>
      </c>
      <c r="H1322" s="9">
        <v>1</v>
      </c>
      <c r="I1322" s="9">
        <v>0</v>
      </c>
      <c r="J1322" s="9">
        <v>0</v>
      </c>
      <c r="K1322" s="9">
        <v>0</v>
      </c>
      <c r="L1322" s="8">
        <v>4144</v>
      </c>
      <c r="M1322" s="9">
        <v>17</v>
      </c>
      <c r="N1322" s="9">
        <f t="shared" si="206"/>
        <v>4126</v>
      </c>
      <c r="O1322" s="9">
        <f t="shared" si="207"/>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211"/>
        <v>0.69800000000000006</v>
      </c>
      <c r="AG1322" s="39">
        <v>9.1999999999999998E-2</v>
      </c>
      <c r="AH1322" s="38" t="s">
        <v>94</v>
      </c>
      <c r="AI1322" s="15" t="s">
        <v>94</v>
      </c>
      <c r="AJ1322" s="29">
        <v>0</v>
      </c>
      <c r="AK1322" s="36">
        <f t="shared" si="212"/>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213"/>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35">
      <c r="A1323">
        <v>1322</v>
      </c>
      <c r="B1323">
        <v>84</v>
      </c>
      <c r="C1323" s="22" t="s">
        <v>1162</v>
      </c>
      <c r="D1323" s="11">
        <v>5.2</v>
      </c>
      <c r="E1323" s="12">
        <f t="shared" si="210"/>
        <v>0.35422343324250682</v>
      </c>
      <c r="F1323" s="7">
        <v>14.68</v>
      </c>
      <c r="G1323" s="8">
        <v>0</v>
      </c>
      <c r="H1323" s="9">
        <v>1</v>
      </c>
      <c r="I1323" s="9">
        <v>0</v>
      </c>
      <c r="J1323" s="9">
        <v>0</v>
      </c>
      <c r="K1323" s="9">
        <v>0</v>
      </c>
      <c r="L1323" s="8">
        <v>1753</v>
      </c>
      <c r="M1323" s="9">
        <v>17</v>
      </c>
      <c r="N1323" s="9">
        <f t="shared" si="206"/>
        <v>1735</v>
      </c>
      <c r="O1323" s="9">
        <f t="shared" si="207"/>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211"/>
        <v>0.73</v>
      </c>
      <c r="AG1323" s="39">
        <v>0.14000000000000001</v>
      </c>
      <c r="AH1323" s="38" t="s">
        <v>94</v>
      </c>
      <c r="AI1323" s="15" t="s">
        <v>94</v>
      </c>
      <c r="AJ1323" s="29">
        <v>0</v>
      </c>
      <c r="AK1323" s="36">
        <f t="shared" si="212"/>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213"/>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35">
      <c r="A1324">
        <v>1323</v>
      </c>
      <c r="B1324">
        <v>84</v>
      </c>
      <c r="C1324" s="22" t="s">
        <v>1162</v>
      </c>
      <c r="D1324" s="11">
        <v>3.1</v>
      </c>
      <c r="E1324" s="12">
        <f t="shared" si="210"/>
        <v>0.23682200152788388</v>
      </c>
      <c r="F1324" s="7">
        <v>13.09</v>
      </c>
      <c r="G1324" s="8">
        <v>0</v>
      </c>
      <c r="H1324" s="9">
        <v>1</v>
      </c>
      <c r="I1324" s="9">
        <v>0</v>
      </c>
      <c r="J1324" s="9">
        <v>0</v>
      </c>
      <c r="K1324" s="9">
        <v>0</v>
      </c>
      <c r="L1324" s="8">
        <v>2131</v>
      </c>
      <c r="M1324" s="9">
        <v>17</v>
      </c>
      <c r="N1324" s="9">
        <f t="shared" si="206"/>
        <v>2113</v>
      </c>
      <c r="O1324" s="9">
        <f t="shared" si="207"/>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211"/>
        <v>0.61199999999999999</v>
      </c>
      <c r="AG1324" s="39">
        <v>0.108</v>
      </c>
      <c r="AH1324" s="38" t="s">
        <v>94</v>
      </c>
      <c r="AI1324" s="15" t="s">
        <v>94</v>
      </c>
      <c r="AJ1324" s="29">
        <v>1</v>
      </c>
      <c r="AK1324" s="36">
        <f t="shared" si="212"/>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213"/>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35">
      <c r="A1325">
        <v>1324</v>
      </c>
      <c r="B1325">
        <v>84</v>
      </c>
      <c r="C1325" s="22" t="s">
        <v>1162</v>
      </c>
      <c r="D1325" s="11">
        <v>4.8</v>
      </c>
      <c r="E1325" s="12">
        <f t="shared" si="210"/>
        <v>0.29758214507129571</v>
      </c>
      <c r="F1325" s="7">
        <v>16.13</v>
      </c>
      <c r="G1325" s="8">
        <v>0</v>
      </c>
      <c r="H1325" s="9">
        <v>1</v>
      </c>
      <c r="I1325" s="9">
        <v>0</v>
      </c>
      <c r="J1325" s="9">
        <v>0</v>
      </c>
      <c r="K1325" s="9">
        <v>0</v>
      </c>
      <c r="L1325" s="8">
        <v>1759</v>
      </c>
      <c r="M1325" s="9">
        <v>17</v>
      </c>
      <c r="N1325" s="9">
        <f t="shared" si="206"/>
        <v>1741</v>
      </c>
      <c r="O1325" s="9">
        <f t="shared" si="207"/>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211"/>
        <v>0.68199999999999994</v>
      </c>
      <c r="AG1325" s="39">
        <v>0.158</v>
      </c>
      <c r="AH1325" s="38" t="s">
        <v>94</v>
      </c>
      <c r="AI1325" s="15" t="s">
        <v>94</v>
      </c>
      <c r="AJ1325" s="29">
        <v>1</v>
      </c>
      <c r="AK1325" s="36">
        <f t="shared" si="212"/>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213"/>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35">
      <c r="A1326">
        <v>1325</v>
      </c>
      <c r="B1326">
        <v>84</v>
      </c>
      <c r="C1326" s="22" t="s">
        <v>1162</v>
      </c>
      <c r="D1326" s="11">
        <v>4.8</v>
      </c>
      <c r="E1326" s="12">
        <f t="shared" si="210"/>
        <v>0.27681660899653976</v>
      </c>
      <c r="F1326" s="7">
        <v>17.34</v>
      </c>
      <c r="G1326" s="8">
        <v>0</v>
      </c>
      <c r="H1326" s="9">
        <v>1</v>
      </c>
      <c r="I1326" s="9">
        <v>0</v>
      </c>
      <c r="J1326" s="9">
        <v>0</v>
      </c>
      <c r="K1326" s="9">
        <v>0</v>
      </c>
      <c r="L1326" s="8">
        <v>1992</v>
      </c>
      <c r="M1326" s="9">
        <v>17</v>
      </c>
      <c r="N1326" s="9">
        <f t="shared" si="206"/>
        <v>1974</v>
      </c>
      <c r="O1326" s="9">
        <f t="shared" si="207"/>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211"/>
        <v>0.61199999999999999</v>
      </c>
      <c r="AG1326" s="39">
        <v>0.108</v>
      </c>
      <c r="AH1326" s="38" t="s">
        <v>94</v>
      </c>
      <c r="AI1326" s="15" t="s">
        <v>94</v>
      </c>
      <c r="AJ1326" s="29">
        <v>0</v>
      </c>
      <c r="AK1326" s="36">
        <f t="shared" si="212"/>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213"/>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35">
      <c r="A1327">
        <v>1326</v>
      </c>
      <c r="B1327">
        <v>84</v>
      </c>
      <c r="C1327" s="22" t="s">
        <v>1162</v>
      </c>
      <c r="D1327" s="11">
        <v>5</v>
      </c>
      <c r="E1327" s="12">
        <f t="shared" si="210"/>
        <v>0.31328320802005011</v>
      </c>
      <c r="F1327" s="7">
        <v>15.96</v>
      </c>
      <c r="G1327" s="8">
        <v>0</v>
      </c>
      <c r="H1327" s="9">
        <v>1</v>
      </c>
      <c r="I1327" s="9">
        <v>0</v>
      </c>
      <c r="J1327" s="9">
        <v>0</v>
      </c>
      <c r="K1327" s="9">
        <v>0</v>
      </c>
      <c r="L1327" s="8">
        <v>1492</v>
      </c>
      <c r="M1327" s="9">
        <v>17</v>
      </c>
      <c r="N1327" s="9">
        <f t="shared" si="206"/>
        <v>1474</v>
      </c>
      <c r="O1327" s="9">
        <f t="shared" si="207"/>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211"/>
        <v>0.68199999999999994</v>
      </c>
      <c r="AG1327" s="39">
        <v>0.158</v>
      </c>
      <c r="AH1327" s="38" t="s">
        <v>94</v>
      </c>
      <c r="AI1327" s="15" t="s">
        <v>94</v>
      </c>
      <c r="AJ1327" s="29">
        <v>0</v>
      </c>
      <c r="AK1327" s="36">
        <f t="shared" si="212"/>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213"/>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35">
      <c r="A1328">
        <v>1327</v>
      </c>
      <c r="B1328">
        <v>85</v>
      </c>
      <c r="C1328" s="22" t="s">
        <v>1167</v>
      </c>
      <c r="D1328" s="11">
        <v>2.14</v>
      </c>
      <c r="E1328" s="12">
        <v>2.4</v>
      </c>
      <c r="F1328" s="7">
        <f t="shared" ref="F1328:F1342" si="214">D1328/E1328</f>
        <v>0.89166666666666672</v>
      </c>
      <c r="G1328" s="8">
        <v>0</v>
      </c>
      <c r="H1328" s="9">
        <v>0</v>
      </c>
      <c r="I1328" s="9">
        <v>0</v>
      </c>
      <c r="J1328" s="9">
        <v>1</v>
      </c>
      <c r="K1328" s="9">
        <v>0</v>
      </c>
      <c r="L1328" s="8">
        <v>85766</v>
      </c>
      <c r="M1328" s="9">
        <v>2</v>
      </c>
      <c r="N1328" s="9">
        <f t="shared" si="206"/>
        <v>85763</v>
      </c>
      <c r="O1328" s="9">
        <f t="shared" si="207"/>
        <v>15</v>
      </c>
      <c r="P1328" s="7">
        <f t="shared" ref="P1328:P1342" si="215">AD1328*0+AE1328*6+AF1328*12+AG1328*15</f>
        <v>6.21</v>
      </c>
      <c r="Q1328" s="7">
        <f t="shared" ref="Q1328:Q1342" si="216">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217">(1-$AE1328-$AD1328)/2</f>
        <v>0.09</v>
      </c>
      <c r="AG1328" s="29">
        <f t="shared" si="217"/>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35">
      <c r="A1329">
        <v>1328</v>
      </c>
      <c r="B1329">
        <v>85</v>
      </c>
      <c r="C1329" s="22" t="s">
        <v>1167</v>
      </c>
      <c r="D1329" s="11">
        <v>1</v>
      </c>
      <c r="E1329" s="12">
        <v>5.0999999999999996</v>
      </c>
      <c r="F1329" s="7">
        <f t="shared" si="214"/>
        <v>0.19607843137254904</v>
      </c>
      <c r="G1329" s="8">
        <v>0</v>
      </c>
      <c r="H1329" s="9">
        <v>0</v>
      </c>
      <c r="I1329" s="9">
        <v>0</v>
      </c>
      <c r="J1329" s="9">
        <v>1</v>
      </c>
      <c r="K1329" s="9">
        <v>0</v>
      </c>
      <c r="L1329" s="8">
        <v>53502</v>
      </c>
      <c r="M1329" s="9">
        <v>2</v>
      </c>
      <c r="N1329" s="9">
        <f t="shared" si="206"/>
        <v>53499</v>
      </c>
      <c r="O1329" s="9">
        <f t="shared" si="207"/>
        <v>15</v>
      </c>
      <c r="P1329" s="7">
        <f t="shared" si="215"/>
        <v>6.21</v>
      </c>
      <c r="Q1329" s="7">
        <f t="shared" si="216"/>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217"/>
        <v>0.09</v>
      </c>
      <c r="AG1329" s="29">
        <f t="shared" si="217"/>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35">
      <c r="A1330">
        <v>1329</v>
      </c>
      <c r="B1330">
        <v>85</v>
      </c>
      <c r="C1330" s="22" t="s">
        <v>1167</v>
      </c>
      <c r="D1330" s="11">
        <v>-0.8</v>
      </c>
      <c r="E1330" s="12">
        <v>6.1</v>
      </c>
      <c r="F1330" s="7">
        <f t="shared" si="214"/>
        <v>-0.13114754098360656</v>
      </c>
      <c r="G1330" s="8">
        <v>0</v>
      </c>
      <c r="H1330" s="9">
        <v>0</v>
      </c>
      <c r="I1330" s="9">
        <v>0</v>
      </c>
      <c r="J1330" s="9">
        <v>1</v>
      </c>
      <c r="K1330" s="9">
        <v>0</v>
      </c>
      <c r="L1330" s="8">
        <v>53186</v>
      </c>
      <c r="M1330" s="9">
        <v>3</v>
      </c>
      <c r="N1330" s="9">
        <f t="shared" si="206"/>
        <v>53182</v>
      </c>
      <c r="O1330" s="9">
        <f t="shared" si="207"/>
        <v>15</v>
      </c>
      <c r="P1330" s="7">
        <f t="shared" si="215"/>
        <v>6.21</v>
      </c>
      <c r="Q1330" s="7">
        <f t="shared" si="216"/>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217"/>
        <v>0.09</v>
      </c>
      <c r="AG1330" s="29">
        <f t="shared" si="217"/>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35">
      <c r="A1331">
        <v>1330</v>
      </c>
      <c r="B1331">
        <v>85</v>
      </c>
      <c r="C1331" s="22" t="s">
        <v>1167</v>
      </c>
      <c r="D1331" s="11">
        <v>3</v>
      </c>
      <c r="E1331" s="12">
        <v>6.3</v>
      </c>
      <c r="F1331" s="7">
        <f t="shared" si="214"/>
        <v>0.47619047619047622</v>
      </c>
      <c r="G1331" s="8">
        <v>0</v>
      </c>
      <c r="H1331" s="9">
        <v>0</v>
      </c>
      <c r="I1331" s="9">
        <v>0</v>
      </c>
      <c r="J1331" s="9">
        <v>1</v>
      </c>
      <c r="K1331" s="9">
        <v>0</v>
      </c>
      <c r="L1331" s="8">
        <v>55088</v>
      </c>
      <c r="M1331" s="9">
        <v>5</v>
      </c>
      <c r="N1331" s="9">
        <f t="shared" si="206"/>
        <v>55082</v>
      </c>
      <c r="O1331" s="9">
        <f t="shared" si="207"/>
        <v>15</v>
      </c>
      <c r="P1331" s="7">
        <f t="shared" si="215"/>
        <v>6.21</v>
      </c>
      <c r="Q1331" s="7">
        <f t="shared" si="216"/>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217"/>
        <v>0.09</v>
      </c>
      <c r="AG1331" s="29">
        <f t="shared" si="217"/>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35">
      <c r="A1332">
        <v>1331</v>
      </c>
      <c r="B1332">
        <v>85</v>
      </c>
      <c r="C1332" s="22" t="s">
        <v>1167</v>
      </c>
      <c r="D1332" s="11">
        <v>7.2</v>
      </c>
      <c r="E1332" s="12">
        <v>4.0999999999999996</v>
      </c>
      <c r="F1332" s="7">
        <f t="shared" si="214"/>
        <v>1.75609756097561</v>
      </c>
      <c r="G1332" s="8">
        <v>0</v>
      </c>
      <c r="H1332" s="9">
        <v>0</v>
      </c>
      <c r="I1332" s="9">
        <v>0</v>
      </c>
      <c r="J1332" s="9">
        <v>1</v>
      </c>
      <c r="K1332" s="9">
        <v>0</v>
      </c>
      <c r="L1332" s="8">
        <v>55088</v>
      </c>
      <c r="M1332" s="9">
        <v>3</v>
      </c>
      <c r="N1332" s="9">
        <f t="shared" si="206"/>
        <v>55084</v>
      </c>
      <c r="O1332" s="9">
        <f t="shared" si="207"/>
        <v>15</v>
      </c>
      <c r="P1332" s="7">
        <f t="shared" si="215"/>
        <v>6.21</v>
      </c>
      <c r="Q1332" s="7">
        <f t="shared" si="216"/>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217"/>
        <v>0.09</v>
      </c>
      <c r="AG1332" s="29">
        <f t="shared" si="217"/>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35">
      <c r="A1333">
        <v>1332</v>
      </c>
      <c r="B1333">
        <v>85</v>
      </c>
      <c r="C1333" s="22" t="s">
        <v>1167</v>
      </c>
      <c r="D1333" s="11">
        <v>1.9</v>
      </c>
      <c r="E1333" s="12">
        <v>2.2999999999999998</v>
      </c>
      <c r="F1333" s="7">
        <f t="shared" si="214"/>
        <v>0.82608695652173914</v>
      </c>
      <c r="G1333" s="8">
        <v>0</v>
      </c>
      <c r="H1333" s="9">
        <v>0</v>
      </c>
      <c r="I1333" s="9">
        <v>0</v>
      </c>
      <c r="J1333" s="9">
        <v>1</v>
      </c>
      <c r="K1333" s="9">
        <v>0</v>
      </c>
      <c r="L1333" s="8">
        <v>85766</v>
      </c>
      <c r="M1333" s="9">
        <v>2</v>
      </c>
      <c r="N1333" s="9">
        <f t="shared" si="206"/>
        <v>85763</v>
      </c>
      <c r="O1333" s="9">
        <f t="shared" si="207"/>
        <v>15</v>
      </c>
      <c r="P1333" s="7">
        <f t="shared" si="215"/>
        <v>6.21</v>
      </c>
      <c r="Q1333" s="7">
        <f t="shared" si="216"/>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217"/>
        <v>0.09</v>
      </c>
      <c r="AG1333" s="29">
        <f t="shared" si="217"/>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35">
      <c r="A1334">
        <v>1333</v>
      </c>
      <c r="B1334">
        <v>85</v>
      </c>
      <c r="C1334" s="22" t="s">
        <v>1167</v>
      </c>
      <c r="D1334" s="11">
        <v>0.9</v>
      </c>
      <c r="E1334" s="12">
        <v>5</v>
      </c>
      <c r="F1334" s="7">
        <f t="shared" si="214"/>
        <v>0.18</v>
      </c>
      <c r="G1334" s="8">
        <v>0</v>
      </c>
      <c r="H1334" s="9">
        <v>0</v>
      </c>
      <c r="I1334" s="9">
        <v>0</v>
      </c>
      <c r="J1334" s="9">
        <v>1</v>
      </c>
      <c r="K1334" s="9">
        <v>0</v>
      </c>
      <c r="L1334" s="8">
        <v>53502</v>
      </c>
      <c r="M1334" s="9">
        <v>2</v>
      </c>
      <c r="N1334" s="9">
        <f t="shared" si="206"/>
        <v>53499</v>
      </c>
      <c r="O1334" s="9">
        <f t="shared" si="207"/>
        <v>15</v>
      </c>
      <c r="P1334" s="7">
        <f t="shared" si="215"/>
        <v>6.21</v>
      </c>
      <c r="Q1334" s="7">
        <f t="shared" si="216"/>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217"/>
        <v>0.09</v>
      </c>
      <c r="AG1334" s="29">
        <f t="shared" si="217"/>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35">
      <c r="A1335">
        <v>1334</v>
      </c>
      <c r="B1335">
        <v>85</v>
      </c>
      <c r="C1335" s="22" t="s">
        <v>1167</v>
      </c>
      <c r="D1335" s="11">
        <v>-0.2</v>
      </c>
      <c r="E1335" s="12">
        <v>5.2</v>
      </c>
      <c r="F1335" s="7">
        <f t="shared" si="214"/>
        <v>-3.8461538461538464E-2</v>
      </c>
      <c r="G1335" s="8">
        <v>0</v>
      </c>
      <c r="H1335" s="9">
        <v>0</v>
      </c>
      <c r="I1335" s="9">
        <v>0</v>
      </c>
      <c r="J1335" s="9">
        <v>1</v>
      </c>
      <c r="K1335" s="9">
        <v>0</v>
      </c>
      <c r="L1335" s="8">
        <v>53186</v>
      </c>
      <c r="M1335" s="9">
        <v>3</v>
      </c>
      <c r="N1335" s="9">
        <f t="shared" si="206"/>
        <v>53182</v>
      </c>
      <c r="O1335" s="9">
        <f t="shared" si="207"/>
        <v>15</v>
      </c>
      <c r="P1335" s="7">
        <f t="shared" si="215"/>
        <v>6.21</v>
      </c>
      <c r="Q1335" s="7">
        <f t="shared" si="216"/>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217"/>
        <v>0.09</v>
      </c>
      <c r="AG1335" s="29">
        <f t="shared" si="217"/>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35">
      <c r="A1336">
        <v>1335</v>
      </c>
      <c r="B1336">
        <v>85</v>
      </c>
      <c r="C1336" s="22" t="s">
        <v>1167</v>
      </c>
      <c r="D1336" s="11">
        <v>2.2000000000000002</v>
      </c>
      <c r="E1336" s="12">
        <v>7</v>
      </c>
      <c r="F1336" s="7">
        <f t="shared" si="214"/>
        <v>0.31428571428571433</v>
      </c>
      <c r="G1336" s="8">
        <v>0</v>
      </c>
      <c r="H1336" s="9">
        <v>0</v>
      </c>
      <c r="I1336" s="9">
        <v>0</v>
      </c>
      <c r="J1336" s="9">
        <v>1</v>
      </c>
      <c r="K1336" s="9">
        <v>0</v>
      </c>
      <c r="L1336" s="8">
        <v>55088</v>
      </c>
      <c r="M1336" s="9">
        <v>5</v>
      </c>
      <c r="N1336" s="9">
        <f t="shared" si="206"/>
        <v>55082</v>
      </c>
      <c r="O1336" s="9">
        <f t="shared" si="207"/>
        <v>15</v>
      </c>
      <c r="P1336" s="7">
        <f t="shared" si="215"/>
        <v>6.21</v>
      </c>
      <c r="Q1336" s="7">
        <f t="shared" si="216"/>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217"/>
        <v>0.09</v>
      </c>
      <c r="AG1336" s="29">
        <f t="shared" si="217"/>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35">
      <c r="A1337">
        <v>1336</v>
      </c>
      <c r="B1337">
        <v>85</v>
      </c>
      <c r="C1337" s="22" t="s">
        <v>1167</v>
      </c>
      <c r="D1337" s="11">
        <v>6.2</v>
      </c>
      <c r="E1337" s="12">
        <v>4.9000000000000004</v>
      </c>
      <c r="F1337" s="7">
        <f t="shared" si="214"/>
        <v>1.2653061224489794</v>
      </c>
      <c r="G1337" s="8">
        <v>0</v>
      </c>
      <c r="H1337" s="9">
        <v>0</v>
      </c>
      <c r="I1337" s="9">
        <v>0</v>
      </c>
      <c r="J1337" s="9">
        <v>1</v>
      </c>
      <c r="K1337" s="9">
        <v>0</v>
      </c>
      <c r="L1337" s="8">
        <v>55088</v>
      </c>
      <c r="M1337" s="9">
        <v>3</v>
      </c>
      <c r="N1337" s="9">
        <f t="shared" si="206"/>
        <v>55084</v>
      </c>
      <c r="O1337" s="9">
        <f t="shared" si="207"/>
        <v>15</v>
      </c>
      <c r="P1337" s="7">
        <f t="shared" si="215"/>
        <v>6.21</v>
      </c>
      <c r="Q1337" s="7">
        <f t="shared" si="216"/>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217"/>
        <v>0.09</v>
      </c>
      <c r="AG1337" s="29">
        <f t="shared" si="217"/>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35">
      <c r="A1338">
        <v>1337</v>
      </c>
      <c r="B1338">
        <v>85</v>
      </c>
      <c r="C1338" s="22" t="s">
        <v>1167</v>
      </c>
      <c r="D1338" s="11">
        <v>2.5</v>
      </c>
      <c r="E1338" s="12">
        <v>2.7</v>
      </c>
      <c r="F1338" s="7">
        <f t="shared" si="214"/>
        <v>0.92592592592592582</v>
      </c>
      <c r="G1338" s="8">
        <v>0</v>
      </c>
      <c r="H1338" s="9">
        <v>0</v>
      </c>
      <c r="I1338" s="9">
        <v>0</v>
      </c>
      <c r="J1338" s="9">
        <v>1</v>
      </c>
      <c r="K1338" s="9">
        <v>0</v>
      </c>
      <c r="L1338" s="8">
        <v>85766</v>
      </c>
      <c r="M1338" s="9">
        <v>2</v>
      </c>
      <c r="N1338" s="9">
        <f t="shared" si="206"/>
        <v>85763</v>
      </c>
      <c r="O1338" s="9">
        <f t="shared" si="207"/>
        <v>15</v>
      </c>
      <c r="P1338" s="7">
        <f t="shared" si="215"/>
        <v>6.21</v>
      </c>
      <c r="Q1338" s="7">
        <f t="shared" si="216"/>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217"/>
        <v>0.09</v>
      </c>
      <c r="AG1338" s="29">
        <f t="shared" si="217"/>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35">
      <c r="A1339">
        <v>1338</v>
      </c>
      <c r="B1339">
        <v>85</v>
      </c>
      <c r="C1339" s="22" t="s">
        <v>1167</v>
      </c>
      <c r="D1339" s="11">
        <v>1.2</v>
      </c>
      <c r="E1339" s="12">
        <v>4.8</v>
      </c>
      <c r="F1339" s="7">
        <f t="shared" si="214"/>
        <v>0.25</v>
      </c>
      <c r="G1339" s="8">
        <v>0</v>
      </c>
      <c r="H1339" s="9">
        <v>0</v>
      </c>
      <c r="I1339" s="9">
        <v>0</v>
      </c>
      <c r="J1339" s="9">
        <v>1</v>
      </c>
      <c r="K1339" s="9">
        <v>0</v>
      </c>
      <c r="L1339" s="8">
        <v>53502</v>
      </c>
      <c r="M1339" s="9">
        <v>2</v>
      </c>
      <c r="N1339" s="9">
        <f t="shared" si="206"/>
        <v>53499</v>
      </c>
      <c r="O1339" s="9">
        <f t="shared" si="207"/>
        <v>15</v>
      </c>
      <c r="P1339" s="7">
        <f t="shared" si="215"/>
        <v>6.21</v>
      </c>
      <c r="Q1339" s="7">
        <f t="shared" si="216"/>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217"/>
        <v>0.09</v>
      </c>
      <c r="AG1339" s="29">
        <f t="shared" si="217"/>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35">
      <c r="A1340">
        <v>1339</v>
      </c>
      <c r="B1340">
        <v>85</v>
      </c>
      <c r="C1340" s="22" t="s">
        <v>1167</v>
      </c>
      <c r="D1340" s="11">
        <v>0.1</v>
      </c>
      <c r="E1340" s="12">
        <v>5.2</v>
      </c>
      <c r="F1340" s="7">
        <f t="shared" si="214"/>
        <v>1.9230769230769232E-2</v>
      </c>
      <c r="G1340" s="8">
        <v>0</v>
      </c>
      <c r="H1340" s="9">
        <v>0</v>
      </c>
      <c r="I1340" s="9">
        <v>0</v>
      </c>
      <c r="J1340" s="9">
        <v>1</v>
      </c>
      <c r="K1340" s="9">
        <v>0</v>
      </c>
      <c r="L1340" s="8">
        <v>53186</v>
      </c>
      <c r="M1340" s="9">
        <v>3</v>
      </c>
      <c r="N1340" s="9">
        <f t="shared" si="206"/>
        <v>53182</v>
      </c>
      <c r="O1340" s="9">
        <f t="shared" si="207"/>
        <v>15</v>
      </c>
      <c r="P1340" s="7">
        <f t="shared" si="215"/>
        <v>6.21</v>
      </c>
      <c r="Q1340" s="7">
        <f t="shared" si="216"/>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217"/>
        <v>0.09</v>
      </c>
      <c r="AG1340" s="29">
        <f t="shared" si="217"/>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35">
      <c r="A1341">
        <v>1340</v>
      </c>
      <c r="B1341">
        <v>85</v>
      </c>
      <c r="C1341" s="22" t="s">
        <v>1167</v>
      </c>
      <c r="D1341" s="11">
        <v>3.4</v>
      </c>
      <c r="E1341" s="12">
        <v>6.7</v>
      </c>
      <c r="F1341" s="7">
        <f t="shared" si="214"/>
        <v>0.5074626865671642</v>
      </c>
      <c r="G1341" s="8">
        <v>0</v>
      </c>
      <c r="H1341" s="9">
        <v>0</v>
      </c>
      <c r="I1341" s="9">
        <v>0</v>
      </c>
      <c r="J1341" s="9">
        <v>1</v>
      </c>
      <c r="K1341" s="9">
        <v>0</v>
      </c>
      <c r="L1341" s="8">
        <v>55088</v>
      </c>
      <c r="M1341" s="9">
        <v>5</v>
      </c>
      <c r="N1341" s="9">
        <f t="shared" si="206"/>
        <v>55082</v>
      </c>
      <c r="O1341" s="9">
        <f t="shared" si="207"/>
        <v>15</v>
      </c>
      <c r="P1341" s="7">
        <f t="shared" si="215"/>
        <v>6.21</v>
      </c>
      <c r="Q1341" s="7">
        <f t="shared" si="216"/>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217"/>
        <v>0.09</v>
      </c>
      <c r="AG1341" s="29">
        <f t="shared" si="217"/>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35">
      <c r="A1342">
        <v>1341</v>
      </c>
      <c r="B1342">
        <v>85</v>
      </c>
      <c r="C1342" s="22" t="s">
        <v>1167</v>
      </c>
      <c r="D1342" s="11">
        <v>7.2</v>
      </c>
      <c r="E1342" s="12">
        <v>5</v>
      </c>
      <c r="F1342" s="7">
        <f t="shared" si="214"/>
        <v>1.44</v>
      </c>
      <c r="G1342" s="8">
        <v>0</v>
      </c>
      <c r="H1342" s="9">
        <v>0</v>
      </c>
      <c r="I1342" s="9">
        <v>0</v>
      </c>
      <c r="J1342" s="9">
        <v>1</v>
      </c>
      <c r="K1342" s="9">
        <v>0</v>
      </c>
      <c r="L1342" s="8">
        <v>55088</v>
      </c>
      <c r="M1342" s="9">
        <v>3</v>
      </c>
      <c r="N1342" s="9">
        <f t="shared" si="206"/>
        <v>55084</v>
      </c>
      <c r="O1342" s="9">
        <f t="shared" si="207"/>
        <v>15</v>
      </c>
      <c r="P1342" s="7">
        <f t="shared" si="215"/>
        <v>6.21</v>
      </c>
      <c r="Q1342" s="7">
        <f t="shared" si="216"/>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217"/>
        <v>0.09</v>
      </c>
      <c r="AG1342" s="29">
        <f t="shared" si="217"/>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3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206"/>
        <v>15513</v>
      </c>
      <c r="O1343" s="9">
        <f t="shared" si="207"/>
        <v>7</v>
      </c>
      <c r="P1343" s="7">
        <f t="shared" ref="P1343:P1349" si="218">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219">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220">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3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206"/>
        <v>15513</v>
      </c>
      <c r="O1344" s="9">
        <f t="shared" si="207"/>
        <v>7</v>
      </c>
      <c r="P1344" s="7">
        <f t="shared" si="218"/>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219"/>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220"/>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3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206"/>
        <v>15513</v>
      </c>
      <c r="O1345" s="9">
        <f t="shared" si="207"/>
        <v>7</v>
      </c>
      <c r="P1345" s="7">
        <f t="shared" si="218"/>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219"/>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220"/>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3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21">L1346-M1346-1</f>
        <v>15513</v>
      </c>
      <c r="O1346" s="9">
        <f t="shared" ref="O1346:O1409" si="222">COUNTIF(B:B,B1346)</f>
        <v>7</v>
      </c>
      <c r="P1346" s="7">
        <f t="shared" si="218"/>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219"/>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220"/>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3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21"/>
        <v>15513</v>
      </c>
      <c r="O1347" s="9">
        <f t="shared" si="222"/>
        <v>7</v>
      </c>
      <c r="P1347" s="7">
        <f t="shared" si="218"/>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219"/>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220"/>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3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21"/>
        <v>15513</v>
      </c>
      <c r="O1348" s="9">
        <f t="shared" si="222"/>
        <v>7</v>
      </c>
      <c r="P1348" s="7">
        <f t="shared" si="218"/>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219"/>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220"/>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3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21"/>
        <v>15513</v>
      </c>
      <c r="O1349" s="9">
        <f t="shared" si="222"/>
        <v>7</v>
      </c>
      <c r="P1349" s="7">
        <f t="shared" si="218"/>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219"/>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220"/>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35">
      <c r="A1350">
        <v>1349</v>
      </c>
      <c r="B1350">
        <v>87</v>
      </c>
      <c r="C1350" s="22" t="s">
        <v>1192</v>
      </c>
      <c r="D1350" s="11">
        <v>7.76</v>
      </c>
      <c r="E1350" s="12">
        <v>6.2E-2</v>
      </c>
      <c r="F1350" s="7">
        <f t="shared" ref="F1350:F1372" si="223">D1350/E1350</f>
        <v>125.16129032258064</v>
      </c>
      <c r="G1350" s="8">
        <v>0</v>
      </c>
      <c r="H1350" s="9">
        <v>0</v>
      </c>
      <c r="I1350" s="9">
        <v>1</v>
      </c>
      <c r="J1350" s="9">
        <v>0</v>
      </c>
      <c r="K1350" s="9">
        <v>0</v>
      </c>
      <c r="L1350" s="8">
        <v>60633</v>
      </c>
      <c r="M1350" s="9">
        <v>16</v>
      </c>
      <c r="N1350" s="9">
        <f t="shared" si="221"/>
        <v>60616</v>
      </c>
      <c r="O1350" s="9">
        <f t="shared" si="222"/>
        <v>23</v>
      </c>
      <c r="P1350" s="7">
        <v>9</v>
      </c>
      <c r="Q1350" s="7">
        <f t="shared" ref="Q1350:Q1372" si="224">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25">1*((1-$AD1350)/4)</f>
        <v>0.16999999999999998</v>
      </c>
      <c r="AF1350" s="29">
        <f t="shared" ref="AF1350:AF1372" si="226">2*((1-$AD1350)/4)</f>
        <v>0.33999999999999997</v>
      </c>
      <c r="AG1350" s="29">
        <f t="shared" ref="AG1350:AG1372" si="227">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35">
      <c r="A1351">
        <v>1350</v>
      </c>
      <c r="B1351">
        <v>87</v>
      </c>
      <c r="C1351" s="22" t="s">
        <v>1192</v>
      </c>
      <c r="D1351" s="11">
        <v>7.77</v>
      </c>
      <c r="E1351" s="12">
        <v>6.2100000000000002E-2</v>
      </c>
      <c r="F1351" s="7">
        <f t="shared" si="223"/>
        <v>125.12077294685989</v>
      </c>
      <c r="G1351" s="8">
        <v>0</v>
      </c>
      <c r="H1351" s="9">
        <v>0</v>
      </c>
      <c r="I1351" s="9">
        <v>1</v>
      </c>
      <c r="J1351" s="9">
        <v>0</v>
      </c>
      <c r="K1351" s="9">
        <v>0</v>
      </c>
      <c r="L1351" s="8">
        <v>60466</v>
      </c>
      <c r="M1351" s="9">
        <v>16</v>
      </c>
      <c r="N1351" s="9">
        <f t="shared" si="221"/>
        <v>60449</v>
      </c>
      <c r="O1351" s="9">
        <f t="shared" si="222"/>
        <v>23</v>
      </c>
      <c r="P1351" s="7">
        <v>9</v>
      </c>
      <c r="Q1351" s="7">
        <f t="shared" si="224"/>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25"/>
        <v>0.16999999999999998</v>
      </c>
      <c r="AF1351" s="29">
        <f t="shared" si="226"/>
        <v>0.33999999999999997</v>
      </c>
      <c r="AG1351" s="29">
        <f t="shared" si="227"/>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35">
      <c r="A1352">
        <v>1351</v>
      </c>
      <c r="B1352">
        <v>87</v>
      </c>
      <c r="C1352" s="22" t="s">
        <v>1192</v>
      </c>
      <c r="D1352" s="11">
        <v>7.67</v>
      </c>
      <c r="E1352" s="12">
        <v>6.4600000000000005E-2</v>
      </c>
      <c r="F1352" s="7">
        <f t="shared" si="223"/>
        <v>118.73065015479875</v>
      </c>
      <c r="G1352" s="8">
        <v>0</v>
      </c>
      <c r="H1352" s="9">
        <v>0</v>
      </c>
      <c r="I1352" s="9">
        <v>1</v>
      </c>
      <c r="J1352" s="9">
        <v>0</v>
      </c>
      <c r="K1352" s="9">
        <v>0</v>
      </c>
      <c r="L1352" s="8">
        <v>55144</v>
      </c>
      <c r="M1352" s="9">
        <v>16</v>
      </c>
      <c r="N1352" s="9">
        <f t="shared" si="221"/>
        <v>55127</v>
      </c>
      <c r="O1352" s="9">
        <f t="shared" si="222"/>
        <v>23</v>
      </c>
      <c r="P1352" s="7">
        <v>9</v>
      </c>
      <c r="Q1352" s="7">
        <f t="shared" si="224"/>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25"/>
        <v>0.16999999999999998</v>
      </c>
      <c r="AF1352" s="29">
        <f t="shared" si="226"/>
        <v>0.33999999999999997</v>
      </c>
      <c r="AG1352" s="29">
        <f t="shared" si="227"/>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35">
      <c r="A1353">
        <v>1352</v>
      </c>
      <c r="B1353">
        <v>87</v>
      </c>
      <c r="C1353" s="22" t="s">
        <v>1192</v>
      </c>
      <c r="D1353" s="11">
        <v>6.75</v>
      </c>
      <c r="E1353" s="12">
        <v>2.8</v>
      </c>
      <c r="F1353" s="7">
        <f t="shared" si="223"/>
        <v>2.410714285714286</v>
      </c>
      <c r="G1353" s="8">
        <v>0</v>
      </c>
      <c r="H1353" s="9">
        <v>0</v>
      </c>
      <c r="I1353" s="9">
        <v>1</v>
      </c>
      <c r="J1353" s="9">
        <v>0</v>
      </c>
      <c r="K1353" s="9">
        <v>0</v>
      </c>
      <c r="L1353" s="8">
        <v>60633</v>
      </c>
      <c r="M1353" s="9">
        <v>16</v>
      </c>
      <c r="N1353" s="9">
        <f t="shared" si="221"/>
        <v>60616</v>
      </c>
      <c r="O1353" s="9">
        <f t="shared" si="222"/>
        <v>23</v>
      </c>
      <c r="P1353" s="7">
        <v>9</v>
      </c>
      <c r="Q1353" s="7">
        <f t="shared" si="224"/>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25"/>
        <v>0.16999999999999998</v>
      </c>
      <c r="AF1353" s="29">
        <f t="shared" si="226"/>
        <v>0.33999999999999997</v>
      </c>
      <c r="AG1353" s="29">
        <f t="shared" si="227"/>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35">
      <c r="A1354">
        <v>1353</v>
      </c>
      <c r="B1354">
        <v>87</v>
      </c>
      <c r="C1354" s="22" t="s">
        <v>1192</v>
      </c>
      <c r="D1354" s="11">
        <v>8.09</v>
      </c>
      <c r="E1354" s="12">
        <v>2.72</v>
      </c>
      <c r="F1354" s="7">
        <f t="shared" si="223"/>
        <v>2.9742647058823528</v>
      </c>
      <c r="G1354" s="8">
        <v>0</v>
      </c>
      <c r="H1354" s="9">
        <v>0</v>
      </c>
      <c r="I1354" s="9">
        <v>1</v>
      </c>
      <c r="J1354" s="9">
        <v>0</v>
      </c>
      <c r="K1354" s="9">
        <v>0</v>
      </c>
      <c r="L1354" s="8">
        <v>60466</v>
      </c>
      <c r="M1354" s="9">
        <v>16</v>
      </c>
      <c r="N1354" s="9">
        <f t="shared" si="221"/>
        <v>60449</v>
      </c>
      <c r="O1354" s="9">
        <f t="shared" si="222"/>
        <v>23</v>
      </c>
      <c r="P1354" s="7">
        <v>9</v>
      </c>
      <c r="Q1354" s="7">
        <f t="shared" si="224"/>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25"/>
        <v>0.16999999999999998</v>
      </c>
      <c r="AF1354" s="29">
        <f t="shared" si="226"/>
        <v>0.33999999999999997</v>
      </c>
      <c r="AG1354" s="29">
        <f t="shared" si="227"/>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35">
      <c r="A1355">
        <v>1354</v>
      </c>
      <c r="B1355">
        <v>87</v>
      </c>
      <c r="C1355" s="22" t="s">
        <v>1192</v>
      </c>
      <c r="D1355" s="11">
        <v>10.6</v>
      </c>
      <c r="E1355" s="12">
        <v>2.2200000000000002</v>
      </c>
      <c r="F1355" s="7">
        <f t="shared" si="223"/>
        <v>4.774774774774774</v>
      </c>
      <c r="G1355" s="8">
        <v>0</v>
      </c>
      <c r="H1355" s="9">
        <v>0</v>
      </c>
      <c r="I1355" s="9">
        <v>1</v>
      </c>
      <c r="J1355" s="9">
        <v>0</v>
      </c>
      <c r="K1355" s="9">
        <v>0</v>
      </c>
      <c r="L1355" s="8">
        <v>55144</v>
      </c>
      <c r="M1355" s="9">
        <v>16</v>
      </c>
      <c r="N1355" s="9">
        <f t="shared" si="221"/>
        <v>55127</v>
      </c>
      <c r="O1355" s="9">
        <f t="shared" si="222"/>
        <v>23</v>
      </c>
      <c r="P1355" s="7">
        <v>9</v>
      </c>
      <c r="Q1355" s="7">
        <f t="shared" si="224"/>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25"/>
        <v>0.16999999999999998</v>
      </c>
      <c r="AF1355" s="29">
        <f t="shared" si="226"/>
        <v>0.33999999999999997</v>
      </c>
      <c r="AG1355" s="29">
        <f t="shared" si="227"/>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35">
      <c r="A1356">
        <v>1355</v>
      </c>
      <c r="B1356">
        <v>87</v>
      </c>
      <c r="C1356" s="22" t="s">
        <v>1192</v>
      </c>
      <c r="D1356" s="11">
        <v>9.08</v>
      </c>
      <c r="E1356" s="12">
        <v>5.41</v>
      </c>
      <c r="F1356" s="7">
        <f t="shared" si="223"/>
        <v>1.6783733826247689</v>
      </c>
      <c r="G1356" s="8">
        <v>0</v>
      </c>
      <c r="H1356" s="9">
        <v>0</v>
      </c>
      <c r="I1356" s="9">
        <v>1</v>
      </c>
      <c r="J1356" s="9">
        <v>0</v>
      </c>
      <c r="K1356" s="9">
        <v>0</v>
      </c>
      <c r="L1356" s="8">
        <v>55144</v>
      </c>
      <c r="M1356" s="9">
        <v>16</v>
      </c>
      <c r="N1356" s="9">
        <f t="shared" si="221"/>
        <v>55127</v>
      </c>
      <c r="O1356" s="9">
        <f t="shared" si="222"/>
        <v>23</v>
      </c>
      <c r="P1356" s="7">
        <v>9</v>
      </c>
      <c r="Q1356" s="7">
        <f t="shared" si="224"/>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25"/>
        <v>0.16999999999999998</v>
      </c>
      <c r="AF1356" s="29">
        <f t="shared" si="226"/>
        <v>0.33999999999999997</v>
      </c>
      <c r="AG1356" s="29">
        <f t="shared" si="227"/>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35">
      <c r="A1357">
        <v>1356</v>
      </c>
      <c r="B1357">
        <v>87</v>
      </c>
      <c r="C1357" s="22" t="s">
        <v>1192</v>
      </c>
      <c r="D1357" s="11">
        <v>7.52</v>
      </c>
      <c r="E1357" s="12">
        <v>3.38</v>
      </c>
      <c r="F1357" s="7">
        <f t="shared" si="223"/>
        <v>2.224852071005917</v>
      </c>
      <c r="G1357" s="8">
        <v>0</v>
      </c>
      <c r="H1357" s="9">
        <v>0</v>
      </c>
      <c r="I1357" s="9">
        <v>1</v>
      </c>
      <c r="J1357" s="9">
        <v>0</v>
      </c>
      <c r="K1357" s="9">
        <v>0</v>
      </c>
      <c r="L1357" s="8">
        <v>60633</v>
      </c>
      <c r="M1357" s="9">
        <v>16</v>
      </c>
      <c r="N1357" s="9">
        <f t="shared" si="221"/>
        <v>60616</v>
      </c>
      <c r="O1357" s="9">
        <f t="shared" si="222"/>
        <v>23</v>
      </c>
      <c r="P1357" s="7">
        <v>9</v>
      </c>
      <c r="Q1357" s="7">
        <f t="shared" si="224"/>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25"/>
        <v>0.16999999999999998</v>
      </c>
      <c r="AF1357" s="29">
        <f t="shared" si="226"/>
        <v>0.33999999999999997</v>
      </c>
      <c r="AG1357" s="29">
        <f t="shared" si="227"/>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35">
      <c r="A1358">
        <v>1357</v>
      </c>
      <c r="B1358">
        <v>87</v>
      </c>
      <c r="C1358" s="22" t="s">
        <v>1192</v>
      </c>
      <c r="D1358" s="11">
        <v>8.6199999999999992</v>
      </c>
      <c r="E1358" s="12">
        <v>3.36</v>
      </c>
      <c r="F1358" s="7">
        <f t="shared" si="223"/>
        <v>2.5654761904761902</v>
      </c>
      <c r="G1358" s="8">
        <v>0</v>
      </c>
      <c r="H1358" s="9">
        <v>0</v>
      </c>
      <c r="I1358" s="9">
        <v>1</v>
      </c>
      <c r="J1358" s="9">
        <v>0</v>
      </c>
      <c r="K1358" s="9">
        <v>0</v>
      </c>
      <c r="L1358" s="8">
        <v>60466</v>
      </c>
      <c r="M1358" s="9">
        <v>16</v>
      </c>
      <c r="N1358" s="9">
        <f t="shared" si="221"/>
        <v>60449</v>
      </c>
      <c r="O1358" s="9">
        <f t="shared" si="222"/>
        <v>23</v>
      </c>
      <c r="P1358" s="7">
        <v>9</v>
      </c>
      <c r="Q1358" s="7">
        <f t="shared" si="224"/>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25"/>
        <v>0.16999999999999998</v>
      </c>
      <c r="AF1358" s="29">
        <f t="shared" si="226"/>
        <v>0.33999999999999997</v>
      </c>
      <c r="AG1358" s="29">
        <f t="shared" si="227"/>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35">
      <c r="A1359">
        <v>1358</v>
      </c>
      <c r="B1359">
        <v>87</v>
      </c>
      <c r="C1359" s="22" t="s">
        <v>1192</v>
      </c>
      <c r="D1359" s="11">
        <v>10.4</v>
      </c>
      <c r="E1359" s="12">
        <v>3.04</v>
      </c>
      <c r="F1359" s="7">
        <f t="shared" si="223"/>
        <v>3.4210526315789473</v>
      </c>
      <c r="G1359" s="8">
        <v>0</v>
      </c>
      <c r="H1359" s="9">
        <v>0</v>
      </c>
      <c r="I1359" s="9">
        <v>1</v>
      </c>
      <c r="J1359" s="9">
        <v>0</v>
      </c>
      <c r="K1359" s="9">
        <v>0</v>
      </c>
      <c r="L1359" s="8">
        <v>55144</v>
      </c>
      <c r="M1359" s="9">
        <v>16</v>
      </c>
      <c r="N1359" s="9">
        <f t="shared" si="221"/>
        <v>55127</v>
      </c>
      <c r="O1359" s="9">
        <f t="shared" si="222"/>
        <v>23</v>
      </c>
      <c r="P1359" s="7">
        <v>9</v>
      </c>
      <c r="Q1359" s="7">
        <f t="shared" si="224"/>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25"/>
        <v>0.16999999999999998</v>
      </c>
      <c r="AF1359" s="29">
        <f t="shared" si="226"/>
        <v>0.33999999999999997</v>
      </c>
      <c r="AG1359" s="29">
        <f t="shared" si="227"/>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35">
      <c r="A1360">
        <v>1359</v>
      </c>
      <c r="B1360">
        <v>87</v>
      </c>
      <c r="C1360" s="22" t="s">
        <v>1192</v>
      </c>
      <c r="D1360" s="11">
        <v>6.98</v>
      </c>
      <c r="E1360" s="12">
        <v>6.0100000000000001E-2</v>
      </c>
      <c r="F1360" s="7">
        <f t="shared" si="223"/>
        <v>116.13976705490849</v>
      </c>
      <c r="G1360" s="8">
        <v>0</v>
      </c>
      <c r="H1360" s="9">
        <v>0</v>
      </c>
      <c r="I1360" s="9">
        <v>1</v>
      </c>
      <c r="J1360" s="9">
        <v>0</v>
      </c>
      <c r="K1360" s="9">
        <v>0</v>
      </c>
      <c r="L1360" s="8">
        <v>60633</v>
      </c>
      <c r="M1360" s="9">
        <v>16</v>
      </c>
      <c r="N1360" s="9">
        <f t="shared" si="221"/>
        <v>60616</v>
      </c>
      <c r="O1360" s="9">
        <f t="shared" si="222"/>
        <v>23</v>
      </c>
      <c r="P1360" s="7">
        <v>9</v>
      </c>
      <c r="Q1360" s="7">
        <f t="shared" si="224"/>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25"/>
        <v>0.16999999999999998</v>
      </c>
      <c r="AF1360" s="29">
        <f t="shared" si="226"/>
        <v>0.33999999999999997</v>
      </c>
      <c r="AG1360" s="29">
        <f t="shared" si="227"/>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35">
      <c r="A1361">
        <v>1360</v>
      </c>
      <c r="B1361">
        <v>87</v>
      </c>
      <c r="C1361" s="22" t="s">
        <v>1192</v>
      </c>
      <c r="D1361" s="11">
        <v>6.98</v>
      </c>
      <c r="E1361" s="12">
        <v>6.0199999999999997E-2</v>
      </c>
      <c r="F1361" s="7">
        <f t="shared" si="223"/>
        <v>115.94684385382061</v>
      </c>
      <c r="G1361" s="8">
        <v>0</v>
      </c>
      <c r="H1361" s="9">
        <v>0</v>
      </c>
      <c r="I1361" s="9">
        <v>1</v>
      </c>
      <c r="J1361" s="9">
        <v>0</v>
      </c>
      <c r="K1361" s="9">
        <v>0</v>
      </c>
      <c r="L1361" s="8">
        <v>60466</v>
      </c>
      <c r="M1361" s="9">
        <v>16</v>
      </c>
      <c r="N1361" s="9">
        <f t="shared" si="221"/>
        <v>60449</v>
      </c>
      <c r="O1361" s="9">
        <f t="shared" si="222"/>
        <v>23</v>
      </c>
      <c r="P1361" s="7">
        <v>9</v>
      </c>
      <c r="Q1361" s="7">
        <f t="shared" si="224"/>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25"/>
        <v>0.16999999999999998</v>
      </c>
      <c r="AF1361" s="29">
        <f t="shared" si="226"/>
        <v>0.33999999999999997</v>
      </c>
      <c r="AG1361" s="29">
        <f t="shared" si="227"/>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35">
      <c r="A1362">
        <v>1361</v>
      </c>
      <c r="B1362">
        <v>87</v>
      </c>
      <c r="C1362" s="22" t="s">
        <v>1192</v>
      </c>
      <c r="D1362" s="11">
        <v>6.89</v>
      </c>
      <c r="E1362" s="12">
        <v>6.2799999999999995E-2</v>
      </c>
      <c r="F1362" s="7">
        <f t="shared" si="223"/>
        <v>109.71337579617835</v>
      </c>
      <c r="G1362" s="8">
        <v>0</v>
      </c>
      <c r="H1362" s="9">
        <v>0</v>
      </c>
      <c r="I1362" s="9">
        <v>1</v>
      </c>
      <c r="J1362" s="9">
        <v>0</v>
      </c>
      <c r="K1362" s="9">
        <v>0</v>
      </c>
      <c r="L1362" s="8">
        <v>55144</v>
      </c>
      <c r="M1362" s="9">
        <v>16</v>
      </c>
      <c r="N1362" s="9">
        <f t="shared" si="221"/>
        <v>55127</v>
      </c>
      <c r="O1362" s="9">
        <f t="shared" si="222"/>
        <v>23</v>
      </c>
      <c r="P1362" s="7">
        <v>9</v>
      </c>
      <c r="Q1362" s="7">
        <f t="shared" si="224"/>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25"/>
        <v>0.16999999999999998</v>
      </c>
      <c r="AF1362" s="29">
        <f t="shared" si="226"/>
        <v>0.33999999999999997</v>
      </c>
      <c r="AG1362" s="29">
        <f t="shared" si="227"/>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35">
      <c r="A1363">
        <v>1362</v>
      </c>
      <c r="B1363">
        <v>87</v>
      </c>
      <c r="C1363" s="22" t="s">
        <v>1192</v>
      </c>
      <c r="D1363" s="11">
        <v>7.56</v>
      </c>
      <c r="E1363" s="12">
        <v>2.8</v>
      </c>
      <c r="F1363" s="7">
        <f t="shared" si="223"/>
        <v>2.7</v>
      </c>
      <c r="G1363" s="8">
        <v>0</v>
      </c>
      <c r="H1363" s="9">
        <v>0</v>
      </c>
      <c r="I1363" s="9">
        <v>1</v>
      </c>
      <c r="J1363" s="9">
        <v>0</v>
      </c>
      <c r="K1363" s="9">
        <v>0</v>
      </c>
      <c r="L1363" s="8">
        <v>60633</v>
      </c>
      <c r="M1363" s="9">
        <v>16</v>
      </c>
      <c r="N1363" s="9">
        <f t="shared" si="221"/>
        <v>60616</v>
      </c>
      <c r="O1363" s="9">
        <f t="shared" si="222"/>
        <v>23</v>
      </c>
      <c r="P1363" s="7">
        <v>9</v>
      </c>
      <c r="Q1363" s="7">
        <f t="shared" si="224"/>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25"/>
        <v>0.16999999999999998</v>
      </c>
      <c r="AF1363" s="29">
        <f t="shared" si="226"/>
        <v>0.33999999999999997</v>
      </c>
      <c r="AG1363" s="29">
        <f t="shared" si="227"/>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35">
      <c r="A1364">
        <v>1363</v>
      </c>
      <c r="B1364">
        <v>87</v>
      </c>
      <c r="C1364" s="22" t="s">
        <v>1192</v>
      </c>
      <c r="D1364" s="11">
        <v>9.25</v>
      </c>
      <c r="E1364" s="12">
        <v>2.78</v>
      </c>
      <c r="F1364" s="7">
        <f t="shared" si="223"/>
        <v>3.3273381294964031</v>
      </c>
      <c r="G1364" s="8">
        <v>0</v>
      </c>
      <c r="H1364" s="9">
        <v>0</v>
      </c>
      <c r="I1364" s="9">
        <v>1</v>
      </c>
      <c r="J1364" s="9">
        <v>0</v>
      </c>
      <c r="K1364" s="9">
        <v>0</v>
      </c>
      <c r="L1364" s="8">
        <v>60466</v>
      </c>
      <c r="M1364" s="9">
        <v>16</v>
      </c>
      <c r="N1364" s="9">
        <f t="shared" si="221"/>
        <v>60449</v>
      </c>
      <c r="O1364" s="9">
        <f t="shared" si="222"/>
        <v>23</v>
      </c>
      <c r="P1364" s="7">
        <v>9</v>
      </c>
      <c r="Q1364" s="7">
        <f t="shared" si="224"/>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25"/>
        <v>0.16999999999999998</v>
      </c>
      <c r="AF1364" s="29">
        <f t="shared" si="226"/>
        <v>0.33999999999999997</v>
      </c>
      <c r="AG1364" s="29">
        <f t="shared" si="227"/>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35">
      <c r="A1365">
        <v>1364</v>
      </c>
      <c r="B1365">
        <v>87</v>
      </c>
      <c r="C1365" s="22" t="s">
        <v>1192</v>
      </c>
      <c r="D1365" s="11">
        <v>9.1300000000000008</v>
      </c>
      <c r="E1365" s="12">
        <v>2.19</v>
      </c>
      <c r="F1365" s="7">
        <f t="shared" si="223"/>
        <v>4.1689497716894985</v>
      </c>
      <c r="G1365" s="8">
        <v>0</v>
      </c>
      <c r="H1365" s="9">
        <v>0</v>
      </c>
      <c r="I1365" s="9">
        <v>1</v>
      </c>
      <c r="J1365" s="9">
        <v>0</v>
      </c>
      <c r="K1365" s="9">
        <v>0</v>
      </c>
      <c r="L1365" s="8">
        <v>55144</v>
      </c>
      <c r="M1365" s="9">
        <v>16</v>
      </c>
      <c r="N1365" s="9">
        <f t="shared" si="221"/>
        <v>55127</v>
      </c>
      <c r="O1365" s="9">
        <f t="shared" si="222"/>
        <v>23</v>
      </c>
      <c r="P1365" s="7">
        <v>9</v>
      </c>
      <c r="Q1365" s="7">
        <f t="shared" si="224"/>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25"/>
        <v>0.16999999999999998</v>
      </c>
      <c r="AF1365" s="29">
        <f t="shared" si="226"/>
        <v>0.33999999999999997</v>
      </c>
      <c r="AG1365" s="29">
        <f t="shared" si="227"/>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35">
      <c r="A1366">
        <v>1365</v>
      </c>
      <c r="B1366">
        <v>87</v>
      </c>
      <c r="C1366" s="22" t="s">
        <v>1192</v>
      </c>
      <c r="D1366" s="11">
        <v>13.4</v>
      </c>
      <c r="E1366" s="12">
        <v>6.31</v>
      </c>
      <c r="F1366" s="7">
        <f t="shared" si="223"/>
        <v>2.1236133122028527</v>
      </c>
      <c r="G1366" s="8">
        <v>0</v>
      </c>
      <c r="H1366" s="9">
        <v>0</v>
      </c>
      <c r="I1366" s="9">
        <v>1</v>
      </c>
      <c r="J1366" s="9">
        <v>0</v>
      </c>
      <c r="K1366" s="9">
        <v>0</v>
      </c>
      <c r="L1366" s="8">
        <v>55144</v>
      </c>
      <c r="M1366" s="9">
        <v>16</v>
      </c>
      <c r="N1366" s="9">
        <f t="shared" si="221"/>
        <v>55127</v>
      </c>
      <c r="O1366" s="9">
        <f t="shared" si="222"/>
        <v>23</v>
      </c>
      <c r="P1366" s="7">
        <v>9</v>
      </c>
      <c r="Q1366" s="7">
        <f t="shared" si="224"/>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25"/>
        <v>0.16999999999999998</v>
      </c>
      <c r="AF1366" s="29">
        <f t="shared" si="226"/>
        <v>0.33999999999999997</v>
      </c>
      <c r="AG1366" s="29">
        <f t="shared" si="227"/>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35">
      <c r="A1367">
        <v>1366</v>
      </c>
      <c r="B1367">
        <v>87</v>
      </c>
      <c r="C1367" s="22" t="s">
        <v>1192</v>
      </c>
      <c r="D1367" s="11">
        <v>5.39</v>
      </c>
      <c r="E1367" s="12">
        <v>3.5400000000000001E-2</v>
      </c>
      <c r="F1367" s="7">
        <f t="shared" si="223"/>
        <v>152.25988700564972</v>
      </c>
      <c r="G1367" s="8">
        <v>0</v>
      </c>
      <c r="H1367" s="9">
        <v>0</v>
      </c>
      <c r="I1367" s="9">
        <v>1</v>
      </c>
      <c r="J1367" s="9">
        <v>0</v>
      </c>
      <c r="K1367" s="9">
        <v>0</v>
      </c>
      <c r="L1367" s="8">
        <v>152989</v>
      </c>
      <c r="M1367" s="9">
        <v>16</v>
      </c>
      <c r="N1367" s="9">
        <f t="shared" si="221"/>
        <v>152972</v>
      </c>
      <c r="O1367" s="9">
        <f t="shared" si="222"/>
        <v>23</v>
      </c>
      <c r="P1367" s="7">
        <v>7.98</v>
      </c>
      <c r="Q1367" s="7">
        <f t="shared" si="224"/>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25"/>
        <v>0.16999999999999998</v>
      </c>
      <c r="AF1367" s="29">
        <f t="shared" si="226"/>
        <v>0.33999999999999997</v>
      </c>
      <c r="AG1367" s="29">
        <f t="shared" si="227"/>
        <v>0.16999999999999998</v>
      </c>
      <c r="AH1367" s="38">
        <v>0.38500000000000001</v>
      </c>
      <c r="AI1367" s="15">
        <f t="shared" ref="AI1367:AI1372" si="228">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35">
      <c r="A1368">
        <v>1367</v>
      </c>
      <c r="B1368">
        <v>87</v>
      </c>
      <c r="C1368" s="22" t="s">
        <v>1192</v>
      </c>
      <c r="D1368" s="11">
        <v>5.39</v>
      </c>
      <c r="E1368" s="12">
        <v>3.5400000000000001E-2</v>
      </c>
      <c r="F1368" s="7">
        <f t="shared" si="223"/>
        <v>152.25988700564972</v>
      </c>
      <c r="G1368" s="8">
        <v>0</v>
      </c>
      <c r="H1368" s="9">
        <v>0</v>
      </c>
      <c r="I1368" s="9">
        <v>1</v>
      </c>
      <c r="J1368" s="9">
        <v>0</v>
      </c>
      <c r="K1368" s="9">
        <v>0</v>
      </c>
      <c r="L1368" s="8">
        <v>152495</v>
      </c>
      <c r="M1368" s="9">
        <v>16</v>
      </c>
      <c r="N1368" s="9">
        <f t="shared" si="221"/>
        <v>152478</v>
      </c>
      <c r="O1368" s="9">
        <f t="shared" si="222"/>
        <v>23</v>
      </c>
      <c r="P1368" s="7">
        <v>7.98</v>
      </c>
      <c r="Q1368" s="7">
        <f t="shared" si="224"/>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25"/>
        <v>0.16999999999999998</v>
      </c>
      <c r="AF1368" s="29">
        <f t="shared" si="226"/>
        <v>0.33999999999999997</v>
      </c>
      <c r="AG1368" s="29">
        <f t="shared" si="227"/>
        <v>0.16999999999999998</v>
      </c>
      <c r="AH1368" s="38">
        <v>0.38500000000000001</v>
      </c>
      <c r="AI1368" s="15">
        <f t="shared" si="228"/>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35">
      <c r="A1369">
        <v>1368</v>
      </c>
      <c r="B1369">
        <v>87</v>
      </c>
      <c r="C1369" s="22" t="s">
        <v>1192</v>
      </c>
      <c r="D1369" s="11">
        <v>5.39</v>
      </c>
      <c r="E1369" s="12">
        <v>3.5499999999999997E-2</v>
      </c>
      <c r="F1369" s="7">
        <f t="shared" si="223"/>
        <v>151.83098591549296</v>
      </c>
      <c r="G1369" s="8">
        <v>0</v>
      </c>
      <c r="H1369" s="9">
        <v>0</v>
      </c>
      <c r="I1369" s="9">
        <v>1</v>
      </c>
      <c r="J1369" s="9">
        <v>0</v>
      </c>
      <c r="K1369" s="9">
        <v>0</v>
      </c>
      <c r="L1369" s="8">
        <v>143107</v>
      </c>
      <c r="M1369" s="9">
        <v>16</v>
      </c>
      <c r="N1369" s="9">
        <f t="shared" si="221"/>
        <v>143090</v>
      </c>
      <c r="O1369" s="9">
        <f t="shared" si="222"/>
        <v>23</v>
      </c>
      <c r="P1369" s="7">
        <v>7.98</v>
      </c>
      <c r="Q1369" s="7">
        <f t="shared" si="224"/>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25"/>
        <v>0.16999999999999998</v>
      </c>
      <c r="AF1369" s="29">
        <f t="shared" si="226"/>
        <v>0.33999999999999997</v>
      </c>
      <c r="AG1369" s="29">
        <f t="shared" si="227"/>
        <v>0.16999999999999998</v>
      </c>
      <c r="AH1369" s="38">
        <v>0.38500000000000001</v>
      </c>
      <c r="AI1369" s="15">
        <f t="shared" si="228"/>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35">
      <c r="A1370">
        <v>1369</v>
      </c>
      <c r="B1370">
        <v>87</v>
      </c>
      <c r="C1370" s="22" t="s">
        <v>1192</v>
      </c>
      <c r="D1370" s="11">
        <v>5.09</v>
      </c>
      <c r="E1370" s="12">
        <v>1.57</v>
      </c>
      <c r="F1370" s="7">
        <f t="shared" si="223"/>
        <v>3.2420382165605095</v>
      </c>
      <c r="G1370" s="8">
        <v>0</v>
      </c>
      <c r="H1370" s="9">
        <v>0</v>
      </c>
      <c r="I1370" s="9">
        <v>1</v>
      </c>
      <c r="J1370" s="9">
        <v>0</v>
      </c>
      <c r="K1370" s="9">
        <v>0</v>
      </c>
      <c r="L1370" s="8">
        <v>152989</v>
      </c>
      <c r="M1370" s="9">
        <v>16</v>
      </c>
      <c r="N1370" s="9">
        <f t="shared" si="221"/>
        <v>152972</v>
      </c>
      <c r="O1370" s="9">
        <f t="shared" si="222"/>
        <v>23</v>
      </c>
      <c r="P1370" s="7">
        <v>7.98</v>
      </c>
      <c r="Q1370" s="7">
        <f t="shared" si="224"/>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25"/>
        <v>0.16999999999999998</v>
      </c>
      <c r="AF1370" s="29">
        <f t="shared" si="226"/>
        <v>0.33999999999999997</v>
      </c>
      <c r="AG1370" s="29">
        <f t="shared" si="227"/>
        <v>0.16999999999999998</v>
      </c>
      <c r="AH1370" s="38">
        <v>0.38500000000000001</v>
      </c>
      <c r="AI1370" s="15">
        <f t="shared" si="228"/>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35">
      <c r="A1371">
        <v>1370</v>
      </c>
      <c r="B1371">
        <v>87</v>
      </c>
      <c r="C1371" s="22" t="s">
        <v>1192</v>
      </c>
      <c r="D1371" s="11">
        <v>7.45</v>
      </c>
      <c r="E1371" s="12">
        <v>1.36</v>
      </c>
      <c r="F1371" s="7">
        <f t="shared" si="223"/>
        <v>5.4779411764705879</v>
      </c>
      <c r="G1371" s="8">
        <v>0</v>
      </c>
      <c r="H1371" s="9">
        <v>0</v>
      </c>
      <c r="I1371" s="9">
        <v>1</v>
      </c>
      <c r="J1371" s="9">
        <v>0</v>
      </c>
      <c r="K1371" s="9">
        <v>0</v>
      </c>
      <c r="L1371" s="8">
        <v>152495</v>
      </c>
      <c r="M1371" s="9">
        <v>16</v>
      </c>
      <c r="N1371" s="9">
        <f t="shared" si="221"/>
        <v>152478</v>
      </c>
      <c r="O1371" s="9">
        <f t="shared" si="222"/>
        <v>23</v>
      </c>
      <c r="P1371" s="7">
        <v>7.98</v>
      </c>
      <c r="Q1371" s="7">
        <f t="shared" si="224"/>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25"/>
        <v>0.16999999999999998</v>
      </c>
      <c r="AF1371" s="29">
        <f t="shared" si="226"/>
        <v>0.33999999999999997</v>
      </c>
      <c r="AG1371" s="29">
        <f t="shared" si="227"/>
        <v>0.16999999999999998</v>
      </c>
      <c r="AH1371" s="38">
        <v>0.38500000000000001</v>
      </c>
      <c r="AI1371" s="15">
        <f t="shared" si="228"/>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35">
      <c r="A1372">
        <v>1371</v>
      </c>
      <c r="B1372">
        <v>87</v>
      </c>
      <c r="C1372" s="22" t="s">
        <v>1192</v>
      </c>
      <c r="D1372" s="11">
        <v>3.46</v>
      </c>
      <c r="E1372" s="12">
        <v>1.38</v>
      </c>
      <c r="F1372" s="7">
        <f t="shared" si="223"/>
        <v>2.5072463768115942</v>
      </c>
      <c r="G1372" s="8">
        <v>0</v>
      </c>
      <c r="H1372" s="9">
        <v>0</v>
      </c>
      <c r="I1372" s="9">
        <v>1</v>
      </c>
      <c r="J1372" s="9">
        <v>0</v>
      </c>
      <c r="K1372" s="9">
        <v>0</v>
      </c>
      <c r="L1372" s="8">
        <v>143107</v>
      </c>
      <c r="M1372" s="9">
        <v>16</v>
      </c>
      <c r="N1372" s="9">
        <f t="shared" si="221"/>
        <v>143090</v>
      </c>
      <c r="O1372" s="9">
        <f t="shared" si="222"/>
        <v>23</v>
      </c>
      <c r="P1372" s="7">
        <v>7.98</v>
      </c>
      <c r="Q1372" s="7">
        <f t="shared" si="224"/>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25"/>
        <v>0.16999999999999998</v>
      </c>
      <c r="AF1372" s="29">
        <f t="shared" si="226"/>
        <v>0.33999999999999997</v>
      </c>
      <c r="AG1372" s="29">
        <f t="shared" si="227"/>
        <v>0.16999999999999998</v>
      </c>
      <c r="AH1372" s="38">
        <v>0.38500000000000001</v>
      </c>
      <c r="AI1372" s="15">
        <f t="shared" si="228"/>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3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21"/>
        <v>83890</v>
      </c>
      <c r="O1373" s="9">
        <f t="shared" si="222"/>
        <v>30</v>
      </c>
      <c r="P1373" s="7">
        <f t="shared" ref="P1373:P1402" si="229">AD1373*0+AE1373*5+AF1373*10+AG1373*15</f>
        <v>4.42</v>
      </c>
      <c r="Q1373" s="7">
        <f t="shared" ref="Q1373:Q1382" si="230">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31">AVERAGE(AD1383,AD1393)</f>
        <v>0.56299999999999994</v>
      </c>
      <c r="AE1373" s="29">
        <f t="shared" si="231"/>
        <v>9.4500000000000001E-2</v>
      </c>
      <c r="AF1373" s="29">
        <f t="shared" si="231"/>
        <v>0.23799999999999999</v>
      </c>
      <c r="AG1373" s="29">
        <f t="shared" si="231"/>
        <v>0.10449999999999997</v>
      </c>
      <c r="AH1373" s="157">
        <f t="shared" ref="AH1373:AH1402" si="232">1-AI1373</f>
        <v>0.44750000000000001</v>
      </c>
      <c r="AI1373" s="29">
        <f t="shared" ref="AI1373:AI1382" si="233">AVERAGE(AI1383,AI1393)</f>
        <v>0.55249999999999999</v>
      </c>
      <c r="AJ1373" s="35">
        <v>0.75693600000000005</v>
      </c>
      <c r="AK1373" s="36">
        <f t="shared" ref="AK1373:AK1436" si="234">1-AJ1373</f>
        <v>0.24306399999999995</v>
      </c>
      <c r="AL1373" t="s">
        <v>94</v>
      </c>
      <c r="AM1373" s="36" t="s">
        <v>94</v>
      </c>
      <c r="AN1373">
        <v>0</v>
      </c>
      <c r="AO1373" s="15">
        <v>1</v>
      </c>
      <c r="AP1373" s="35">
        <f t="shared" ref="AP1373:AP1402" si="235">1-AQ1373</f>
        <v>0.41649999999999998</v>
      </c>
      <c r="AQ1373" s="36">
        <f t="shared" ref="AQ1373:AQ1382" si="236">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37">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3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21"/>
        <v>83890</v>
      </c>
      <c r="O1374" s="9">
        <f t="shared" si="222"/>
        <v>30</v>
      </c>
      <c r="P1374" s="7">
        <f t="shared" si="229"/>
        <v>4.42</v>
      </c>
      <c r="Q1374" s="7">
        <f t="shared" si="230"/>
        <v>24.856999999999999</v>
      </c>
      <c r="R1374" s="9">
        <v>0</v>
      </c>
      <c r="S1374" s="9">
        <v>1</v>
      </c>
      <c r="T1374" s="9">
        <v>0</v>
      </c>
      <c r="U1374" s="9">
        <v>1</v>
      </c>
      <c r="V1374" s="9">
        <v>0</v>
      </c>
      <c r="W1374" s="27">
        <v>0</v>
      </c>
      <c r="X1374" s="9">
        <v>1</v>
      </c>
      <c r="Y1374" s="9">
        <v>0</v>
      </c>
      <c r="Z1374" s="27">
        <v>0</v>
      </c>
      <c r="AA1374" s="9">
        <v>0</v>
      </c>
      <c r="AB1374" s="27">
        <v>1</v>
      </c>
      <c r="AC1374" s="18">
        <v>1994</v>
      </c>
      <c r="AD1374" s="29">
        <f t="shared" si="231"/>
        <v>0.56299999999999994</v>
      </c>
      <c r="AE1374" s="29">
        <f t="shared" si="231"/>
        <v>9.4500000000000001E-2</v>
      </c>
      <c r="AF1374" s="29">
        <f t="shared" si="231"/>
        <v>0.23799999999999999</v>
      </c>
      <c r="AG1374" s="29">
        <f t="shared" si="231"/>
        <v>0.10449999999999997</v>
      </c>
      <c r="AH1374" s="157">
        <f t="shared" si="232"/>
        <v>0.44750000000000001</v>
      </c>
      <c r="AI1374" s="29">
        <f t="shared" si="233"/>
        <v>0.55249999999999999</v>
      </c>
      <c r="AJ1374" s="35">
        <v>0.75693600000000005</v>
      </c>
      <c r="AK1374" s="36">
        <f t="shared" si="234"/>
        <v>0.24306399999999995</v>
      </c>
      <c r="AL1374" t="s">
        <v>94</v>
      </c>
      <c r="AM1374" s="36" t="s">
        <v>94</v>
      </c>
      <c r="AN1374">
        <v>0</v>
      </c>
      <c r="AO1374" s="15">
        <v>1</v>
      </c>
      <c r="AP1374" s="35">
        <f t="shared" si="235"/>
        <v>0.41649999999999998</v>
      </c>
      <c r="AQ1374" s="36">
        <f t="shared" si="236"/>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37"/>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3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21"/>
        <v>83890</v>
      </c>
      <c r="O1375" s="9">
        <f t="shared" si="222"/>
        <v>30</v>
      </c>
      <c r="P1375" s="7">
        <f t="shared" si="229"/>
        <v>4.42</v>
      </c>
      <c r="Q1375" s="7">
        <f t="shared" si="230"/>
        <v>24.856999999999999</v>
      </c>
      <c r="R1375" s="9">
        <v>0</v>
      </c>
      <c r="S1375" s="9">
        <v>1</v>
      </c>
      <c r="T1375" s="9">
        <v>0</v>
      </c>
      <c r="U1375" s="9">
        <v>1</v>
      </c>
      <c r="V1375" s="9">
        <v>0</v>
      </c>
      <c r="W1375" s="27">
        <v>0</v>
      </c>
      <c r="X1375" s="9">
        <v>1</v>
      </c>
      <c r="Y1375" s="9">
        <v>0</v>
      </c>
      <c r="Z1375" s="27">
        <v>0</v>
      </c>
      <c r="AA1375" s="9">
        <v>0</v>
      </c>
      <c r="AB1375" s="27">
        <v>1</v>
      </c>
      <c r="AC1375" s="18">
        <v>1994</v>
      </c>
      <c r="AD1375" s="29">
        <f t="shared" si="231"/>
        <v>0.56299999999999994</v>
      </c>
      <c r="AE1375" s="29">
        <f t="shared" si="231"/>
        <v>9.4500000000000001E-2</v>
      </c>
      <c r="AF1375" s="29">
        <f t="shared" si="231"/>
        <v>0.23799999999999999</v>
      </c>
      <c r="AG1375" s="29">
        <f t="shared" si="231"/>
        <v>0.10449999999999997</v>
      </c>
      <c r="AH1375" s="157">
        <f t="shared" si="232"/>
        <v>0.44750000000000001</v>
      </c>
      <c r="AI1375" s="29">
        <f t="shared" si="233"/>
        <v>0.55249999999999999</v>
      </c>
      <c r="AJ1375" s="35">
        <v>0.75693600000000005</v>
      </c>
      <c r="AK1375" s="36">
        <f t="shared" si="234"/>
        <v>0.24306399999999995</v>
      </c>
      <c r="AL1375" t="s">
        <v>94</v>
      </c>
      <c r="AM1375" s="36" t="s">
        <v>94</v>
      </c>
      <c r="AN1375">
        <v>0</v>
      </c>
      <c r="AO1375" s="15">
        <v>1</v>
      </c>
      <c r="AP1375" s="35">
        <f t="shared" si="235"/>
        <v>0.41649999999999998</v>
      </c>
      <c r="AQ1375" s="36">
        <f t="shared" si="236"/>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37"/>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3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21"/>
        <v>83890</v>
      </c>
      <c r="O1376" s="9">
        <f t="shared" si="222"/>
        <v>30</v>
      </c>
      <c r="P1376" s="7">
        <f t="shared" si="229"/>
        <v>4.42</v>
      </c>
      <c r="Q1376" s="7">
        <f t="shared" si="230"/>
        <v>24.856999999999999</v>
      </c>
      <c r="R1376" s="9">
        <v>0</v>
      </c>
      <c r="S1376" s="9">
        <v>1</v>
      </c>
      <c r="T1376" s="9">
        <v>0</v>
      </c>
      <c r="U1376" s="9">
        <v>1</v>
      </c>
      <c r="V1376" s="9">
        <v>0</v>
      </c>
      <c r="W1376" s="27">
        <v>0</v>
      </c>
      <c r="X1376" s="9">
        <v>1</v>
      </c>
      <c r="Y1376" s="9">
        <v>0</v>
      </c>
      <c r="Z1376" s="27">
        <v>0</v>
      </c>
      <c r="AA1376" s="9">
        <v>0</v>
      </c>
      <c r="AB1376" s="27">
        <v>1</v>
      </c>
      <c r="AC1376" s="18">
        <v>1994</v>
      </c>
      <c r="AD1376" s="29">
        <f t="shared" si="231"/>
        <v>0.56299999999999994</v>
      </c>
      <c r="AE1376" s="29">
        <f t="shared" si="231"/>
        <v>9.4500000000000001E-2</v>
      </c>
      <c r="AF1376" s="29">
        <f t="shared" si="231"/>
        <v>0.23799999999999999</v>
      </c>
      <c r="AG1376" s="29">
        <f t="shared" si="231"/>
        <v>0.10449999999999997</v>
      </c>
      <c r="AH1376" s="157">
        <f t="shared" si="232"/>
        <v>0.44750000000000001</v>
      </c>
      <c r="AI1376" s="29">
        <f t="shared" si="233"/>
        <v>0.55249999999999999</v>
      </c>
      <c r="AJ1376" s="35">
        <v>0.75693600000000005</v>
      </c>
      <c r="AK1376" s="36">
        <f t="shared" si="234"/>
        <v>0.24306399999999995</v>
      </c>
      <c r="AL1376" t="s">
        <v>94</v>
      </c>
      <c r="AM1376" s="36" t="s">
        <v>94</v>
      </c>
      <c r="AN1376">
        <v>0</v>
      </c>
      <c r="AO1376" s="15">
        <v>1</v>
      </c>
      <c r="AP1376" s="35">
        <f t="shared" si="235"/>
        <v>0.41649999999999998</v>
      </c>
      <c r="AQ1376" s="36">
        <f t="shared" si="236"/>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37"/>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3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21"/>
        <v>83890</v>
      </c>
      <c r="O1377" s="9">
        <f t="shared" si="222"/>
        <v>30</v>
      </c>
      <c r="P1377" s="7">
        <f t="shared" si="229"/>
        <v>4.42</v>
      </c>
      <c r="Q1377" s="7">
        <f t="shared" si="230"/>
        <v>24.856999999999999</v>
      </c>
      <c r="R1377" s="9">
        <v>0</v>
      </c>
      <c r="S1377" s="9">
        <v>1</v>
      </c>
      <c r="T1377" s="9">
        <v>0</v>
      </c>
      <c r="U1377" s="9">
        <v>1</v>
      </c>
      <c r="V1377" s="9">
        <v>0</v>
      </c>
      <c r="W1377" s="27">
        <v>0</v>
      </c>
      <c r="X1377" s="9">
        <v>1</v>
      </c>
      <c r="Y1377" s="9">
        <v>0</v>
      </c>
      <c r="Z1377" s="27">
        <v>0</v>
      </c>
      <c r="AA1377" s="9">
        <v>0</v>
      </c>
      <c r="AB1377" s="27">
        <v>1</v>
      </c>
      <c r="AC1377" s="18">
        <v>1994</v>
      </c>
      <c r="AD1377" s="29">
        <f t="shared" si="231"/>
        <v>0.56299999999999994</v>
      </c>
      <c r="AE1377" s="29">
        <f t="shared" si="231"/>
        <v>9.4500000000000001E-2</v>
      </c>
      <c r="AF1377" s="29">
        <f t="shared" si="231"/>
        <v>0.23799999999999999</v>
      </c>
      <c r="AG1377" s="29">
        <f t="shared" si="231"/>
        <v>0.10449999999999997</v>
      </c>
      <c r="AH1377" s="157">
        <f t="shared" si="232"/>
        <v>0.44750000000000001</v>
      </c>
      <c r="AI1377" s="29">
        <f t="shared" si="233"/>
        <v>0.55249999999999999</v>
      </c>
      <c r="AJ1377" s="35">
        <v>0.75693600000000005</v>
      </c>
      <c r="AK1377" s="36">
        <f t="shared" si="234"/>
        <v>0.24306399999999995</v>
      </c>
      <c r="AL1377" t="s">
        <v>94</v>
      </c>
      <c r="AM1377" s="36" t="s">
        <v>94</v>
      </c>
      <c r="AN1377">
        <v>0</v>
      </c>
      <c r="AO1377" s="15">
        <v>1</v>
      </c>
      <c r="AP1377" s="35">
        <f t="shared" si="235"/>
        <v>0.41649999999999998</v>
      </c>
      <c r="AQ1377" s="36">
        <f t="shared" si="236"/>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37"/>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3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21"/>
        <v>348536</v>
      </c>
      <c r="O1378" s="9">
        <f t="shared" si="222"/>
        <v>30</v>
      </c>
      <c r="P1378" s="7">
        <f t="shared" si="229"/>
        <v>4.8174999999999999</v>
      </c>
      <c r="Q1378" s="7">
        <f t="shared" si="230"/>
        <v>23.59</v>
      </c>
      <c r="R1378" s="9">
        <v>0</v>
      </c>
      <c r="S1378" s="9">
        <v>1</v>
      </c>
      <c r="T1378" s="9">
        <v>0</v>
      </c>
      <c r="U1378" s="9">
        <v>1</v>
      </c>
      <c r="V1378" s="9">
        <v>0</v>
      </c>
      <c r="W1378" s="27">
        <v>0</v>
      </c>
      <c r="X1378" s="9">
        <v>1</v>
      </c>
      <c r="Y1378" s="9">
        <v>0</v>
      </c>
      <c r="Z1378" s="27">
        <v>0</v>
      </c>
      <c r="AA1378" s="9">
        <v>0</v>
      </c>
      <c r="AB1378" s="27">
        <v>1</v>
      </c>
      <c r="AC1378" s="18">
        <v>1994</v>
      </c>
      <c r="AD1378" s="29">
        <f t="shared" si="231"/>
        <v>0.48799999999999999</v>
      </c>
      <c r="AE1378" s="29">
        <f t="shared" si="231"/>
        <v>0.1225</v>
      </c>
      <c r="AF1378" s="29">
        <f t="shared" si="231"/>
        <v>0.32750000000000001</v>
      </c>
      <c r="AG1378" s="29">
        <f t="shared" si="231"/>
        <v>6.2E-2</v>
      </c>
      <c r="AH1378" s="157">
        <f t="shared" si="232"/>
        <v>0.44750000000000001</v>
      </c>
      <c r="AI1378" s="29">
        <f t="shared" si="233"/>
        <v>0.55249999999999999</v>
      </c>
      <c r="AJ1378" s="35">
        <v>0.75693600000000005</v>
      </c>
      <c r="AK1378" s="36">
        <f t="shared" si="234"/>
        <v>0.24306399999999995</v>
      </c>
      <c r="AL1378" t="s">
        <v>94</v>
      </c>
      <c r="AM1378" s="36" t="s">
        <v>94</v>
      </c>
      <c r="AN1378">
        <v>0</v>
      </c>
      <c r="AO1378" s="15">
        <v>1</v>
      </c>
      <c r="AP1378" s="35">
        <f t="shared" si="235"/>
        <v>0.38650000000000007</v>
      </c>
      <c r="AQ1378" s="36">
        <f t="shared" si="236"/>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37"/>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3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21"/>
        <v>348536</v>
      </c>
      <c r="O1379" s="9">
        <f t="shared" si="222"/>
        <v>30</v>
      </c>
      <c r="P1379" s="7">
        <f t="shared" si="229"/>
        <v>4.8174999999999999</v>
      </c>
      <c r="Q1379" s="7">
        <f t="shared" si="230"/>
        <v>23.59</v>
      </c>
      <c r="R1379" s="9">
        <v>0</v>
      </c>
      <c r="S1379" s="9">
        <v>1</v>
      </c>
      <c r="T1379" s="9">
        <v>0</v>
      </c>
      <c r="U1379" s="9">
        <v>1</v>
      </c>
      <c r="V1379" s="9">
        <v>0</v>
      </c>
      <c r="W1379" s="27">
        <v>0</v>
      </c>
      <c r="X1379" s="9">
        <v>1</v>
      </c>
      <c r="Y1379" s="9">
        <v>0</v>
      </c>
      <c r="Z1379" s="27">
        <v>0</v>
      </c>
      <c r="AA1379" s="9">
        <v>0</v>
      </c>
      <c r="AB1379" s="27">
        <v>1</v>
      </c>
      <c r="AC1379" s="18">
        <v>1994</v>
      </c>
      <c r="AD1379" s="29">
        <f t="shared" si="231"/>
        <v>0.48799999999999999</v>
      </c>
      <c r="AE1379" s="29">
        <f t="shared" si="231"/>
        <v>0.1225</v>
      </c>
      <c r="AF1379" s="29">
        <f t="shared" si="231"/>
        <v>0.32750000000000001</v>
      </c>
      <c r="AG1379" s="29">
        <f t="shared" si="231"/>
        <v>6.2E-2</v>
      </c>
      <c r="AH1379" s="157">
        <f t="shared" si="232"/>
        <v>0.44750000000000001</v>
      </c>
      <c r="AI1379" s="29">
        <f t="shared" si="233"/>
        <v>0.55249999999999999</v>
      </c>
      <c r="AJ1379" s="35">
        <v>0.75693600000000005</v>
      </c>
      <c r="AK1379" s="36">
        <f t="shared" si="234"/>
        <v>0.24306399999999995</v>
      </c>
      <c r="AL1379" t="s">
        <v>94</v>
      </c>
      <c r="AM1379" s="36" t="s">
        <v>94</v>
      </c>
      <c r="AN1379">
        <v>0</v>
      </c>
      <c r="AO1379" s="15">
        <v>1</v>
      </c>
      <c r="AP1379" s="35">
        <f t="shared" si="235"/>
        <v>0.38650000000000007</v>
      </c>
      <c r="AQ1379" s="36">
        <f t="shared" si="236"/>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37"/>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3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21"/>
        <v>348536</v>
      </c>
      <c r="O1380" s="9">
        <f t="shared" si="222"/>
        <v>30</v>
      </c>
      <c r="P1380" s="7">
        <f t="shared" si="229"/>
        <v>4.8174999999999999</v>
      </c>
      <c r="Q1380" s="7">
        <f t="shared" si="230"/>
        <v>23.59</v>
      </c>
      <c r="R1380" s="9">
        <v>0</v>
      </c>
      <c r="S1380" s="9">
        <v>1</v>
      </c>
      <c r="T1380" s="9">
        <v>0</v>
      </c>
      <c r="U1380" s="9">
        <v>1</v>
      </c>
      <c r="V1380" s="9">
        <v>0</v>
      </c>
      <c r="W1380" s="27">
        <v>0</v>
      </c>
      <c r="X1380" s="9">
        <v>1</v>
      </c>
      <c r="Y1380" s="9">
        <v>0</v>
      </c>
      <c r="Z1380" s="27">
        <v>0</v>
      </c>
      <c r="AA1380" s="9">
        <v>0</v>
      </c>
      <c r="AB1380" s="27">
        <v>1</v>
      </c>
      <c r="AC1380" s="18">
        <v>1994</v>
      </c>
      <c r="AD1380" s="29">
        <f t="shared" si="231"/>
        <v>0.48799999999999999</v>
      </c>
      <c r="AE1380" s="29">
        <f t="shared" si="231"/>
        <v>0.1225</v>
      </c>
      <c r="AF1380" s="29">
        <f t="shared" si="231"/>
        <v>0.32750000000000001</v>
      </c>
      <c r="AG1380" s="29">
        <f t="shared" si="231"/>
        <v>6.2E-2</v>
      </c>
      <c r="AH1380" s="157">
        <f t="shared" si="232"/>
        <v>0.44750000000000001</v>
      </c>
      <c r="AI1380" s="29">
        <f t="shared" si="233"/>
        <v>0.55249999999999999</v>
      </c>
      <c r="AJ1380" s="35">
        <v>0.75693600000000005</v>
      </c>
      <c r="AK1380" s="36">
        <f t="shared" si="234"/>
        <v>0.24306399999999995</v>
      </c>
      <c r="AL1380" t="s">
        <v>94</v>
      </c>
      <c r="AM1380" s="36" t="s">
        <v>94</v>
      </c>
      <c r="AN1380">
        <v>0</v>
      </c>
      <c r="AO1380" s="15">
        <v>1</v>
      </c>
      <c r="AP1380" s="35">
        <f t="shared" si="235"/>
        <v>0.38650000000000007</v>
      </c>
      <c r="AQ1380" s="36">
        <f t="shared" si="236"/>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37"/>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3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21"/>
        <v>348536</v>
      </c>
      <c r="O1381" s="9">
        <f t="shared" si="222"/>
        <v>30</v>
      </c>
      <c r="P1381" s="7">
        <f t="shared" si="229"/>
        <v>4.8174999999999999</v>
      </c>
      <c r="Q1381" s="7">
        <f t="shared" si="230"/>
        <v>23.59</v>
      </c>
      <c r="R1381" s="9">
        <v>0</v>
      </c>
      <c r="S1381" s="9">
        <v>1</v>
      </c>
      <c r="T1381" s="9">
        <v>0</v>
      </c>
      <c r="U1381" s="9">
        <v>1</v>
      </c>
      <c r="V1381" s="9">
        <v>0</v>
      </c>
      <c r="W1381" s="27">
        <v>0</v>
      </c>
      <c r="X1381" s="9">
        <v>1</v>
      </c>
      <c r="Y1381" s="9">
        <v>0</v>
      </c>
      <c r="Z1381" s="27">
        <v>0</v>
      </c>
      <c r="AA1381" s="9">
        <v>0</v>
      </c>
      <c r="AB1381" s="27">
        <v>1</v>
      </c>
      <c r="AC1381" s="18">
        <v>1994</v>
      </c>
      <c r="AD1381" s="29">
        <f t="shared" si="231"/>
        <v>0.48799999999999999</v>
      </c>
      <c r="AE1381" s="29">
        <f t="shared" si="231"/>
        <v>0.1225</v>
      </c>
      <c r="AF1381" s="29">
        <f t="shared" si="231"/>
        <v>0.32750000000000001</v>
      </c>
      <c r="AG1381" s="29">
        <f t="shared" si="231"/>
        <v>6.2E-2</v>
      </c>
      <c r="AH1381" s="157">
        <f t="shared" si="232"/>
        <v>0.44750000000000001</v>
      </c>
      <c r="AI1381" s="29">
        <f t="shared" si="233"/>
        <v>0.55249999999999999</v>
      </c>
      <c r="AJ1381" s="35">
        <v>0.75693600000000005</v>
      </c>
      <c r="AK1381" s="36">
        <f t="shared" si="234"/>
        <v>0.24306399999999995</v>
      </c>
      <c r="AL1381" t="s">
        <v>94</v>
      </c>
      <c r="AM1381" s="36" t="s">
        <v>94</v>
      </c>
      <c r="AN1381">
        <v>0</v>
      </c>
      <c r="AO1381" s="15">
        <v>1</v>
      </c>
      <c r="AP1381" s="35">
        <f t="shared" si="235"/>
        <v>0.38650000000000007</v>
      </c>
      <c r="AQ1381" s="36">
        <f t="shared" si="236"/>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37"/>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3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21"/>
        <v>348536</v>
      </c>
      <c r="O1382" s="9">
        <f t="shared" si="222"/>
        <v>30</v>
      </c>
      <c r="P1382" s="7">
        <f t="shared" si="229"/>
        <v>4.8174999999999999</v>
      </c>
      <c r="Q1382" s="7">
        <f t="shared" si="230"/>
        <v>23.59</v>
      </c>
      <c r="R1382" s="9">
        <v>0</v>
      </c>
      <c r="S1382" s="9">
        <v>1</v>
      </c>
      <c r="T1382" s="9">
        <v>0</v>
      </c>
      <c r="U1382" s="9">
        <v>1</v>
      </c>
      <c r="V1382" s="9">
        <v>0</v>
      </c>
      <c r="W1382" s="27">
        <v>0</v>
      </c>
      <c r="X1382" s="9">
        <v>1</v>
      </c>
      <c r="Y1382" s="9">
        <v>0</v>
      </c>
      <c r="Z1382" s="27">
        <v>0</v>
      </c>
      <c r="AA1382" s="9">
        <v>0</v>
      </c>
      <c r="AB1382" s="27">
        <v>1</v>
      </c>
      <c r="AC1382" s="18">
        <v>1994</v>
      </c>
      <c r="AD1382" s="29">
        <f t="shared" si="231"/>
        <v>0.48799999999999999</v>
      </c>
      <c r="AE1382" s="29">
        <f t="shared" si="231"/>
        <v>0.1225</v>
      </c>
      <c r="AF1382" s="29">
        <f t="shared" si="231"/>
        <v>0.32750000000000001</v>
      </c>
      <c r="AG1382" s="29">
        <f t="shared" si="231"/>
        <v>6.2E-2</v>
      </c>
      <c r="AH1382" s="157">
        <f t="shared" si="232"/>
        <v>0.44750000000000001</v>
      </c>
      <c r="AI1382" s="29">
        <f t="shared" si="233"/>
        <v>0.55249999999999999</v>
      </c>
      <c r="AJ1382" s="35">
        <v>0.75693600000000005</v>
      </c>
      <c r="AK1382" s="36">
        <f t="shared" si="234"/>
        <v>0.24306399999999995</v>
      </c>
      <c r="AL1382" t="s">
        <v>94</v>
      </c>
      <c r="AM1382" s="36" t="s">
        <v>94</v>
      </c>
      <c r="AN1382">
        <v>0</v>
      </c>
      <c r="AO1382" s="15">
        <v>1</v>
      </c>
      <c r="AP1382" s="35">
        <f t="shared" si="235"/>
        <v>0.38650000000000007</v>
      </c>
      <c r="AQ1382" s="36">
        <f t="shared" si="236"/>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37"/>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3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21"/>
        <v>63497</v>
      </c>
      <c r="O1383" s="9">
        <f t="shared" si="222"/>
        <v>30</v>
      </c>
      <c r="P1383" s="7">
        <f t="shared" si="229"/>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32"/>
        <v>0.46299999999999997</v>
      </c>
      <c r="AI1383" s="15">
        <v>0.53700000000000003</v>
      </c>
      <c r="AJ1383">
        <v>1</v>
      </c>
      <c r="AK1383" s="36">
        <f t="shared" si="234"/>
        <v>0</v>
      </c>
      <c r="AL1383" t="s">
        <v>94</v>
      </c>
      <c r="AM1383" s="36" t="s">
        <v>94</v>
      </c>
      <c r="AN1383">
        <v>0</v>
      </c>
      <c r="AO1383" s="15">
        <v>1</v>
      </c>
      <c r="AP1383" s="35">
        <f t="shared" si="235"/>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37"/>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3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21"/>
        <v>63497</v>
      </c>
      <c r="O1384" s="9">
        <f t="shared" si="222"/>
        <v>30</v>
      </c>
      <c r="P1384" s="7">
        <f t="shared" si="229"/>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32"/>
        <v>0.46299999999999997</v>
      </c>
      <c r="AI1384" s="15">
        <v>0.53700000000000003</v>
      </c>
      <c r="AJ1384">
        <v>1</v>
      </c>
      <c r="AK1384" s="36">
        <f t="shared" si="234"/>
        <v>0</v>
      </c>
      <c r="AL1384" t="s">
        <v>94</v>
      </c>
      <c r="AM1384" s="36" t="s">
        <v>94</v>
      </c>
      <c r="AN1384">
        <v>0</v>
      </c>
      <c r="AO1384" s="15">
        <v>1</v>
      </c>
      <c r="AP1384" s="35">
        <f t="shared" si="235"/>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37"/>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3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21"/>
        <v>63497</v>
      </c>
      <c r="O1385" s="9">
        <f t="shared" si="222"/>
        <v>30</v>
      </c>
      <c r="P1385" s="7">
        <f t="shared" si="229"/>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32"/>
        <v>0.46299999999999997</v>
      </c>
      <c r="AI1385" s="15">
        <v>0.53700000000000003</v>
      </c>
      <c r="AJ1385">
        <v>1</v>
      </c>
      <c r="AK1385" s="36">
        <f t="shared" si="234"/>
        <v>0</v>
      </c>
      <c r="AL1385" t="s">
        <v>94</v>
      </c>
      <c r="AM1385" s="36" t="s">
        <v>94</v>
      </c>
      <c r="AN1385">
        <v>0</v>
      </c>
      <c r="AO1385" s="15">
        <v>1</v>
      </c>
      <c r="AP1385" s="35">
        <f t="shared" si="235"/>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37"/>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3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21"/>
        <v>63497</v>
      </c>
      <c r="O1386" s="9">
        <f t="shared" si="222"/>
        <v>30</v>
      </c>
      <c r="P1386" s="7">
        <f t="shared" si="229"/>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32"/>
        <v>0.46299999999999997</v>
      </c>
      <c r="AI1386" s="15">
        <v>0.53700000000000003</v>
      </c>
      <c r="AJ1386">
        <v>1</v>
      </c>
      <c r="AK1386" s="36">
        <f t="shared" si="234"/>
        <v>0</v>
      </c>
      <c r="AL1386" t="s">
        <v>94</v>
      </c>
      <c r="AM1386" s="36" t="s">
        <v>94</v>
      </c>
      <c r="AN1386">
        <v>0</v>
      </c>
      <c r="AO1386" s="15">
        <v>1</v>
      </c>
      <c r="AP1386" s="35">
        <f t="shared" si="235"/>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37"/>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3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21"/>
        <v>63497</v>
      </c>
      <c r="O1387" s="9">
        <f t="shared" si="222"/>
        <v>30</v>
      </c>
      <c r="P1387" s="7">
        <f t="shared" si="229"/>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32"/>
        <v>0.46299999999999997</v>
      </c>
      <c r="AI1387" s="15">
        <v>0.53700000000000003</v>
      </c>
      <c r="AJ1387">
        <v>1</v>
      </c>
      <c r="AK1387" s="36">
        <f t="shared" si="234"/>
        <v>0</v>
      </c>
      <c r="AL1387" t="s">
        <v>94</v>
      </c>
      <c r="AM1387" s="36" t="s">
        <v>94</v>
      </c>
      <c r="AN1387">
        <v>0</v>
      </c>
      <c r="AO1387" s="15">
        <v>1</v>
      </c>
      <c r="AP1387" s="35">
        <f t="shared" si="235"/>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37"/>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3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21"/>
        <v>178886</v>
      </c>
      <c r="O1388" s="9">
        <f t="shared" si="222"/>
        <v>30</v>
      </c>
      <c r="P1388" s="7">
        <f t="shared" si="229"/>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38">1-AE1388-AD1388-AG1388</f>
        <v>0.40399999999999997</v>
      </c>
      <c r="AG1388" s="39">
        <v>8.3000000000000004E-2</v>
      </c>
      <c r="AH1388" s="157">
        <f t="shared" si="232"/>
        <v>0.46299999999999997</v>
      </c>
      <c r="AI1388" s="15">
        <v>0.53700000000000003</v>
      </c>
      <c r="AJ1388">
        <v>1</v>
      </c>
      <c r="AK1388" s="36">
        <f t="shared" si="234"/>
        <v>0</v>
      </c>
      <c r="AL1388" t="s">
        <v>94</v>
      </c>
      <c r="AM1388" s="36" t="s">
        <v>94</v>
      </c>
      <c r="AN1388">
        <v>0</v>
      </c>
      <c r="AO1388" s="15">
        <v>1</v>
      </c>
      <c r="AP1388" s="35">
        <f t="shared" si="235"/>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37"/>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3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21"/>
        <v>178886</v>
      </c>
      <c r="O1389" s="9">
        <f t="shared" si="222"/>
        <v>30</v>
      </c>
      <c r="P1389" s="7">
        <f t="shared" si="229"/>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38"/>
        <v>0.40399999999999997</v>
      </c>
      <c r="AG1389" s="39">
        <v>8.3000000000000004E-2</v>
      </c>
      <c r="AH1389" s="157">
        <f t="shared" si="232"/>
        <v>0.46299999999999997</v>
      </c>
      <c r="AI1389" s="15">
        <v>0.53700000000000003</v>
      </c>
      <c r="AJ1389">
        <v>1</v>
      </c>
      <c r="AK1389" s="36">
        <f t="shared" si="234"/>
        <v>0</v>
      </c>
      <c r="AL1389" t="s">
        <v>94</v>
      </c>
      <c r="AM1389" s="36" t="s">
        <v>94</v>
      </c>
      <c r="AN1389">
        <v>0</v>
      </c>
      <c r="AO1389" s="15">
        <v>1</v>
      </c>
      <c r="AP1389" s="35">
        <f t="shared" si="235"/>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37"/>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3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21"/>
        <v>178886</v>
      </c>
      <c r="O1390" s="9">
        <f t="shared" si="222"/>
        <v>30</v>
      </c>
      <c r="P1390" s="7">
        <f t="shared" si="229"/>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38"/>
        <v>0.40399999999999997</v>
      </c>
      <c r="AG1390" s="39">
        <v>8.3000000000000004E-2</v>
      </c>
      <c r="AH1390" s="157">
        <f t="shared" si="232"/>
        <v>0.46299999999999997</v>
      </c>
      <c r="AI1390" s="15">
        <v>0.53700000000000003</v>
      </c>
      <c r="AJ1390">
        <v>1</v>
      </c>
      <c r="AK1390" s="36">
        <f t="shared" si="234"/>
        <v>0</v>
      </c>
      <c r="AL1390" t="s">
        <v>94</v>
      </c>
      <c r="AM1390" s="36" t="s">
        <v>94</v>
      </c>
      <c r="AN1390">
        <v>0</v>
      </c>
      <c r="AO1390" s="15">
        <v>1</v>
      </c>
      <c r="AP1390" s="35">
        <f t="shared" si="235"/>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37"/>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3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21"/>
        <v>178886</v>
      </c>
      <c r="O1391" s="9">
        <f t="shared" si="222"/>
        <v>30</v>
      </c>
      <c r="P1391" s="7">
        <f t="shared" si="229"/>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38"/>
        <v>0.40399999999999997</v>
      </c>
      <c r="AG1391" s="39">
        <v>8.3000000000000004E-2</v>
      </c>
      <c r="AH1391" s="157">
        <f t="shared" si="232"/>
        <v>0.46299999999999997</v>
      </c>
      <c r="AI1391" s="15">
        <v>0.53700000000000003</v>
      </c>
      <c r="AJ1391">
        <v>1</v>
      </c>
      <c r="AK1391" s="36">
        <f t="shared" si="234"/>
        <v>0</v>
      </c>
      <c r="AL1391" t="s">
        <v>94</v>
      </c>
      <c r="AM1391" s="36" t="s">
        <v>94</v>
      </c>
      <c r="AN1391">
        <v>0</v>
      </c>
      <c r="AO1391" s="15">
        <v>1</v>
      </c>
      <c r="AP1391" s="35">
        <f t="shared" si="235"/>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37"/>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3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21"/>
        <v>178886</v>
      </c>
      <c r="O1392" s="9">
        <f t="shared" si="222"/>
        <v>30</v>
      </c>
      <c r="P1392" s="7">
        <f t="shared" si="229"/>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38"/>
        <v>0.40399999999999997</v>
      </c>
      <c r="AG1392" s="39">
        <v>8.3000000000000004E-2</v>
      </c>
      <c r="AH1392" s="157">
        <f t="shared" si="232"/>
        <v>0.46299999999999997</v>
      </c>
      <c r="AI1392" s="15">
        <v>0.53700000000000003</v>
      </c>
      <c r="AJ1392">
        <v>1</v>
      </c>
      <c r="AK1392" s="36">
        <f t="shared" si="234"/>
        <v>0</v>
      </c>
      <c r="AL1392" t="s">
        <v>94</v>
      </c>
      <c r="AM1392" s="36" t="s">
        <v>94</v>
      </c>
      <c r="AN1392">
        <v>0</v>
      </c>
      <c r="AO1392" s="15">
        <v>1</v>
      </c>
      <c r="AP1392" s="35">
        <f t="shared" si="235"/>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37"/>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3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21"/>
        <v>20383</v>
      </c>
      <c r="O1393" s="9">
        <f t="shared" si="222"/>
        <v>30</v>
      </c>
      <c r="P1393" s="7">
        <f t="shared" si="229"/>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38"/>
        <v>0.14799999999999999</v>
      </c>
      <c r="AG1393" s="39">
        <v>8.8999999999999996E-2</v>
      </c>
      <c r="AH1393" s="157">
        <f t="shared" si="232"/>
        <v>0.43200000000000005</v>
      </c>
      <c r="AI1393" s="15">
        <v>0.56799999999999995</v>
      </c>
      <c r="AJ1393">
        <v>0</v>
      </c>
      <c r="AK1393" s="36">
        <f t="shared" si="234"/>
        <v>1</v>
      </c>
      <c r="AL1393" t="s">
        <v>94</v>
      </c>
      <c r="AM1393" s="36" t="s">
        <v>94</v>
      </c>
      <c r="AN1393">
        <v>0</v>
      </c>
      <c r="AO1393" s="15">
        <v>1</v>
      </c>
      <c r="AP1393" s="35">
        <f t="shared" si="235"/>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37"/>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3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21"/>
        <v>20383</v>
      </c>
      <c r="O1394" s="9">
        <f t="shared" si="222"/>
        <v>30</v>
      </c>
      <c r="P1394" s="7">
        <f t="shared" si="229"/>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38"/>
        <v>0.14799999999999999</v>
      </c>
      <c r="AG1394" s="39">
        <v>8.8999999999999996E-2</v>
      </c>
      <c r="AH1394" s="157">
        <f t="shared" si="232"/>
        <v>0.43200000000000005</v>
      </c>
      <c r="AI1394" s="15">
        <v>0.56799999999999995</v>
      </c>
      <c r="AJ1394">
        <v>0</v>
      </c>
      <c r="AK1394" s="36">
        <f t="shared" si="234"/>
        <v>1</v>
      </c>
      <c r="AL1394" t="s">
        <v>94</v>
      </c>
      <c r="AM1394" s="36" t="s">
        <v>94</v>
      </c>
      <c r="AN1394">
        <v>0</v>
      </c>
      <c r="AO1394" s="15">
        <v>1</v>
      </c>
      <c r="AP1394" s="35">
        <f t="shared" si="235"/>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37"/>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3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21"/>
        <v>20383</v>
      </c>
      <c r="O1395" s="9">
        <f t="shared" si="222"/>
        <v>30</v>
      </c>
      <c r="P1395" s="7">
        <f t="shared" si="229"/>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38"/>
        <v>0.14799999999999999</v>
      </c>
      <c r="AG1395" s="39">
        <v>8.8999999999999996E-2</v>
      </c>
      <c r="AH1395" s="157">
        <f t="shared" si="232"/>
        <v>0.43200000000000005</v>
      </c>
      <c r="AI1395" s="15">
        <v>0.56799999999999995</v>
      </c>
      <c r="AJ1395">
        <v>0</v>
      </c>
      <c r="AK1395" s="36">
        <f t="shared" si="234"/>
        <v>1</v>
      </c>
      <c r="AL1395" t="s">
        <v>94</v>
      </c>
      <c r="AM1395" s="36" t="s">
        <v>94</v>
      </c>
      <c r="AN1395">
        <v>0</v>
      </c>
      <c r="AO1395" s="15">
        <v>1</v>
      </c>
      <c r="AP1395" s="35">
        <f t="shared" si="235"/>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37"/>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3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21"/>
        <v>20383</v>
      </c>
      <c r="O1396" s="9">
        <f t="shared" si="222"/>
        <v>30</v>
      </c>
      <c r="P1396" s="7">
        <f t="shared" si="229"/>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38"/>
        <v>0.14799999999999999</v>
      </c>
      <c r="AG1396" s="39">
        <v>8.8999999999999996E-2</v>
      </c>
      <c r="AH1396" s="157">
        <f t="shared" si="232"/>
        <v>0.43200000000000005</v>
      </c>
      <c r="AI1396" s="15">
        <v>0.56799999999999995</v>
      </c>
      <c r="AJ1396">
        <v>0</v>
      </c>
      <c r="AK1396" s="36">
        <f t="shared" si="234"/>
        <v>1</v>
      </c>
      <c r="AL1396" t="s">
        <v>94</v>
      </c>
      <c r="AM1396" s="36" t="s">
        <v>94</v>
      </c>
      <c r="AN1396">
        <v>0</v>
      </c>
      <c r="AO1396" s="15">
        <v>1</v>
      </c>
      <c r="AP1396" s="35">
        <f t="shared" si="235"/>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37"/>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3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21"/>
        <v>20383</v>
      </c>
      <c r="O1397" s="9">
        <f t="shared" si="222"/>
        <v>30</v>
      </c>
      <c r="P1397" s="7">
        <f t="shared" si="229"/>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38"/>
        <v>0.14799999999999999</v>
      </c>
      <c r="AG1397" s="39">
        <v>8.8999999999999996E-2</v>
      </c>
      <c r="AH1397" s="157">
        <f t="shared" si="232"/>
        <v>0.43200000000000005</v>
      </c>
      <c r="AI1397" s="15">
        <v>0.56799999999999995</v>
      </c>
      <c r="AJ1397">
        <v>0</v>
      </c>
      <c r="AK1397" s="36">
        <f t="shared" si="234"/>
        <v>1</v>
      </c>
      <c r="AL1397" t="s">
        <v>94</v>
      </c>
      <c r="AM1397" s="36" t="s">
        <v>94</v>
      </c>
      <c r="AN1397">
        <v>0</v>
      </c>
      <c r="AO1397" s="15">
        <v>1</v>
      </c>
      <c r="AP1397" s="35">
        <f t="shared" si="235"/>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37"/>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3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21"/>
        <v>169640</v>
      </c>
      <c r="O1398" s="9">
        <f t="shared" si="222"/>
        <v>30</v>
      </c>
      <c r="P1398" s="7">
        <f t="shared" si="229"/>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38"/>
        <v>0.25100000000000006</v>
      </c>
      <c r="AG1398" s="39">
        <v>4.1000000000000002E-2</v>
      </c>
      <c r="AH1398" s="157">
        <f t="shared" si="232"/>
        <v>0.43200000000000005</v>
      </c>
      <c r="AI1398" s="15">
        <v>0.56799999999999995</v>
      </c>
      <c r="AJ1398">
        <v>0</v>
      </c>
      <c r="AK1398" s="36">
        <f t="shared" si="234"/>
        <v>1</v>
      </c>
      <c r="AL1398" t="s">
        <v>94</v>
      </c>
      <c r="AM1398" s="36" t="s">
        <v>94</v>
      </c>
      <c r="AN1398">
        <v>0</v>
      </c>
      <c r="AO1398" s="15">
        <v>1</v>
      </c>
      <c r="AP1398" s="35">
        <f t="shared" si="235"/>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37"/>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3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21"/>
        <v>169640</v>
      </c>
      <c r="O1399" s="9">
        <f t="shared" si="222"/>
        <v>30</v>
      </c>
      <c r="P1399" s="7">
        <f t="shared" si="229"/>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38"/>
        <v>0.25100000000000006</v>
      </c>
      <c r="AG1399" s="39">
        <v>4.1000000000000002E-2</v>
      </c>
      <c r="AH1399" s="157">
        <f t="shared" si="232"/>
        <v>0.43200000000000005</v>
      </c>
      <c r="AI1399" s="15">
        <v>0.56799999999999995</v>
      </c>
      <c r="AJ1399">
        <v>0</v>
      </c>
      <c r="AK1399" s="36">
        <f t="shared" si="234"/>
        <v>1</v>
      </c>
      <c r="AL1399" t="s">
        <v>94</v>
      </c>
      <c r="AM1399" s="36" t="s">
        <v>94</v>
      </c>
      <c r="AN1399">
        <v>0</v>
      </c>
      <c r="AO1399" s="15">
        <v>1</v>
      </c>
      <c r="AP1399" s="35">
        <f t="shared" si="235"/>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37"/>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3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21"/>
        <v>169640</v>
      </c>
      <c r="O1400" s="9">
        <f t="shared" si="222"/>
        <v>30</v>
      </c>
      <c r="P1400" s="7">
        <f t="shared" si="229"/>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38"/>
        <v>0.25100000000000006</v>
      </c>
      <c r="AG1400" s="39">
        <v>4.1000000000000002E-2</v>
      </c>
      <c r="AH1400" s="157">
        <f t="shared" si="232"/>
        <v>0.43200000000000005</v>
      </c>
      <c r="AI1400" s="15">
        <v>0.56799999999999995</v>
      </c>
      <c r="AJ1400">
        <v>0</v>
      </c>
      <c r="AK1400" s="36">
        <f t="shared" si="234"/>
        <v>1</v>
      </c>
      <c r="AL1400" t="s">
        <v>94</v>
      </c>
      <c r="AM1400" s="36" t="s">
        <v>94</v>
      </c>
      <c r="AN1400">
        <v>0</v>
      </c>
      <c r="AO1400" s="15">
        <v>1</v>
      </c>
      <c r="AP1400" s="35">
        <f t="shared" si="235"/>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37"/>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3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21"/>
        <v>169640</v>
      </c>
      <c r="O1401" s="9">
        <f t="shared" si="222"/>
        <v>30</v>
      </c>
      <c r="P1401" s="7">
        <f t="shared" si="229"/>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38"/>
        <v>0.25100000000000006</v>
      </c>
      <c r="AG1401" s="39">
        <v>4.1000000000000002E-2</v>
      </c>
      <c r="AH1401" s="38">
        <f t="shared" si="232"/>
        <v>0.43200000000000005</v>
      </c>
      <c r="AI1401" s="15">
        <v>0.56799999999999995</v>
      </c>
      <c r="AJ1401">
        <v>0</v>
      </c>
      <c r="AK1401" s="36">
        <f t="shared" si="234"/>
        <v>1</v>
      </c>
      <c r="AL1401" t="s">
        <v>94</v>
      </c>
      <c r="AM1401" s="36" t="s">
        <v>94</v>
      </c>
      <c r="AN1401">
        <v>0</v>
      </c>
      <c r="AO1401" s="15">
        <v>1</v>
      </c>
      <c r="AP1401">
        <f t="shared" si="235"/>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37"/>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3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21"/>
        <v>169640</v>
      </c>
      <c r="O1402" s="9">
        <f t="shared" si="222"/>
        <v>30</v>
      </c>
      <c r="P1402" s="7">
        <f t="shared" si="229"/>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38"/>
        <v>0.25100000000000006</v>
      </c>
      <c r="AG1402" s="39">
        <v>4.1000000000000002E-2</v>
      </c>
      <c r="AH1402" s="38">
        <f t="shared" si="232"/>
        <v>0.43200000000000005</v>
      </c>
      <c r="AI1402" s="15">
        <v>0.56799999999999995</v>
      </c>
      <c r="AJ1402">
        <v>0</v>
      </c>
      <c r="AK1402" s="36">
        <f t="shared" si="234"/>
        <v>1</v>
      </c>
      <c r="AL1402" t="s">
        <v>94</v>
      </c>
      <c r="AM1402" s="36" t="s">
        <v>94</v>
      </c>
      <c r="AN1402">
        <v>0</v>
      </c>
      <c r="AO1402" s="15">
        <v>1</v>
      </c>
      <c r="AP1402">
        <f t="shared" si="235"/>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37"/>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3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21"/>
        <v>6169</v>
      </c>
      <c r="O1403" s="9">
        <f t="shared" si="222"/>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39">0.0035/2</f>
        <v>1.75E-3</v>
      </c>
      <c r="AE1403" s="29">
        <f t="shared" si="239"/>
        <v>1.75E-3</v>
      </c>
      <c r="AF1403" s="29">
        <f t="shared" ref="AF1403:AF1438" si="240">1-AG1403-AE1403-AD1403</f>
        <v>0.6855</v>
      </c>
      <c r="AG1403" s="39">
        <v>0.311</v>
      </c>
      <c r="AH1403" s="38" t="s">
        <v>94</v>
      </c>
      <c r="AI1403" s="15" t="s">
        <v>94</v>
      </c>
      <c r="AJ1403">
        <v>0.54800000000000004</v>
      </c>
      <c r="AK1403" s="36">
        <f t="shared" si="234"/>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3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21"/>
        <v>6169</v>
      </c>
      <c r="O1404" s="9">
        <f t="shared" si="222"/>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39"/>
        <v>1.75E-3</v>
      </c>
      <c r="AE1404" s="29">
        <f t="shared" si="239"/>
        <v>1.75E-3</v>
      </c>
      <c r="AF1404" s="29">
        <f t="shared" si="240"/>
        <v>0.6855</v>
      </c>
      <c r="AG1404" s="39">
        <v>0.311</v>
      </c>
      <c r="AH1404" s="38" t="s">
        <v>94</v>
      </c>
      <c r="AI1404" s="15" t="s">
        <v>94</v>
      </c>
      <c r="AJ1404">
        <v>0.54800000000000004</v>
      </c>
      <c r="AK1404" s="36">
        <f t="shared" si="234"/>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3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21"/>
        <v>6169</v>
      </c>
      <c r="O1405" s="9">
        <f t="shared" si="222"/>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39"/>
        <v>1.75E-3</v>
      </c>
      <c r="AE1405" s="29">
        <f t="shared" si="239"/>
        <v>1.75E-3</v>
      </c>
      <c r="AF1405" s="29">
        <f t="shared" si="240"/>
        <v>0.6855</v>
      </c>
      <c r="AG1405" s="39">
        <v>0.311</v>
      </c>
      <c r="AH1405" s="38" t="s">
        <v>94</v>
      </c>
      <c r="AI1405" s="15" t="s">
        <v>94</v>
      </c>
      <c r="AJ1405">
        <v>0.54800000000000004</v>
      </c>
      <c r="AK1405" s="36">
        <f t="shared" si="234"/>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3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21"/>
        <v>6169</v>
      </c>
      <c r="O1406" s="9">
        <f t="shared" si="222"/>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39"/>
        <v>1.75E-3</v>
      </c>
      <c r="AE1406" s="29">
        <f t="shared" si="239"/>
        <v>1.75E-3</v>
      </c>
      <c r="AF1406" s="29">
        <f t="shared" si="240"/>
        <v>0.6855</v>
      </c>
      <c r="AG1406" s="39">
        <v>0.311</v>
      </c>
      <c r="AH1406" s="38" t="s">
        <v>94</v>
      </c>
      <c r="AI1406" s="15" t="s">
        <v>94</v>
      </c>
      <c r="AJ1406">
        <v>0.54800000000000004</v>
      </c>
      <c r="AK1406" s="36">
        <f t="shared" si="234"/>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3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21"/>
        <v>6167</v>
      </c>
      <c r="O1407" s="9">
        <f t="shared" si="222"/>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39"/>
        <v>1.75E-3</v>
      </c>
      <c r="AE1407" s="29">
        <f t="shared" si="239"/>
        <v>1.75E-3</v>
      </c>
      <c r="AF1407" s="29">
        <f t="shared" si="240"/>
        <v>0.6855</v>
      </c>
      <c r="AG1407" s="39">
        <v>0.311</v>
      </c>
      <c r="AH1407" s="38" t="s">
        <v>94</v>
      </c>
      <c r="AI1407" s="15" t="s">
        <v>94</v>
      </c>
      <c r="AJ1407">
        <v>0.54800000000000004</v>
      </c>
      <c r="AK1407" s="36">
        <f t="shared" si="234"/>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3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21"/>
        <v>6167</v>
      </c>
      <c r="O1408" s="9">
        <f t="shared" si="222"/>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39"/>
        <v>1.75E-3</v>
      </c>
      <c r="AE1408" s="29">
        <f t="shared" si="239"/>
        <v>1.75E-3</v>
      </c>
      <c r="AF1408" s="29">
        <f t="shared" si="240"/>
        <v>0.6855</v>
      </c>
      <c r="AG1408" s="39">
        <v>0.311</v>
      </c>
      <c r="AH1408" s="38" t="s">
        <v>94</v>
      </c>
      <c r="AI1408" s="15" t="s">
        <v>94</v>
      </c>
      <c r="AJ1408">
        <v>0.54800000000000004</v>
      </c>
      <c r="AK1408" s="36">
        <f t="shared" si="234"/>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3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21"/>
        <v>6167</v>
      </c>
      <c r="O1409" s="9">
        <f t="shared" si="222"/>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39"/>
        <v>1.75E-3</v>
      </c>
      <c r="AE1409" s="29">
        <f t="shared" si="239"/>
        <v>1.75E-3</v>
      </c>
      <c r="AF1409" s="29">
        <f t="shared" si="240"/>
        <v>0.6855</v>
      </c>
      <c r="AG1409" s="39">
        <v>0.311</v>
      </c>
      <c r="AH1409" s="38" t="s">
        <v>94</v>
      </c>
      <c r="AI1409" s="15" t="s">
        <v>94</v>
      </c>
      <c r="AJ1409">
        <v>0.54800000000000004</v>
      </c>
      <c r="AK1409" s="36">
        <f t="shared" si="234"/>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3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41">L1410-M1410-1</f>
        <v>6167</v>
      </c>
      <c r="O1410" s="9">
        <f t="shared" ref="O1410:O1473" si="242">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39"/>
        <v>1.75E-3</v>
      </c>
      <c r="AE1410" s="29">
        <f t="shared" si="239"/>
        <v>1.75E-3</v>
      </c>
      <c r="AF1410" s="29">
        <f t="shared" si="240"/>
        <v>0.6855</v>
      </c>
      <c r="AG1410" s="39">
        <v>0.311</v>
      </c>
      <c r="AH1410" s="38" t="s">
        <v>94</v>
      </c>
      <c r="AI1410" s="15" t="s">
        <v>94</v>
      </c>
      <c r="AJ1410">
        <v>0.54800000000000004</v>
      </c>
      <c r="AK1410" s="36">
        <f t="shared" si="234"/>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3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41"/>
        <v>6165</v>
      </c>
      <c r="O1411" s="9">
        <f t="shared" si="242"/>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39"/>
        <v>1.75E-3</v>
      </c>
      <c r="AE1411" s="29">
        <f t="shared" si="239"/>
        <v>1.75E-3</v>
      </c>
      <c r="AF1411" s="29">
        <f t="shared" si="240"/>
        <v>0.6855</v>
      </c>
      <c r="AG1411" s="39">
        <v>0.311</v>
      </c>
      <c r="AH1411" s="38" t="s">
        <v>94</v>
      </c>
      <c r="AI1411" s="15" t="s">
        <v>94</v>
      </c>
      <c r="AJ1411">
        <v>0.54800000000000004</v>
      </c>
      <c r="AK1411" s="36">
        <f t="shared" si="234"/>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3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41"/>
        <v>6165</v>
      </c>
      <c r="O1412" s="9">
        <f t="shared" si="242"/>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39"/>
        <v>1.75E-3</v>
      </c>
      <c r="AE1412" s="29">
        <f t="shared" si="239"/>
        <v>1.75E-3</v>
      </c>
      <c r="AF1412" s="29">
        <f t="shared" si="240"/>
        <v>0.6855</v>
      </c>
      <c r="AG1412" s="39">
        <v>0.311</v>
      </c>
      <c r="AH1412" s="38" t="s">
        <v>94</v>
      </c>
      <c r="AI1412" s="15" t="s">
        <v>94</v>
      </c>
      <c r="AJ1412">
        <v>0.54800000000000004</v>
      </c>
      <c r="AK1412" s="36">
        <f t="shared" si="234"/>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3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41"/>
        <v>6165</v>
      </c>
      <c r="O1413" s="9">
        <f t="shared" si="242"/>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39"/>
        <v>1.75E-3</v>
      </c>
      <c r="AE1413" s="29">
        <f t="shared" si="239"/>
        <v>1.75E-3</v>
      </c>
      <c r="AF1413" s="29">
        <f t="shared" si="240"/>
        <v>0.6855</v>
      </c>
      <c r="AG1413" s="39">
        <v>0.311</v>
      </c>
      <c r="AH1413" s="38" t="s">
        <v>94</v>
      </c>
      <c r="AI1413" s="15" t="s">
        <v>94</v>
      </c>
      <c r="AJ1413">
        <v>0.54800000000000004</v>
      </c>
      <c r="AK1413" s="36">
        <f t="shared" si="234"/>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3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41"/>
        <v>6165</v>
      </c>
      <c r="O1414" s="9">
        <f t="shared" si="242"/>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39"/>
        <v>1.75E-3</v>
      </c>
      <c r="AE1414" s="29">
        <f t="shared" si="239"/>
        <v>1.75E-3</v>
      </c>
      <c r="AF1414" s="29">
        <f t="shared" si="240"/>
        <v>0.6855</v>
      </c>
      <c r="AG1414" s="39">
        <v>0.311</v>
      </c>
      <c r="AH1414" s="38" t="s">
        <v>94</v>
      </c>
      <c r="AI1414" s="15" t="s">
        <v>94</v>
      </c>
      <c r="AJ1414">
        <v>0.54800000000000004</v>
      </c>
      <c r="AK1414" s="36">
        <f t="shared" si="234"/>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3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41"/>
        <v>6507</v>
      </c>
      <c r="O1415" s="9">
        <f t="shared" si="242"/>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40"/>
        <v>0.65100000000000002</v>
      </c>
      <c r="AG1415" s="39">
        <v>0.34649999999999997</v>
      </c>
      <c r="AH1415" s="38" t="s">
        <v>94</v>
      </c>
      <c r="AI1415" s="15" t="s">
        <v>94</v>
      </c>
      <c r="AJ1415">
        <v>0.52980000000000005</v>
      </c>
      <c r="AK1415" s="36">
        <f t="shared" si="234"/>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3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41"/>
        <v>6507</v>
      </c>
      <c r="O1416" s="9">
        <f t="shared" si="242"/>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40"/>
        <v>0.65100000000000002</v>
      </c>
      <c r="AG1416" s="39">
        <v>0.34649999999999997</v>
      </c>
      <c r="AH1416" s="38" t="s">
        <v>94</v>
      </c>
      <c r="AI1416" s="15" t="s">
        <v>94</v>
      </c>
      <c r="AJ1416">
        <v>0.52980000000000005</v>
      </c>
      <c r="AK1416" s="36">
        <f t="shared" si="234"/>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3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41"/>
        <v>6507</v>
      </c>
      <c r="O1417" s="9">
        <f t="shared" si="242"/>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40"/>
        <v>0.65100000000000002</v>
      </c>
      <c r="AG1417" s="39">
        <v>0.34649999999999997</v>
      </c>
      <c r="AH1417" s="38" t="s">
        <v>94</v>
      </c>
      <c r="AI1417" s="15" t="s">
        <v>94</v>
      </c>
      <c r="AJ1417">
        <v>0.52980000000000005</v>
      </c>
      <c r="AK1417" s="36">
        <f t="shared" si="234"/>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3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41"/>
        <v>6507</v>
      </c>
      <c r="O1418" s="9">
        <f t="shared" si="242"/>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40"/>
        <v>0.65100000000000002</v>
      </c>
      <c r="AG1418" s="39">
        <v>0.34649999999999997</v>
      </c>
      <c r="AH1418" s="38" t="s">
        <v>94</v>
      </c>
      <c r="AI1418" s="15" t="s">
        <v>94</v>
      </c>
      <c r="AJ1418">
        <v>0.52980000000000005</v>
      </c>
      <c r="AK1418" s="36">
        <f t="shared" si="234"/>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3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41"/>
        <v>6505</v>
      </c>
      <c r="O1419" s="9">
        <f t="shared" si="242"/>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40"/>
        <v>0.65100000000000002</v>
      </c>
      <c r="AG1419" s="39">
        <v>0.34649999999999997</v>
      </c>
      <c r="AH1419" s="38" t="s">
        <v>94</v>
      </c>
      <c r="AI1419" s="15" t="s">
        <v>94</v>
      </c>
      <c r="AJ1419">
        <v>0.52980000000000005</v>
      </c>
      <c r="AK1419" s="36">
        <f t="shared" si="234"/>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3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41"/>
        <v>6505</v>
      </c>
      <c r="O1420" s="9">
        <f t="shared" si="242"/>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40"/>
        <v>0.65100000000000002</v>
      </c>
      <c r="AG1420" s="39">
        <v>0.34649999999999997</v>
      </c>
      <c r="AH1420" s="38" t="s">
        <v>94</v>
      </c>
      <c r="AI1420" s="15" t="s">
        <v>94</v>
      </c>
      <c r="AJ1420">
        <v>0.52980000000000005</v>
      </c>
      <c r="AK1420" s="36">
        <f t="shared" si="234"/>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3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41"/>
        <v>6505</v>
      </c>
      <c r="O1421" s="9">
        <f t="shared" si="242"/>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40"/>
        <v>0.65100000000000002</v>
      </c>
      <c r="AG1421" s="39">
        <v>0.34649999999999997</v>
      </c>
      <c r="AH1421" s="38" t="s">
        <v>94</v>
      </c>
      <c r="AI1421" s="15" t="s">
        <v>94</v>
      </c>
      <c r="AJ1421">
        <v>0.52980000000000005</v>
      </c>
      <c r="AK1421" s="36">
        <f t="shared" si="234"/>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3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41"/>
        <v>6505</v>
      </c>
      <c r="O1422" s="9">
        <f t="shared" si="242"/>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40"/>
        <v>0.65100000000000002</v>
      </c>
      <c r="AG1422" s="39">
        <v>0.34649999999999997</v>
      </c>
      <c r="AH1422" s="38" t="s">
        <v>94</v>
      </c>
      <c r="AI1422" s="15" t="s">
        <v>94</v>
      </c>
      <c r="AJ1422">
        <v>0.52980000000000005</v>
      </c>
      <c r="AK1422" s="36">
        <f t="shared" si="234"/>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3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41"/>
        <v>6503</v>
      </c>
      <c r="O1423" s="9">
        <f t="shared" si="242"/>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40"/>
        <v>0.65100000000000002</v>
      </c>
      <c r="AG1423" s="39">
        <v>0.34649999999999997</v>
      </c>
      <c r="AH1423" s="38" t="s">
        <v>94</v>
      </c>
      <c r="AI1423" s="15" t="s">
        <v>94</v>
      </c>
      <c r="AJ1423">
        <v>0.52980000000000005</v>
      </c>
      <c r="AK1423" s="36">
        <f t="shared" si="234"/>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3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41"/>
        <v>6503</v>
      </c>
      <c r="O1424" s="9">
        <f t="shared" si="242"/>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40"/>
        <v>0.65100000000000002</v>
      </c>
      <c r="AG1424" s="39">
        <v>0.34649999999999997</v>
      </c>
      <c r="AH1424" s="38" t="s">
        <v>94</v>
      </c>
      <c r="AI1424" s="15" t="s">
        <v>94</v>
      </c>
      <c r="AJ1424">
        <v>0.52980000000000005</v>
      </c>
      <c r="AK1424" s="36">
        <f t="shared" si="234"/>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3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41"/>
        <v>6503</v>
      </c>
      <c r="O1425" s="9">
        <f t="shared" si="242"/>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40"/>
        <v>0.65100000000000002</v>
      </c>
      <c r="AG1425" s="39">
        <v>0.34649999999999997</v>
      </c>
      <c r="AH1425" s="38" t="s">
        <v>94</v>
      </c>
      <c r="AI1425" s="15" t="s">
        <v>94</v>
      </c>
      <c r="AJ1425">
        <v>0.52980000000000005</v>
      </c>
      <c r="AK1425" s="36">
        <f t="shared" si="234"/>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3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41"/>
        <v>6503</v>
      </c>
      <c r="O1426" s="9">
        <f t="shared" si="242"/>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40"/>
        <v>0.64149999999999996</v>
      </c>
      <c r="AG1426" s="39">
        <v>0.35249999999999998</v>
      </c>
      <c r="AH1426" s="38" t="s">
        <v>94</v>
      </c>
      <c r="AI1426" s="15" t="s">
        <v>94</v>
      </c>
      <c r="AJ1426">
        <v>0.52980000000000005</v>
      </c>
      <c r="AK1426" s="36">
        <f t="shared" si="234"/>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3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41"/>
        <v>6461</v>
      </c>
      <c r="O1427" s="9">
        <f t="shared" si="242"/>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40"/>
        <v>0.64149999999999996</v>
      </c>
      <c r="AG1427" s="39">
        <v>0.35249999999999998</v>
      </c>
      <c r="AH1427" s="38" t="s">
        <v>94</v>
      </c>
      <c r="AI1427" s="15" t="s">
        <v>94</v>
      </c>
      <c r="AJ1427">
        <v>0.49149999999999999</v>
      </c>
      <c r="AK1427" s="36">
        <f t="shared" si="234"/>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3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41"/>
        <v>6461</v>
      </c>
      <c r="O1428" s="9">
        <f t="shared" si="242"/>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40"/>
        <v>0.64149999999999996</v>
      </c>
      <c r="AG1428" s="39">
        <v>0.35249999999999998</v>
      </c>
      <c r="AH1428" s="38" t="s">
        <v>94</v>
      </c>
      <c r="AI1428" s="15" t="s">
        <v>94</v>
      </c>
      <c r="AJ1428">
        <v>0.49149999999999999</v>
      </c>
      <c r="AK1428" s="36">
        <f t="shared" si="234"/>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3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41"/>
        <v>6461</v>
      </c>
      <c r="O1429" s="9">
        <f t="shared" si="242"/>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40"/>
        <v>0.64149999999999996</v>
      </c>
      <c r="AG1429" s="39">
        <v>0.35249999999999998</v>
      </c>
      <c r="AH1429" s="38" t="s">
        <v>94</v>
      </c>
      <c r="AI1429" s="15" t="s">
        <v>94</v>
      </c>
      <c r="AJ1429">
        <v>0.49149999999999999</v>
      </c>
      <c r="AK1429" s="36">
        <f t="shared" si="234"/>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3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41"/>
        <v>6461</v>
      </c>
      <c r="O1430" s="9">
        <f t="shared" si="242"/>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40"/>
        <v>0.64149999999999996</v>
      </c>
      <c r="AG1430" s="39">
        <v>0.35249999999999998</v>
      </c>
      <c r="AH1430" s="38" t="s">
        <v>94</v>
      </c>
      <c r="AI1430" s="15" t="s">
        <v>94</v>
      </c>
      <c r="AJ1430">
        <v>0.49149999999999999</v>
      </c>
      <c r="AK1430" s="36">
        <f t="shared" si="234"/>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3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41"/>
        <v>6459</v>
      </c>
      <c r="O1431" s="9">
        <f t="shared" si="242"/>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40"/>
        <v>0.64149999999999996</v>
      </c>
      <c r="AG1431" s="39">
        <v>0.35249999999999998</v>
      </c>
      <c r="AH1431" s="38" t="s">
        <v>94</v>
      </c>
      <c r="AI1431" s="15" t="s">
        <v>94</v>
      </c>
      <c r="AJ1431">
        <v>0.49149999999999999</v>
      </c>
      <c r="AK1431" s="36">
        <f t="shared" si="234"/>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3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41"/>
        <v>6459</v>
      </c>
      <c r="O1432" s="9">
        <f t="shared" si="242"/>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40"/>
        <v>0.64149999999999996</v>
      </c>
      <c r="AG1432" s="39">
        <v>0.35249999999999998</v>
      </c>
      <c r="AH1432" s="38" t="s">
        <v>94</v>
      </c>
      <c r="AI1432" s="15" t="s">
        <v>94</v>
      </c>
      <c r="AJ1432">
        <v>0.49149999999999999</v>
      </c>
      <c r="AK1432" s="36">
        <f t="shared" si="234"/>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3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41"/>
        <v>6459</v>
      </c>
      <c r="O1433" s="9">
        <f t="shared" si="242"/>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40"/>
        <v>0.64149999999999996</v>
      </c>
      <c r="AG1433" s="39">
        <v>0.35249999999999998</v>
      </c>
      <c r="AH1433" s="38" t="s">
        <v>94</v>
      </c>
      <c r="AI1433" s="15" t="s">
        <v>94</v>
      </c>
      <c r="AJ1433">
        <v>0.49149999999999999</v>
      </c>
      <c r="AK1433" s="36">
        <f t="shared" si="234"/>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3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41"/>
        <v>6459</v>
      </c>
      <c r="O1434" s="9">
        <f t="shared" si="242"/>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40"/>
        <v>0.64149999999999996</v>
      </c>
      <c r="AG1434" s="39">
        <v>0.35249999999999998</v>
      </c>
      <c r="AH1434" s="38" t="s">
        <v>94</v>
      </c>
      <c r="AI1434" s="15" t="s">
        <v>94</v>
      </c>
      <c r="AJ1434">
        <v>0.49149999999999999</v>
      </c>
      <c r="AK1434" s="36">
        <f t="shared" si="234"/>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3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41"/>
        <v>6457</v>
      </c>
      <c r="O1435" s="9">
        <f t="shared" si="242"/>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40"/>
        <v>0.64149999999999996</v>
      </c>
      <c r="AG1435" s="39">
        <v>0.35249999999999998</v>
      </c>
      <c r="AH1435" s="38" t="s">
        <v>94</v>
      </c>
      <c r="AI1435" s="15" t="s">
        <v>94</v>
      </c>
      <c r="AJ1435">
        <v>0.49149999999999999</v>
      </c>
      <c r="AK1435" s="36">
        <f t="shared" si="234"/>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3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41"/>
        <v>6457</v>
      </c>
      <c r="O1436" s="9">
        <f t="shared" si="242"/>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40"/>
        <v>0.64149999999999996</v>
      </c>
      <c r="AG1436" s="39">
        <v>0.35249999999999998</v>
      </c>
      <c r="AH1436" s="38" t="s">
        <v>94</v>
      </c>
      <c r="AI1436" s="15" t="s">
        <v>94</v>
      </c>
      <c r="AJ1436">
        <v>0.49149999999999999</v>
      </c>
      <c r="AK1436" s="36">
        <f t="shared" si="234"/>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3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41"/>
        <v>6457</v>
      </c>
      <c r="O1437" s="9">
        <f t="shared" si="242"/>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40"/>
        <v>0.64149999999999996</v>
      </c>
      <c r="AG1437" s="39">
        <v>0.35249999999999998</v>
      </c>
      <c r="AH1437" s="38" t="s">
        <v>94</v>
      </c>
      <c r="AI1437" s="15" t="s">
        <v>94</v>
      </c>
      <c r="AJ1437">
        <v>0.49149999999999999</v>
      </c>
      <c r="AK1437" s="36">
        <f t="shared" ref="AK1437:AK1456" si="243">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3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41"/>
        <v>6457</v>
      </c>
      <c r="O1438" s="9">
        <f t="shared" si="242"/>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40"/>
        <v>0.64149999999999996</v>
      </c>
      <c r="AG1438" s="39">
        <v>0.35249999999999998</v>
      </c>
      <c r="AH1438" s="38" t="s">
        <v>94</v>
      </c>
      <c r="AI1438" s="15" t="s">
        <v>94</v>
      </c>
      <c r="AJ1438">
        <v>0.49149999999999999</v>
      </c>
      <c r="AK1438" s="36">
        <f t="shared" si="243"/>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3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41"/>
        <v>1548</v>
      </c>
      <c r="O1439" s="9">
        <f t="shared" si="242"/>
        <v>18</v>
      </c>
      <c r="P1439" s="7">
        <v>13</v>
      </c>
      <c r="Q1439" s="7">
        <f t="shared" ref="Q1439:Q1447" si="244">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45">1-AF1439-AE1439-AD1439</f>
        <v>0.61099999999999999</v>
      </c>
      <c r="AH1439" s="38">
        <v>1</v>
      </c>
      <c r="AI1439" s="15">
        <v>0</v>
      </c>
      <c r="AJ1439">
        <v>1</v>
      </c>
      <c r="AK1439" s="36">
        <f t="shared" si="243"/>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3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41"/>
        <v>1548</v>
      </c>
      <c r="O1440" s="9">
        <f t="shared" si="242"/>
        <v>18</v>
      </c>
      <c r="P1440" s="7">
        <v>15</v>
      </c>
      <c r="Q1440" s="7">
        <f t="shared" si="244"/>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45"/>
        <v>0.61099999999999999</v>
      </c>
      <c r="AH1440" s="38">
        <v>1</v>
      </c>
      <c r="AI1440" s="15">
        <v>0</v>
      </c>
      <c r="AJ1440">
        <v>1</v>
      </c>
      <c r="AK1440" s="36">
        <f t="shared" si="243"/>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3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41"/>
        <v>1548</v>
      </c>
      <c r="O1441" s="9">
        <f t="shared" si="242"/>
        <v>18</v>
      </c>
      <c r="P1441" s="7">
        <v>17</v>
      </c>
      <c r="Q1441" s="7">
        <f t="shared" si="244"/>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45"/>
        <v>0.61099999999999999</v>
      </c>
      <c r="AH1441" s="38">
        <v>1</v>
      </c>
      <c r="AI1441" s="15">
        <v>0</v>
      </c>
      <c r="AJ1441">
        <v>1</v>
      </c>
      <c r="AK1441" s="36">
        <f t="shared" si="243"/>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3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41"/>
        <v>1542</v>
      </c>
      <c r="O1442" s="9">
        <f t="shared" si="242"/>
        <v>18</v>
      </c>
      <c r="P1442" s="7">
        <v>13</v>
      </c>
      <c r="Q1442" s="7">
        <f t="shared" si="244"/>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45"/>
        <v>0.61099999999999999</v>
      </c>
      <c r="AH1442" s="38">
        <v>1</v>
      </c>
      <c r="AI1442" s="15">
        <v>0</v>
      </c>
      <c r="AJ1442">
        <v>1</v>
      </c>
      <c r="AK1442" s="36">
        <f t="shared" si="243"/>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3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41"/>
        <v>1542</v>
      </c>
      <c r="O1443" s="9">
        <f t="shared" si="242"/>
        <v>18</v>
      </c>
      <c r="P1443" s="7">
        <v>15</v>
      </c>
      <c r="Q1443" s="7">
        <f t="shared" si="244"/>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45"/>
        <v>0.61099999999999999</v>
      </c>
      <c r="AH1443" s="38">
        <v>1</v>
      </c>
      <c r="AI1443" s="15">
        <v>0</v>
      </c>
      <c r="AJ1443">
        <v>1</v>
      </c>
      <c r="AK1443" s="36">
        <f t="shared" si="243"/>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3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41"/>
        <v>1542</v>
      </c>
      <c r="O1444" s="9">
        <f t="shared" si="242"/>
        <v>18</v>
      </c>
      <c r="P1444" s="7">
        <v>17</v>
      </c>
      <c r="Q1444" s="7">
        <f t="shared" si="244"/>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45"/>
        <v>0.61099999999999999</v>
      </c>
      <c r="AH1444" s="38">
        <v>1</v>
      </c>
      <c r="AI1444" s="15">
        <v>0</v>
      </c>
      <c r="AJ1444">
        <v>1</v>
      </c>
      <c r="AK1444" s="36">
        <f t="shared" si="243"/>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3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41"/>
        <v>1534</v>
      </c>
      <c r="O1445" s="9">
        <f t="shared" si="242"/>
        <v>18</v>
      </c>
      <c r="P1445" s="7">
        <v>13</v>
      </c>
      <c r="Q1445" s="7">
        <f t="shared" si="244"/>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45"/>
        <v>0.61099999999999999</v>
      </c>
      <c r="AH1445" s="38">
        <v>1</v>
      </c>
      <c r="AI1445" s="15">
        <v>0</v>
      </c>
      <c r="AJ1445">
        <v>1</v>
      </c>
      <c r="AK1445" s="36">
        <f t="shared" si="243"/>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3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41"/>
        <v>1534</v>
      </c>
      <c r="O1446" s="9">
        <f t="shared" si="242"/>
        <v>18</v>
      </c>
      <c r="P1446" s="7">
        <v>15</v>
      </c>
      <c r="Q1446" s="7">
        <f t="shared" si="244"/>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45"/>
        <v>0.61099999999999999</v>
      </c>
      <c r="AH1446" s="38">
        <v>1</v>
      </c>
      <c r="AI1446" s="15">
        <v>0</v>
      </c>
      <c r="AJ1446">
        <v>1</v>
      </c>
      <c r="AK1446" s="36">
        <f t="shared" si="243"/>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3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41"/>
        <v>1534</v>
      </c>
      <c r="O1447" s="9">
        <f t="shared" si="242"/>
        <v>18</v>
      </c>
      <c r="P1447" s="7">
        <v>17</v>
      </c>
      <c r="Q1447" s="7">
        <f t="shared" si="244"/>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45"/>
        <v>0.61099999999999999</v>
      </c>
      <c r="AH1447" s="38">
        <v>1</v>
      </c>
      <c r="AI1447" s="15">
        <v>0</v>
      </c>
      <c r="AJ1447">
        <v>1</v>
      </c>
      <c r="AK1447" s="36">
        <f t="shared" si="243"/>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3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41"/>
        <v>1254</v>
      </c>
      <c r="O1448" s="9">
        <f t="shared" si="242"/>
        <v>18</v>
      </c>
      <c r="P1448" s="7">
        <v>13</v>
      </c>
      <c r="Q1448" s="7">
        <f t="shared" ref="Q1448:Q1456" si="246">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45"/>
        <v>0.70400000000000007</v>
      </c>
      <c r="AH1448" s="38">
        <v>1</v>
      </c>
      <c r="AI1448" s="15">
        <v>0</v>
      </c>
      <c r="AJ1448">
        <v>0</v>
      </c>
      <c r="AK1448" s="36">
        <f t="shared" si="243"/>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3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41"/>
        <v>1254</v>
      </c>
      <c r="O1449" s="9">
        <f t="shared" si="242"/>
        <v>18</v>
      </c>
      <c r="P1449" s="7">
        <v>15</v>
      </c>
      <c r="Q1449" s="7">
        <f t="shared" si="246"/>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45"/>
        <v>0.70400000000000007</v>
      </c>
      <c r="AH1449" s="38">
        <v>1</v>
      </c>
      <c r="AI1449" s="15">
        <v>0</v>
      </c>
      <c r="AJ1449">
        <v>0</v>
      </c>
      <c r="AK1449" s="36">
        <f t="shared" si="243"/>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3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41"/>
        <v>1254</v>
      </c>
      <c r="O1450" s="9">
        <f t="shared" si="242"/>
        <v>18</v>
      </c>
      <c r="P1450" s="7">
        <v>17</v>
      </c>
      <c r="Q1450" s="7">
        <f t="shared" si="246"/>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45"/>
        <v>0.70400000000000007</v>
      </c>
      <c r="AH1450" s="38">
        <v>1</v>
      </c>
      <c r="AI1450" s="15">
        <v>0</v>
      </c>
      <c r="AJ1450">
        <v>0</v>
      </c>
      <c r="AK1450" s="36">
        <f t="shared" si="243"/>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3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41"/>
        <v>1248</v>
      </c>
      <c r="O1451" s="9">
        <f t="shared" si="242"/>
        <v>18</v>
      </c>
      <c r="P1451" s="7">
        <v>13</v>
      </c>
      <c r="Q1451" s="7">
        <f t="shared" si="246"/>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45"/>
        <v>0.70400000000000007</v>
      </c>
      <c r="AH1451" s="38">
        <v>1</v>
      </c>
      <c r="AI1451" s="15">
        <v>0</v>
      </c>
      <c r="AJ1451">
        <v>0</v>
      </c>
      <c r="AK1451" s="36">
        <f t="shared" si="243"/>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3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41"/>
        <v>1248</v>
      </c>
      <c r="O1452" s="9">
        <f t="shared" si="242"/>
        <v>18</v>
      </c>
      <c r="P1452" s="7">
        <v>15</v>
      </c>
      <c r="Q1452" s="7">
        <f t="shared" si="246"/>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45"/>
        <v>0.70400000000000007</v>
      </c>
      <c r="AH1452" s="38">
        <v>1</v>
      </c>
      <c r="AI1452" s="15">
        <v>0</v>
      </c>
      <c r="AJ1452">
        <v>0</v>
      </c>
      <c r="AK1452" s="36">
        <f t="shared" si="243"/>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3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41"/>
        <v>1248</v>
      </c>
      <c r="O1453" s="9">
        <f t="shared" si="242"/>
        <v>18</v>
      </c>
      <c r="P1453" s="7">
        <v>17</v>
      </c>
      <c r="Q1453" s="7">
        <f t="shared" si="246"/>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45"/>
        <v>0.70400000000000007</v>
      </c>
      <c r="AH1453" s="38">
        <v>1</v>
      </c>
      <c r="AI1453" s="15">
        <v>0</v>
      </c>
      <c r="AJ1453">
        <v>0</v>
      </c>
      <c r="AK1453" s="36">
        <f t="shared" si="243"/>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3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41"/>
        <v>1240</v>
      </c>
      <c r="O1454" s="9">
        <f t="shared" si="242"/>
        <v>18</v>
      </c>
      <c r="P1454" s="7">
        <v>13</v>
      </c>
      <c r="Q1454" s="7">
        <f t="shared" si="246"/>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45"/>
        <v>0.70400000000000007</v>
      </c>
      <c r="AH1454" s="38">
        <v>1</v>
      </c>
      <c r="AI1454" s="15">
        <v>0</v>
      </c>
      <c r="AJ1454">
        <v>0</v>
      </c>
      <c r="AK1454" s="36">
        <f t="shared" si="243"/>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3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41"/>
        <v>1240</v>
      </c>
      <c r="O1455" s="9">
        <f t="shared" si="242"/>
        <v>18</v>
      </c>
      <c r="P1455" s="7">
        <v>15</v>
      </c>
      <c r="Q1455" s="7">
        <f t="shared" si="246"/>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45"/>
        <v>0.70400000000000007</v>
      </c>
      <c r="AH1455" s="38">
        <v>1</v>
      </c>
      <c r="AI1455" s="15">
        <v>0</v>
      </c>
      <c r="AJ1455">
        <v>0</v>
      </c>
      <c r="AK1455" s="36">
        <f t="shared" si="243"/>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3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41"/>
        <v>1240</v>
      </c>
      <c r="O1456" s="9">
        <f t="shared" si="242"/>
        <v>18</v>
      </c>
      <c r="P1456" s="7">
        <v>17</v>
      </c>
      <c r="Q1456" s="7">
        <f t="shared" si="246"/>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45"/>
        <v>0.70400000000000007</v>
      </c>
      <c r="AH1456" s="38">
        <v>1</v>
      </c>
      <c r="AI1456" s="15">
        <v>0</v>
      </c>
      <c r="AJ1456">
        <v>0</v>
      </c>
      <c r="AK1456" s="36">
        <f t="shared" si="243"/>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35">
      <c r="A1457">
        <v>1456</v>
      </c>
      <c r="B1457">
        <v>91</v>
      </c>
      <c r="C1457" s="22" t="s">
        <v>1225</v>
      </c>
      <c r="D1457" s="11">
        <v>2.8</v>
      </c>
      <c r="E1457" s="12">
        <v>0.3</v>
      </c>
      <c r="F1457" s="7">
        <f t="shared" ref="F1457:F1476" si="247">D1457/E1457</f>
        <v>9.3333333333333339</v>
      </c>
      <c r="G1457" s="8">
        <v>0</v>
      </c>
      <c r="H1457" s="9">
        <v>0</v>
      </c>
      <c r="I1457" s="9">
        <v>0</v>
      </c>
      <c r="J1457" s="9">
        <v>0</v>
      </c>
      <c r="K1457" s="9">
        <v>1</v>
      </c>
      <c r="L1457" s="8">
        <v>4111</v>
      </c>
      <c r="M1457" s="9">
        <v>5</v>
      </c>
      <c r="N1457" s="9">
        <f t="shared" si="241"/>
        <v>4105</v>
      </c>
      <c r="O1457" s="9">
        <f t="shared" si="242"/>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48">1-AI1457</f>
        <v>0.72199999999999998</v>
      </c>
      <c r="AI1457" s="15">
        <v>0.27800000000000002</v>
      </c>
      <c r="AJ1457" s="35">
        <f t="shared" ref="AJ1457:AJ1476" si="249">1-AK1457</f>
        <v>0.51800000000000002</v>
      </c>
      <c r="AK1457" s="36">
        <v>0.48199999999999998</v>
      </c>
      <c r="AL1457" s="35">
        <v>0.33943833943833951</v>
      </c>
      <c r="AM1457" s="36">
        <f t="shared" ref="AM1457:AM1476" si="250">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51">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35">
      <c r="A1458">
        <v>1457</v>
      </c>
      <c r="B1458">
        <v>91</v>
      </c>
      <c r="C1458" s="22" t="s">
        <v>1225</v>
      </c>
      <c r="D1458" s="11">
        <v>3.9</v>
      </c>
      <c r="E1458" s="12">
        <v>0.4</v>
      </c>
      <c r="F1458" s="7">
        <f t="shared" si="247"/>
        <v>9.75</v>
      </c>
      <c r="G1458" s="8">
        <v>0</v>
      </c>
      <c r="H1458" s="9">
        <v>0</v>
      </c>
      <c r="I1458" s="9">
        <v>0</v>
      </c>
      <c r="J1458" s="9">
        <v>0</v>
      </c>
      <c r="K1458" s="9">
        <v>1</v>
      </c>
      <c r="L1458" s="8">
        <v>3776</v>
      </c>
      <c r="M1458" s="9">
        <v>5</v>
      </c>
      <c r="N1458" s="9">
        <f t="shared" si="241"/>
        <v>3770</v>
      </c>
      <c r="O1458" s="9">
        <f t="shared" si="242"/>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48"/>
        <v>0.72199999999999998</v>
      </c>
      <c r="AI1458" s="15">
        <v>0.27800000000000002</v>
      </c>
      <c r="AJ1458" s="35">
        <f t="shared" si="249"/>
        <v>0.52500000000000002</v>
      </c>
      <c r="AK1458" s="36">
        <v>0.47499999999999998</v>
      </c>
      <c r="AL1458" s="35">
        <v>0.33943833943833951</v>
      </c>
      <c r="AM1458" s="36">
        <f t="shared" si="250"/>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51"/>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35">
      <c r="A1459">
        <v>1458</v>
      </c>
      <c r="B1459">
        <v>91</v>
      </c>
      <c r="C1459" s="22" t="s">
        <v>1225</v>
      </c>
      <c r="D1459" s="11">
        <v>8.1</v>
      </c>
      <c r="E1459" s="12">
        <v>0.7</v>
      </c>
      <c r="F1459" s="7">
        <f t="shared" si="247"/>
        <v>11.571428571428571</v>
      </c>
      <c r="G1459" s="8">
        <v>0</v>
      </c>
      <c r="H1459" s="9">
        <v>0</v>
      </c>
      <c r="I1459" s="9">
        <v>0</v>
      </c>
      <c r="J1459" s="9">
        <v>0</v>
      </c>
      <c r="K1459" s="9">
        <v>1</v>
      </c>
      <c r="L1459" s="8">
        <v>3497</v>
      </c>
      <c r="M1459" s="9">
        <v>5</v>
      </c>
      <c r="N1459" s="9">
        <f t="shared" si="241"/>
        <v>3491</v>
      </c>
      <c r="O1459" s="9">
        <f t="shared" si="242"/>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48"/>
        <v>0.72199999999999998</v>
      </c>
      <c r="AI1459" s="15">
        <v>0.27800000000000002</v>
      </c>
      <c r="AJ1459" s="35">
        <f t="shared" si="249"/>
        <v>0.495</v>
      </c>
      <c r="AK1459" s="36">
        <v>0.505</v>
      </c>
      <c r="AL1459" s="35">
        <v>0.33943833943833951</v>
      </c>
      <c r="AM1459" s="36">
        <f t="shared" si="250"/>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51"/>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35">
      <c r="A1460">
        <v>1459</v>
      </c>
      <c r="B1460">
        <v>91</v>
      </c>
      <c r="C1460" s="22" t="s">
        <v>1225</v>
      </c>
      <c r="D1460" s="11">
        <v>9.1</v>
      </c>
      <c r="E1460" s="12">
        <v>0.6</v>
      </c>
      <c r="F1460" s="7">
        <f t="shared" si="247"/>
        <v>15.166666666666666</v>
      </c>
      <c r="G1460" s="8">
        <v>0</v>
      </c>
      <c r="H1460" s="9">
        <v>0</v>
      </c>
      <c r="I1460" s="9">
        <v>0</v>
      </c>
      <c r="J1460" s="9">
        <v>0</v>
      </c>
      <c r="K1460" s="9">
        <v>1</v>
      </c>
      <c r="L1460" s="8">
        <v>3332</v>
      </c>
      <c r="M1460" s="9">
        <v>5</v>
      </c>
      <c r="N1460" s="9">
        <f t="shared" si="241"/>
        <v>3326</v>
      </c>
      <c r="O1460" s="9">
        <f t="shared" si="242"/>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48"/>
        <v>0.70500000000000007</v>
      </c>
      <c r="AI1460" s="15">
        <v>0.29499999999999998</v>
      </c>
      <c r="AJ1460" s="35">
        <f t="shared" si="249"/>
        <v>0.499</v>
      </c>
      <c r="AK1460" s="36">
        <v>0.501</v>
      </c>
      <c r="AL1460" s="35">
        <v>0.36330049261083741</v>
      </c>
      <c r="AM1460" s="36">
        <f t="shared" si="250"/>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51"/>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35">
      <c r="A1461">
        <v>1460</v>
      </c>
      <c r="B1461">
        <v>91</v>
      </c>
      <c r="C1461" s="22" t="s">
        <v>1225</v>
      </c>
      <c r="D1461" s="11">
        <v>9.3000000000000007</v>
      </c>
      <c r="E1461" s="12">
        <v>0.7</v>
      </c>
      <c r="F1461" s="7">
        <f t="shared" si="247"/>
        <v>13.285714285714288</v>
      </c>
      <c r="G1461" s="8">
        <v>0</v>
      </c>
      <c r="H1461" s="9">
        <v>0</v>
      </c>
      <c r="I1461" s="9">
        <v>0</v>
      </c>
      <c r="J1461" s="9">
        <v>0</v>
      </c>
      <c r="K1461" s="9">
        <v>1</v>
      </c>
      <c r="L1461" s="8">
        <v>3169</v>
      </c>
      <c r="M1461" s="9">
        <v>5</v>
      </c>
      <c r="N1461" s="9">
        <f t="shared" si="241"/>
        <v>3163</v>
      </c>
      <c r="O1461" s="9">
        <f t="shared" si="242"/>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48"/>
        <v>0.66300000000000003</v>
      </c>
      <c r="AI1461" s="15">
        <v>0.33700000000000002</v>
      </c>
      <c r="AJ1461" s="35">
        <f t="shared" si="249"/>
        <v>0.50900000000000001</v>
      </c>
      <c r="AK1461" s="36">
        <v>0.49099999999999999</v>
      </c>
      <c r="AL1461" s="35">
        <v>0.40947752126366949</v>
      </c>
      <c r="AM1461" s="36">
        <f t="shared" si="250"/>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51"/>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35">
      <c r="A1462">
        <v>1461</v>
      </c>
      <c r="B1462">
        <v>91</v>
      </c>
      <c r="C1462" s="22" t="s">
        <v>1225</v>
      </c>
      <c r="D1462" s="11">
        <v>9.1999999999999993</v>
      </c>
      <c r="E1462" s="12">
        <v>0.6</v>
      </c>
      <c r="F1462" s="7">
        <f t="shared" si="247"/>
        <v>15.333333333333332</v>
      </c>
      <c r="G1462" s="8">
        <v>0</v>
      </c>
      <c r="H1462" s="9">
        <v>0</v>
      </c>
      <c r="I1462" s="9">
        <v>0</v>
      </c>
      <c r="J1462" s="9">
        <v>0</v>
      </c>
      <c r="K1462" s="9">
        <v>1</v>
      </c>
      <c r="L1462" s="8">
        <v>3341</v>
      </c>
      <c r="M1462" s="9">
        <v>5</v>
      </c>
      <c r="N1462" s="9">
        <f t="shared" si="241"/>
        <v>3335</v>
      </c>
      <c r="O1462" s="9">
        <f t="shared" si="242"/>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48"/>
        <v>0.59000000000000008</v>
      </c>
      <c r="AI1462" s="15">
        <v>0.41</v>
      </c>
      <c r="AJ1462" s="35">
        <f t="shared" si="249"/>
        <v>0.497</v>
      </c>
      <c r="AK1462" s="36">
        <v>0.503</v>
      </c>
      <c r="AL1462" s="35">
        <v>0.46750285062713792</v>
      </c>
      <c r="AM1462" s="36">
        <f t="shared" si="250"/>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51"/>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35">
      <c r="A1463">
        <v>1462</v>
      </c>
      <c r="B1463">
        <v>91</v>
      </c>
      <c r="C1463" s="22" t="s">
        <v>1225</v>
      </c>
      <c r="D1463" s="11">
        <v>3.4</v>
      </c>
      <c r="E1463" s="12">
        <v>0.4</v>
      </c>
      <c r="F1463" s="7">
        <f t="shared" si="247"/>
        <v>8.5</v>
      </c>
      <c r="G1463" s="8">
        <v>0</v>
      </c>
      <c r="H1463" s="9">
        <v>0</v>
      </c>
      <c r="I1463" s="9">
        <v>0</v>
      </c>
      <c r="J1463" s="9">
        <v>0</v>
      </c>
      <c r="K1463" s="9">
        <v>1</v>
      </c>
      <c r="L1463" s="8">
        <v>4191</v>
      </c>
      <c r="M1463" s="9">
        <v>5</v>
      </c>
      <c r="N1463" s="9">
        <f t="shared" si="241"/>
        <v>4185</v>
      </c>
      <c r="O1463" s="9">
        <f t="shared" si="242"/>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48"/>
        <v>0.89600000000000002</v>
      </c>
      <c r="AI1463" s="15">
        <v>0.104</v>
      </c>
      <c r="AJ1463" s="35">
        <f t="shared" si="249"/>
        <v>0.504</v>
      </c>
      <c r="AK1463" s="36">
        <v>0.496</v>
      </c>
      <c r="AL1463" s="35">
        <v>0.1051567239635996</v>
      </c>
      <c r="AM1463" s="36">
        <f t="shared" si="250"/>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51"/>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35">
      <c r="A1464">
        <v>1463</v>
      </c>
      <c r="B1464">
        <v>91</v>
      </c>
      <c r="C1464" s="22" t="s">
        <v>1225</v>
      </c>
      <c r="D1464" s="11">
        <v>3.9</v>
      </c>
      <c r="E1464" s="12">
        <v>0.5</v>
      </c>
      <c r="F1464" s="7">
        <f t="shared" si="247"/>
        <v>7.8</v>
      </c>
      <c r="G1464" s="8">
        <v>0</v>
      </c>
      <c r="H1464" s="9">
        <v>0</v>
      </c>
      <c r="I1464" s="9">
        <v>0</v>
      </c>
      <c r="J1464" s="9">
        <v>0</v>
      </c>
      <c r="K1464" s="9">
        <v>1</v>
      </c>
      <c r="L1464" s="8">
        <v>3528</v>
      </c>
      <c r="M1464" s="9">
        <v>5</v>
      </c>
      <c r="N1464" s="9">
        <f t="shared" si="241"/>
        <v>3522</v>
      </c>
      <c r="O1464" s="9">
        <f t="shared" si="242"/>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48"/>
        <v>0.84599999999999997</v>
      </c>
      <c r="AI1464" s="15">
        <v>0.154</v>
      </c>
      <c r="AJ1464" s="35">
        <f t="shared" si="249"/>
        <v>0.51700000000000002</v>
      </c>
      <c r="AK1464" s="36">
        <v>0.48299999999999998</v>
      </c>
      <c r="AL1464" s="35">
        <v>0.15682281059063141</v>
      </c>
      <c r="AM1464" s="36">
        <f t="shared" si="250"/>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51"/>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35">
      <c r="A1465">
        <v>1464</v>
      </c>
      <c r="B1465">
        <v>91</v>
      </c>
      <c r="C1465" s="22" t="s">
        <v>1225</v>
      </c>
      <c r="D1465" s="11">
        <v>3.7</v>
      </c>
      <c r="E1465" s="12">
        <v>0.5</v>
      </c>
      <c r="F1465" s="7">
        <f t="shared" si="247"/>
        <v>7.4</v>
      </c>
      <c r="G1465" s="8">
        <v>0</v>
      </c>
      <c r="H1465" s="9">
        <v>0</v>
      </c>
      <c r="I1465" s="9">
        <v>0</v>
      </c>
      <c r="J1465" s="9">
        <v>0</v>
      </c>
      <c r="K1465" s="9">
        <v>1</v>
      </c>
      <c r="L1465" s="8">
        <v>2946</v>
      </c>
      <c r="M1465" s="9">
        <v>5</v>
      </c>
      <c r="N1465" s="9">
        <f t="shared" si="241"/>
        <v>2940</v>
      </c>
      <c r="O1465" s="9">
        <f t="shared" si="242"/>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48"/>
        <v>0.77600000000000002</v>
      </c>
      <c r="AI1465" s="15">
        <v>0.224</v>
      </c>
      <c r="AJ1465" s="35">
        <f t="shared" si="249"/>
        <v>0.46299999999999997</v>
      </c>
      <c r="AK1465" s="36">
        <v>0.53700000000000003</v>
      </c>
      <c r="AL1465" s="35">
        <v>0.23140495867768601</v>
      </c>
      <c r="AM1465" s="36">
        <f t="shared" si="250"/>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51"/>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35">
      <c r="A1466">
        <v>1465</v>
      </c>
      <c r="B1466">
        <v>91</v>
      </c>
      <c r="C1466" s="22" t="s">
        <v>1225</v>
      </c>
      <c r="D1466" s="11">
        <v>3.9</v>
      </c>
      <c r="E1466" s="12">
        <v>0.5</v>
      </c>
      <c r="F1466" s="7">
        <f t="shared" si="247"/>
        <v>7.8</v>
      </c>
      <c r="G1466" s="8">
        <v>0</v>
      </c>
      <c r="H1466" s="9">
        <v>0</v>
      </c>
      <c r="I1466" s="9">
        <v>0</v>
      </c>
      <c r="J1466" s="9">
        <v>0</v>
      </c>
      <c r="K1466" s="9">
        <v>1</v>
      </c>
      <c r="L1466" s="8">
        <v>2812</v>
      </c>
      <c r="M1466" s="9">
        <v>5</v>
      </c>
      <c r="N1466" s="9">
        <f t="shared" si="241"/>
        <v>2806</v>
      </c>
      <c r="O1466" s="9">
        <f t="shared" si="242"/>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48"/>
        <v>0.75800000000000001</v>
      </c>
      <c r="AI1466" s="15">
        <v>0.24199999999999999</v>
      </c>
      <c r="AJ1466" s="35">
        <f t="shared" si="249"/>
        <v>0.46099999999999997</v>
      </c>
      <c r="AK1466" s="36">
        <v>0.53900000000000003</v>
      </c>
      <c r="AL1466" s="35">
        <v>0.25077720207253879</v>
      </c>
      <c r="AM1466" s="36">
        <f t="shared" si="250"/>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51"/>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35">
      <c r="A1467">
        <v>1466</v>
      </c>
      <c r="B1467">
        <v>91</v>
      </c>
      <c r="C1467" s="22" t="s">
        <v>1225</v>
      </c>
      <c r="D1467" s="11">
        <v>3.7</v>
      </c>
      <c r="E1467" s="12">
        <v>0.5</v>
      </c>
      <c r="F1467" s="7">
        <f t="shared" si="247"/>
        <v>7.4</v>
      </c>
      <c r="G1467" s="8">
        <v>0</v>
      </c>
      <c r="H1467" s="9">
        <v>0</v>
      </c>
      <c r="I1467" s="9">
        <v>0</v>
      </c>
      <c r="J1467" s="9">
        <v>0</v>
      </c>
      <c r="K1467" s="9">
        <v>1</v>
      </c>
      <c r="L1467" s="8">
        <v>2925</v>
      </c>
      <c r="M1467" s="9">
        <v>5</v>
      </c>
      <c r="N1467" s="9">
        <f t="shared" si="241"/>
        <v>2919</v>
      </c>
      <c r="O1467" s="9">
        <f t="shared" si="242"/>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48"/>
        <v>0.72399999999999998</v>
      </c>
      <c r="AI1467" s="15">
        <v>0.27600000000000002</v>
      </c>
      <c r="AJ1467" s="35">
        <f t="shared" si="249"/>
        <v>0.46199999999999997</v>
      </c>
      <c r="AK1467" s="36">
        <v>0.53800000000000003</v>
      </c>
      <c r="AL1467" s="35">
        <v>0.28779979144942652</v>
      </c>
      <c r="AM1467" s="36">
        <f t="shared" si="250"/>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51"/>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35">
      <c r="A1468">
        <v>1467</v>
      </c>
      <c r="B1468">
        <v>91</v>
      </c>
      <c r="C1468" s="22" t="s">
        <v>1225</v>
      </c>
      <c r="D1468" s="11">
        <v>4.5</v>
      </c>
      <c r="E1468" s="12">
        <v>0.5</v>
      </c>
      <c r="F1468" s="7">
        <f t="shared" si="247"/>
        <v>9</v>
      </c>
      <c r="G1468" s="8">
        <v>0</v>
      </c>
      <c r="H1468" s="9">
        <v>0</v>
      </c>
      <c r="I1468" s="9">
        <v>0</v>
      </c>
      <c r="J1468" s="9">
        <v>0</v>
      </c>
      <c r="K1468" s="9">
        <v>1</v>
      </c>
      <c r="L1468" s="8">
        <v>3289</v>
      </c>
      <c r="M1468" s="9">
        <v>5</v>
      </c>
      <c r="N1468" s="9">
        <f t="shared" si="241"/>
        <v>3283</v>
      </c>
      <c r="O1468" s="9">
        <f t="shared" si="242"/>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48"/>
        <v>0.70199999999999996</v>
      </c>
      <c r="AI1468" s="15">
        <v>0.29799999999999999</v>
      </c>
      <c r="AJ1468" s="35">
        <f t="shared" si="249"/>
        <v>0.47</v>
      </c>
      <c r="AK1468" s="36">
        <v>0.53</v>
      </c>
      <c r="AL1468" s="35">
        <v>0.31368421052631579</v>
      </c>
      <c r="AM1468" s="36">
        <f t="shared" si="250"/>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51"/>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35">
      <c r="A1469">
        <v>1468</v>
      </c>
      <c r="B1469">
        <v>91</v>
      </c>
      <c r="C1469" s="22" t="s">
        <v>1225</v>
      </c>
      <c r="D1469" s="11">
        <v>7.9</v>
      </c>
      <c r="E1469" s="12">
        <v>0.7</v>
      </c>
      <c r="F1469" s="7">
        <f t="shared" si="247"/>
        <v>11.285714285714286</v>
      </c>
      <c r="G1469" s="8">
        <v>0</v>
      </c>
      <c r="H1469" s="9">
        <v>0</v>
      </c>
      <c r="I1469" s="9">
        <v>0</v>
      </c>
      <c r="J1469" s="9">
        <v>0</v>
      </c>
      <c r="K1469" s="9">
        <v>1</v>
      </c>
      <c r="L1469" s="8">
        <v>3413</v>
      </c>
      <c r="M1469" s="9">
        <v>14</v>
      </c>
      <c r="N1469" s="9">
        <f t="shared" si="241"/>
        <v>3398</v>
      </c>
      <c r="O1469" s="9">
        <f t="shared" si="242"/>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48"/>
        <v>0.72199999999999998</v>
      </c>
      <c r="AI1469" s="15">
        <v>0.27800000000000002</v>
      </c>
      <c r="AJ1469" s="35">
        <f t="shared" si="249"/>
        <v>0.495</v>
      </c>
      <c r="AK1469" s="36">
        <v>0.505</v>
      </c>
      <c r="AL1469" s="35">
        <v>0.33943833943833951</v>
      </c>
      <c r="AM1469" s="36">
        <f t="shared" si="250"/>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51"/>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35">
      <c r="A1470">
        <v>1469</v>
      </c>
      <c r="B1470">
        <v>91</v>
      </c>
      <c r="C1470" s="22" t="s">
        <v>1225</v>
      </c>
      <c r="D1470" s="11">
        <v>9.1</v>
      </c>
      <c r="E1470" s="12">
        <v>0.6</v>
      </c>
      <c r="F1470" s="7">
        <f t="shared" si="247"/>
        <v>15.166666666666666</v>
      </c>
      <c r="G1470" s="8">
        <v>0</v>
      </c>
      <c r="H1470" s="9">
        <v>0</v>
      </c>
      <c r="I1470" s="9">
        <v>0</v>
      </c>
      <c r="J1470" s="9">
        <v>0</v>
      </c>
      <c r="K1470" s="9">
        <v>1</v>
      </c>
      <c r="L1470" s="8">
        <v>3275</v>
      </c>
      <c r="M1470" s="9">
        <v>14</v>
      </c>
      <c r="N1470" s="9">
        <f t="shared" si="241"/>
        <v>3260</v>
      </c>
      <c r="O1470" s="9">
        <f t="shared" si="242"/>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48"/>
        <v>0.70500000000000007</v>
      </c>
      <c r="AI1470" s="15">
        <v>0.29499999999999998</v>
      </c>
      <c r="AJ1470" s="35">
        <f t="shared" si="249"/>
        <v>0.499</v>
      </c>
      <c r="AK1470" s="36">
        <v>0.501</v>
      </c>
      <c r="AL1470" s="35">
        <v>0.36330049261083741</v>
      </c>
      <c r="AM1470" s="36">
        <f t="shared" si="250"/>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51"/>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35">
      <c r="A1471">
        <v>1470</v>
      </c>
      <c r="B1471">
        <v>91</v>
      </c>
      <c r="C1471" s="22" t="s">
        <v>1225</v>
      </c>
      <c r="D1471" s="11">
        <v>9.4</v>
      </c>
      <c r="E1471" s="12">
        <v>0.7</v>
      </c>
      <c r="F1471" s="7">
        <f t="shared" si="247"/>
        <v>13.428571428571431</v>
      </c>
      <c r="G1471" s="8">
        <v>0</v>
      </c>
      <c r="H1471" s="9">
        <v>0</v>
      </c>
      <c r="I1471" s="9">
        <v>0</v>
      </c>
      <c r="J1471" s="9">
        <v>0</v>
      </c>
      <c r="K1471" s="9">
        <v>1</v>
      </c>
      <c r="L1471" s="8">
        <v>3139</v>
      </c>
      <c r="M1471" s="9">
        <v>14</v>
      </c>
      <c r="N1471" s="9">
        <f t="shared" si="241"/>
        <v>3124</v>
      </c>
      <c r="O1471" s="9">
        <f t="shared" si="242"/>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48"/>
        <v>0.66300000000000003</v>
      </c>
      <c r="AI1471" s="15">
        <v>0.33700000000000002</v>
      </c>
      <c r="AJ1471" s="35">
        <f t="shared" si="249"/>
        <v>0.50900000000000001</v>
      </c>
      <c r="AK1471" s="36">
        <v>0.49099999999999999</v>
      </c>
      <c r="AL1471" s="35">
        <v>0.40947752126366949</v>
      </c>
      <c r="AM1471" s="36">
        <f t="shared" si="250"/>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51"/>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35">
      <c r="A1472">
        <v>1471</v>
      </c>
      <c r="B1472">
        <v>91</v>
      </c>
      <c r="C1472" s="22" t="s">
        <v>1225</v>
      </c>
      <c r="D1472" s="11">
        <v>9.6999999999999993</v>
      </c>
      <c r="E1472" s="12">
        <v>0.6</v>
      </c>
      <c r="F1472" s="7">
        <f t="shared" si="247"/>
        <v>16.166666666666668</v>
      </c>
      <c r="G1472" s="8">
        <v>0</v>
      </c>
      <c r="H1472" s="9">
        <v>0</v>
      </c>
      <c r="I1472" s="9">
        <v>0</v>
      </c>
      <c r="J1472" s="9">
        <v>0</v>
      </c>
      <c r="K1472" s="9">
        <v>1</v>
      </c>
      <c r="L1472" s="8">
        <v>3284</v>
      </c>
      <c r="M1472" s="9">
        <v>14</v>
      </c>
      <c r="N1472" s="9">
        <f t="shared" si="241"/>
        <v>3269</v>
      </c>
      <c r="O1472" s="9">
        <f t="shared" si="242"/>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48"/>
        <v>0.59000000000000008</v>
      </c>
      <c r="AI1472" s="15">
        <v>0.41</v>
      </c>
      <c r="AJ1472" s="35">
        <f t="shared" si="249"/>
        <v>0.497</v>
      </c>
      <c r="AK1472" s="36">
        <v>0.503</v>
      </c>
      <c r="AL1472" s="35">
        <v>0.46750285062713792</v>
      </c>
      <c r="AM1472" s="36">
        <f t="shared" si="250"/>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51"/>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35">
      <c r="A1473">
        <v>1472</v>
      </c>
      <c r="B1473">
        <v>91</v>
      </c>
      <c r="C1473" s="22" t="s">
        <v>1225</v>
      </c>
      <c r="D1473" s="11">
        <v>3.6</v>
      </c>
      <c r="E1473" s="12">
        <v>0.5</v>
      </c>
      <c r="F1473" s="7">
        <f t="shared" si="247"/>
        <v>7.2</v>
      </c>
      <c r="G1473" s="8">
        <v>0</v>
      </c>
      <c r="H1473" s="9">
        <v>0</v>
      </c>
      <c r="I1473" s="9">
        <v>0</v>
      </c>
      <c r="J1473" s="9">
        <v>0</v>
      </c>
      <c r="K1473" s="9">
        <v>1</v>
      </c>
      <c r="L1473" s="8">
        <v>2932</v>
      </c>
      <c r="M1473" s="9">
        <v>14</v>
      </c>
      <c r="N1473" s="9">
        <f t="shared" si="241"/>
        <v>2917</v>
      </c>
      <c r="O1473" s="9">
        <f t="shared" si="242"/>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48"/>
        <v>0.77600000000000002</v>
      </c>
      <c r="AI1473" s="15">
        <v>0.224</v>
      </c>
      <c r="AJ1473" s="35">
        <f t="shared" si="249"/>
        <v>0.46299999999999997</v>
      </c>
      <c r="AK1473" s="36">
        <v>0.53700000000000003</v>
      </c>
      <c r="AL1473" s="35">
        <v>0.23140495867768601</v>
      </c>
      <c r="AM1473" s="36">
        <f t="shared" si="250"/>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51"/>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35">
      <c r="A1474">
        <v>1473</v>
      </c>
      <c r="B1474">
        <v>91</v>
      </c>
      <c r="C1474" s="22" t="s">
        <v>1225</v>
      </c>
      <c r="D1474" s="11">
        <v>4</v>
      </c>
      <c r="E1474" s="12">
        <v>0.5</v>
      </c>
      <c r="F1474" s="7">
        <f t="shared" si="247"/>
        <v>8</v>
      </c>
      <c r="G1474" s="8">
        <v>0</v>
      </c>
      <c r="H1474" s="9">
        <v>0</v>
      </c>
      <c r="I1474" s="9">
        <v>0</v>
      </c>
      <c r="J1474" s="9">
        <v>0</v>
      </c>
      <c r="K1474" s="9">
        <v>1</v>
      </c>
      <c r="L1474" s="8">
        <v>2802</v>
      </c>
      <c r="M1474" s="9">
        <v>14</v>
      </c>
      <c r="N1474" s="9">
        <f t="shared" ref="N1474:N1537" si="252">L1474-M1474-1</f>
        <v>2787</v>
      </c>
      <c r="O1474" s="9">
        <f t="shared" ref="O1474:O1537" si="253">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48"/>
        <v>0.75800000000000001</v>
      </c>
      <c r="AI1474" s="15">
        <v>0.24199999999999999</v>
      </c>
      <c r="AJ1474" s="35">
        <f t="shared" si="249"/>
        <v>0.46099999999999997</v>
      </c>
      <c r="AK1474" s="36">
        <v>0.53900000000000003</v>
      </c>
      <c r="AL1474" s="35">
        <v>0.25077720207253879</v>
      </c>
      <c r="AM1474" s="36">
        <f t="shared" si="250"/>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51"/>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35">
      <c r="A1475">
        <v>1474</v>
      </c>
      <c r="B1475">
        <v>91</v>
      </c>
      <c r="C1475" s="22" t="s">
        <v>1225</v>
      </c>
      <c r="D1475" s="11">
        <v>3.8</v>
      </c>
      <c r="E1475" s="12">
        <v>0.5</v>
      </c>
      <c r="F1475" s="7">
        <f t="shared" si="247"/>
        <v>7.6</v>
      </c>
      <c r="G1475" s="8">
        <v>0</v>
      </c>
      <c r="H1475" s="9">
        <v>0</v>
      </c>
      <c r="I1475" s="9">
        <v>0</v>
      </c>
      <c r="J1475" s="9">
        <v>0</v>
      </c>
      <c r="K1475" s="9">
        <v>1</v>
      </c>
      <c r="L1475" s="8">
        <v>2916</v>
      </c>
      <c r="M1475" s="9">
        <v>14</v>
      </c>
      <c r="N1475" s="9">
        <f t="shared" si="252"/>
        <v>2901</v>
      </c>
      <c r="O1475" s="9">
        <f t="shared" si="253"/>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48"/>
        <v>0.72399999999999998</v>
      </c>
      <c r="AI1475" s="15">
        <v>0.27600000000000002</v>
      </c>
      <c r="AJ1475" s="35">
        <f t="shared" si="249"/>
        <v>0.46199999999999997</v>
      </c>
      <c r="AK1475" s="36">
        <v>0.53800000000000003</v>
      </c>
      <c r="AL1475" s="35">
        <v>0.28779979144942652</v>
      </c>
      <c r="AM1475" s="36">
        <f t="shared" si="250"/>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51"/>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35">
      <c r="A1476">
        <v>1475</v>
      </c>
      <c r="B1476">
        <v>91</v>
      </c>
      <c r="C1476" s="22" t="s">
        <v>1225</v>
      </c>
      <c r="D1476" s="11">
        <v>4.8</v>
      </c>
      <c r="E1476" s="12">
        <v>0.5</v>
      </c>
      <c r="F1476" s="7">
        <f t="shared" si="247"/>
        <v>9.6</v>
      </c>
      <c r="G1476" s="8">
        <v>0</v>
      </c>
      <c r="H1476" s="9">
        <v>0</v>
      </c>
      <c r="I1476" s="9">
        <v>0</v>
      </c>
      <c r="J1476" s="9">
        <v>0</v>
      </c>
      <c r="K1476" s="9">
        <v>1</v>
      </c>
      <c r="L1476" s="8">
        <v>3278</v>
      </c>
      <c r="M1476" s="9">
        <v>14</v>
      </c>
      <c r="N1476" s="9">
        <f t="shared" si="252"/>
        <v>3263</v>
      </c>
      <c r="O1476" s="9">
        <f t="shared" si="253"/>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48"/>
        <v>0.70199999999999996</v>
      </c>
      <c r="AI1476" s="15">
        <v>0.29799999999999999</v>
      </c>
      <c r="AJ1476" s="35">
        <f t="shared" si="249"/>
        <v>0.47</v>
      </c>
      <c r="AK1476" s="36">
        <v>0.53</v>
      </c>
      <c r="AL1476" s="35">
        <v>0.31368421052631579</v>
      </c>
      <c r="AM1476" s="36">
        <f t="shared" si="250"/>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51"/>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3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52"/>
        <v>19576</v>
      </c>
      <c r="O1477" s="9">
        <f t="shared" si="253"/>
        <v>20</v>
      </c>
      <c r="P1477" s="7">
        <v>16</v>
      </c>
      <c r="Q1477" s="7">
        <f t="shared" ref="Q1477:Q1523" si="254">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55">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3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52"/>
        <v>19576</v>
      </c>
      <c r="O1478" s="9">
        <f t="shared" si="253"/>
        <v>20</v>
      </c>
      <c r="P1478" s="7">
        <v>18</v>
      </c>
      <c r="Q1478" s="7">
        <f t="shared" si="254"/>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55"/>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3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52"/>
        <v>19576</v>
      </c>
      <c r="O1479" s="9">
        <f t="shared" si="253"/>
        <v>20</v>
      </c>
      <c r="P1479" s="7">
        <v>13</v>
      </c>
      <c r="Q1479" s="7">
        <f t="shared" si="254"/>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55"/>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3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52"/>
        <v>16202</v>
      </c>
      <c r="O1480" s="9">
        <f t="shared" si="253"/>
        <v>20</v>
      </c>
      <c r="P1480" s="7">
        <v>16</v>
      </c>
      <c r="Q1480" s="7">
        <f t="shared" si="254"/>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55"/>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3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52"/>
        <v>16202</v>
      </c>
      <c r="O1481" s="9">
        <f t="shared" si="253"/>
        <v>20</v>
      </c>
      <c r="P1481" s="7">
        <v>18</v>
      </c>
      <c r="Q1481" s="7">
        <f t="shared" si="254"/>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55"/>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3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52"/>
        <v>16202</v>
      </c>
      <c r="O1482" s="9">
        <f t="shared" si="253"/>
        <v>20</v>
      </c>
      <c r="P1482" s="7">
        <v>13</v>
      </c>
      <c r="Q1482" s="7">
        <f t="shared" si="254"/>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55"/>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3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52"/>
        <v>19576</v>
      </c>
      <c r="O1483" s="9">
        <f t="shared" si="253"/>
        <v>20</v>
      </c>
      <c r="P1483" s="7">
        <v>16</v>
      </c>
      <c r="Q1483" s="7">
        <f t="shared" si="254"/>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55"/>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3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52"/>
        <v>19576</v>
      </c>
      <c r="O1484" s="9">
        <f t="shared" si="253"/>
        <v>20</v>
      </c>
      <c r="P1484" s="7">
        <v>18</v>
      </c>
      <c r="Q1484" s="7">
        <f t="shared" si="254"/>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55"/>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3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52"/>
        <v>19576</v>
      </c>
      <c r="O1485" s="9">
        <f t="shared" si="253"/>
        <v>20</v>
      </c>
      <c r="P1485" s="7">
        <v>13</v>
      </c>
      <c r="Q1485" s="7">
        <f t="shared" si="254"/>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55"/>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3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52"/>
        <v>16202</v>
      </c>
      <c r="O1486" s="9">
        <f t="shared" si="253"/>
        <v>20</v>
      </c>
      <c r="P1486" s="7">
        <v>16</v>
      </c>
      <c r="Q1486" s="7">
        <f t="shared" si="254"/>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55"/>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3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52"/>
        <v>16202</v>
      </c>
      <c r="O1487" s="9">
        <f t="shared" si="253"/>
        <v>20</v>
      </c>
      <c r="P1487" s="7">
        <v>18</v>
      </c>
      <c r="Q1487" s="7">
        <f t="shared" si="254"/>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55"/>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3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52"/>
        <v>16202</v>
      </c>
      <c r="O1488" s="9">
        <f t="shared" si="253"/>
        <v>20</v>
      </c>
      <c r="P1488" s="7">
        <v>13</v>
      </c>
      <c r="Q1488" s="7">
        <f t="shared" si="254"/>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55"/>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3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52"/>
        <v>19576</v>
      </c>
      <c r="O1489" s="9">
        <f t="shared" si="253"/>
        <v>20</v>
      </c>
      <c r="P1489" s="7">
        <v>18</v>
      </c>
      <c r="Q1489" s="7">
        <f t="shared" si="254"/>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55"/>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3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52"/>
        <v>19576</v>
      </c>
      <c r="O1490" s="9">
        <f t="shared" si="253"/>
        <v>20</v>
      </c>
      <c r="P1490" s="7">
        <v>13</v>
      </c>
      <c r="Q1490" s="7">
        <f t="shared" si="254"/>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55"/>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3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52"/>
        <v>16202</v>
      </c>
      <c r="O1491" s="9">
        <f t="shared" si="253"/>
        <v>20</v>
      </c>
      <c r="P1491" s="7">
        <v>18</v>
      </c>
      <c r="Q1491" s="7">
        <f t="shared" si="254"/>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55"/>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3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52"/>
        <v>16202</v>
      </c>
      <c r="O1492" s="9">
        <f t="shared" si="253"/>
        <v>20</v>
      </c>
      <c r="P1492" s="7">
        <v>13</v>
      </c>
      <c r="Q1492" s="7">
        <f t="shared" si="254"/>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55"/>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3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52"/>
        <v>19576</v>
      </c>
      <c r="O1493" s="9">
        <f t="shared" si="253"/>
        <v>20</v>
      </c>
      <c r="P1493" s="7">
        <v>18</v>
      </c>
      <c r="Q1493" s="7">
        <f t="shared" si="254"/>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55"/>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3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52"/>
        <v>19576</v>
      </c>
      <c r="O1494" s="9">
        <f t="shared" si="253"/>
        <v>20</v>
      </c>
      <c r="P1494" s="7">
        <v>13</v>
      </c>
      <c r="Q1494" s="7">
        <f t="shared" si="254"/>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55"/>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3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52"/>
        <v>16202</v>
      </c>
      <c r="O1495" s="9">
        <f t="shared" si="253"/>
        <v>20</v>
      </c>
      <c r="P1495" s="7">
        <v>18</v>
      </c>
      <c r="Q1495" s="7">
        <f t="shared" si="254"/>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55"/>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3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52"/>
        <v>16202</v>
      </c>
      <c r="O1496" s="9">
        <f t="shared" si="253"/>
        <v>20</v>
      </c>
      <c r="P1496" s="7">
        <v>13</v>
      </c>
      <c r="Q1496" s="7">
        <f t="shared" si="254"/>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55"/>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3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52"/>
        <v>34341</v>
      </c>
      <c r="O1497" s="9">
        <f t="shared" si="253"/>
        <v>3</v>
      </c>
      <c r="P1497" s="7">
        <v>10.15</v>
      </c>
      <c r="Q1497" s="7">
        <f t="shared" si="254"/>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3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52"/>
        <v>34341</v>
      </c>
      <c r="O1498" s="9">
        <f t="shared" si="253"/>
        <v>3</v>
      </c>
      <c r="P1498" s="7">
        <v>10.15</v>
      </c>
      <c r="Q1498" s="7">
        <f t="shared" si="254"/>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3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52"/>
        <v>34341</v>
      </c>
      <c r="O1499" s="9">
        <f t="shared" si="253"/>
        <v>3</v>
      </c>
      <c r="P1499" s="7">
        <v>10.15</v>
      </c>
      <c r="Q1499" s="7">
        <f t="shared" si="254"/>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35">
      <c r="A1500">
        <v>1499</v>
      </c>
      <c r="B1500">
        <v>94</v>
      </c>
      <c r="C1500" s="22" t="s">
        <v>1237</v>
      </c>
      <c r="D1500" s="11">
        <v>4.95</v>
      </c>
      <c r="E1500" s="12">
        <v>0.05</v>
      </c>
      <c r="F1500" s="7">
        <f t="shared" ref="F1500:F1535" si="256">D1500/E1500</f>
        <v>99</v>
      </c>
      <c r="G1500" s="8">
        <v>0</v>
      </c>
      <c r="H1500" s="9">
        <v>0</v>
      </c>
      <c r="I1500" s="9">
        <v>0</v>
      </c>
      <c r="J1500" s="9">
        <v>0</v>
      </c>
      <c r="K1500" s="9">
        <v>1</v>
      </c>
      <c r="L1500" s="8">
        <v>68676</v>
      </c>
      <c r="M1500" s="9">
        <v>28</v>
      </c>
      <c r="N1500" s="9">
        <f t="shared" si="252"/>
        <v>68647</v>
      </c>
      <c r="O1500" s="9">
        <f t="shared" si="253"/>
        <v>8</v>
      </c>
      <c r="P1500" s="7">
        <v>9.43</v>
      </c>
      <c r="Q1500" s="7">
        <f t="shared" si="254"/>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57">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35">
      <c r="A1501">
        <v>1500</v>
      </c>
      <c r="B1501">
        <v>94</v>
      </c>
      <c r="C1501" s="22" t="s">
        <v>1237</v>
      </c>
      <c r="D1501" s="11">
        <v>21.03</v>
      </c>
      <c r="E1501" s="12">
        <v>1.85</v>
      </c>
      <c r="F1501" s="7">
        <f t="shared" si="256"/>
        <v>11.367567567567567</v>
      </c>
      <c r="G1501" s="8">
        <v>0</v>
      </c>
      <c r="H1501" s="9">
        <v>0</v>
      </c>
      <c r="I1501" s="9">
        <v>0</v>
      </c>
      <c r="J1501" s="9">
        <v>0</v>
      </c>
      <c r="K1501" s="9">
        <v>1</v>
      </c>
      <c r="L1501" s="8">
        <v>68676</v>
      </c>
      <c r="M1501" s="9">
        <v>28</v>
      </c>
      <c r="N1501" s="9">
        <f t="shared" si="252"/>
        <v>68647</v>
      </c>
      <c r="O1501" s="9">
        <f t="shared" si="253"/>
        <v>8</v>
      </c>
      <c r="P1501" s="7">
        <v>9.43</v>
      </c>
      <c r="Q1501" s="7">
        <f t="shared" si="254"/>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57"/>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35">
      <c r="A1502">
        <v>1501</v>
      </c>
      <c r="B1502">
        <v>94</v>
      </c>
      <c r="C1502" s="22" t="s">
        <v>1237</v>
      </c>
      <c r="D1502" s="11">
        <v>23.4</v>
      </c>
      <c r="E1502" s="12">
        <v>2.5299999999999998</v>
      </c>
      <c r="F1502" s="7">
        <f t="shared" si="256"/>
        <v>9.2490118577075098</v>
      </c>
      <c r="G1502" s="8">
        <v>0</v>
      </c>
      <c r="H1502" s="9">
        <v>0</v>
      </c>
      <c r="I1502" s="9">
        <v>0</v>
      </c>
      <c r="J1502" s="9">
        <v>0</v>
      </c>
      <c r="K1502" s="9">
        <v>1</v>
      </c>
      <c r="L1502" s="8">
        <v>68676</v>
      </c>
      <c r="M1502" s="9">
        <v>28</v>
      </c>
      <c r="N1502" s="9">
        <f t="shared" si="252"/>
        <v>68647</v>
      </c>
      <c r="O1502" s="9">
        <f t="shared" si="253"/>
        <v>8</v>
      </c>
      <c r="P1502" s="7">
        <v>9.43</v>
      </c>
      <c r="Q1502" s="7">
        <f t="shared" si="254"/>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57"/>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35">
      <c r="A1503">
        <v>1502</v>
      </c>
      <c r="B1503">
        <v>94</v>
      </c>
      <c r="C1503" s="22" t="s">
        <v>1237</v>
      </c>
      <c r="D1503" s="11">
        <v>20.62</v>
      </c>
      <c r="E1503" s="12">
        <v>1.93</v>
      </c>
      <c r="F1503" s="7">
        <f t="shared" si="256"/>
        <v>10.683937823834198</v>
      </c>
      <c r="G1503" s="8">
        <v>0</v>
      </c>
      <c r="H1503" s="9">
        <v>0</v>
      </c>
      <c r="I1503" s="9">
        <v>0</v>
      </c>
      <c r="J1503" s="9">
        <v>0</v>
      </c>
      <c r="K1503" s="9">
        <v>1</v>
      </c>
      <c r="L1503" s="8">
        <v>68676</v>
      </c>
      <c r="M1503" s="9">
        <v>28</v>
      </c>
      <c r="N1503" s="9">
        <f t="shared" si="252"/>
        <v>68647</v>
      </c>
      <c r="O1503" s="9">
        <f t="shared" si="253"/>
        <v>8</v>
      </c>
      <c r="P1503" s="7">
        <v>9.43</v>
      </c>
      <c r="Q1503" s="7">
        <f t="shared" si="254"/>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57"/>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35">
      <c r="A1504">
        <v>1503</v>
      </c>
      <c r="B1504">
        <v>94</v>
      </c>
      <c r="C1504" s="22" t="s">
        <v>1237</v>
      </c>
      <c r="D1504" s="11">
        <v>9.84</v>
      </c>
      <c r="E1504" s="12">
        <v>0.17</v>
      </c>
      <c r="F1504" s="7">
        <f t="shared" si="256"/>
        <v>57.882352941176464</v>
      </c>
      <c r="G1504" s="8">
        <v>0</v>
      </c>
      <c r="H1504" s="9">
        <v>0</v>
      </c>
      <c r="I1504" s="9">
        <v>0</v>
      </c>
      <c r="J1504" s="9">
        <v>0</v>
      </c>
      <c r="K1504" s="9">
        <v>1</v>
      </c>
      <c r="L1504" s="8">
        <v>68676</v>
      </c>
      <c r="M1504" s="9">
        <v>28</v>
      </c>
      <c r="N1504" s="9">
        <f t="shared" si="252"/>
        <v>68647</v>
      </c>
      <c r="O1504" s="9">
        <f t="shared" si="253"/>
        <v>8</v>
      </c>
      <c r="P1504" s="7">
        <v>9.43</v>
      </c>
      <c r="Q1504" s="7">
        <f t="shared" si="254"/>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57"/>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35">
      <c r="A1505">
        <v>1504</v>
      </c>
      <c r="B1505">
        <v>94</v>
      </c>
      <c r="C1505" s="22" t="s">
        <v>1237</v>
      </c>
      <c r="D1505" s="11">
        <v>9.4</v>
      </c>
      <c r="E1505" s="12">
        <v>3.66</v>
      </c>
      <c r="F1505" s="7">
        <f t="shared" si="256"/>
        <v>2.5683060109289619</v>
      </c>
      <c r="G1505" s="8">
        <v>0</v>
      </c>
      <c r="H1505" s="9">
        <v>0</v>
      </c>
      <c r="I1505" s="9">
        <v>0</v>
      </c>
      <c r="J1505" s="9">
        <v>0</v>
      </c>
      <c r="K1505" s="9">
        <v>1</v>
      </c>
      <c r="L1505" s="8">
        <v>68676</v>
      </c>
      <c r="M1505" s="9">
        <v>28</v>
      </c>
      <c r="N1505" s="9">
        <f t="shared" si="252"/>
        <v>68647</v>
      </c>
      <c r="O1505" s="9">
        <f t="shared" si="253"/>
        <v>8</v>
      </c>
      <c r="P1505" s="7">
        <v>9.43</v>
      </c>
      <c r="Q1505" s="7">
        <f t="shared" si="254"/>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57"/>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35">
      <c r="A1506">
        <v>1505</v>
      </c>
      <c r="B1506">
        <v>94</v>
      </c>
      <c r="C1506" s="22" t="s">
        <v>1237</v>
      </c>
      <c r="D1506" s="11">
        <v>13.33</v>
      </c>
      <c r="E1506" s="12">
        <v>5.04</v>
      </c>
      <c r="F1506" s="7">
        <f t="shared" si="256"/>
        <v>2.6448412698412698</v>
      </c>
      <c r="G1506" s="8">
        <v>0</v>
      </c>
      <c r="H1506" s="9">
        <v>0</v>
      </c>
      <c r="I1506" s="9">
        <v>0</v>
      </c>
      <c r="J1506" s="9">
        <v>0</v>
      </c>
      <c r="K1506" s="9">
        <v>1</v>
      </c>
      <c r="L1506" s="8">
        <v>68676</v>
      </c>
      <c r="M1506" s="9">
        <v>28</v>
      </c>
      <c r="N1506" s="9">
        <f t="shared" si="252"/>
        <v>68647</v>
      </c>
      <c r="O1506" s="9">
        <f t="shared" si="253"/>
        <v>8</v>
      </c>
      <c r="P1506" s="7">
        <v>9.43</v>
      </c>
      <c r="Q1506" s="7">
        <f t="shared" si="254"/>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57"/>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35">
      <c r="A1507">
        <v>1506</v>
      </c>
      <c r="B1507">
        <v>94</v>
      </c>
      <c r="C1507" s="22" t="s">
        <v>1237</v>
      </c>
      <c r="D1507" s="11">
        <v>0.38</v>
      </c>
      <c r="E1507" s="12">
        <v>5.71</v>
      </c>
      <c r="F1507" s="7">
        <f t="shared" si="256"/>
        <v>6.6549912434325745E-2</v>
      </c>
      <c r="G1507" s="8">
        <v>0</v>
      </c>
      <c r="H1507" s="9">
        <v>0</v>
      </c>
      <c r="I1507" s="9">
        <v>0</v>
      </c>
      <c r="J1507" s="9">
        <v>0</v>
      </c>
      <c r="K1507" s="9">
        <v>1</v>
      </c>
      <c r="L1507" s="8">
        <v>68676</v>
      </c>
      <c r="M1507" s="9">
        <v>28</v>
      </c>
      <c r="N1507" s="9">
        <f t="shared" si="252"/>
        <v>68647</v>
      </c>
      <c r="O1507" s="9">
        <f t="shared" si="253"/>
        <v>8</v>
      </c>
      <c r="P1507" s="7">
        <v>9.43</v>
      </c>
      <c r="Q1507" s="7">
        <f t="shared" si="254"/>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57"/>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35">
      <c r="A1508">
        <v>1507</v>
      </c>
      <c r="B1508">
        <v>95</v>
      </c>
      <c r="C1508" s="22" t="s">
        <v>1240</v>
      </c>
      <c r="D1508" s="11">
        <v>10.9</v>
      </c>
      <c r="E1508" s="12">
        <v>0.2</v>
      </c>
      <c r="F1508" s="7">
        <f t="shared" si="256"/>
        <v>54.5</v>
      </c>
      <c r="G1508" s="8">
        <v>0</v>
      </c>
      <c r="H1508" s="9">
        <v>0</v>
      </c>
      <c r="I1508" s="9">
        <v>0</v>
      </c>
      <c r="J1508" s="9">
        <v>0</v>
      </c>
      <c r="K1508" s="9">
        <v>1</v>
      </c>
      <c r="L1508" s="8">
        <v>9550</v>
      </c>
      <c r="M1508" s="9">
        <v>25</v>
      </c>
      <c r="N1508" s="9">
        <f t="shared" si="252"/>
        <v>9524</v>
      </c>
      <c r="O1508" s="9">
        <f t="shared" si="253"/>
        <v>16</v>
      </c>
      <c r="P1508" s="7">
        <f t="shared" ref="P1508:P1523" si="258">AD1508*0+AE1508*6+AF1508*12+AG1508*15</f>
        <v>11.3163</v>
      </c>
      <c r="Q1508" s="7">
        <f t="shared" si="254"/>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59">1-AE1508-AD1508-AG1508</f>
        <v>0.67910000000000004</v>
      </c>
      <c r="AG1508" s="39">
        <v>0.1837</v>
      </c>
      <c r="AH1508" s="38">
        <v>0.50700000000000001</v>
      </c>
      <c r="AI1508" s="15">
        <f t="shared" ref="AI1508:AI1519" si="260">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35">
      <c r="A1509">
        <v>1508</v>
      </c>
      <c r="B1509">
        <v>95</v>
      </c>
      <c r="C1509" s="22" t="s">
        <v>1240</v>
      </c>
      <c r="D1509" s="11">
        <v>10.9</v>
      </c>
      <c r="E1509" s="12">
        <v>0.2</v>
      </c>
      <c r="F1509" s="7">
        <f t="shared" si="256"/>
        <v>54.5</v>
      </c>
      <c r="G1509" s="8">
        <v>0</v>
      </c>
      <c r="H1509" s="9">
        <v>0</v>
      </c>
      <c r="I1509" s="9">
        <v>0</v>
      </c>
      <c r="J1509" s="9">
        <v>0</v>
      </c>
      <c r="K1509" s="9">
        <v>1</v>
      </c>
      <c r="L1509" s="8">
        <v>9550</v>
      </c>
      <c r="M1509" s="9">
        <v>25</v>
      </c>
      <c r="N1509" s="9">
        <f t="shared" si="252"/>
        <v>9524</v>
      </c>
      <c r="O1509" s="9">
        <f t="shared" si="253"/>
        <v>16</v>
      </c>
      <c r="P1509" s="7">
        <f t="shared" si="258"/>
        <v>11.3163</v>
      </c>
      <c r="Q1509" s="7">
        <f t="shared" si="254"/>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59"/>
        <v>0.67910000000000004</v>
      </c>
      <c r="AG1509" s="39">
        <v>0.1837</v>
      </c>
      <c r="AH1509" s="38">
        <v>0.50700000000000001</v>
      </c>
      <c r="AI1509" s="15">
        <f t="shared" si="260"/>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35">
      <c r="A1510">
        <v>1509</v>
      </c>
      <c r="B1510">
        <v>95</v>
      </c>
      <c r="C1510" s="22" t="s">
        <v>1240</v>
      </c>
      <c r="D1510" s="11">
        <v>10.3</v>
      </c>
      <c r="E1510" s="12">
        <v>0.2</v>
      </c>
      <c r="F1510" s="7">
        <f t="shared" si="256"/>
        <v>51.5</v>
      </c>
      <c r="G1510" s="8">
        <v>0</v>
      </c>
      <c r="H1510" s="9">
        <v>0</v>
      </c>
      <c r="I1510" s="9">
        <v>0</v>
      </c>
      <c r="J1510" s="9">
        <v>0</v>
      </c>
      <c r="K1510" s="9">
        <v>1</v>
      </c>
      <c r="L1510" s="8">
        <v>9550</v>
      </c>
      <c r="M1510" s="9">
        <v>25</v>
      </c>
      <c r="N1510" s="9">
        <f t="shared" si="252"/>
        <v>9524</v>
      </c>
      <c r="O1510" s="9">
        <f t="shared" si="253"/>
        <v>16</v>
      </c>
      <c r="P1510" s="7">
        <f t="shared" si="258"/>
        <v>11.3163</v>
      </c>
      <c r="Q1510" s="7">
        <f t="shared" si="254"/>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59"/>
        <v>0.67910000000000004</v>
      </c>
      <c r="AG1510" s="39">
        <v>0.1837</v>
      </c>
      <c r="AH1510" s="38">
        <v>0.50700000000000001</v>
      </c>
      <c r="AI1510" s="15">
        <f t="shared" si="260"/>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35">
      <c r="A1511">
        <v>1510</v>
      </c>
      <c r="B1511">
        <v>95</v>
      </c>
      <c r="C1511" s="22" t="s">
        <v>1240</v>
      </c>
      <c r="D1511" s="11">
        <v>10.199999999999999</v>
      </c>
      <c r="E1511" s="12">
        <v>0.3</v>
      </c>
      <c r="F1511" s="7">
        <f t="shared" si="256"/>
        <v>34</v>
      </c>
      <c r="G1511" s="8">
        <v>0</v>
      </c>
      <c r="H1511" s="9">
        <v>0</v>
      </c>
      <c r="I1511" s="9">
        <v>0</v>
      </c>
      <c r="J1511" s="9">
        <v>0</v>
      </c>
      <c r="K1511" s="9">
        <v>1</v>
      </c>
      <c r="L1511" s="8">
        <v>9550</v>
      </c>
      <c r="M1511" s="9">
        <v>25</v>
      </c>
      <c r="N1511" s="9">
        <f t="shared" si="252"/>
        <v>9524</v>
      </c>
      <c r="O1511" s="9">
        <f t="shared" si="253"/>
        <v>16</v>
      </c>
      <c r="P1511" s="7">
        <f t="shared" si="258"/>
        <v>11.3163</v>
      </c>
      <c r="Q1511" s="7">
        <f t="shared" si="254"/>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59"/>
        <v>0.67910000000000004</v>
      </c>
      <c r="AG1511" s="39">
        <v>0.1837</v>
      </c>
      <c r="AH1511" s="38">
        <v>0.50700000000000001</v>
      </c>
      <c r="AI1511" s="15">
        <f t="shared" si="260"/>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35">
      <c r="A1512">
        <v>1511</v>
      </c>
      <c r="B1512">
        <v>95</v>
      </c>
      <c r="C1512" s="22" t="s">
        <v>1240</v>
      </c>
      <c r="D1512" s="11">
        <v>6.41</v>
      </c>
      <c r="E1512" s="12">
        <v>0.2</v>
      </c>
      <c r="F1512" s="7">
        <f t="shared" si="256"/>
        <v>32.049999999999997</v>
      </c>
      <c r="G1512" s="8">
        <v>0</v>
      </c>
      <c r="H1512" s="9">
        <v>0</v>
      </c>
      <c r="I1512" s="9">
        <v>0</v>
      </c>
      <c r="J1512" s="9">
        <v>0</v>
      </c>
      <c r="K1512" s="9">
        <v>1</v>
      </c>
      <c r="L1512" s="8">
        <v>10001</v>
      </c>
      <c r="M1512" s="9">
        <v>25</v>
      </c>
      <c r="N1512" s="9">
        <f t="shared" si="252"/>
        <v>9975</v>
      </c>
      <c r="O1512" s="9">
        <f t="shared" si="253"/>
        <v>16</v>
      </c>
      <c r="P1512" s="7">
        <f t="shared" si="258"/>
        <v>11.3163</v>
      </c>
      <c r="Q1512" s="7">
        <f t="shared" si="254"/>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59"/>
        <v>0.67910000000000004</v>
      </c>
      <c r="AG1512" s="39">
        <v>0.1837</v>
      </c>
      <c r="AH1512" s="38">
        <v>1</v>
      </c>
      <c r="AI1512" s="15">
        <f t="shared" si="260"/>
        <v>0</v>
      </c>
      <c r="AJ1512" s="29">
        <v>1</v>
      </c>
      <c r="AK1512" s="36">
        <f t="shared" ref="AK1512:AK1535" si="261">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35">
      <c r="A1513">
        <v>1512</v>
      </c>
      <c r="B1513">
        <v>95</v>
      </c>
      <c r="C1513" s="22" t="s">
        <v>1240</v>
      </c>
      <c r="D1513" s="11">
        <v>10.27</v>
      </c>
      <c r="E1513" s="12">
        <v>0.2</v>
      </c>
      <c r="F1513" s="7">
        <f t="shared" si="256"/>
        <v>51.349999999999994</v>
      </c>
      <c r="G1513" s="8">
        <v>0</v>
      </c>
      <c r="H1513" s="9">
        <v>0</v>
      </c>
      <c r="I1513" s="9">
        <v>0</v>
      </c>
      <c r="J1513" s="9">
        <v>0</v>
      </c>
      <c r="K1513" s="9">
        <v>1</v>
      </c>
      <c r="L1513" s="8">
        <v>9550</v>
      </c>
      <c r="M1513" s="9">
        <v>25</v>
      </c>
      <c r="N1513" s="9">
        <f t="shared" si="252"/>
        <v>9524</v>
      </c>
      <c r="O1513" s="9">
        <f t="shared" si="253"/>
        <v>16</v>
      </c>
      <c r="P1513" s="7">
        <f t="shared" si="258"/>
        <v>11.3163</v>
      </c>
      <c r="Q1513" s="7">
        <f t="shared" si="254"/>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59"/>
        <v>0.67910000000000004</v>
      </c>
      <c r="AG1513" s="39">
        <v>0.1837</v>
      </c>
      <c r="AH1513" s="38">
        <v>1</v>
      </c>
      <c r="AI1513" s="15">
        <f t="shared" si="260"/>
        <v>0</v>
      </c>
      <c r="AJ1513" s="29">
        <v>0</v>
      </c>
      <c r="AK1513" s="36">
        <f t="shared" si="261"/>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35">
      <c r="A1514">
        <v>1513</v>
      </c>
      <c r="B1514">
        <v>95</v>
      </c>
      <c r="C1514" s="22" t="s">
        <v>1240</v>
      </c>
      <c r="D1514" s="11">
        <v>6.91</v>
      </c>
      <c r="E1514" s="12">
        <v>0.3</v>
      </c>
      <c r="F1514" s="7">
        <f t="shared" si="256"/>
        <v>23.033333333333335</v>
      </c>
      <c r="G1514" s="8">
        <v>0</v>
      </c>
      <c r="H1514" s="9">
        <v>0</v>
      </c>
      <c r="I1514" s="9">
        <v>0</v>
      </c>
      <c r="J1514" s="9">
        <v>0</v>
      </c>
      <c r="K1514" s="9">
        <v>1</v>
      </c>
      <c r="L1514" s="8">
        <v>10001</v>
      </c>
      <c r="M1514" s="9">
        <v>25</v>
      </c>
      <c r="N1514" s="9">
        <f t="shared" si="252"/>
        <v>9975</v>
      </c>
      <c r="O1514" s="9">
        <f t="shared" si="253"/>
        <v>16</v>
      </c>
      <c r="P1514" s="7">
        <f t="shared" si="258"/>
        <v>11.3163</v>
      </c>
      <c r="Q1514" s="7">
        <f t="shared" si="254"/>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59"/>
        <v>0.67910000000000004</v>
      </c>
      <c r="AG1514" s="39">
        <v>0.1837</v>
      </c>
      <c r="AH1514" s="38">
        <v>1</v>
      </c>
      <c r="AI1514" s="15">
        <f t="shared" si="260"/>
        <v>0</v>
      </c>
      <c r="AJ1514" s="29">
        <v>1</v>
      </c>
      <c r="AK1514" s="36">
        <f t="shared" si="261"/>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35">
      <c r="A1515">
        <v>1514</v>
      </c>
      <c r="B1515">
        <v>95</v>
      </c>
      <c r="C1515" s="22" t="s">
        <v>1240</v>
      </c>
      <c r="D1515" s="11">
        <v>10.32</v>
      </c>
      <c r="E1515" s="12">
        <v>0.2</v>
      </c>
      <c r="F1515" s="7">
        <f t="shared" si="256"/>
        <v>51.6</v>
      </c>
      <c r="G1515" s="8">
        <v>0</v>
      </c>
      <c r="H1515" s="9">
        <v>0</v>
      </c>
      <c r="I1515" s="9">
        <v>0</v>
      </c>
      <c r="J1515" s="9">
        <v>0</v>
      </c>
      <c r="K1515" s="9">
        <v>1</v>
      </c>
      <c r="L1515" s="8">
        <v>9550</v>
      </c>
      <c r="M1515" s="9">
        <v>25</v>
      </c>
      <c r="N1515" s="9">
        <f t="shared" si="252"/>
        <v>9524</v>
      </c>
      <c r="O1515" s="9">
        <f t="shared" si="253"/>
        <v>16</v>
      </c>
      <c r="P1515" s="7">
        <f t="shared" si="258"/>
        <v>11.3163</v>
      </c>
      <c r="Q1515" s="7">
        <f t="shared" si="254"/>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59"/>
        <v>0.67910000000000004</v>
      </c>
      <c r="AG1515" s="39">
        <v>0.1837</v>
      </c>
      <c r="AH1515" s="38">
        <v>1</v>
      </c>
      <c r="AI1515" s="15">
        <f t="shared" si="260"/>
        <v>0</v>
      </c>
      <c r="AJ1515" s="29">
        <v>0</v>
      </c>
      <c r="AK1515" s="36">
        <f t="shared" si="261"/>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35">
      <c r="A1516">
        <v>1515</v>
      </c>
      <c r="B1516">
        <v>95</v>
      </c>
      <c r="C1516" s="22" t="s">
        <v>1240</v>
      </c>
      <c r="D1516" s="11">
        <v>5.14</v>
      </c>
      <c r="E1516" s="12">
        <v>0.8</v>
      </c>
      <c r="F1516" s="7">
        <f t="shared" si="256"/>
        <v>6.4249999999999989</v>
      </c>
      <c r="G1516" s="8">
        <v>0</v>
      </c>
      <c r="H1516" s="9">
        <v>0</v>
      </c>
      <c r="I1516" s="9">
        <v>0</v>
      </c>
      <c r="J1516" s="9">
        <v>0</v>
      </c>
      <c r="K1516" s="9">
        <v>1</v>
      </c>
      <c r="L1516" s="8">
        <v>1717</v>
      </c>
      <c r="M1516" s="9">
        <v>25</v>
      </c>
      <c r="N1516" s="9">
        <f t="shared" si="252"/>
        <v>1691</v>
      </c>
      <c r="O1516" s="9">
        <f t="shared" si="253"/>
        <v>16</v>
      </c>
      <c r="P1516" s="7">
        <f t="shared" si="258"/>
        <v>11.3163</v>
      </c>
      <c r="Q1516" s="7">
        <f t="shared" si="254"/>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59"/>
        <v>0.67910000000000004</v>
      </c>
      <c r="AG1516" s="39">
        <v>0.1837</v>
      </c>
      <c r="AH1516" s="38">
        <v>0</v>
      </c>
      <c r="AI1516" s="15">
        <f t="shared" si="260"/>
        <v>1</v>
      </c>
      <c r="AJ1516" s="29">
        <v>1</v>
      </c>
      <c r="AK1516" s="36">
        <f t="shared" si="261"/>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35">
      <c r="A1517">
        <v>1516</v>
      </c>
      <c r="B1517">
        <v>95</v>
      </c>
      <c r="C1517" s="22" t="s">
        <v>1240</v>
      </c>
      <c r="D1517" s="11">
        <v>7.63</v>
      </c>
      <c r="E1517" s="12">
        <v>1.5</v>
      </c>
      <c r="F1517" s="7">
        <f t="shared" si="256"/>
        <v>5.0866666666666669</v>
      </c>
      <c r="G1517" s="8">
        <v>0</v>
      </c>
      <c r="H1517" s="9">
        <v>0</v>
      </c>
      <c r="I1517" s="9">
        <v>0</v>
      </c>
      <c r="J1517" s="9">
        <v>0</v>
      </c>
      <c r="K1517" s="9">
        <v>1</v>
      </c>
      <c r="L1517" s="8">
        <v>563</v>
      </c>
      <c r="M1517" s="9">
        <v>25</v>
      </c>
      <c r="N1517" s="9">
        <f t="shared" si="252"/>
        <v>537</v>
      </c>
      <c r="O1517" s="9">
        <f t="shared" si="253"/>
        <v>16</v>
      </c>
      <c r="P1517" s="7">
        <f t="shared" si="258"/>
        <v>11.3163</v>
      </c>
      <c r="Q1517" s="7">
        <f t="shared" si="254"/>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59"/>
        <v>0.67910000000000004</v>
      </c>
      <c r="AG1517" s="39">
        <v>0.1837</v>
      </c>
      <c r="AH1517" s="38">
        <v>0</v>
      </c>
      <c r="AI1517" s="15">
        <f t="shared" si="260"/>
        <v>1</v>
      </c>
      <c r="AJ1517" s="29">
        <v>0</v>
      </c>
      <c r="AK1517" s="36">
        <f t="shared" si="261"/>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35">
      <c r="A1518">
        <v>1517</v>
      </c>
      <c r="B1518">
        <v>95</v>
      </c>
      <c r="C1518" s="22" t="s">
        <v>1240</v>
      </c>
      <c r="D1518" s="11">
        <v>5.52</v>
      </c>
      <c r="E1518" s="12">
        <v>2.2000000000000002</v>
      </c>
      <c r="F1518" s="7">
        <f t="shared" si="256"/>
        <v>2.5090909090909088</v>
      </c>
      <c r="G1518" s="8">
        <v>0</v>
      </c>
      <c r="H1518" s="9">
        <v>0</v>
      </c>
      <c r="I1518" s="9">
        <v>0</v>
      </c>
      <c r="J1518" s="9">
        <v>0</v>
      </c>
      <c r="K1518" s="9">
        <v>1</v>
      </c>
      <c r="L1518" s="8">
        <v>1717</v>
      </c>
      <c r="M1518" s="9">
        <v>25</v>
      </c>
      <c r="N1518" s="9">
        <f t="shared" si="252"/>
        <v>1691</v>
      </c>
      <c r="O1518" s="9">
        <f t="shared" si="253"/>
        <v>16</v>
      </c>
      <c r="P1518" s="7">
        <f t="shared" si="258"/>
        <v>11.3163</v>
      </c>
      <c r="Q1518" s="7">
        <f t="shared" si="254"/>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59"/>
        <v>0.67910000000000004</v>
      </c>
      <c r="AG1518" s="39">
        <v>0.1837</v>
      </c>
      <c r="AH1518" s="38">
        <v>0</v>
      </c>
      <c r="AI1518" s="15">
        <f t="shared" si="260"/>
        <v>1</v>
      </c>
      <c r="AJ1518" s="29">
        <v>1</v>
      </c>
      <c r="AK1518" s="36">
        <f t="shared" si="261"/>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35">
      <c r="A1519">
        <v>1518</v>
      </c>
      <c r="B1519">
        <v>95</v>
      </c>
      <c r="C1519" s="22" t="s">
        <v>1240</v>
      </c>
      <c r="D1519" s="11">
        <v>7.84</v>
      </c>
      <c r="E1519" s="12">
        <v>6.6</v>
      </c>
      <c r="F1519" s="7">
        <f t="shared" si="256"/>
        <v>1.187878787878788</v>
      </c>
      <c r="G1519" s="8">
        <v>0</v>
      </c>
      <c r="H1519" s="9">
        <v>0</v>
      </c>
      <c r="I1519" s="9">
        <v>0</v>
      </c>
      <c r="J1519" s="9">
        <v>0</v>
      </c>
      <c r="K1519" s="9">
        <v>1</v>
      </c>
      <c r="L1519" s="8">
        <v>563</v>
      </c>
      <c r="M1519" s="9">
        <v>25</v>
      </c>
      <c r="N1519" s="9">
        <f t="shared" si="252"/>
        <v>537</v>
      </c>
      <c r="O1519" s="9">
        <f t="shared" si="253"/>
        <v>16</v>
      </c>
      <c r="P1519" s="7">
        <f t="shared" si="258"/>
        <v>11.3163</v>
      </c>
      <c r="Q1519" s="7">
        <f t="shared" si="254"/>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59"/>
        <v>0.67910000000000004</v>
      </c>
      <c r="AG1519" s="39">
        <v>0.1837</v>
      </c>
      <c r="AH1519" s="38">
        <v>0</v>
      </c>
      <c r="AI1519" s="15">
        <f t="shared" si="260"/>
        <v>1</v>
      </c>
      <c r="AJ1519" s="29">
        <v>0</v>
      </c>
      <c r="AK1519" s="36">
        <f t="shared" si="261"/>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35">
      <c r="A1520">
        <v>1519</v>
      </c>
      <c r="B1520">
        <v>95</v>
      </c>
      <c r="C1520" s="22" t="s">
        <v>1240</v>
      </c>
      <c r="D1520" s="11">
        <v>10.6</v>
      </c>
      <c r="E1520" s="12">
        <v>1.4</v>
      </c>
      <c r="F1520" s="7">
        <f t="shared" si="256"/>
        <v>7.5714285714285721</v>
      </c>
      <c r="G1520" s="8">
        <v>0</v>
      </c>
      <c r="H1520" s="9">
        <v>0</v>
      </c>
      <c r="I1520" s="9">
        <v>0</v>
      </c>
      <c r="J1520" s="9">
        <v>0</v>
      </c>
      <c r="K1520" s="9">
        <v>1</v>
      </c>
      <c r="L1520" s="8">
        <v>15866</v>
      </c>
      <c r="M1520" s="9">
        <v>8</v>
      </c>
      <c r="N1520" s="9">
        <f t="shared" si="252"/>
        <v>15857</v>
      </c>
      <c r="O1520" s="9">
        <f t="shared" si="253"/>
        <v>16</v>
      </c>
      <c r="P1520" s="7">
        <f t="shared" si="258"/>
        <v>8.9309999999999992</v>
      </c>
      <c r="Q1520" s="7">
        <f t="shared" si="254"/>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59"/>
        <v>0.14199999999999996</v>
      </c>
      <c r="AG1520" s="39">
        <v>0.311</v>
      </c>
      <c r="AH1520" s="38" t="s">
        <v>94</v>
      </c>
      <c r="AI1520" s="15" t="s">
        <v>94</v>
      </c>
      <c r="AJ1520" s="29">
        <v>1</v>
      </c>
      <c r="AK1520" s="36">
        <f t="shared" si="261"/>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35">
      <c r="A1521">
        <v>1520</v>
      </c>
      <c r="B1521">
        <v>95</v>
      </c>
      <c r="C1521" s="22" t="s">
        <v>1240</v>
      </c>
      <c r="D1521" s="11">
        <v>8.9</v>
      </c>
      <c r="E1521" s="12">
        <v>0.9</v>
      </c>
      <c r="F1521" s="7">
        <f t="shared" si="256"/>
        <v>9.8888888888888893</v>
      </c>
      <c r="G1521" s="8">
        <v>0</v>
      </c>
      <c r="H1521" s="9">
        <v>0</v>
      </c>
      <c r="I1521" s="9">
        <v>0</v>
      </c>
      <c r="J1521" s="9">
        <v>0</v>
      </c>
      <c r="K1521" s="9">
        <v>1</v>
      </c>
      <c r="L1521" s="8">
        <v>15002</v>
      </c>
      <c r="M1521" s="9">
        <v>8</v>
      </c>
      <c r="N1521" s="9">
        <f t="shared" si="252"/>
        <v>14993</v>
      </c>
      <c r="O1521" s="9">
        <f t="shared" si="253"/>
        <v>16</v>
      </c>
      <c r="P1521" s="7">
        <f t="shared" si="258"/>
        <v>8.9309999999999992</v>
      </c>
      <c r="Q1521" s="7">
        <f t="shared" si="254"/>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59"/>
        <v>0.14199999999999996</v>
      </c>
      <c r="AG1521" s="39">
        <v>0.311</v>
      </c>
      <c r="AH1521" s="38" t="s">
        <v>94</v>
      </c>
      <c r="AI1521" s="15" t="s">
        <v>94</v>
      </c>
      <c r="AJ1521" s="29">
        <v>0</v>
      </c>
      <c r="AK1521" s="36">
        <f t="shared" si="261"/>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35">
      <c r="A1522">
        <v>1521</v>
      </c>
      <c r="B1522">
        <v>95</v>
      </c>
      <c r="C1522" s="22" t="s">
        <v>1240</v>
      </c>
      <c r="D1522" s="11">
        <v>7.7</v>
      </c>
      <c r="E1522" s="12">
        <v>1.3</v>
      </c>
      <c r="F1522" s="7">
        <f t="shared" si="256"/>
        <v>5.9230769230769234</v>
      </c>
      <c r="G1522" s="8">
        <v>0</v>
      </c>
      <c r="H1522" s="9">
        <v>0</v>
      </c>
      <c r="I1522" s="9">
        <v>0</v>
      </c>
      <c r="J1522" s="9">
        <v>0</v>
      </c>
      <c r="K1522" s="9">
        <v>1</v>
      </c>
      <c r="L1522" s="8">
        <v>15866</v>
      </c>
      <c r="M1522" s="9">
        <v>8</v>
      </c>
      <c r="N1522" s="9">
        <f t="shared" si="252"/>
        <v>15857</v>
      </c>
      <c r="O1522" s="9">
        <f t="shared" si="253"/>
        <v>16</v>
      </c>
      <c r="P1522" s="7">
        <f t="shared" si="258"/>
        <v>8.9309999999999992</v>
      </c>
      <c r="Q1522" s="7">
        <f t="shared" si="254"/>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59"/>
        <v>0.14199999999999996</v>
      </c>
      <c r="AG1522" s="39">
        <v>0.311</v>
      </c>
      <c r="AH1522" s="38" t="s">
        <v>94</v>
      </c>
      <c r="AI1522" s="15" t="s">
        <v>94</v>
      </c>
      <c r="AJ1522" s="29">
        <v>1</v>
      </c>
      <c r="AK1522" s="36">
        <f t="shared" si="261"/>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35">
      <c r="A1523">
        <v>1522</v>
      </c>
      <c r="B1523">
        <v>95</v>
      </c>
      <c r="C1523" s="22" t="s">
        <v>1240</v>
      </c>
      <c r="D1523" s="11">
        <v>5.7</v>
      </c>
      <c r="E1523" s="12">
        <v>0.9</v>
      </c>
      <c r="F1523" s="7">
        <f t="shared" si="256"/>
        <v>6.333333333333333</v>
      </c>
      <c r="G1523" s="8">
        <v>0</v>
      </c>
      <c r="H1523" s="9">
        <v>0</v>
      </c>
      <c r="I1523" s="9">
        <v>0</v>
      </c>
      <c r="J1523" s="9">
        <v>0</v>
      </c>
      <c r="K1523" s="9">
        <v>1</v>
      </c>
      <c r="L1523" s="8">
        <v>15002</v>
      </c>
      <c r="M1523" s="9">
        <v>8</v>
      </c>
      <c r="N1523" s="9">
        <f t="shared" si="252"/>
        <v>14993</v>
      </c>
      <c r="O1523" s="9">
        <f t="shared" si="253"/>
        <v>16</v>
      </c>
      <c r="P1523" s="7">
        <f t="shared" si="258"/>
        <v>8.9309999999999992</v>
      </c>
      <c r="Q1523" s="7">
        <f t="shared" si="254"/>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59"/>
        <v>0.14199999999999996</v>
      </c>
      <c r="AG1523" s="39">
        <v>0.311</v>
      </c>
      <c r="AH1523" s="38" t="s">
        <v>94</v>
      </c>
      <c r="AI1523" s="15" t="s">
        <v>94</v>
      </c>
      <c r="AJ1523" s="29">
        <v>0</v>
      </c>
      <c r="AK1523" s="36">
        <f t="shared" si="261"/>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35">
      <c r="A1524">
        <v>1523</v>
      </c>
      <c r="B1524">
        <v>96</v>
      </c>
      <c r="C1524" s="22" t="s">
        <v>1244</v>
      </c>
      <c r="D1524" s="11">
        <v>12.5</v>
      </c>
      <c r="E1524" s="12">
        <v>7.0000000000000007E-2</v>
      </c>
      <c r="F1524" s="7">
        <f t="shared" si="256"/>
        <v>178.57142857142856</v>
      </c>
      <c r="G1524" s="8">
        <v>0</v>
      </c>
      <c r="H1524" s="9">
        <v>0</v>
      </c>
      <c r="I1524" s="9">
        <v>0</v>
      </c>
      <c r="J1524" s="9">
        <v>1</v>
      </c>
      <c r="K1524" s="9">
        <v>0</v>
      </c>
      <c r="L1524" s="8">
        <v>27100</v>
      </c>
      <c r="M1524" s="9">
        <v>3</v>
      </c>
      <c r="N1524" s="9">
        <f t="shared" si="252"/>
        <v>27096</v>
      </c>
      <c r="O1524" s="9">
        <f t="shared" si="253"/>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62">1-AH1524</f>
        <v>0.15200000000000002</v>
      </c>
      <c r="AJ1524" s="29">
        <v>1</v>
      </c>
      <c r="AK1524" s="36">
        <f t="shared" si="261"/>
        <v>0</v>
      </c>
      <c r="AL1524">
        <v>0.64600000000000002</v>
      </c>
      <c r="AM1524" s="36">
        <f t="shared" ref="AM1524:AM1535" si="263">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35">
      <c r="A1525">
        <v>1524</v>
      </c>
      <c r="B1525">
        <v>96</v>
      </c>
      <c r="C1525" s="22" t="s">
        <v>1244</v>
      </c>
      <c r="D1525" s="11">
        <v>10.58</v>
      </c>
      <c r="E1525" s="12">
        <v>0.09</v>
      </c>
      <c r="F1525" s="7">
        <f t="shared" si="256"/>
        <v>117.55555555555556</v>
      </c>
      <c r="G1525" s="8">
        <v>0</v>
      </c>
      <c r="H1525" s="9">
        <v>0</v>
      </c>
      <c r="I1525" s="9">
        <v>0</v>
      </c>
      <c r="J1525" s="9">
        <v>1</v>
      </c>
      <c r="K1525" s="9">
        <v>0</v>
      </c>
      <c r="L1525" s="8">
        <v>30400</v>
      </c>
      <c r="M1525" s="9">
        <v>3</v>
      </c>
      <c r="N1525" s="9">
        <f t="shared" si="252"/>
        <v>30396</v>
      </c>
      <c r="O1525" s="9">
        <f t="shared" si="253"/>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62"/>
        <v>0.14100000000000001</v>
      </c>
      <c r="AJ1525" s="29">
        <v>1</v>
      </c>
      <c r="AK1525" s="36">
        <f t="shared" si="261"/>
        <v>0</v>
      </c>
      <c r="AL1525">
        <v>0.64100000000000001</v>
      </c>
      <c r="AM1525" s="36">
        <f t="shared" si="263"/>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35">
      <c r="A1526">
        <v>1525</v>
      </c>
      <c r="B1526">
        <v>96</v>
      </c>
      <c r="C1526" s="22" t="s">
        <v>1244</v>
      </c>
      <c r="D1526" s="11">
        <v>11.52</v>
      </c>
      <c r="E1526" s="12">
        <v>0.05</v>
      </c>
      <c r="F1526" s="7">
        <f t="shared" si="256"/>
        <v>230.39999999999998</v>
      </c>
      <c r="G1526" s="8">
        <v>0</v>
      </c>
      <c r="H1526" s="9">
        <v>0</v>
      </c>
      <c r="I1526" s="9">
        <v>0</v>
      </c>
      <c r="J1526" s="9">
        <v>1</v>
      </c>
      <c r="K1526" s="9">
        <v>0</v>
      </c>
      <c r="L1526" s="8">
        <v>35600</v>
      </c>
      <c r="M1526" s="9">
        <v>3</v>
      </c>
      <c r="N1526" s="9">
        <f t="shared" si="252"/>
        <v>35596</v>
      </c>
      <c r="O1526" s="9">
        <f t="shared" si="253"/>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62"/>
        <v>0.122</v>
      </c>
      <c r="AJ1526" s="29">
        <v>1</v>
      </c>
      <c r="AK1526" s="36">
        <f t="shared" si="261"/>
        <v>0</v>
      </c>
      <c r="AL1526">
        <v>0.60599999999999998</v>
      </c>
      <c r="AM1526" s="36">
        <f t="shared" si="263"/>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35">
      <c r="A1527">
        <v>1526</v>
      </c>
      <c r="B1527">
        <v>96</v>
      </c>
      <c r="C1527" s="22" t="s">
        <v>1244</v>
      </c>
      <c r="D1527" s="11">
        <v>11.79</v>
      </c>
      <c r="E1527" s="12">
        <v>0.03</v>
      </c>
      <c r="F1527" s="7">
        <f t="shared" si="256"/>
        <v>393</v>
      </c>
      <c r="G1527" s="8">
        <v>0</v>
      </c>
      <c r="H1527" s="9">
        <v>0</v>
      </c>
      <c r="I1527" s="9">
        <v>0</v>
      </c>
      <c r="J1527" s="9">
        <v>1</v>
      </c>
      <c r="K1527" s="9">
        <v>0</v>
      </c>
      <c r="L1527" s="8">
        <v>47100</v>
      </c>
      <c r="M1527" s="9">
        <v>3</v>
      </c>
      <c r="N1527" s="9">
        <f t="shared" si="252"/>
        <v>47096</v>
      </c>
      <c r="O1527" s="9">
        <f t="shared" si="253"/>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62"/>
        <v>0.10199999999999998</v>
      </c>
      <c r="AJ1527" s="29">
        <v>1</v>
      </c>
      <c r="AK1527" s="36">
        <f t="shared" si="261"/>
        <v>0</v>
      </c>
      <c r="AL1527">
        <v>0.58399999999999996</v>
      </c>
      <c r="AM1527" s="36">
        <f t="shared" si="263"/>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35">
      <c r="A1528">
        <v>1527</v>
      </c>
      <c r="B1528">
        <v>96</v>
      </c>
      <c r="C1528" s="22" t="s">
        <v>1244</v>
      </c>
      <c r="D1528" s="11">
        <v>10.23</v>
      </c>
      <c r="E1528" s="12">
        <v>0.02</v>
      </c>
      <c r="F1528" s="7">
        <f t="shared" si="256"/>
        <v>511.5</v>
      </c>
      <c r="G1528" s="8">
        <v>0</v>
      </c>
      <c r="H1528" s="9">
        <v>0</v>
      </c>
      <c r="I1528" s="9">
        <v>0</v>
      </c>
      <c r="J1528" s="9">
        <v>1</v>
      </c>
      <c r="K1528" s="9">
        <v>0</v>
      </c>
      <c r="L1528" s="8">
        <v>304500</v>
      </c>
      <c r="M1528" s="9">
        <v>3</v>
      </c>
      <c r="N1528" s="9">
        <f t="shared" si="252"/>
        <v>304496</v>
      </c>
      <c r="O1528" s="9">
        <f t="shared" si="253"/>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62"/>
        <v>8.7999999999999967E-2</v>
      </c>
      <c r="AJ1528" s="29">
        <v>1</v>
      </c>
      <c r="AK1528" s="36">
        <f t="shared" si="261"/>
        <v>0</v>
      </c>
      <c r="AL1528">
        <v>0.57399999999999995</v>
      </c>
      <c r="AM1528" s="36">
        <f t="shared" si="263"/>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35">
      <c r="A1529">
        <v>1528</v>
      </c>
      <c r="B1529">
        <v>96</v>
      </c>
      <c r="C1529" s="22" t="s">
        <v>1244</v>
      </c>
      <c r="D1529" s="11">
        <v>12.92</v>
      </c>
      <c r="E1529" s="12">
        <v>0.02</v>
      </c>
      <c r="F1529" s="7">
        <f t="shared" si="256"/>
        <v>646</v>
      </c>
      <c r="G1529" s="8">
        <v>0</v>
      </c>
      <c r="H1529" s="9">
        <v>0</v>
      </c>
      <c r="I1529" s="9">
        <v>0</v>
      </c>
      <c r="J1529" s="9">
        <v>1</v>
      </c>
      <c r="K1529" s="9">
        <v>0</v>
      </c>
      <c r="L1529" s="8">
        <v>394000</v>
      </c>
      <c r="M1529" s="9">
        <v>3</v>
      </c>
      <c r="N1529" s="9">
        <f t="shared" si="252"/>
        <v>393996</v>
      </c>
      <c r="O1529" s="9">
        <f t="shared" si="253"/>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62"/>
        <v>7.999999999999996E-2</v>
      </c>
      <c r="AJ1529" s="29">
        <v>1</v>
      </c>
      <c r="AK1529" s="36">
        <f t="shared" si="261"/>
        <v>0</v>
      </c>
      <c r="AL1529">
        <v>0.58199999999999996</v>
      </c>
      <c r="AM1529" s="36">
        <f t="shared" si="263"/>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35">
      <c r="A1530">
        <v>1529</v>
      </c>
      <c r="B1530">
        <v>96</v>
      </c>
      <c r="C1530" s="22" t="s">
        <v>1244</v>
      </c>
      <c r="D1530" s="11">
        <v>8.7100000000000009</v>
      </c>
      <c r="E1530" s="12">
        <v>0.22</v>
      </c>
      <c r="F1530" s="7">
        <f t="shared" si="256"/>
        <v>39.590909090909093</v>
      </c>
      <c r="G1530" s="8">
        <v>0</v>
      </c>
      <c r="H1530" s="9">
        <v>0</v>
      </c>
      <c r="I1530" s="9">
        <v>0</v>
      </c>
      <c r="J1530" s="9">
        <v>1</v>
      </c>
      <c r="K1530" s="9">
        <v>0</v>
      </c>
      <c r="L1530" s="8">
        <v>27100</v>
      </c>
      <c r="M1530" s="9">
        <v>3</v>
      </c>
      <c r="N1530" s="9">
        <f t="shared" si="252"/>
        <v>27096</v>
      </c>
      <c r="O1530" s="9">
        <f t="shared" si="253"/>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62"/>
        <v>0.122</v>
      </c>
      <c r="AJ1530" s="29">
        <v>1</v>
      </c>
      <c r="AK1530" s="36">
        <f t="shared" si="261"/>
        <v>0</v>
      </c>
      <c r="AL1530">
        <v>0.70499999999999996</v>
      </c>
      <c r="AM1530" s="36">
        <f t="shared" si="263"/>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35">
      <c r="A1531">
        <v>1530</v>
      </c>
      <c r="B1531">
        <v>96</v>
      </c>
      <c r="C1531" s="22" t="s">
        <v>1244</v>
      </c>
      <c r="D1531" s="11">
        <v>9.98</v>
      </c>
      <c r="E1531" s="12">
        <v>0.3</v>
      </c>
      <c r="F1531" s="7">
        <f t="shared" si="256"/>
        <v>33.266666666666673</v>
      </c>
      <c r="G1531" s="8">
        <v>0</v>
      </c>
      <c r="H1531" s="9">
        <v>0</v>
      </c>
      <c r="I1531" s="9">
        <v>0</v>
      </c>
      <c r="J1531" s="9">
        <v>1</v>
      </c>
      <c r="K1531" s="9">
        <v>0</v>
      </c>
      <c r="L1531" s="8">
        <v>30400</v>
      </c>
      <c r="M1531" s="9">
        <v>3</v>
      </c>
      <c r="N1531" s="9">
        <f t="shared" si="252"/>
        <v>30396</v>
      </c>
      <c r="O1531" s="9">
        <f t="shared" si="253"/>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62"/>
        <v>0.19599999999999995</v>
      </c>
      <c r="AJ1531" s="29">
        <v>1</v>
      </c>
      <c r="AK1531" s="36">
        <f t="shared" si="261"/>
        <v>0</v>
      </c>
      <c r="AL1531">
        <v>0.68700000000000006</v>
      </c>
      <c r="AM1531" s="36">
        <f t="shared" si="263"/>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35">
      <c r="A1532">
        <v>1531</v>
      </c>
      <c r="B1532">
        <v>96</v>
      </c>
      <c r="C1532" s="22" t="s">
        <v>1244</v>
      </c>
      <c r="D1532" s="11">
        <v>10.34</v>
      </c>
      <c r="E1532" s="12">
        <v>0.16</v>
      </c>
      <c r="F1532" s="7">
        <f t="shared" si="256"/>
        <v>64.625</v>
      </c>
      <c r="G1532" s="8">
        <v>0</v>
      </c>
      <c r="H1532" s="9">
        <v>0</v>
      </c>
      <c r="I1532" s="9">
        <v>0</v>
      </c>
      <c r="J1532" s="9">
        <v>1</v>
      </c>
      <c r="K1532" s="9">
        <v>0</v>
      </c>
      <c r="L1532" s="8">
        <v>35600</v>
      </c>
      <c r="M1532" s="9">
        <v>3</v>
      </c>
      <c r="N1532" s="9">
        <f t="shared" si="252"/>
        <v>35596</v>
      </c>
      <c r="O1532" s="9">
        <f t="shared" si="253"/>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62"/>
        <v>0.16100000000000003</v>
      </c>
      <c r="AJ1532" s="29">
        <v>1</v>
      </c>
      <c r="AK1532" s="36">
        <f t="shared" si="261"/>
        <v>0</v>
      </c>
      <c r="AL1532">
        <v>0.63800000000000001</v>
      </c>
      <c r="AM1532" s="36">
        <f t="shared" si="263"/>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35">
      <c r="A1533">
        <v>1532</v>
      </c>
      <c r="B1533">
        <v>96</v>
      </c>
      <c r="C1533" s="22" t="s">
        <v>1244</v>
      </c>
      <c r="D1533" s="11">
        <v>11</v>
      </c>
      <c r="E1533" s="12">
        <v>0.12</v>
      </c>
      <c r="F1533" s="7">
        <f t="shared" si="256"/>
        <v>91.666666666666671</v>
      </c>
      <c r="G1533" s="8">
        <v>0</v>
      </c>
      <c r="H1533" s="9">
        <v>0</v>
      </c>
      <c r="I1533" s="9">
        <v>0</v>
      </c>
      <c r="J1533" s="9">
        <v>1</v>
      </c>
      <c r="K1533" s="9">
        <v>0</v>
      </c>
      <c r="L1533" s="8">
        <v>47100</v>
      </c>
      <c r="M1533" s="9">
        <v>3</v>
      </c>
      <c r="N1533" s="9">
        <f t="shared" si="252"/>
        <v>47096</v>
      </c>
      <c r="O1533" s="9">
        <f t="shared" si="253"/>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62"/>
        <v>0.121</v>
      </c>
      <c r="AJ1533" s="29">
        <v>1</v>
      </c>
      <c r="AK1533" s="36">
        <f t="shared" si="261"/>
        <v>0</v>
      </c>
      <c r="AL1533">
        <v>0.61099999999999999</v>
      </c>
      <c r="AM1533" s="36">
        <f t="shared" si="263"/>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35">
      <c r="A1534">
        <v>1533</v>
      </c>
      <c r="B1534">
        <v>96</v>
      </c>
      <c r="C1534" s="22" t="s">
        <v>1244</v>
      </c>
      <c r="D1534" s="11">
        <v>11.76</v>
      </c>
      <c r="E1534" s="12">
        <v>0.09</v>
      </c>
      <c r="F1534" s="7">
        <f t="shared" si="256"/>
        <v>130.66666666666666</v>
      </c>
      <c r="G1534" s="8">
        <v>0</v>
      </c>
      <c r="H1534" s="9">
        <v>0</v>
      </c>
      <c r="I1534" s="9">
        <v>0</v>
      </c>
      <c r="J1534" s="9">
        <v>1</v>
      </c>
      <c r="K1534" s="9">
        <v>0</v>
      </c>
      <c r="L1534" s="8">
        <v>304500</v>
      </c>
      <c r="M1534" s="9">
        <v>3</v>
      </c>
      <c r="N1534" s="9">
        <f t="shared" si="252"/>
        <v>304496</v>
      </c>
      <c r="O1534" s="9">
        <f t="shared" si="253"/>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62"/>
        <v>0.10299999999999998</v>
      </c>
      <c r="AJ1534" s="29">
        <v>1</v>
      </c>
      <c r="AK1534" s="36">
        <f t="shared" si="261"/>
        <v>0</v>
      </c>
      <c r="AL1534">
        <v>0.61599999999999999</v>
      </c>
      <c r="AM1534" s="36">
        <f t="shared" si="263"/>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35">
      <c r="A1535">
        <v>1534</v>
      </c>
      <c r="B1535">
        <v>96</v>
      </c>
      <c r="C1535" s="22" t="s">
        <v>1244</v>
      </c>
      <c r="D1535" s="11">
        <v>15.24</v>
      </c>
      <c r="E1535" s="12">
        <v>0.11</v>
      </c>
      <c r="F1535" s="7">
        <f t="shared" si="256"/>
        <v>138.54545454545453</v>
      </c>
      <c r="G1535" s="8">
        <v>0</v>
      </c>
      <c r="H1535" s="9">
        <v>0</v>
      </c>
      <c r="I1535" s="9">
        <v>0</v>
      </c>
      <c r="J1535" s="9">
        <v>1</v>
      </c>
      <c r="K1535" s="9">
        <v>0</v>
      </c>
      <c r="L1535" s="8">
        <v>394000</v>
      </c>
      <c r="M1535" s="9">
        <v>3</v>
      </c>
      <c r="N1535" s="9">
        <f t="shared" si="252"/>
        <v>393996</v>
      </c>
      <c r="O1535" s="9">
        <f t="shared" si="253"/>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62"/>
        <v>8.7999999999999967E-2</v>
      </c>
      <c r="AJ1535" s="29">
        <v>1</v>
      </c>
      <c r="AK1535" s="36">
        <f t="shared" si="261"/>
        <v>0</v>
      </c>
      <c r="AL1535">
        <v>0.64300000000000002</v>
      </c>
      <c r="AM1535" s="36">
        <f t="shared" si="263"/>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3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52"/>
        <v>13703</v>
      </c>
      <c r="O1536" s="9">
        <f t="shared" si="253"/>
        <v>20</v>
      </c>
      <c r="P1536" s="7">
        <v>17</v>
      </c>
      <c r="Q1536" s="7">
        <f t="shared" ref="Q1536:Q1555" si="264">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65">1-AG1536</f>
        <v>0.67799999999999994</v>
      </c>
      <c r="AG1536" s="39">
        <v>0.32200000000000001</v>
      </c>
      <c r="AH1536" s="38">
        <v>1</v>
      </c>
      <c r="AI1536" s="15">
        <v>0</v>
      </c>
      <c r="AJ1536" s="35">
        <f t="shared" ref="AJ1536:AJ1555" si="266">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3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52"/>
        <v>17361</v>
      </c>
      <c r="O1537" s="9">
        <f t="shared" si="253"/>
        <v>20</v>
      </c>
      <c r="P1537" s="7">
        <v>17</v>
      </c>
      <c r="Q1537" s="7">
        <f t="shared" si="264"/>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65"/>
        <v>0.61399999999999999</v>
      </c>
      <c r="AG1537" s="39">
        <v>0.38600000000000001</v>
      </c>
      <c r="AH1537" s="38">
        <v>1</v>
      </c>
      <c r="AI1537" s="15">
        <v>0</v>
      </c>
      <c r="AJ1537" s="35">
        <f t="shared" si="266"/>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3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67">L1538-M1538-1</f>
        <v>18827</v>
      </c>
      <c r="O1538" s="9">
        <f t="shared" ref="O1538:O1601" si="268">COUNTIF(B:B,B1538)</f>
        <v>20</v>
      </c>
      <c r="P1538" s="7">
        <v>17</v>
      </c>
      <c r="Q1538" s="7">
        <f t="shared" si="264"/>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65"/>
        <v>0.55600000000000005</v>
      </c>
      <c r="AG1538" s="39">
        <v>0.44400000000000001</v>
      </c>
      <c r="AH1538" s="38">
        <v>1</v>
      </c>
      <c r="AI1538" s="15">
        <v>0</v>
      </c>
      <c r="AJ1538" s="35">
        <f t="shared" si="266"/>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3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67"/>
        <v>13827</v>
      </c>
      <c r="O1539" s="9">
        <f t="shared" si="268"/>
        <v>20</v>
      </c>
      <c r="P1539" s="7">
        <v>17</v>
      </c>
      <c r="Q1539" s="7">
        <f t="shared" si="264"/>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65"/>
        <v>0.46899999999999997</v>
      </c>
      <c r="AG1539" s="39">
        <v>0.53100000000000003</v>
      </c>
      <c r="AH1539" s="38">
        <v>1</v>
      </c>
      <c r="AI1539" s="15">
        <v>0</v>
      </c>
      <c r="AJ1539" s="35">
        <f t="shared" si="266"/>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3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67"/>
        <v>21229</v>
      </c>
      <c r="O1540" s="9">
        <f t="shared" si="268"/>
        <v>20</v>
      </c>
      <c r="P1540" s="7">
        <v>17</v>
      </c>
      <c r="Q1540" s="7">
        <f t="shared" si="264"/>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65"/>
        <v>0.39900000000000002</v>
      </c>
      <c r="AG1540" s="39">
        <v>0.60099999999999998</v>
      </c>
      <c r="AH1540" s="38">
        <v>1</v>
      </c>
      <c r="AI1540" s="15">
        <v>0</v>
      </c>
      <c r="AJ1540" s="35">
        <f t="shared" si="266"/>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3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67"/>
        <v>13703</v>
      </c>
      <c r="O1541" s="9">
        <f t="shared" si="268"/>
        <v>20</v>
      </c>
      <c r="P1541" s="7">
        <v>17</v>
      </c>
      <c r="Q1541" s="7">
        <f t="shared" si="264"/>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65"/>
        <v>0.67799999999999994</v>
      </c>
      <c r="AG1541" s="39">
        <v>0.32200000000000001</v>
      </c>
      <c r="AH1541" s="38">
        <v>1</v>
      </c>
      <c r="AI1541" s="15">
        <v>0</v>
      </c>
      <c r="AJ1541" s="35">
        <f t="shared" si="266"/>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3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67"/>
        <v>17361</v>
      </c>
      <c r="O1542" s="9">
        <f t="shared" si="268"/>
        <v>20</v>
      </c>
      <c r="P1542" s="7">
        <v>17</v>
      </c>
      <c r="Q1542" s="7">
        <f t="shared" si="264"/>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65"/>
        <v>0.61399999999999999</v>
      </c>
      <c r="AG1542" s="39">
        <v>0.38600000000000001</v>
      </c>
      <c r="AH1542" s="38">
        <v>1</v>
      </c>
      <c r="AI1542" s="15">
        <v>0</v>
      </c>
      <c r="AJ1542" s="35">
        <f t="shared" si="266"/>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3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67"/>
        <v>18827</v>
      </c>
      <c r="O1543" s="9">
        <f t="shared" si="268"/>
        <v>20</v>
      </c>
      <c r="P1543" s="7">
        <v>17</v>
      </c>
      <c r="Q1543" s="7">
        <f t="shared" si="264"/>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65"/>
        <v>0.55600000000000005</v>
      </c>
      <c r="AG1543" s="39">
        <v>0.44400000000000001</v>
      </c>
      <c r="AH1543" s="38">
        <v>1</v>
      </c>
      <c r="AI1543" s="15">
        <v>0</v>
      </c>
      <c r="AJ1543" s="35">
        <f t="shared" si="266"/>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3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67"/>
        <v>13827</v>
      </c>
      <c r="O1544" s="9">
        <f t="shared" si="268"/>
        <v>20</v>
      </c>
      <c r="P1544" s="7">
        <v>17</v>
      </c>
      <c r="Q1544" s="7">
        <f t="shared" si="264"/>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65"/>
        <v>0.46899999999999997</v>
      </c>
      <c r="AG1544" s="39">
        <v>0.53100000000000003</v>
      </c>
      <c r="AH1544" s="38">
        <v>1</v>
      </c>
      <c r="AI1544" s="15">
        <v>0</v>
      </c>
      <c r="AJ1544" s="35">
        <f t="shared" si="266"/>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3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67"/>
        <v>21229</v>
      </c>
      <c r="O1545" s="9">
        <f t="shared" si="268"/>
        <v>20</v>
      </c>
      <c r="P1545" s="7">
        <v>17</v>
      </c>
      <c r="Q1545" s="7">
        <f t="shared" si="264"/>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65"/>
        <v>0.39900000000000002</v>
      </c>
      <c r="AG1545" s="39">
        <v>0.60099999999999998</v>
      </c>
      <c r="AH1545" s="38">
        <v>1</v>
      </c>
      <c r="AI1545" s="15">
        <v>0</v>
      </c>
      <c r="AJ1545" s="35">
        <f t="shared" si="266"/>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3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67"/>
        <v>13703</v>
      </c>
      <c r="O1546" s="9">
        <f t="shared" si="268"/>
        <v>20</v>
      </c>
      <c r="P1546" s="7">
        <v>17</v>
      </c>
      <c r="Q1546" s="7">
        <f t="shared" si="264"/>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65"/>
        <v>0.67799999999999994</v>
      </c>
      <c r="AG1546" s="39">
        <v>0.32200000000000001</v>
      </c>
      <c r="AH1546" s="38">
        <v>1</v>
      </c>
      <c r="AI1546" s="15">
        <v>0</v>
      </c>
      <c r="AJ1546" s="35">
        <f t="shared" si="266"/>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3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67"/>
        <v>17361</v>
      </c>
      <c r="O1547" s="9">
        <f t="shared" si="268"/>
        <v>20</v>
      </c>
      <c r="P1547" s="7">
        <v>17</v>
      </c>
      <c r="Q1547" s="7">
        <f t="shared" si="264"/>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65"/>
        <v>0.61399999999999999</v>
      </c>
      <c r="AG1547" s="39">
        <v>0.38600000000000001</v>
      </c>
      <c r="AH1547" s="38">
        <v>1</v>
      </c>
      <c r="AI1547" s="15">
        <v>0</v>
      </c>
      <c r="AJ1547" s="35">
        <f t="shared" si="266"/>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3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67"/>
        <v>18827</v>
      </c>
      <c r="O1548" s="9">
        <f t="shared" si="268"/>
        <v>20</v>
      </c>
      <c r="P1548" s="7">
        <v>17</v>
      </c>
      <c r="Q1548" s="7">
        <f t="shared" si="264"/>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65"/>
        <v>0.55600000000000005</v>
      </c>
      <c r="AG1548" s="39">
        <v>0.44400000000000001</v>
      </c>
      <c r="AH1548" s="38">
        <v>1</v>
      </c>
      <c r="AI1548" s="15">
        <v>0</v>
      </c>
      <c r="AJ1548" s="35">
        <f t="shared" si="266"/>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3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67"/>
        <v>13827</v>
      </c>
      <c r="O1549" s="9">
        <f t="shared" si="268"/>
        <v>20</v>
      </c>
      <c r="P1549" s="7">
        <v>17</v>
      </c>
      <c r="Q1549" s="7">
        <f t="shared" si="264"/>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65"/>
        <v>0.46899999999999997</v>
      </c>
      <c r="AG1549" s="39">
        <v>0.53100000000000003</v>
      </c>
      <c r="AH1549" s="38">
        <v>1</v>
      </c>
      <c r="AI1549" s="15">
        <v>0</v>
      </c>
      <c r="AJ1549" s="35">
        <f t="shared" si="266"/>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3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67"/>
        <v>21229</v>
      </c>
      <c r="O1550" s="9">
        <f t="shared" si="268"/>
        <v>20</v>
      </c>
      <c r="P1550" s="7">
        <v>17</v>
      </c>
      <c r="Q1550" s="7">
        <f t="shared" si="264"/>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65"/>
        <v>0.39900000000000002</v>
      </c>
      <c r="AG1550" s="39">
        <v>0.60099999999999998</v>
      </c>
      <c r="AH1550" s="38">
        <v>1</v>
      </c>
      <c r="AI1550" s="15">
        <v>0</v>
      </c>
      <c r="AJ1550" s="35">
        <f t="shared" si="266"/>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3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67"/>
        <v>13703</v>
      </c>
      <c r="O1551" s="9">
        <f t="shared" si="268"/>
        <v>20</v>
      </c>
      <c r="P1551" s="7">
        <v>17</v>
      </c>
      <c r="Q1551" s="7">
        <f t="shared" si="264"/>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65"/>
        <v>0.67799999999999994</v>
      </c>
      <c r="AG1551" s="39">
        <v>0.32200000000000001</v>
      </c>
      <c r="AH1551" s="38">
        <v>1</v>
      </c>
      <c r="AI1551" s="15">
        <v>0</v>
      </c>
      <c r="AJ1551" s="35">
        <f t="shared" si="266"/>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3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67"/>
        <v>17361</v>
      </c>
      <c r="O1552" s="9">
        <f t="shared" si="268"/>
        <v>20</v>
      </c>
      <c r="P1552" s="7">
        <v>17</v>
      </c>
      <c r="Q1552" s="7">
        <f t="shared" si="264"/>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65"/>
        <v>0.61399999999999999</v>
      </c>
      <c r="AG1552" s="39">
        <v>0.38600000000000001</v>
      </c>
      <c r="AH1552" s="38">
        <v>1</v>
      </c>
      <c r="AI1552" s="15">
        <v>0</v>
      </c>
      <c r="AJ1552" s="35">
        <f t="shared" si="266"/>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3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67"/>
        <v>18827</v>
      </c>
      <c r="O1553" s="9">
        <f t="shared" si="268"/>
        <v>20</v>
      </c>
      <c r="P1553" s="7">
        <v>17</v>
      </c>
      <c r="Q1553" s="7">
        <f t="shared" si="264"/>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65"/>
        <v>0.55600000000000005</v>
      </c>
      <c r="AG1553" s="39">
        <v>0.44400000000000001</v>
      </c>
      <c r="AH1553" s="38">
        <v>1</v>
      </c>
      <c r="AI1553" s="15">
        <v>0</v>
      </c>
      <c r="AJ1553" s="35">
        <f t="shared" si="266"/>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3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67"/>
        <v>13827</v>
      </c>
      <c r="O1554" s="9">
        <f t="shared" si="268"/>
        <v>20</v>
      </c>
      <c r="P1554" s="7">
        <v>17</v>
      </c>
      <c r="Q1554" s="7">
        <f t="shared" si="264"/>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65"/>
        <v>0.46899999999999997</v>
      </c>
      <c r="AG1554" s="39">
        <v>0.53100000000000003</v>
      </c>
      <c r="AH1554" s="38">
        <v>1</v>
      </c>
      <c r="AI1554" s="15">
        <v>0</v>
      </c>
      <c r="AJ1554" s="35">
        <f t="shared" si="266"/>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3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67"/>
        <v>21229</v>
      </c>
      <c r="O1555" s="9">
        <f t="shared" si="268"/>
        <v>20</v>
      </c>
      <c r="P1555" s="7">
        <v>17</v>
      </c>
      <c r="Q1555" s="7">
        <f t="shared" si="264"/>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65"/>
        <v>0.39900000000000002</v>
      </c>
      <c r="AG1555" s="39">
        <v>0.60099999999999998</v>
      </c>
      <c r="AH1555" s="38">
        <v>1</v>
      </c>
      <c r="AI1555" s="15">
        <v>0</v>
      </c>
      <c r="AJ1555" s="35">
        <f t="shared" si="266"/>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35">
      <c r="A1556">
        <v>1555</v>
      </c>
      <c r="B1556">
        <v>98</v>
      </c>
      <c r="C1556" s="22" t="s">
        <v>1255</v>
      </c>
      <c r="D1556" s="11">
        <v>14</v>
      </c>
      <c r="E1556" s="12">
        <v>7.8</v>
      </c>
      <c r="F1556" s="7">
        <f t="shared" ref="F1556:F1580" si="269">D1556/E1556</f>
        <v>1.7948717948717949</v>
      </c>
      <c r="G1556" s="8">
        <v>0</v>
      </c>
      <c r="H1556" s="9">
        <v>0</v>
      </c>
      <c r="I1556" s="9">
        <v>0</v>
      </c>
      <c r="J1556" s="9">
        <v>1</v>
      </c>
      <c r="K1556" s="9">
        <v>0</v>
      </c>
      <c r="L1556" s="8">
        <v>1822</v>
      </c>
      <c r="M1556" s="9">
        <v>4</v>
      </c>
      <c r="N1556" s="9">
        <f t="shared" si="267"/>
        <v>1817</v>
      </c>
      <c r="O1556" s="9">
        <f t="shared" si="268"/>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35">
      <c r="A1557">
        <v>1556</v>
      </c>
      <c r="B1557">
        <v>98</v>
      </c>
      <c r="C1557" s="22" t="s">
        <v>1255</v>
      </c>
      <c r="D1557" s="11">
        <v>4.8</v>
      </c>
      <c r="E1557" s="12">
        <v>1.3</v>
      </c>
      <c r="F1557" s="7">
        <f t="shared" si="269"/>
        <v>3.6923076923076921</v>
      </c>
      <c r="G1557" s="8">
        <v>0</v>
      </c>
      <c r="H1557" s="9">
        <v>0</v>
      </c>
      <c r="I1557" s="9">
        <v>0</v>
      </c>
      <c r="J1557" s="9">
        <v>1</v>
      </c>
      <c r="K1557" s="9">
        <v>0</v>
      </c>
      <c r="L1557" s="8">
        <v>1822</v>
      </c>
      <c r="M1557" s="9">
        <v>4</v>
      </c>
      <c r="N1557" s="9">
        <f t="shared" si="267"/>
        <v>1817</v>
      </c>
      <c r="O1557" s="9">
        <f t="shared" si="268"/>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35">
      <c r="A1558">
        <v>1557</v>
      </c>
      <c r="B1558">
        <v>98</v>
      </c>
      <c r="C1558" s="22" t="s">
        <v>1255</v>
      </c>
      <c r="D1558" s="11">
        <v>11.7</v>
      </c>
      <c r="E1558" s="12">
        <v>5.3</v>
      </c>
      <c r="F1558" s="7">
        <f t="shared" si="269"/>
        <v>2.2075471698113205</v>
      </c>
      <c r="G1558" s="8">
        <v>0</v>
      </c>
      <c r="H1558" s="9">
        <v>0</v>
      </c>
      <c r="I1558" s="9">
        <v>0</v>
      </c>
      <c r="J1558" s="9">
        <v>1</v>
      </c>
      <c r="K1558" s="9">
        <v>0</v>
      </c>
      <c r="L1558" s="8">
        <v>1822</v>
      </c>
      <c r="M1558" s="9">
        <v>7</v>
      </c>
      <c r="N1558" s="9">
        <f t="shared" si="267"/>
        <v>1814</v>
      </c>
      <c r="O1558" s="9">
        <f t="shared" si="268"/>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35">
      <c r="A1559">
        <v>1558</v>
      </c>
      <c r="B1559">
        <v>98</v>
      </c>
      <c r="C1559" s="22" t="s">
        <v>1255</v>
      </c>
      <c r="D1559" s="11">
        <v>4.8</v>
      </c>
      <c r="E1559" s="12">
        <v>1.4</v>
      </c>
      <c r="F1559" s="7">
        <f t="shared" si="269"/>
        <v>3.4285714285714288</v>
      </c>
      <c r="G1559" s="8">
        <v>0</v>
      </c>
      <c r="H1559" s="9">
        <v>0</v>
      </c>
      <c r="I1559" s="9">
        <v>0</v>
      </c>
      <c r="J1559" s="9">
        <v>1</v>
      </c>
      <c r="K1559" s="9">
        <v>0</v>
      </c>
      <c r="L1559" s="8">
        <v>1822</v>
      </c>
      <c r="M1559" s="9">
        <v>6</v>
      </c>
      <c r="N1559" s="9">
        <f t="shared" si="267"/>
        <v>1815</v>
      </c>
      <c r="O1559" s="9">
        <f t="shared" si="268"/>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35">
      <c r="A1560">
        <v>1559</v>
      </c>
      <c r="B1560">
        <v>98</v>
      </c>
      <c r="C1560" s="22" t="s">
        <v>1255</v>
      </c>
      <c r="D1560" s="11">
        <v>5.5</v>
      </c>
      <c r="E1560" s="12">
        <v>0.5</v>
      </c>
      <c r="F1560" s="7">
        <f t="shared" si="269"/>
        <v>11</v>
      </c>
      <c r="G1560" s="8">
        <v>0</v>
      </c>
      <c r="H1560" s="9">
        <v>0</v>
      </c>
      <c r="I1560" s="9">
        <v>0</v>
      </c>
      <c r="J1560" s="9">
        <v>1</v>
      </c>
      <c r="K1560" s="9">
        <v>0</v>
      </c>
      <c r="L1560" s="8">
        <v>1822</v>
      </c>
      <c r="M1560" s="9">
        <v>7</v>
      </c>
      <c r="N1560" s="9">
        <f t="shared" si="267"/>
        <v>1814</v>
      </c>
      <c r="O1560" s="9">
        <f t="shared" si="268"/>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35">
      <c r="A1561">
        <v>1560</v>
      </c>
      <c r="B1561">
        <v>99</v>
      </c>
      <c r="C1561" s="22" t="s">
        <v>1259</v>
      </c>
      <c r="D1561" s="11">
        <v>9.5</v>
      </c>
      <c r="E1561" s="12">
        <v>0.1</v>
      </c>
      <c r="F1561" s="7">
        <f t="shared" si="269"/>
        <v>95</v>
      </c>
      <c r="G1561" s="8">
        <v>0</v>
      </c>
      <c r="H1561" s="9">
        <v>0</v>
      </c>
      <c r="I1561" s="9">
        <v>0</v>
      </c>
      <c r="J1561" s="9">
        <v>0</v>
      </c>
      <c r="K1561" s="9">
        <v>1</v>
      </c>
      <c r="L1561" s="8">
        <v>22871</v>
      </c>
      <c r="M1561" s="9">
        <v>4</v>
      </c>
      <c r="N1561" s="9">
        <f t="shared" si="267"/>
        <v>22866</v>
      </c>
      <c r="O1561" s="9">
        <f t="shared" si="268"/>
        <v>11</v>
      </c>
      <c r="P1561" s="7">
        <v>9.0500000000000007</v>
      </c>
      <c r="Q1561" s="7">
        <f t="shared" ref="Q1561:Q1571" si="270">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35">
      <c r="A1562">
        <v>1561</v>
      </c>
      <c r="B1562">
        <v>99</v>
      </c>
      <c r="C1562" s="22" t="s">
        <v>1259</v>
      </c>
      <c r="D1562" s="11">
        <v>10.1</v>
      </c>
      <c r="E1562" s="12">
        <v>1.7</v>
      </c>
      <c r="F1562" s="7">
        <f t="shared" si="269"/>
        <v>5.9411764705882355</v>
      </c>
      <c r="G1562" s="8">
        <v>0</v>
      </c>
      <c r="H1562" s="9">
        <v>0</v>
      </c>
      <c r="I1562" s="9">
        <v>0</v>
      </c>
      <c r="J1562" s="9">
        <v>0</v>
      </c>
      <c r="K1562" s="9">
        <v>1</v>
      </c>
      <c r="L1562" s="8">
        <v>22871</v>
      </c>
      <c r="M1562" s="9">
        <v>4</v>
      </c>
      <c r="N1562" s="9">
        <f t="shared" si="267"/>
        <v>22866</v>
      </c>
      <c r="O1562" s="9">
        <f t="shared" si="268"/>
        <v>11</v>
      </c>
      <c r="P1562" s="7">
        <v>9.0500000000000007</v>
      </c>
      <c r="Q1562" s="7">
        <f t="shared" si="270"/>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35">
      <c r="A1563">
        <v>1562</v>
      </c>
      <c r="B1563">
        <v>99</v>
      </c>
      <c r="C1563" s="22" t="s">
        <v>1259</v>
      </c>
      <c r="D1563" s="11">
        <v>7.6</v>
      </c>
      <c r="E1563" s="12">
        <v>0.5</v>
      </c>
      <c r="F1563" s="7">
        <f t="shared" si="269"/>
        <v>15.2</v>
      </c>
      <c r="G1563" s="8">
        <v>0</v>
      </c>
      <c r="H1563" s="9">
        <v>0</v>
      </c>
      <c r="I1563" s="9">
        <v>0</v>
      </c>
      <c r="J1563" s="9">
        <v>0</v>
      </c>
      <c r="K1563" s="9">
        <v>1</v>
      </c>
      <c r="L1563" s="8">
        <v>1299</v>
      </c>
      <c r="M1563" s="9">
        <v>4</v>
      </c>
      <c r="N1563" s="9">
        <f t="shared" si="267"/>
        <v>1294</v>
      </c>
      <c r="O1563" s="9">
        <f t="shared" si="268"/>
        <v>11</v>
      </c>
      <c r="P1563" s="7">
        <v>11.07</v>
      </c>
      <c r="Q1563" s="7">
        <f t="shared" si="270"/>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35">
      <c r="A1564">
        <v>1563</v>
      </c>
      <c r="B1564">
        <v>99</v>
      </c>
      <c r="C1564" s="22" t="s">
        <v>1259</v>
      </c>
      <c r="D1564" s="11">
        <v>11.3</v>
      </c>
      <c r="E1564" s="12">
        <v>9.1999999999999993</v>
      </c>
      <c r="F1564" s="7">
        <f t="shared" si="269"/>
        <v>1.2282608695652175</v>
      </c>
      <c r="G1564" s="8">
        <v>0</v>
      </c>
      <c r="H1564" s="9">
        <v>0</v>
      </c>
      <c r="I1564" s="9">
        <v>0</v>
      </c>
      <c r="J1564" s="9">
        <v>0</v>
      </c>
      <c r="K1564" s="9">
        <v>1</v>
      </c>
      <c r="L1564" s="8">
        <v>1299</v>
      </c>
      <c r="M1564" s="9">
        <v>4</v>
      </c>
      <c r="N1564" s="9">
        <f t="shared" si="267"/>
        <v>1294</v>
      </c>
      <c r="O1564" s="9">
        <f t="shared" si="268"/>
        <v>11</v>
      </c>
      <c r="P1564" s="7">
        <v>11.07</v>
      </c>
      <c r="Q1564" s="7">
        <f t="shared" si="270"/>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35">
      <c r="A1565">
        <v>1564</v>
      </c>
      <c r="B1565">
        <v>99</v>
      </c>
      <c r="C1565" s="22" t="s">
        <v>1259</v>
      </c>
      <c r="D1565" s="11">
        <v>6.8</v>
      </c>
      <c r="E1565" s="12">
        <v>0.1</v>
      </c>
      <c r="F1565" s="7">
        <f t="shared" si="269"/>
        <v>68</v>
      </c>
      <c r="G1565" s="8">
        <v>0</v>
      </c>
      <c r="H1565" s="9">
        <v>0</v>
      </c>
      <c r="I1565" s="9">
        <v>0</v>
      </c>
      <c r="J1565" s="9">
        <v>0</v>
      </c>
      <c r="K1565" s="9">
        <v>1</v>
      </c>
      <c r="L1565" s="8">
        <v>27386</v>
      </c>
      <c r="M1565" s="9">
        <v>8</v>
      </c>
      <c r="N1565" s="9">
        <f t="shared" si="267"/>
        <v>27377</v>
      </c>
      <c r="O1565" s="9">
        <f t="shared" si="268"/>
        <v>11</v>
      </c>
      <c r="P1565" s="7">
        <v>11.07</v>
      </c>
      <c r="Q1565" s="7">
        <f t="shared" si="270"/>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35">
      <c r="A1566">
        <v>1565</v>
      </c>
      <c r="B1566">
        <v>99</v>
      </c>
      <c r="C1566" s="22" t="s">
        <v>1259</v>
      </c>
      <c r="D1566" s="11">
        <v>10.1</v>
      </c>
      <c r="E1566" s="12">
        <v>4.3</v>
      </c>
      <c r="F1566" s="7">
        <f t="shared" si="269"/>
        <v>2.3488372093023258</v>
      </c>
      <c r="G1566" s="8">
        <v>0</v>
      </c>
      <c r="H1566" s="9">
        <v>0</v>
      </c>
      <c r="I1566" s="9">
        <v>0</v>
      </c>
      <c r="J1566" s="9">
        <v>0</v>
      </c>
      <c r="K1566" s="9">
        <v>1</v>
      </c>
      <c r="L1566" s="8">
        <v>27386</v>
      </c>
      <c r="M1566" s="9">
        <v>8</v>
      </c>
      <c r="N1566" s="9">
        <f t="shared" si="267"/>
        <v>27377</v>
      </c>
      <c r="O1566" s="9">
        <f t="shared" si="268"/>
        <v>11</v>
      </c>
      <c r="P1566" s="7">
        <v>11.07</v>
      </c>
      <c r="Q1566" s="7">
        <f t="shared" si="270"/>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35">
      <c r="A1567">
        <v>1566</v>
      </c>
      <c r="B1567">
        <v>99</v>
      </c>
      <c r="C1567" s="22" t="s">
        <v>1259</v>
      </c>
      <c r="D1567" s="11">
        <v>7.2</v>
      </c>
      <c r="E1567" s="12">
        <v>0.3</v>
      </c>
      <c r="F1567" s="7">
        <f t="shared" si="269"/>
        <v>24</v>
      </c>
      <c r="G1567" s="8">
        <v>0</v>
      </c>
      <c r="H1567" s="9">
        <v>0</v>
      </c>
      <c r="I1567" s="9">
        <v>0</v>
      </c>
      <c r="J1567" s="9">
        <v>0</v>
      </c>
      <c r="K1567" s="9">
        <v>1</v>
      </c>
      <c r="L1567" s="8">
        <v>4142</v>
      </c>
      <c r="M1567" s="9">
        <v>5</v>
      </c>
      <c r="N1567" s="9">
        <f t="shared" si="267"/>
        <v>4136</v>
      </c>
      <c r="O1567" s="9">
        <f t="shared" si="268"/>
        <v>11</v>
      </c>
      <c r="P1567" s="7">
        <v>11.07</v>
      </c>
      <c r="Q1567" s="7">
        <f t="shared" si="270"/>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35">
      <c r="A1568">
        <v>1567</v>
      </c>
      <c r="B1568">
        <v>99</v>
      </c>
      <c r="C1568" s="22" t="s">
        <v>1259</v>
      </c>
      <c r="D1568" s="11">
        <v>9.4</v>
      </c>
      <c r="E1568" s="12">
        <v>3.3</v>
      </c>
      <c r="F1568" s="7">
        <f t="shared" si="269"/>
        <v>2.8484848484848486</v>
      </c>
      <c r="G1568" s="8">
        <v>0</v>
      </c>
      <c r="H1568" s="9">
        <v>0</v>
      </c>
      <c r="I1568" s="9">
        <v>0</v>
      </c>
      <c r="J1568" s="9">
        <v>0</v>
      </c>
      <c r="K1568" s="9">
        <v>1</v>
      </c>
      <c r="L1568" s="8">
        <v>4142</v>
      </c>
      <c r="M1568" s="9">
        <v>6</v>
      </c>
      <c r="N1568" s="9">
        <f t="shared" si="267"/>
        <v>4135</v>
      </c>
      <c r="O1568" s="9">
        <f t="shared" si="268"/>
        <v>11</v>
      </c>
      <c r="P1568" s="7">
        <v>11.07</v>
      </c>
      <c r="Q1568" s="7">
        <f t="shared" si="270"/>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35">
      <c r="A1569">
        <v>1568</v>
      </c>
      <c r="B1569">
        <v>99</v>
      </c>
      <c r="C1569" s="22" t="s">
        <v>1259</v>
      </c>
      <c r="D1569" s="11">
        <v>9.6</v>
      </c>
      <c r="E1569" s="12">
        <v>3.4</v>
      </c>
      <c r="F1569" s="7">
        <f t="shared" si="269"/>
        <v>2.8235294117647061</v>
      </c>
      <c r="G1569" s="8">
        <v>0</v>
      </c>
      <c r="H1569" s="9">
        <v>0</v>
      </c>
      <c r="I1569" s="9">
        <v>0</v>
      </c>
      <c r="J1569" s="9">
        <v>0</v>
      </c>
      <c r="K1569" s="9">
        <v>1</v>
      </c>
      <c r="L1569" s="8">
        <v>4142</v>
      </c>
      <c r="M1569" s="9">
        <v>6</v>
      </c>
      <c r="N1569" s="9">
        <f t="shared" si="267"/>
        <v>4135</v>
      </c>
      <c r="O1569" s="9">
        <f t="shared" si="268"/>
        <v>11</v>
      </c>
      <c r="P1569" s="7">
        <v>11.07</v>
      </c>
      <c r="Q1569" s="7">
        <f t="shared" si="270"/>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35">
      <c r="A1570">
        <v>1569</v>
      </c>
      <c r="B1570">
        <v>99</v>
      </c>
      <c r="C1570" s="22" t="s">
        <v>1259</v>
      </c>
      <c r="D1570" s="11">
        <v>8.6999999999999993</v>
      </c>
      <c r="E1570" s="12">
        <v>2.7</v>
      </c>
      <c r="F1570" s="7">
        <f t="shared" si="269"/>
        <v>3.2222222222222219</v>
      </c>
      <c r="G1570" s="8">
        <v>0</v>
      </c>
      <c r="H1570" s="9">
        <v>0</v>
      </c>
      <c r="I1570" s="9">
        <v>0</v>
      </c>
      <c r="J1570" s="9">
        <v>0</v>
      </c>
      <c r="K1570" s="9">
        <v>1</v>
      </c>
      <c r="L1570" s="8">
        <v>4142</v>
      </c>
      <c r="M1570" s="9">
        <v>7</v>
      </c>
      <c r="N1570" s="9">
        <f t="shared" si="267"/>
        <v>4134</v>
      </c>
      <c r="O1570" s="9">
        <f t="shared" si="268"/>
        <v>11</v>
      </c>
      <c r="P1570" s="7">
        <v>11.07</v>
      </c>
      <c r="Q1570" s="7">
        <f t="shared" si="270"/>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35">
      <c r="A1571">
        <v>1570</v>
      </c>
      <c r="B1571">
        <v>99</v>
      </c>
      <c r="C1571" s="22" t="s">
        <v>1259</v>
      </c>
      <c r="D1571" s="11">
        <v>16.2</v>
      </c>
      <c r="E1571" s="12">
        <v>5.5</v>
      </c>
      <c r="F1571" s="7">
        <f t="shared" si="269"/>
        <v>2.9454545454545453</v>
      </c>
      <c r="G1571" s="8">
        <v>0</v>
      </c>
      <c r="H1571" s="9">
        <v>0</v>
      </c>
      <c r="I1571" s="9">
        <v>0</v>
      </c>
      <c r="J1571" s="9">
        <v>0</v>
      </c>
      <c r="K1571" s="9">
        <v>1</v>
      </c>
      <c r="L1571" s="8">
        <v>4142</v>
      </c>
      <c r="M1571" s="9">
        <v>6</v>
      </c>
      <c r="N1571" s="9">
        <f t="shared" si="267"/>
        <v>4135</v>
      </c>
      <c r="O1571" s="9">
        <f t="shared" si="268"/>
        <v>11</v>
      </c>
      <c r="P1571" s="7">
        <v>11.07</v>
      </c>
      <c r="Q1571" s="7">
        <f t="shared" si="270"/>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35">
      <c r="A1572">
        <v>1571</v>
      </c>
      <c r="B1572">
        <v>100</v>
      </c>
      <c r="C1572" s="22" t="s">
        <v>1263</v>
      </c>
      <c r="D1572" s="11">
        <v>7.1</v>
      </c>
      <c r="E1572" s="12">
        <v>0.5</v>
      </c>
      <c r="F1572" s="7">
        <f t="shared" si="269"/>
        <v>14.2</v>
      </c>
      <c r="G1572" s="8">
        <v>0</v>
      </c>
      <c r="H1572" s="9">
        <v>0</v>
      </c>
      <c r="I1572" s="9">
        <v>0</v>
      </c>
      <c r="J1572" s="9">
        <v>0</v>
      </c>
      <c r="K1572" s="9">
        <v>1</v>
      </c>
      <c r="L1572" s="8">
        <v>1211</v>
      </c>
      <c r="M1572" s="9">
        <v>6</v>
      </c>
      <c r="N1572" s="9">
        <f t="shared" si="267"/>
        <v>1204</v>
      </c>
      <c r="O1572" s="9">
        <f t="shared" si="268"/>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35">
      <c r="A1573">
        <v>1572</v>
      </c>
      <c r="B1573">
        <v>100</v>
      </c>
      <c r="C1573" s="22" t="s">
        <v>1263</v>
      </c>
      <c r="D1573" s="11">
        <v>7.3</v>
      </c>
      <c r="E1573" s="12">
        <v>0.5</v>
      </c>
      <c r="F1573" s="7">
        <f t="shared" si="269"/>
        <v>14.6</v>
      </c>
      <c r="G1573" s="8">
        <v>0</v>
      </c>
      <c r="H1573" s="9">
        <v>0</v>
      </c>
      <c r="I1573" s="9">
        <v>0</v>
      </c>
      <c r="J1573" s="9">
        <v>0</v>
      </c>
      <c r="K1573" s="9">
        <v>1</v>
      </c>
      <c r="L1573" s="8">
        <v>1211</v>
      </c>
      <c r="M1573" s="9">
        <v>6</v>
      </c>
      <c r="N1573" s="9">
        <f t="shared" si="267"/>
        <v>1204</v>
      </c>
      <c r="O1573" s="9">
        <f t="shared" si="268"/>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35">
      <c r="A1574">
        <v>1573</v>
      </c>
      <c r="B1574">
        <v>100</v>
      </c>
      <c r="C1574" s="22" t="s">
        <v>1263</v>
      </c>
      <c r="D1574" s="11">
        <v>3.9</v>
      </c>
      <c r="E1574" s="12">
        <v>2.2000000000000002</v>
      </c>
      <c r="F1574" s="7">
        <f t="shared" si="269"/>
        <v>1.7727272727272725</v>
      </c>
      <c r="G1574" s="8">
        <v>0</v>
      </c>
      <c r="H1574" s="9">
        <v>0</v>
      </c>
      <c r="I1574" s="9">
        <v>0</v>
      </c>
      <c r="J1574" s="9">
        <v>0</v>
      </c>
      <c r="K1574" s="9">
        <v>1</v>
      </c>
      <c r="L1574" s="8">
        <v>1211</v>
      </c>
      <c r="M1574" s="9">
        <v>6</v>
      </c>
      <c r="N1574" s="9">
        <f t="shared" si="267"/>
        <v>1204</v>
      </c>
      <c r="O1574" s="9">
        <f t="shared" si="268"/>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35">
      <c r="A1575">
        <v>1574</v>
      </c>
      <c r="B1575">
        <v>100</v>
      </c>
      <c r="C1575" s="22" t="s">
        <v>1263</v>
      </c>
      <c r="D1575" s="11">
        <v>9</v>
      </c>
      <c r="E1575" s="12">
        <v>8.1999999999999993</v>
      </c>
      <c r="F1575" s="7">
        <f t="shared" si="269"/>
        <v>1.0975609756097562</v>
      </c>
      <c r="G1575" s="8">
        <v>0</v>
      </c>
      <c r="H1575" s="9">
        <v>0</v>
      </c>
      <c r="I1575" s="9">
        <v>0</v>
      </c>
      <c r="J1575" s="9">
        <v>0</v>
      </c>
      <c r="K1575" s="9">
        <v>1</v>
      </c>
      <c r="L1575" s="8">
        <v>1211</v>
      </c>
      <c r="M1575" s="9">
        <v>6</v>
      </c>
      <c r="N1575" s="9">
        <f t="shared" si="267"/>
        <v>1204</v>
      </c>
      <c r="O1575" s="9">
        <f t="shared" si="268"/>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35">
      <c r="A1576">
        <v>1575</v>
      </c>
      <c r="B1576">
        <v>100</v>
      </c>
      <c r="C1576" s="22" t="s">
        <v>1263</v>
      </c>
      <c r="D1576" s="11">
        <v>5.5</v>
      </c>
      <c r="E1576" s="12">
        <v>0.6</v>
      </c>
      <c r="F1576" s="7">
        <f t="shared" si="269"/>
        <v>9.1666666666666679</v>
      </c>
      <c r="G1576" s="8">
        <v>0</v>
      </c>
      <c r="H1576" s="9">
        <v>0</v>
      </c>
      <c r="I1576" s="9">
        <v>0</v>
      </c>
      <c r="J1576" s="9">
        <v>0</v>
      </c>
      <c r="K1576" s="9">
        <v>1</v>
      </c>
      <c r="L1576" s="8">
        <v>1211</v>
      </c>
      <c r="M1576" s="9">
        <v>6</v>
      </c>
      <c r="N1576" s="9">
        <f t="shared" si="267"/>
        <v>1204</v>
      </c>
      <c r="O1576" s="9">
        <f t="shared" si="268"/>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35">
      <c r="A1577">
        <v>1576</v>
      </c>
      <c r="B1577">
        <v>101</v>
      </c>
      <c r="C1577" s="22" t="s">
        <v>1268</v>
      </c>
      <c r="D1577" s="11">
        <v>7</v>
      </c>
      <c r="E1577" s="12">
        <v>0.5</v>
      </c>
      <c r="F1577" s="7">
        <f t="shared" si="269"/>
        <v>14</v>
      </c>
      <c r="G1577" s="8">
        <v>0</v>
      </c>
      <c r="H1577" s="9">
        <v>0</v>
      </c>
      <c r="I1577" s="9">
        <v>0</v>
      </c>
      <c r="J1577" s="9">
        <v>1</v>
      </c>
      <c r="K1577" s="9">
        <v>0</v>
      </c>
      <c r="L1577" s="8">
        <v>2272</v>
      </c>
      <c r="M1577" s="9">
        <v>24</v>
      </c>
      <c r="N1577" s="9">
        <f t="shared" si="267"/>
        <v>2247</v>
      </c>
      <c r="O1577" s="9">
        <f t="shared" si="268"/>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35">
      <c r="A1578">
        <v>1577</v>
      </c>
      <c r="B1578">
        <v>101</v>
      </c>
      <c r="C1578" s="22" t="s">
        <v>1268</v>
      </c>
      <c r="D1578" s="11">
        <v>8</v>
      </c>
      <c r="E1578" s="12">
        <v>0.5</v>
      </c>
      <c r="F1578" s="7">
        <f t="shared" si="269"/>
        <v>16</v>
      </c>
      <c r="G1578" s="8">
        <v>0</v>
      </c>
      <c r="H1578" s="9">
        <v>0</v>
      </c>
      <c r="I1578" s="9">
        <v>0</v>
      </c>
      <c r="J1578" s="9">
        <v>1</v>
      </c>
      <c r="K1578" s="9">
        <v>0</v>
      </c>
      <c r="L1578" s="8">
        <v>2271</v>
      </c>
      <c r="M1578" s="9">
        <v>25</v>
      </c>
      <c r="N1578" s="9">
        <f t="shared" si="267"/>
        <v>2245</v>
      </c>
      <c r="O1578" s="9">
        <f t="shared" si="268"/>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35">
      <c r="A1579">
        <v>1578</v>
      </c>
      <c r="B1579">
        <v>101</v>
      </c>
      <c r="C1579" s="22" t="s">
        <v>1268</v>
      </c>
      <c r="D1579" s="11">
        <v>7.3</v>
      </c>
      <c r="E1579" s="12">
        <v>0.5</v>
      </c>
      <c r="F1579" s="7">
        <f t="shared" si="269"/>
        <v>14.6</v>
      </c>
      <c r="G1579" s="8">
        <v>0</v>
      </c>
      <c r="H1579" s="9">
        <v>0</v>
      </c>
      <c r="I1579" s="9">
        <v>0</v>
      </c>
      <c r="J1579" s="9">
        <v>1</v>
      </c>
      <c r="K1579" s="9">
        <v>0</v>
      </c>
      <c r="L1579" s="8">
        <v>2119</v>
      </c>
      <c r="M1579" s="9">
        <v>25</v>
      </c>
      <c r="N1579" s="9">
        <f t="shared" si="267"/>
        <v>2093</v>
      </c>
      <c r="O1579" s="9">
        <f t="shared" si="268"/>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35">
      <c r="A1580">
        <v>1579</v>
      </c>
      <c r="B1580">
        <v>101</v>
      </c>
      <c r="C1580" s="22" t="s">
        <v>1268</v>
      </c>
      <c r="D1580" s="11">
        <v>9.3000000000000007</v>
      </c>
      <c r="E1580" s="12">
        <v>0.5</v>
      </c>
      <c r="F1580" s="7">
        <f t="shared" si="269"/>
        <v>18.600000000000001</v>
      </c>
      <c r="G1580" s="8">
        <v>0</v>
      </c>
      <c r="H1580" s="9">
        <v>0</v>
      </c>
      <c r="I1580" s="9">
        <v>0</v>
      </c>
      <c r="J1580" s="9">
        <v>1</v>
      </c>
      <c r="K1580" s="9">
        <v>0</v>
      </c>
      <c r="L1580" s="8">
        <v>2478</v>
      </c>
      <c r="M1580" s="9">
        <v>24</v>
      </c>
      <c r="N1580" s="9">
        <f t="shared" si="267"/>
        <v>2453</v>
      </c>
      <c r="O1580" s="9">
        <f t="shared" si="268"/>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3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67"/>
        <v>2247</v>
      </c>
      <c r="O1581" s="9">
        <f t="shared" si="268"/>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71">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3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67"/>
        <v>2453</v>
      </c>
      <c r="O1582" s="9">
        <f t="shared" si="268"/>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71"/>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3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67"/>
        <v>2245</v>
      </c>
      <c r="O1583" s="9">
        <f t="shared" si="268"/>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71"/>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3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67"/>
        <v>2227</v>
      </c>
      <c r="O1584" s="9">
        <f t="shared" si="268"/>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71"/>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3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67"/>
        <v>2389</v>
      </c>
      <c r="O1585" s="9">
        <f t="shared" si="268"/>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71"/>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3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67"/>
        <v>2153</v>
      </c>
      <c r="O1586" s="9">
        <f t="shared" si="268"/>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71"/>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3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67"/>
        <v>2251</v>
      </c>
      <c r="O1587" s="9">
        <f t="shared" si="268"/>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71"/>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3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67"/>
        <v>2093</v>
      </c>
      <c r="O1588" s="9">
        <f t="shared" si="268"/>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71"/>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3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67"/>
        <v>2247</v>
      </c>
      <c r="O1589" s="9">
        <f t="shared" si="268"/>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71"/>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3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67"/>
        <v>2453</v>
      </c>
      <c r="O1590" s="9">
        <f t="shared" si="268"/>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71"/>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3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67"/>
        <v>2245</v>
      </c>
      <c r="O1591" s="9">
        <f t="shared" si="268"/>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71"/>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3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67"/>
        <v>2227</v>
      </c>
      <c r="O1592" s="9">
        <f t="shared" si="268"/>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71"/>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3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67"/>
        <v>2389</v>
      </c>
      <c r="O1593" s="9">
        <f t="shared" si="268"/>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71"/>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3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67"/>
        <v>2153</v>
      </c>
      <c r="O1594" s="9">
        <f t="shared" si="268"/>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71"/>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3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67"/>
        <v>2251</v>
      </c>
      <c r="O1595" s="9">
        <f t="shared" si="268"/>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71"/>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3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67"/>
        <v>2093</v>
      </c>
      <c r="O1596" s="9">
        <f t="shared" si="268"/>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71"/>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3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67"/>
        <v>37978</v>
      </c>
      <c r="O1597" s="9">
        <f t="shared" si="268"/>
        <v>24</v>
      </c>
      <c r="P1597" s="7">
        <f t="shared" ref="P1597:P1620" si="272">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73">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3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67"/>
        <v>37978</v>
      </c>
      <c r="O1598" s="9">
        <f t="shared" si="268"/>
        <v>24</v>
      </c>
      <c r="P1598" s="7">
        <f t="shared" si="272"/>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73"/>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3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67"/>
        <v>37978</v>
      </c>
      <c r="O1599" s="9">
        <f t="shared" si="268"/>
        <v>24</v>
      </c>
      <c r="P1599" s="7">
        <f t="shared" si="272"/>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73"/>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3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67"/>
        <v>42687</v>
      </c>
      <c r="O1600" s="9">
        <f t="shared" si="268"/>
        <v>24</v>
      </c>
      <c r="P1600" s="7">
        <f t="shared" si="272"/>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73"/>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3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67"/>
        <v>42687</v>
      </c>
      <c r="O1601" s="9">
        <f t="shared" si="268"/>
        <v>24</v>
      </c>
      <c r="P1601" s="7">
        <f t="shared" si="272"/>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73"/>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3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74">L1602-M1602-1</f>
        <v>42687</v>
      </c>
      <c r="O1602" s="9">
        <f t="shared" ref="O1602:O1665" si="275">COUNTIF(B:B,B1602)</f>
        <v>24</v>
      </c>
      <c r="P1602" s="7">
        <f t="shared" si="272"/>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73"/>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3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74"/>
        <v>37978</v>
      </c>
      <c r="O1603" s="9">
        <f t="shared" si="275"/>
        <v>24</v>
      </c>
      <c r="P1603" s="7">
        <f t="shared" si="272"/>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73"/>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3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74"/>
        <v>37978</v>
      </c>
      <c r="O1604" s="9">
        <f t="shared" si="275"/>
        <v>24</v>
      </c>
      <c r="P1604" s="7">
        <f t="shared" si="272"/>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73"/>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3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74"/>
        <v>37978</v>
      </c>
      <c r="O1605" s="9">
        <f t="shared" si="275"/>
        <v>24</v>
      </c>
      <c r="P1605" s="7">
        <f t="shared" si="272"/>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73"/>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3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74"/>
        <v>42687</v>
      </c>
      <c r="O1606" s="9">
        <f t="shared" si="275"/>
        <v>24</v>
      </c>
      <c r="P1606" s="7">
        <f t="shared" si="272"/>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73"/>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3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74"/>
        <v>42687</v>
      </c>
      <c r="O1607" s="9">
        <f t="shared" si="275"/>
        <v>24</v>
      </c>
      <c r="P1607" s="7">
        <f t="shared" si="272"/>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73"/>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3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74"/>
        <v>42687</v>
      </c>
      <c r="O1608" s="9">
        <f t="shared" si="275"/>
        <v>24</v>
      </c>
      <c r="P1608" s="7">
        <f t="shared" si="272"/>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73"/>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3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74"/>
        <v>37978</v>
      </c>
      <c r="O1609" s="9">
        <f t="shared" si="275"/>
        <v>24</v>
      </c>
      <c r="P1609" s="7">
        <f t="shared" si="272"/>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73"/>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3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74"/>
        <v>37978</v>
      </c>
      <c r="O1610" s="9">
        <f t="shared" si="275"/>
        <v>24</v>
      </c>
      <c r="P1610" s="7">
        <f t="shared" si="272"/>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73"/>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3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74"/>
        <v>37978</v>
      </c>
      <c r="O1611" s="9">
        <f t="shared" si="275"/>
        <v>24</v>
      </c>
      <c r="P1611" s="7">
        <f t="shared" si="272"/>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73"/>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3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74"/>
        <v>42687</v>
      </c>
      <c r="O1612" s="9">
        <f t="shared" si="275"/>
        <v>24</v>
      </c>
      <c r="P1612" s="7">
        <f t="shared" si="272"/>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73"/>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3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74"/>
        <v>42687</v>
      </c>
      <c r="O1613" s="9">
        <f t="shared" si="275"/>
        <v>24</v>
      </c>
      <c r="P1613" s="7">
        <f t="shared" si="272"/>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73"/>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3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74"/>
        <v>42687</v>
      </c>
      <c r="O1614" s="9">
        <f t="shared" si="275"/>
        <v>24</v>
      </c>
      <c r="P1614" s="7">
        <f t="shared" si="272"/>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73"/>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3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74"/>
        <v>37833</v>
      </c>
      <c r="O1615" s="9">
        <f t="shared" si="275"/>
        <v>24</v>
      </c>
      <c r="P1615" s="7">
        <f t="shared" si="272"/>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73"/>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3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74"/>
        <v>37833</v>
      </c>
      <c r="O1616" s="9">
        <f t="shared" si="275"/>
        <v>24</v>
      </c>
      <c r="P1616" s="7">
        <f t="shared" si="272"/>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73"/>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3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74"/>
        <v>37833</v>
      </c>
      <c r="O1617" s="9">
        <f t="shared" si="275"/>
        <v>24</v>
      </c>
      <c r="P1617" s="7">
        <f t="shared" si="272"/>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73"/>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3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74"/>
        <v>42544</v>
      </c>
      <c r="O1618" s="9">
        <f t="shared" si="275"/>
        <v>24</v>
      </c>
      <c r="P1618" s="7">
        <f t="shared" si="272"/>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73"/>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3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74"/>
        <v>42544</v>
      </c>
      <c r="O1619" s="9">
        <f t="shared" si="275"/>
        <v>24</v>
      </c>
      <c r="P1619" s="7">
        <f t="shared" si="272"/>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73"/>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3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74"/>
        <v>42544</v>
      </c>
      <c r="O1620" s="9">
        <f t="shared" si="275"/>
        <v>24</v>
      </c>
      <c r="P1620" s="7">
        <f t="shared" si="272"/>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73"/>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35">
      <c r="A1621">
        <v>1620</v>
      </c>
      <c r="B1621">
        <v>103</v>
      </c>
      <c r="C1621" s="22" t="s">
        <v>1299</v>
      </c>
      <c r="D1621" s="11">
        <v>9.77</v>
      </c>
      <c r="E1621" s="12">
        <f t="shared" ref="E1621:E1628" si="276">D1621/F1621</f>
        <v>0.41345746931866273</v>
      </c>
      <c r="F1621" s="7">
        <v>23.63</v>
      </c>
      <c r="G1621" s="8">
        <v>1</v>
      </c>
      <c r="H1621" s="9">
        <v>0</v>
      </c>
      <c r="I1621" s="9">
        <v>0</v>
      </c>
      <c r="J1621" s="9">
        <v>0</v>
      </c>
      <c r="K1621" s="9">
        <v>0</v>
      </c>
      <c r="L1621" s="8">
        <v>1013</v>
      </c>
      <c r="M1621" s="9">
        <v>8</v>
      </c>
      <c r="N1621" s="9">
        <f t="shared" si="274"/>
        <v>1004</v>
      </c>
      <c r="O1621" s="9">
        <f t="shared" si="275"/>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77">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78">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35">
      <c r="A1622">
        <v>1621</v>
      </c>
      <c r="B1622">
        <v>103</v>
      </c>
      <c r="C1622" s="22" t="s">
        <v>1299</v>
      </c>
      <c r="D1622" s="11">
        <v>8.51</v>
      </c>
      <c r="E1622" s="12">
        <f t="shared" si="276"/>
        <v>0.46861233480176212</v>
      </c>
      <c r="F1622" s="7">
        <v>18.16</v>
      </c>
      <c r="G1622" s="8">
        <v>1</v>
      </c>
      <c r="H1622" s="9">
        <v>0</v>
      </c>
      <c r="I1622" s="9">
        <v>0</v>
      </c>
      <c r="J1622" s="9">
        <v>0</v>
      </c>
      <c r="K1622" s="9">
        <v>0</v>
      </c>
      <c r="L1622" s="8">
        <v>1013</v>
      </c>
      <c r="M1622" s="9">
        <v>9</v>
      </c>
      <c r="N1622" s="9">
        <f t="shared" si="274"/>
        <v>1003</v>
      </c>
      <c r="O1622" s="9">
        <f t="shared" si="275"/>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77"/>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78"/>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35">
      <c r="A1623">
        <v>1622</v>
      </c>
      <c r="B1623">
        <v>103</v>
      </c>
      <c r="C1623" s="22" t="s">
        <v>1299</v>
      </c>
      <c r="D1623" s="11">
        <v>8.99</v>
      </c>
      <c r="E1623" s="12">
        <f t="shared" si="276"/>
        <v>1.1336696090794451</v>
      </c>
      <c r="F1623" s="7">
        <v>7.93</v>
      </c>
      <c r="G1623" s="8">
        <v>1</v>
      </c>
      <c r="H1623" s="9">
        <v>0</v>
      </c>
      <c r="I1623" s="9">
        <v>0</v>
      </c>
      <c r="J1623" s="9">
        <v>0</v>
      </c>
      <c r="K1623" s="9">
        <v>0</v>
      </c>
      <c r="L1623" s="8">
        <v>182</v>
      </c>
      <c r="M1623" s="9">
        <v>8</v>
      </c>
      <c r="N1623" s="9">
        <f t="shared" si="274"/>
        <v>173</v>
      </c>
      <c r="O1623" s="9">
        <f t="shared" si="275"/>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77"/>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78"/>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35">
      <c r="A1624">
        <v>1623</v>
      </c>
      <c r="B1624">
        <v>103</v>
      </c>
      <c r="C1624" s="22" t="s">
        <v>1299</v>
      </c>
      <c r="D1624" s="11">
        <v>5.76</v>
      </c>
      <c r="E1624" s="12">
        <f t="shared" si="276"/>
        <v>1.5955678670360112</v>
      </c>
      <c r="F1624" s="7">
        <v>3.61</v>
      </c>
      <c r="G1624" s="8">
        <v>1</v>
      </c>
      <c r="H1624" s="9">
        <v>0</v>
      </c>
      <c r="I1624" s="9">
        <v>0</v>
      </c>
      <c r="J1624" s="9">
        <v>0</v>
      </c>
      <c r="K1624" s="9">
        <v>0</v>
      </c>
      <c r="L1624" s="8">
        <v>182</v>
      </c>
      <c r="M1624" s="9">
        <v>9</v>
      </c>
      <c r="N1624" s="9">
        <f t="shared" si="274"/>
        <v>172</v>
      </c>
      <c r="O1624" s="9">
        <f t="shared" si="275"/>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77"/>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78"/>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35">
      <c r="A1625">
        <v>1624</v>
      </c>
      <c r="B1625">
        <v>103</v>
      </c>
      <c r="C1625" s="22" t="s">
        <v>1299</v>
      </c>
      <c r="D1625" s="11">
        <v>10.08</v>
      </c>
      <c r="E1625" s="12">
        <f t="shared" si="276"/>
        <v>0.46259752179899039</v>
      </c>
      <c r="F1625" s="7">
        <v>21.79</v>
      </c>
      <c r="G1625" s="8">
        <v>1</v>
      </c>
      <c r="H1625" s="9">
        <v>0</v>
      </c>
      <c r="I1625" s="9">
        <v>0</v>
      </c>
      <c r="J1625" s="9">
        <v>0</v>
      </c>
      <c r="K1625" s="9">
        <v>0</v>
      </c>
      <c r="L1625" s="8">
        <v>1009</v>
      </c>
      <c r="M1625" s="9">
        <v>9</v>
      </c>
      <c r="N1625" s="9">
        <f t="shared" si="274"/>
        <v>999</v>
      </c>
      <c r="O1625" s="9">
        <f t="shared" si="275"/>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77"/>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78"/>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35">
      <c r="A1626">
        <v>1625</v>
      </c>
      <c r="B1626">
        <v>103</v>
      </c>
      <c r="C1626" s="22" t="s">
        <v>1299</v>
      </c>
      <c r="D1626" s="11">
        <v>8.82</v>
      </c>
      <c r="E1626" s="12">
        <f t="shared" si="276"/>
        <v>0.51219512195121952</v>
      </c>
      <c r="F1626" s="7">
        <v>17.22</v>
      </c>
      <c r="G1626" s="8">
        <v>1</v>
      </c>
      <c r="H1626" s="9">
        <v>0</v>
      </c>
      <c r="I1626" s="9">
        <v>0</v>
      </c>
      <c r="J1626" s="9">
        <v>0</v>
      </c>
      <c r="K1626" s="9">
        <v>0</v>
      </c>
      <c r="L1626" s="8">
        <v>1009</v>
      </c>
      <c r="M1626" s="9">
        <v>10</v>
      </c>
      <c r="N1626" s="9">
        <f t="shared" si="274"/>
        <v>998</v>
      </c>
      <c r="O1626" s="9">
        <f t="shared" si="275"/>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77"/>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78"/>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35">
      <c r="A1627">
        <v>1626</v>
      </c>
      <c r="B1627">
        <v>103</v>
      </c>
      <c r="C1627" s="22" t="s">
        <v>1299</v>
      </c>
      <c r="D1627" s="11">
        <v>8.67</v>
      </c>
      <c r="E1627" s="12">
        <f t="shared" si="276"/>
        <v>1.2768777614138438</v>
      </c>
      <c r="F1627" s="7">
        <v>6.79</v>
      </c>
      <c r="G1627" s="8">
        <v>1</v>
      </c>
      <c r="H1627" s="9">
        <v>0</v>
      </c>
      <c r="I1627" s="9">
        <v>0</v>
      </c>
      <c r="J1627" s="9">
        <v>0</v>
      </c>
      <c r="K1627" s="9">
        <v>0</v>
      </c>
      <c r="L1627" s="8">
        <v>182</v>
      </c>
      <c r="M1627" s="9">
        <v>9</v>
      </c>
      <c r="N1627" s="9">
        <f t="shared" si="274"/>
        <v>172</v>
      </c>
      <c r="O1627" s="9">
        <f t="shared" si="275"/>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77"/>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78"/>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35">
      <c r="A1628">
        <v>1627</v>
      </c>
      <c r="B1628">
        <v>103</v>
      </c>
      <c r="C1628" s="22" t="s">
        <v>1299</v>
      </c>
      <c r="D1628" s="11">
        <v>-2.4500000000000002</v>
      </c>
      <c r="E1628" s="12">
        <f t="shared" si="276"/>
        <v>0.92803030303030309</v>
      </c>
      <c r="F1628" s="7">
        <v>-2.64</v>
      </c>
      <c r="G1628" s="8">
        <v>1</v>
      </c>
      <c r="H1628" s="9">
        <v>0</v>
      </c>
      <c r="I1628" s="9">
        <v>0</v>
      </c>
      <c r="J1628" s="9">
        <v>0</v>
      </c>
      <c r="K1628" s="9">
        <v>0</v>
      </c>
      <c r="L1628" s="8">
        <v>182</v>
      </c>
      <c r="M1628" s="9">
        <v>10</v>
      </c>
      <c r="N1628" s="9">
        <f t="shared" si="274"/>
        <v>171</v>
      </c>
      <c r="O1628" s="9">
        <f t="shared" si="275"/>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77"/>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78"/>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35">
      <c r="A1629">
        <v>1628</v>
      </c>
      <c r="B1629">
        <v>104</v>
      </c>
      <c r="C1629" s="22" t="s">
        <v>1464</v>
      </c>
      <c r="D1629" s="11">
        <v>12.8</v>
      </c>
      <c r="E1629" s="12">
        <v>0.5</v>
      </c>
      <c r="F1629" s="7">
        <f t="shared" ref="F1629:F1657" si="279">D1629/E1629</f>
        <v>25.6</v>
      </c>
      <c r="G1629" s="8">
        <v>0</v>
      </c>
      <c r="H1629" s="9">
        <v>0</v>
      </c>
      <c r="I1629" s="9">
        <v>0</v>
      </c>
      <c r="J1629" s="9">
        <v>1</v>
      </c>
      <c r="K1629" s="9">
        <v>0</v>
      </c>
      <c r="L1629" s="8">
        <v>6558</v>
      </c>
      <c r="M1629" s="9">
        <v>12</v>
      </c>
      <c r="N1629" s="9">
        <f t="shared" si="274"/>
        <v>6545</v>
      </c>
      <c r="O1629" s="9">
        <f t="shared" si="275"/>
        <v>17</v>
      </c>
      <c r="P1629" s="7">
        <v>12.086</v>
      </c>
      <c r="Q1629" s="7">
        <f t="shared" ref="Q1629:Q1657" si="280">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35">
      <c r="A1630">
        <v>1629</v>
      </c>
      <c r="B1630">
        <v>104</v>
      </c>
      <c r="C1630" s="22" t="s">
        <v>1464</v>
      </c>
      <c r="D1630" s="11">
        <v>11</v>
      </c>
      <c r="E1630" s="12">
        <v>0.5</v>
      </c>
      <c r="F1630" s="7">
        <f t="shared" si="279"/>
        <v>22</v>
      </c>
      <c r="G1630" s="8">
        <v>0</v>
      </c>
      <c r="H1630" s="9">
        <v>0</v>
      </c>
      <c r="I1630" s="9">
        <v>0</v>
      </c>
      <c r="J1630" s="9">
        <v>1</v>
      </c>
      <c r="K1630" s="9">
        <v>0</v>
      </c>
      <c r="L1630" s="8">
        <v>6558</v>
      </c>
      <c r="M1630" s="9">
        <v>12</v>
      </c>
      <c r="N1630" s="9">
        <f t="shared" si="274"/>
        <v>6545</v>
      </c>
      <c r="O1630" s="9">
        <f t="shared" si="275"/>
        <v>17</v>
      </c>
      <c r="P1630" s="7">
        <v>12.086</v>
      </c>
      <c r="Q1630" s="7">
        <f t="shared" si="280"/>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35">
      <c r="A1631">
        <v>1630</v>
      </c>
      <c r="B1631">
        <v>104</v>
      </c>
      <c r="C1631" s="22" t="s">
        <v>1464</v>
      </c>
      <c r="D1631" s="11">
        <v>13</v>
      </c>
      <c r="E1631" s="12">
        <v>0.5</v>
      </c>
      <c r="F1631" s="7">
        <f t="shared" si="279"/>
        <v>26</v>
      </c>
      <c r="G1631" s="8">
        <v>0</v>
      </c>
      <c r="H1631" s="9">
        <v>0</v>
      </c>
      <c r="I1631" s="9">
        <v>0</v>
      </c>
      <c r="J1631" s="9">
        <v>1</v>
      </c>
      <c r="K1631" s="9">
        <v>0</v>
      </c>
      <c r="L1631" s="8">
        <v>7211</v>
      </c>
      <c r="M1631" s="9">
        <v>12</v>
      </c>
      <c r="N1631" s="9">
        <f t="shared" si="274"/>
        <v>7198</v>
      </c>
      <c r="O1631" s="9">
        <f t="shared" si="275"/>
        <v>17</v>
      </c>
      <c r="P1631" s="7">
        <v>12.086</v>
      </c>
      <c r="Q1631" s="7">
        <f t="shared" si="280"/>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35">
      <c r="A1632">
        <v>1631</v>
      </c>
      <c r="B1632">
        <v>104</v>
      </c>
      <c r="C1632" s="22" t="s">
        <v>1464</v>
      </c>
      <c r="D1632" s="11">
        <v>11.2</v>
      </c>
      <c r="E1632" s="12">
        <v>0.5</v>
      </c>
      <c r="F1632" s="7">
        <f t="shared" si="279"/>
        <v>22.4</v>
      </c>
      <c r="G1632" s="8">
        <v>0</v>
      </c>
      <c r="H1632" s="9">
        <v>0</v>
      </c>
      <c r="I1632" s="9">
        <v>0</v>
      </c>
      <c r="J1632" s="9">
        <v>1</v>
      </c>
      <c r="K1632" s="9">
        <v>0</v>
      </c>
      <c r="L1632" s="8">
        <v>7211</v>
      </c>
      <c r="M1632" s="9">
        <v>12</v>
      </c>
      <c r="N1632" s="9">
        <f t="shared" si="274"/>
        <v>7198</v>
      </c>
      <c r="O1632" s="9">
        <f t="shared" si="275"/>
        <v>17</v>
      </c>
      <c r="P1632" s="7">
        <v>12.086</v>
      </c>
      <c r="Q1632" s="7">
        <f t="shared" si="280"/>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35">
      <c r="A1633">
        <v>1632</v>
      </c>
      <c r="B1633">
        <v>104</v>
      </c>
      <c r="C1633" s="22" t="s">
        <v>1464</v>
      </c>
      <c r="D1633" s="11">
        <v>9.9</v>
      </c>
      <c r="E1633" s="12">
        <v>0.5</v>
      </c>
      <c r="F1633" s="7">
        <f t="shared" si="279"/>
        <v>19.8</v>
      </c>
      <c r="G1633" s="8">
        <v>0</v>
      </c>
      <c r="H1633" s="9">
        <v>0</v>
      </c>
      <c r="I1633" s="9">
        <v>0</v>
      </c>
      <c r="J1633" s="9">
        <v>1</v>
      </c>
      <c r="K1633" s="9">
        <v>0</v>
      </c>
      <c r="L1633" s="8">
        <v>4723</v>
      </c>
      <c r="M1633" s="9">
        <v>12</v>
      </c>
      <c r="N1633" s="9">
        <f t="shared" si="274"/>
        <v>4710</v>
      </c>
      <c r="O1633" s="9">
        <f t="shared" si="275"/>
        <v>17</v>
      </c>
      <c r="P1633" s="7">
        <v>12.086</v>
      </c>
      <c r="Q1633" s="7">
        <f t="shared" si="280"/>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35">
      <c r="A1634">
        <v>1633</v>
      </c>
      <c r="B1634">
        <v>104</v>
      </c>
      <c r="C1634" s="22" t="s">
        <v>1464</v>
      </c>
      <c r="D1634" s="11">
        <v>8</v>
      </c>
      <c r="E1634" s="12">
        <v>0.3</v>
      </c>
      <c r="F1634" s="7">
        <f t="shared" si="279"/>
        <v>26.666666666666668</v>
      </c>
      <c r="G1634" s="8">
        <v>0</v>
      </c>
      <c r="H1634" s="9">
        <v>0</v>
      </c>
      <c r="I1634" s="9">
        <v>0</v>
      </c>
      <c r="J1634" s="9">
        <v>1</v>
      </c>
      <c r="K1634" s="9">
        <v>0</v>
      </c>
      <c r="L1634" s="8">
        <v>4694</v>
      </c>
      <c r="M1634" s="9">
        <v>12</v>
      </c>
      <c r="N1634" s="9">
        <f t="shared" si="274"/>
        <v>4681</v>
      </c>
      <c r="O1634" s="9">
        <f t="shared" si="275"/>
        <v>17</v>
      </c>
      <c r="P1634" s="7">
        <v>12.086</v>
      </c>
      <c r="Q1634" s="7">
        <f t="shared" si="280"/>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35">
      <c r="A1635">
        <v>1634</v>
      </c>
      <c r="B1635">
        <v>104</v>
      </c>
      <c r="C1635" s="22" t="s">
        <v>1464</v>
      </c>
      <c r="D1635" s="11">
        <v>10.1</v>
      </c>
      <c r="E1635" s="12">
        <v>0.5</v>
      </c>
      <c r="F1635" s="7">
        <f t="shared" si="279"/>
        <v>20.2</v>
      </c>
      <c r="G1635" s="8">
        <v>0</v>
      </c>
      <c r="H1635" s="9">
        <v>0</v>
      </c>
      <c r="I1635" s="9">
        <v>0</v>
      </c>
      <c r="J1635" s="9">
        <v>1</v>
      </c>
      <c r="K1635" s="9">
        <v>0</v>
      </c>
      <c r="L1635" s="8">
        <v>6658</v>
      </c>
      <c r="M1635" s="9">
        <v>15</v>
      </c>
      <c r="N1635" s="9">
        <f t="shared" si="274"/>
        <v>6642</v>
      </c>
      <c r="O1635" s="9">
        <f t="shared" si="275"/>
        <v>17</v>
      </c>
      <c r="P1635" s="7">
        <v>12.086</v>
      </c>
      <c r="Q1635" s="7">
        <f t="shared" si="280"/>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35">
      <c r="A1636">
        <v>1635</v>
      </c>
      <c r="B1636">
        <v>104</v>
      </c>
      <c r="C1636" s="22" t="s">
        <v>1464</v>
      </c>
      <c r="D1636" s="11">
        <v>8.8000000000000007</v>
      </c>
      <c r="E1636" s="12">
        <v>0.4</v>
      </c>
      <c r="F1636" s="7">
        <f t="shared" si="279"/>
        <v>22</v>
      </c>
      <c r="G1636" s="8">
        <v>0</v>
      </c>
      <c r="H1636" s="9">
        <v>0</v>
      </c>
      <c r="I1636" s="9">
        <v>0</v>
      </c>
      <c r="J1636" s="9">
        <v>1</v>
      </c>
      <c r="K1636" s="9">
        <v>0</v>
      </c>
      <c r="L1636" s="8">
        <v>6658</v>
      </c>
      <c r="M1636" s="9">
        <v>15</v>
      </c>
      <c r="N1636" s="9">
        <f t="shared" si="274"/>
        <v>6642</v>
      </c>
      <c r="O1636" s="9">
        <f t="shared" si="275"/>
        <v>17</v>
      </c>
      <c r="P1636" s="7">
        <v>12.086</v>
      </c>
      <c r="Q1636" s="7">
        <f t="shared" si="280"/>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35">
      <c r="A1637">
        <v>1636</v>
      </c>
      <c r="B1637">
        <v>104</v>
      </c>
      <c r="C1637" s="22" t="s">
        <v>1464</v>
      </c>
      <c r="D1637" s="11">
        <v>9.8000000000000007</v>
      </c>
      <c r="E1637" s="12">
        <v>0.5</v>
      </c>
      <c r="F1637" s="7">
        <f t="shared" si="279"/>
        <v>19.600000000000001</v>
      </c>
      <c r="G1637" s="8">
        <v>0</v>
      </c>
      <c r="H1637" s="9">
        <v>0</v>
      </c>
      <c r="I1637" s="9">
        <v>0</v>
      </c>
      <c r="J1637" s="9">
        <v>1</v>
      </c>
      <c r="K1637" s="9">
        <v>0</v>
      </c>
      <c r="L1637" s="8">
        <v>7211</v>
      </c>
      <c r="M1637" s="9">
        <v>15</v>
      </c>
      <c r="N1637" s="9">
        <f t="shared" si="274"/>
        <v>7195</v>
      </c>
      <c r="O1637" s="9">
        <f t="shared" si="275"/>
        <v>17</v>
      </c>
      <c r="P1637" s="7">
        <v>12.086</v>
      </c>
      <c r="Q1637" s="7">
        <f t="shared" si="280"/>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35">
      <c r="A1638">
        <v>1637</v>
      </c>
      <c r="B1638">
        <v>104</v>
      </c>
      <c r="C1638" s="22" t="s">
        <v>1464</v>
      </c>
      <c r="D1638" s="11">
        <v>8.5</v>
      </c>
      <c r="E1638" s="12">
        <v>0.4</v>
      </c>
      <c r="F1638" s="7">
        <f t="shared" si="279"/>
        <v>21.25</v>
      </c>
      <c r="G1638" s="8">
        <v>0</v>
      </c>
      <c r="H1638" s="9">
        <v>0</v>
      </c>
      <c r="I1638" s="9">
        <v>0</v>
      </c>
      <c r="J1638" s="9">
        <v>1</v>
      </c>
      <c r="K1638" s="9">
        <v>0</v>
      </c>
      <c r="L1638" s="8">
        <v>7211</v>
      </c>
      <c r="M1638" s="9">
        <v>15</v>
      </c>
      <c r="N1638" s="9">
        <f t="shared" si="274"/>
        <v>7195</v>
      </c>
      <c r="O1638" s="9">
        <f t="shared" si="275"/>
        <v>17</v>
      </c>
      <c r="P1638" s="7">
        <v>12.086</v>
      </c>
      <c r="Q1638" s="7">
        <f t="shared" si="280"/>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35">
      <c r="A1639">
        <v>1638</v>
      </c>
      <c r="B1639">
        <v>104</v>
      </c>
      <c r="C1639" s="22" t="s">
        <v>1464</v>
      </c>
      <c r="D1639" s="11">
        <v>8.5</v>
      </c>
      <c r="E1639" s="12">
        <v>0.4</v>
      </c>
      <c r="F1639" s="7">
        <f t="shared" si="279"/>
        <v>21.25</v>
      </c>
      <c r="G1639" s="8">
        <v>0</v>
      </c>
      <c r="H1639" s="9">
        <v>0</v>
      </c>
      <c r="I1639" s="9">
        <v>0</v>
      </c>
      <c r="J1639" s="9">
        <v>1</v>
      </c>
      <c r="K1639" s="9">
        <v>0</v>
      </c>
      <c r="L1639" s="8">
        <v>4723</v>
      </c>
      <c r="M1639" s="9">
        <v>15</v>
      </c>
      <c r="N1639" s="9">
        <f t="shared" si="274"/>
        <v>4707</v>
      </c>
      <c r="O1639" s="9">
        <f t="shared" si="275"/>
        <v>17</v>
      </c>
      <c r="P1639" s="7">
        <v>12.086</v>
      </c>
      <c r="Q1639" s="7">
        <f t="shared" si="280"/>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35">
      <c r="A1640">
        <v>1639</v>
      </c>
      <c r="B1640">
        <v>104</v>
      </c>
      <c r="C1640" s="22" t="s">
        <v>1464</v>
      </c>
      <c r="D1640" s="11">
        <v>8</v>
      </c>
      <c r="E1640" s="12">
        <v>0.3</v>
      </c>
      <c r="F1640" s="7">
        <f t="shared" si="279"/>
        <v>26.666666666666668</v>
      </c>
      <c r="G1640" s="8">
        <v>0</v>
      </c>
      <c r="H1640" s="9">
        <v>0</v>
      </c>
      <c r="I1640" s="9">
        <v>0</v>
      </c>
      <c r="J1640" s="9">
        <v>1</v>
      </c>
      <c r="K1640" s="9">
        <v>0</v>
      </c>
      <c r="L1640" s="8">
        <v>4694</v>
      </c>
      <c r="M1640" s="9">
        <v>15</v>
      </c>
      <c r="N1640" s="9">
        <f t="shared" si="274"/>
        <v>4678</v>
      </c>
      <c r="O1640" s="9">
        <f t="shared" si="275"/>
        <v>17</v>
      </c>
      <c r="P1640" s="7">
        <v>12.086</v>
      </c>
      <c r="Q1640" s="7">
        <f t="shared" si="280"/>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35">
      <c r="A1641">
        <v>1640</v>
      </c>
      <c r="B1641">
        <v>104</v>
      </c>
      <c r="C1641" s="22" t="s">
        <v>1464</v>
      </c>
      <c r="D1641" s="11">
        <v>12.8</v>
      </c>
      <c r="E1641" s="12">
        <v>1.3</v>
      </c>
      <c r="F1641" s="7">
        <f t="shared" si="279"/>
        <v>9.8461538461538467</v>
      </c>
      <c r="G1641" s="8">
        <v>0</v>
      </c>
      <c r="H1641" s="9">
        <v>0</v>
      </c>
      <c r="I1641" s="9">
        <v>0</v>
      </c>
      <c r="J1641" s="9">
        <v>1</v>
      </c>
      <c r="K1641" s="9">
        <v>0</v>
      </c>
      <c r="L1641" s="8">
        <v>998</v>
      </c>
      <c r="M1641" s="9">
        <v>12</v>
      </c>
      <c r="N1641" s="9">
        <f t="shared" si="274"/>
        <v>985</v>
      </c>
      <c r="O1641" s="9">
        <f t="shared" si="275"/>
        <v>17</v>
      </c>
      <c r="P1641" s="7">
        <v>12.086</v>
      </c>
      <c r="Q1641" s="7">
        <f t="shared" si="280"/>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35">
      <c r="A1642">
        <v>1641</v>
      </c>
      <c r="B1642">
        <v>104</v>
      </c>
      <c r="C1642" s="22" t="s">
        <v>1464</v>
      </c>
      <c r="D1642" s="11">
        <v>-9.9</v>
      </c>
      <c r="E1642" s="12">
        <v>29.5</v>
      </c>
      <c r="F1642" s="7">
        <f t="shared" si="279"/>
        <v>-0.33559322033898309</v>
      </c>
      <c r="G1642" s="8">
        <v>0</v>
      </c>
      <c r="H1642" s="9">
        <v>0</v>
      </c>
      <c r="I1642" s="9">
        <v>0</v>
      </c>
      <c r="J1642" s="9">
        <v>1</v>
      </c>
      <c r="K1642" s="9">
        <v>0</v>
      </c>
      <c r="L1642" s="8">
        <v>998</v>
      </c>
      <c r="M1642" s="9">
        <v>12</v>
      </c>
      <c r="N1642" s="9">
        <f t="shared" si="274"/>
        <v>985</v>
      </c>
      <c r="O1642" s="9">
        <f t="shared" si="275"/>
        <v>17</v>
      </c>
      <c r="P1642" s="7">
        <v>12.086</v>
      </c>
      <c r="Q1642" s="7">
        <f t="shared" si="280"/>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35">
      <c r="A1643">
        <v>1642</v>
      </c>
      <c r="B1643">
        <v>104</v>
      </c>
      <c r="C1643" s="22" t="s">
        <v>1464</v>
      </c>
      <c r="D1643" s="11">
        <v>7.9</v>
      </c>
      <c r="E1643" s="12">
        <v>3.2</v>
      </c>
      <c r="F1643" s="7">
        <f t="shared" si="279"/>
        <v>2.46875</v>
      </c>
      <c r="G1643" s="8">
        <v>0</v>
      </c>
      <c r="H1643" s="9">
        <v>0</v>
      </c>
      <c r="I1643" s="9">
        <v>0</v>
      </c>
      <c r="J1643" s="9">
        <v>1</v>
      </c>
      <c r="K1643" s="9">
        <v>0</v>
      </c>
      <c r="L1643" s="8">
        <v>998</v>
      </c>
      <c r="M1643" s="9">
        <v>12</v>
      </c>
      <c r="N1643" s="9">
        <f t="shared" si="274"/>
        <v>985</v>
      </c>
      <c r="O1643" s="9">
        <f t="shared" si="275"/>
        <v>17</v>
      </c>
      <c r="P1643" s="7">
        <v>12.086</v>
      </c>
      <c r="Q1643" s="7">
        <f t="shared" si="280"/>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35">
      <c r="A1644">
        <v>1643</v>
      </c>
      <c r="B1644">
        <v>104</v>
      </c>
      <c r="C1644" s="22" t="s">
        <v>1464</v>
      </c>
      <c r="D1644" s="11">
        <v>19.100000000000001</v>
      </c>
      <c r="E1644" s="12">
        <v>9.8000000000000007</v>
      </c>
      <c r="F1644" s="7">
        <f t="shared" si="279"/>
        <v>1.9489795918367347</v>
      </c>
      <c r="G1644" s="8">
        <v>0</v>
      </c>
      <c r="H1644" s="9">
        <v>0</v>
      </c>
      <c r="I1644" s="9">
        <v>0</v>
      </c>
      <c r="J1644" s="9">
        <v>1</v>
      </c>
      <c r="K1644" s="9">
        <v>0</v>
      </c>
      <c r="L1644" s="8">
        <v>7211</v>
      </c>
      <c r="M1644" s="9">
        <v>12</v>
      </c>
      <c r="N1644" s="9">
        <f t="shared" si="274"/>
        <v>7198</v>
      </c>
      <c r="O1644" s="9">
        <f t="shared" si="275"/>
        <v>17</v>
      </c>
      <c r="P1644" s="7">
        <v>12.086</v>
      </c>
      <c r="Q1644" s="7">
        <f t="shared" si="280"/>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35">
      <c r="A1645">
        <v>1644</v>
      </c>
      <c r="B1645">
        <v>104</v>
      </c>
      <c r="C1645" s="22" t="s">
        <v>1464</v>
      </c>
      <c r="D1645" s="11">
        <v>11.8</v>
      </c>
      <c r="E1645" s="12">
        <v>3.5</v>
      </c>
      <c r="F1645" s="7">
        <f t="shared" si="279"/>
        <v>3.3714285714285714</v>
      </c>
      <c r="G1645" s="8">
        <v>0</v>
      </c>
      <c r="H1645" s="9">
        <v>0</v>
      </c>
      <c r="I1645" s="9">
        <v>0</v>
      </c>
      <c r="J1645" s="9">
        <v>1</v>
      </c>
      <c r="K1645" s="9">
        <v>0</v>
      </c>
      <c r="L1645" s="8">
        <v>7211</v>
      </c>
      <c r="M1645" s="9">
        <v>12</v>
      </c>
      <c r="N1645" s="9">
        <f t="shared" si="274"/>
        <v>7198</v>
      </c>
      <c r="O1645" s="9">
        <f t="shared" si="275"/>
        <v>17</v>
      </c>
      <c r="P1645" s="7">
        <v>12.086</v>
      </c>
      <c r="Q1645" s="7">
        <f t="shared" si="280"/>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35">
      <c r="A1646">
        <v>1645</v>
      </c>
      <c r="B1646">
        <v>105</v>
      </c>
      <c r="C1646" s="22" t="s">
        <v>1306</v>
      </c>
      <c r="D1646" s="11">
        <v>7</v>
      </c>
      <c r="E1646" s="12">
        <v>0.2</v>
      </c>
      <c r="F1646" s="7">
        <f t="shared" si="279"/>
        <v>35</v>
      </c>
      <c r="G1646" s="8">
        <v>0</v>
      </c>
      <c r="H1646" s="9">
        <v>0</v>
      </c>
      <c r="I1646" s="9">
        <v>1</v>
      </c>
      <c r="J1646" s="9">
        <v>0</v>
      </c>
      <c r="K1646" s="9">
        <v>0</v>
      </c>
      <c r="L1646" s="8">
        <v>21241</v>
      </c>
      <c r="M1646" s="9">
        <v>8</v>
      </c>
      <c r="N1646" s="9">
        <f t="shared" si="274"/>
        <v>21232</v>
      </c>
      <c r="O1646" s="9">
        <f t="shared" si="275"/>
        <v>12</v>
      </c>
      <c r="P1646" s="7">
        <v>9.65</v>
      </c>
      <c r="Q1646" s="7">
        <f t="shared" si="280"/>
        <v>26.4</v>
      </c>
      <c r="R1646" s="9">
        <v>1</v>
      </c>
      <c r="S1646" s="9">
        <v>0</v>
      </c>
      <c r="T1646" s="9">
        <v>0</v>
      </c>
      <c r="U1646" s="9">
        <v>0</v>
      </c>
      <c r="V1646" s="9">
        <v>0</v>
      </c>
      <c r="W1646" s="27">
        <v>1</v>
      </c>
      <c r="X1646" s="9">
        <v>0</v>
      </c>
      <c r="Y1646" s="9">
        <v>1</v>
      </c>
      <c r="Z1646" s="27">
        <v>0</v>
      </c>
      <c r="AA1646" s="9">
        <v>1</v>
      </c>
      <c r="AB1646" s="27">
        <v>0</v>
      </c>
      <c r="AC1646" s="18">
        <v>1971</v>
      </c>
      <c r="AD1646" s="29">
        <f t="shared" ref="AD1646:AE1657" si="281">1*(1-$AG1646)/4</f>
        <v>0.21762500000000001</v>
      </c>
      <c r="AE1646" s="29">
        <f t="shared" si="281"/>
        <v>0.21762500000000001</v>
      </c>
      <c r="AF1646" s="29">
        <f t="shared" ref="AF1646:AF1657" si="282">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35">
      <c r="A1647">
        <v>1646</v>
      </c>
      <c r="B1647">
        <v>105</v>
      </c>
      <c r="C1647" s="22" t="s">
        <v>1306</v>
      </c>
      <c r="D1647" s="11">
        <v>7</v>
      </c>
      <c r="E1647" s="12">
        <v>0.2</v>
      </c>
      <c r="F1647" s="7">
        <f t="shared" si="279"/>
        <v>35</v>
      </c>
      <c r="G1647" s="8">
        <v>0</v>
      </c>
      <c r="H1647" s="9">
        <v>0</v>
      </c>
      <c r="I1647" s="9">
        <v>1</v>
      </c>
      <c r="J1647" s="9">
        <v>0</v>
      </c>
      <c r="K1647" s="9">
        <v>0</v>
      </c>
      <c r="L1647" s="8">
        <v>21241</v>
      </c>
      <c r="M1647" s="9">
        <v>8</v>
      </c>
      <c r="N1647" s="9">
        <f t="shared" si="274"/>
        <v>21232</v>
      </c>
      <c r="O1647" s="9">
        <f t="shared" si="275"/>
        <v>12</v>
      </c>
      <c r="P1647" s="7">
        <v>9.65</v>
      </c>
      <c r="Q1647" s="7">
        <f t="shared" si="280"/>
        <v>26.4</v>
      </c>
      <c r="R1647" s="9">
        <v>1</v>
      </c>
      <c r="S1647" s="9">
        <v>0</v>
      </c>
      <c r="T1647" s="9">
        <v>0</v>
      </c>
      <c r="U1647" s="9">
        <v>0</v>
      </c>
      <c r="V1647" s="9">
        <v>0</v>
      </c>
      <c r="W1647" s="27">
        <v>1</v>
      </c>
      <c r="X1647" s="9">
        <v>0</v>
      </c>
      <c r="Y1647" s="9">
        <v>1</v>
      </c>
      <c r="Z1647" s="27">
        <v>0</v>
      </c>
      <c r="AA1647" s="9">
        <v>1</v>
      </c>
      <c r="AB1647" s="27">
        <v>0</v>
      </c>
      <c r="AC1647" s="18">
        <v>1971</v>
      </c>
      <c r="AD1647" s="29">
        <f t="shared" si="281"/>
        <v>0.21762500000000001</v>
      </c>
      <c r="AE1647" s="29">
        <f t="shared" si="281"/>
        <v>0.21762500000000001</v>
      </c>
      <c r="AF1647" s="29">
        <f t="shared" si="282"/>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35">
      <c r="A1648">
        <v>1647</v>
      </c>
      <c r="B1648">
        <v>105</v>
      </c>
      <c r="C1648" s="22" t="s">
        <v>1306</v>
      </c>
      <c r="D1648" s="11">
        <v>7</v>
      </c>
      <c r="E1648" s="12">
        <v>0.2</v>
      </c>
      <c r="F1648" s="7">
        <f t="shared" si="279"/>
        <v>35</v>
      </c>
      <c r="G1648" s="8">
        <v>0</v>
      </c>
      <c r="H1648" s="9">
        <v>0</v>
      </c>
      <c r="I1648" s="9">
        <v>1</v>
      </c>
      <c r="J1648" s="9">
        <v>0</v>
      </c>
      <c r="K1648" s="9">
        <v>0</v>
      </c>
      <c r="L1648" s="8">
        <v>21241</v>
      </c>
      <c r="M1648" s="9">
        <v>13</v>
      </c>
      <c r="N1648" s="9">
        <f t="shared" si="274"/>
        <v>21227</v>
      </c>
      <c r="O1648" s="9">
        <f t="shared" si="275"/>
        <v>12</v>
      </c>
      <c r="P1648" s="7">
        <v>9.65</v>
      </c>
      <c r="Q1648" s="7">
        <f t="shared" si="280"/>
        <v>26.4</v>
      </c>
      <c r="R1648" s="9">
        <v>1</v>
      </c>
      <c r="S1648" s="9">
        <v>0</v>
      </c>
      <c r="T1648" s="9">
        <v>0</v>
      </c>
      <c r="U1648" s="9">
        <v>0</v>
      </c>
      <c r="V1648" s="9">
        <v>0</v>
      </c>
      <c r="W1648" s="27">
        <v>1</v>
      </c>
      <c r="X1648" s="9">
        <v>0</v>
      </c>
      <c r="Y1648" s="9">
        <v>1</v>
      </c>
      <c r="Z1648" s="27">
        <v>0</v>
      </c>
      <c r="AA1648" s="9">
        <v>1</v>
      </c>
      <c r="AB1648" s="27">
        <v>0</v>
      </c>
      <c r="AC1648" s="18">
        <v>1971</v>
      </c>
      <c r="AD1648" s="29">
        <f t="shared" si="281"/>
        <v>0.21762500000000001</v>
      </c>
      <c r="AE1648" s="29">
        <f t="shared" si="281"/>
        <v>0.21762500000000001</v>
      </c>
      <c r="AF1648" s="29">
        <f t="shared" si="282"/>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35">
      <c r="A1649">
        <v>1648</v>
      </c>
      <c r="B1649">
        <v>105</v>
      </c>
      <c r="C1649" s="22" t="s">
        <v>1306</v>
      </c>
      <c r="D1649" s="11">
        <v>6.2</v>
      </c>
      <c r="E1649" s="12">
        <v>0.1</v>
      </c>
      <c r="F1649" s="7">
        <f t="shared" si="279"/>
        <v>62</v>
      </c>
      <c r="G1649" s="8">
        <v>0</v>
      </c>
      <c r="H1649" s="9">
        <v>0</v>
      </c>
      <c r="I1649" s="9">
        <v>1</v>
      </c>
      <c r="J1649" s="9">
        <v>0</v>
      </c>
      <c r="K1649" s="9">
        <v>0</v>
      </c>
      <c r="L1649" s="8">
        <v>21241</v>
      </c>
      <c r="M1649" s="9">
        <v>8</v>
      </c>
      <c r="N1649" s="9">
        <f t="shared" si="274"/>
        <v>21232</v>
      </c>
      <c r="O1649" s="9">
        <f t="shared" si="275"/>
        <v>12</v>
      </c>
      <c r="P1649" s="7">
        <v>9.65</v>
      </c>
      <c r="Q1649" s="7">
        <f t="shared" si="280"/>
        <v>26.4</v>
      </c>
      <c r="R1649" s="9">
        <v>1</v>
      </c>
      <c r="S1649" s="9">
        <v>0</v>
      </c>
      <c r="T1649" s="9">
        <v>0</v>
      </c>
      <c r="U1649" s="9">
        <v>0</v>
      </c>
      <c r="V1649" s="9">
        <v>0</v>
      </c>
      <c r="W1649" s="27">
        <v>1</v>
      </c>
      <c r="X1649" s="9">
        <v>0</v>
      </c>
      <c r="Y1649" s="9">
        <v>1</v>
      </c>
      <c r="Z1649" s="27">
        <v>0</v>
      </c>
      <c r="AA1649" s="9">
        <v>1</v>
      </c>
      <c r="AB1649" s="27">
        <v>0</v>
      </c>
      <c r="AC1649" s="18">
        <v>1971</v>
      </c>
      <c r="AD1649" s="29">
        <f t="shared" si="281"/>
        <v>0.21762500000000001</v>
      </c>
      <c r="AE1649" s="29">
        <f t="shared" si="281"/>
        <v>0.21762500000000001</v>
      </c>
      <c r="AF1649" s="29">
        <f t="shared" si="282"/>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35">
      <c r="A1650">
        <v>1649</v>
      </c>
      <c r="B1650">
        <v>105</v>
      </c>
      <c r="C1650" s="22" t="s">
        <v>1306</v>
      </c>
      <c r="D1650" s="11">
        <v>6.2</v>
      </c>
      <c r="E1650" s="12">
        <v>0.1</v>
      </c>
      <c r="F1650" s="7">
        <f t="shared" si="279"/>
        <v>62</v>
      </c>
      <c r="G1650" s="8">
        <v>0</v>
      </c>
      <c r="H1650" s="9">
        <v>0</v>
      </c>
      <c r="I1650" s="9">
        <v>1</v>
      </c>
      <c r="J1650" s="9">
        <v>0</v>
      </c>
      <c r="K1650" s="9">
        <v>0</v>
      </c>
      <c r="L1650" s="8">
        <v>21241</v>
      </c>
      <c r="M1650" s="9">
        <v>8</v>
      </c>
      <c r="N1650" s="9">
        <f t="shared" si="274"/>
        <v>21232</v>
      </c>
      <c r="O1650" s="9">
        <f t="shared" si="275"/>
        <v>12</v>
      </c>
      <c r="P1650" s="7">
        <v>9.65</v>
      </c>
      <c r="Q1650" s="7">
        <f t="shared" si="280"/>
        <v>26.4</v>
      </c>
      <c r="R1650" s="9">
        <v>1</v>
      </c>
      <c r="S1650" s="9">
        <v>0</v>
      </c>
      <c r="T1650" s="9">
        <v>0</v>
      </c>
      <c r="U1650" s="9">
        <v>0</v>
      </c>
      <c r="V1650" s="9">
        <v>0</v>
      </c>
      <c r="W1650" s="27">
        <v>1</v>
      </c>
      <c r="X1650" s="9">
        <v>0</v>
      </c>
      <c r="Y1650" s="9">
        <v>1</v>
      </c>
      <c r="Z1650" s="27">
        <v>0</v>
      </c>
      <c r="AA1650" s="9">
        <v>1</v>
      </c>
      <c r="AB1650" s="27">
        <v>0</v>
      </c>
      <c r="AC1650" s="18">
        <v>1971</v>
      </c>
      <c r="AD1650" s="29">
        <f t="shared" si="281"/>
        <v>0.21762500000000001</v>
      </c>
      <c r="AE1650" s="29">
        <f t="shared" si="281"/>
        <v>0.21762500000000001</v>
      </c>
      <c r="AF1650" s="29">
        <f t="shared" si="282"/>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35">
      <c r="A1651">
        <v>1650</v>
      </c>
      <c r="B1651">
        <v>105</v>
      </c>
      <c r="C1651" s="22" t="s">
        <v>1306</v>
      </c>
      <c r="D1651" s="11">
        <v>6.2</v>
      </c>
      <c r="E1651" s="12">
        <v>0.1</v>
      </c>
      <c r="F1651" s="7">
        <f t="shared" si="279"/>
        <v>62</v>
      </c>
      <c r="G1651" s="8">
        <v>0</v>
      </c>
      <c r="H1651" s="9">
        <v>0</v>
      </c>
      <c r="I1651" s="9">
        <v>1</v>
      </c>
      <c r="J1651" s="9">
        <v>0</v>
      </c>
      <c r="K1651" s="9">
        <v>0</v>
      </c>
      <c r="L1651" s="8">
        <v>21241</v>
      </c>
      <c r="M1651" s="9">
        <v>13</v>
      </c>
      <c r="N1651" s="9">
        <f t="shared" si="274"/>
        <v>21227</v>
      </c>
      <c r="O1651" s="9">
        <f t="shared" si="275"/>
        <v>12</v>
      </c>
      <c r="P1651" s="7">
        <v>9.65</v>
      </c>
      <c r="Q1651" s="7">
        <f t="shared" si="280"/>
        <v>26.4</v>
      </c>
      <c r="R1651" s="9">
        <v>1</v>
      </c>
      <c r="S1651" s="9">
        <v>0</v>
      </c>
      <c r="T1651" s="9">
        <v>0</v>
      </c>
      <c r="U1651" s="9">
        <v>0</v>
      </c>
      <c r="V1651" s="9">
        <v>0</v>
      </c>
      <c r="W1651" s="27">
        <v>1</v>
      </c>
      <c r="X1651" s="9">
        <v>0</v>
      </c>
      <c r="Y1651" s="9">
        <v>1</v>
      </c>
      <c r="Z1651" s="27">
        <v>0</v>
      </c>
      <c r="AA1651" s="9">
        <v>1</v>
      </c>
      <c r="AB1651" s="27">
        <v>0</v>
      </c>
      <c r="AC1651" s="18">
        <v>1971</v>
      </c>
      <c r="AD1651" s="29">
        <f t="shared" si="281"/>
        <v>0.21762500000000001</v>
      </c>
      <c r="AE1651" s="29">
        <f t="shared" si="281"/>
        <v>0.21762500000000001</v>
      </c>
      <c r="AF1651" s="29">
        <f t="shared" si="282"/>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35">
      <c r="A1652">
        <v>1651</v>
      </c>
      <c r="B1652">
        <v>105</v>
      </c>
      <c r="C1652" s="22" t="s">
        <v>1306</v>
      </c>
      <c r="D1652" s="11">
        <v>6.5</v>
      </c>
      <c r="E1652" s="12">
        <v>0.3</v>
      </c>
      <c r="F1652" s="7">
        <f t="shared" si="279"/>
        <v>21.666666666666668</v>
      </c>
      <c r="G1652" s="8">
        <v>0</v>
      </c>
      <c r="H1652" s="9">
        <v>0</v>
      </c>
      <c r="I1652" s="9">
        <v>1</v>
      </c>
      <c r="J1652" s="9">
        <v>0</v>
      </c>
      <c r="K1652" s="9">
        <v>0</v>
      </c>
      <c r="L1652" s="8">
        <v>3196</v>
      </c>
      <c r="M1652" s="9">
        <v>3</v>
      </c>
      <c r="N1652" s="9">
        <f t="shared" si="274"/>
        <v>3192</v>
      </c>
      <c r="O1652" s="9">
        <f t="shared" si="275"/>
        <v>12</v>
      </c>
      <c r="P1652" s="7">
        <v>10.55</v>
      </c>
      <c r="Q1652" s="7">
        <f t="shared" si="280"/>
        <v>25.499999999999996</v>
      </c>
      <c r="R1652" s="9">
        <v>1</v>
      </c>
      <c r="S1652" s="9">
        <v>0</v>
      </c>
      <c r="T1652" s="9">
        <v>1</v>
      </c>
      <c r="U1652" s="9">
        <v>0</v>
      </c>
      <c r="V1652" s="9">
        <v>0</v>
      </c>
      <c r="W1652" s="27">
        <v>0</v>
      </c>
      <c r="X1652" s="9">
        <v>0</v>
      </c>
      <c r="Y1652" s="9">
        <v>1</v>
      </c>
      <c r="Z1652" s="27">
        <v>0</v>
      </c>
      <c r="AA1652" s="9">
        <v>1</v>
      </c>
      <c r="AB1652" s="27">
        <v>0</v>
      </c>
      <c r="AC1652" s="18">
        <v>1973</v>
      </c>
      <c r="AD1652" s="29">
        <f t="shared" si="281"/>
        <v>0.21287500000000001</v>
      </c>
      <c r="AE1652" s="29">
        <f t="shared" si="281"/>
        <v>0.21287500000000001</v>
      </c>
      <c r="AF1652" s="29">
        <f t="shared" si="282"/>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35">
      <c r="A1653">
        <v>1652</v>
      </c>
      <c r="B1653">
        <v>105</v>
      </c>
      <c r="C1653" s="22" t="s">
        <v>1306</v>
      </c>
      <c r="D1653" s="11">
        <v>14</v>
      </c>
      <c r="E1653" s="12">
        <v>9.1</v>
      </c>
      <c r="F1653" s="7">
        <f t="shared" si="279"/>
        <v>1.5384615384615385</v>
      </c>
      <c r="G1653" s="8">
        <v>0</v>
      </c>
      <c r="H1653" s="9">
        <v>0</v>
      </c>
      <c r="I1653" s="9">
        <v>1</v>
      </c>
      <c r="J1653" s="9">
        <v>0</v>
      </c>
      <c r="K1653" s="9">
        <v>0</v>
      </c>
      <c r="L1653" s="8">
        <v>3196</v>
      </c>
      <c r="M1653" s="9">
        <v>4</v>
      </c>
      <c r="N1653" s="9">
        <f t="shared" si="274"/>
        <v>3191</v>
      </c>
      <c r="O1653" s="9">
        <f t="shared" si="275"/>
        <v>12</v>
      </c>
      <c r="P1653" s="7">
        <v>10.55</v>
      </c>
      <c r="Q1653" s="7">
        <f t="shared" si="280"/>
        <v>25.499999999999996</v>
      </c>
      <c r="R1653" s="9">
        <v>1</v>
      </c>
      <c r="S1653" s="9">
        <v>0</v>
      </c>
      <c r="T1653" s="9">
        <v>1</v>
      </c>
      <c r="U1653" s="9">
        <v>0</v>
      </c>
      <c r="V1653" s="9">
        <v>0</v>
      </c>
      <c r="W1653" s="27">
        <v>0</v>
      </c>
      <c r="X1653" s="9">
        <v>0</v>
      </c>
      <c r="Y1653" s="9">
        <v>1</v>
      </c>
      <c r="Z1653" s="27">
        <v>0</v>
      </c>
      <c r="AA1653" s="9">
        <v>1</v>
      </c>
      <c r="AB1653" s="27">
        <v>0</v>
      </c>
      <c r="AC1653" s="18">
        <v>1973</v>
      </c>
      <c r="AD1653" s="29">
        <f t="shared" si="281"/>
        <v>0.21287500000000001</v>
      </c>
      <c r="AE1653" s="29">
        <f t="shared" si="281"/>
        <v>0.21287500000000001</v>
      </c>
      <c r="AF1653" s="29">
        <f t="shared" si="282"/>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35">
      <c r="A1654">
        <v>1653</v>
      </c>
      <c r="B1654">
        <v>105</v>
      </c>
      <c r="C1654" s="22" t="s">
        <v>1306</v>
      </c>
      <c r="D1654" s="11">
        <v>15.1</v>
      </c>
      <c r="E1654" s="12">
        <v>3.6</v>
      </c>
      <c r="F1654" s="7">
        <f t="shared" si="279"/>
        <v>4.1944444444444446</v>
      </c>
      <c r="G1654" s="8">
        <v>0</v>
      </c>
      <c r="H1654" s="9">
        <v>0</v>
      </c>
      <c r="I1654" s="9">
        <v>1</v>
      </c>
      <c r="J1654" s="9">
        <v>0</v>
      </c>
      <c r="K1654" s="9">
        <v>0</v>
      </c>
      <c r="L1654" s="8">
        <v>3196</v>
      </c>
      <c r="M1654" s="9">
        <v>4</v>
      </c>
      <c r="N1654" s="9">
        <f t="shared" si="274"/>
        <v>3191</v>
      </c>
      <c r="O1654" s="9">
        <f t="shared" si="275"/>
        <v>12</v>
      </c>
      <c r="P1654" s="7">
        <v>10.55</v>
      </c>
      <c r="Q1654" s="7">
        <f t="shared" si="280"/>
        <v>25.499999999999996</v>
      </c>
      <c r="R1654" s="9">
        <v>1</v>
      </c>
      <c r="S1654" s="9">
        <v>0</v>
      </c>
      <c r="T1654" s="9">
        <v>1</v>
      </c>
      <c r="U1654" s="9">
        <v>0</v>
      </c>
      <c r="V1654" s="9">
        <v>0</v>
      </c>
      <c r="W1654" s="27">
        <v>0</v>
      </c>
      <c r="X1654" s="9">
        <v>0</v>
      </c>
      <c r="Y1654" s="9">
        <v>1</v>
      </c>
      <c r="Z1654" s="27">
        <v>0</v>
      </c>
      <c r="AA1654" s="9">
        <v>1</v>
      </c>
      <c r="AB1654" s="27">
        <v>0</v>
      </c>
      <c r="AC1654" s="18">
        <v>1973</v>
      </c>
      <c r="AD1654" s="29">
        <f t="shared" si="281"/>
        <v>0.21287500000000001</v>
      </c>
      <c r="AE1654" s="29">
        <f t="shared" si="281"/>
        <v>0.21287500000000001</v>
      </c>
      <c r="AF1654" s="29">
        <f t="shared" si="282"/>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35">
      <c r="A1655">
        <v>1654</v>
      </c>
      <c r="B1655">
        <v>105</v>
      </c>
      <c r="C1655" s="22" t="s">
        <v>1306</v>
      </c>
      <c r="D1655" s="11">
        <v>8.4</v>
      </c>
      <c r="E1655" s="12">
        <v>0.7</v>
      </c>
      <c r="F1655" s="7">
        <f t="shared" si="279"/>
        <v>12.000000000000002</v>
      </c>
      <c r="G1655" s="8">
        <v>0</v>
      </c>
      <c r="H1655" s="9">
        <v>0</v>
      </c>
      <c r="I1655" s="9">
        <v>1</v>
      </c>
      <c r="J1655" s="9">
        <v>0</v>
      </c>
      <c r="K1655" s="9">
        <v>0</v>
      </c>
      <c r="L1655" s="8">
        <v>3196</v>
      </c>
      <c r="M1655" s="9">
        <v>4</v>
      </c>
      <c r="N1655" s="9">
        <f t="shared" si="274"/>
        <v>3191</v>
      </c>
      <c r="O1655" s="9">
        <f t="shared" si="275"/>
        <v>12</v>
      </c>
      <c r="P1655" s="7">
        <v>10.55</v>
      </c>
      <c r="Q1655" s="7">
        <f t="shared" si="280"/>
        <v>25.499999999999996</v>
      </c>
      <c r="R1655" s="9">
        <v>1</v>
      </c>
      <c r="S1655" s="9">
        <v>0</v>
      </c>
      <c r="T1655" s="9">
        <v>1</v>
      </c>
      <c r="U1655" s="9">
        <v>0</v>
      </c>
      <c r="V1655" s="9">
        <v>0</v>
      </c>
      <c r="W1655" s="27">
        <v>0</v>
      </c>
      <c r="X1655" s="9">
        <v>0</v>
      </c>
      <c r="Y1655" s="9">
        <v>1</v>
      </c>
      <c r="Z1655" s="27">
        <v>0</v>
      </c>
      <c r="AA1655" s="9">
        <v>1</v>
      </c>
      <c r="AB1655" s="27">
        <v>0</v>
      </c>
      <c r="AC1655" s="18">
        <v>1973</v>
      </c>
      <c r="AD1655" s="29">
        <f t="shared" si="281"/>
        <v>0.21287500000000001</v>
      </c>
      <c r="AE1655" s="29">
        <f t="shared" si="281"/>
        <v>0.21287500000000001</v>
      </c>
      <c r="AF1655" s="29">
        <f t="shared" si="282"/>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35">
      <c r="A1656">
        <v>1655</v>
      </c>
      <c r="B1656">
        <v>105</v>
      </c>
      <c r="C1656" s="22" t="s">
        <v>1306</v>
      </c>
      <c r="D1656" s="11">
        <v>6.3</v>
      </c>
      <c r="E1656" s="12">
        <v>0.3</v>
      </c>
      <c r="F1656" s="7">
        <f t="shared" si="279"/>
        <v>21</v>
      </c>
      <c r="G1656" s="8">
        <v>0</v>
      </c>
      <c r="H1656" s="9">
        <v>0</v>
      </c>
      <c r="I1656" s="9">
        <v>1</v>
      </c>
      <c r="J1656" s="9">
        <v>0</v>
      </c>
      <c r="K1656" s="9">
        <v>0</v>
      </c>
      <c r="L1656" s="8">
        <v>4880</v>
      </c>
      <c r="M1656" s="9">
        <v>3</v>
      </c>
      <c r="N1656" s="9">
        <f t="shared" si="274"/>
        <v>4876</v>
      </c>
      <c r="O1656" s="9">
        <f t="shared" si="275"/>
        <v>12</v>
      </c>
      <c r="P1656" s="7">
        <v>10.55</v>
      </c>
      <c r="Q1656" s="7">
        <f t="shared" si="280"/>
        <v>25.499999999999996</v>
      </c>
      <c r="R1656" s="9">
        <v>1</v>
      </c>
      <c r="S1656" s="9">
        <v>0</v>
      </c>
      <c r="T1656" s="9">
        <v>1</v>
      </c>
      <c r="U1656" s="9">
        <v>0</v>
      </c>
      <c r="V1656" s="9">
        <v>0</v>
      </c>
      <c r="W1656" s="27">
        <v>0</v>
      </c>
      <c r="X1656" s="9">
        <v>0</v>
      </c>
      <c r="Y1656" s="9">
        <v>1</v>
      </c>
      <c r="Z1656" s="27">
        <v>0</v>
      </c>
      <c r="AA1656" s="9">
        <v>1</v>
      </c>
      <c r="AB1656" s="27">
        <v>0</v>
      </c>
      <c r="AC1656" s="18">
        <v>1973</v>
      </c>
      <c r="AD1656" s="29">
        <f t="shared" si="281"/>
        <v>0.21287500000000001</v>
      </c>
      <c r="AE1656" s="29">
        <f t="shared" si="281"/>
        <v>0.21287500000000001</v>
      </c>
      <c r="AF1656" s="29">
        <f t="shared" si="282"/>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35">
      <c r="A1657">
        <v>1656</v>
      </c>
      <c r="B1657">
        <v>105</v>
      </c>
      <c r="C1657" s="22" t="s">
        <v>1306</v>
      </c>
      <c r="D1657" s="11">
        <v>16.600000000000001</v>
      </c>
      <c r="E1657" s="12">
        <v>10</v>
      </c>
      <c r="F1657" s="7">
        <f t="shared" si="279"/>
        <v>1.6600000000000001</v>
      </c>
      <c r="G1657" s="8">
        <v>0</v>
      </c>
      <c r="H1657" s="9">
        <v>0</v>
      </c>
      <c r="I1657" s="9">
        <v>1</v>
      </c>
      <c r="J1657" s="9">
        <v>0</v>
      </c>
      <c r="K1657" s="9">
        <v>0</v>
      </c>
      <c r="L1657" s="8">
        <v>4880</v>
      </c>
      <c r="M1657" s="9">
        <v>4</v>
      </c>
      <c r="N1657" s="9">
        <f t="shared" si="274"/>
        <v>4875</v>
      </c>
      <c r="O1657" s="9">
        <f t="shared" si="275"/>
        <v>12</v>
      </c>
      <c r="P1657" s="7">
        <v>10.55</v>
      </c>
      <c r="Q1657" s="7">
        <f t="shared" si="280"/>
        <v>25.499999999999996</v>
      </c>
      <c r="R1657" s="9">
        <v>1</v>
      </c>
      <c r="S1657" s="9">
        <v>0</v>
      </c>
      <c r="T1657" s="9">
        <v>1</v>
      </c>
      <c r="U1657" s="9">
        <v>0</v>
      </c>
      <c r="V1657" s="9">
        <v>0</v>
      </c>
      <c r="W1657" s="27">
        <v>0</v>
      </c>
      <c r="X1657" s="9">
        <v>0</v>
      </c>
      <c r="Y1657" s="9">
        <v>1</v>
      </c>
      <c r="Z1657" s="27">
        <v>0</v>
      </c>
      <c r="AA1657" s="9">
        <v>1</v>
      </c>
      <c r="AB1657" s="27">
        <v>0</v>
      </c>
      <c r="AC1657" s="18">
        <v>1973</v>
      </c>
      <c r="AD1657" s="29">
        <f t="shared" si="281"/>
        <v>0.21287500000000001</v>
      </c>
      <c r="AE1657" s="29">
        <f t="shared" si="281"/>
        <v>0.21287500000000001</v>
      </c>
      <c r="AF1657" s="29">
        <f t="shared" si="282"/>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3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74"/>
        <v>48245</v>
      </c>
      <c r="O1658" s="9">
        <f t="shared" si="275"/>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83">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3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74"/>
        <v>48245</v>
      </c>
      <c r="O1659" s="9">
        <f t="shared" si="275"/>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83"/>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3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74"/>
        <v>48245</v>
      </c>
      <c r="O1660" s="9">
        <f t="shared" si="275"/>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83"/>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3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74"/>
        <v>48242</v>
      </c>
      <c r="O1661" s="9">
        <f t="shared" si="275"/>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83"/>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3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74"/>
        <v>48239</v>
      </c>
      <c r="O1662" s="9">
        <f t="shared" si="275"/>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83"/>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3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74"/>
        <v>48245</v>
      </c>
      <c r="O1663" s="9">
        <f t="shared" si="275"/>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83"/>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3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74"/>
        <v>48245</v>
      </c>
      <c r="O1664" s="9">
        <f t="shared" si="275"/>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83"/>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3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74"/>
        <v>48245</v>
      </c>
      <c r="O1665" s="9">
        <f t="shared" si="275"/>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83"/>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3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84">L1666-M1666-1</f>
        <v>48242</v>
      </c>
      <c r="O1666" s="9">
        <f t="shared" ref="O1666:O1729" si="285">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83"/>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3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84"/>
        <v>48239</v>
      </c>
      <c r="O1667" s="9">
        <f t="shared" si="285"/>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83"/>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35">
      <c r="A1668">
        <v>1667</v>
      </c>
      <c r="B1668">
        <v>107</v>
      </c>
      <c r="C1668" s="22" t="s">
        <v>1320</v>
      </c>
      <c r="D1668" s="11">
        <v>7</v>
      </c>
      <c r="E1668" s="12">
        <v>1</v>
      </c>
      <c r="F1668" s="7">
        <f t="shared" ref="F1668:F1692" si="286">D1668/E1668</f>
        <v>7</v>
      </c>
      <c r="G1668" s="8">
        <v>1</v>
      </c>
      <c r="H1668" s="9">
        <v>0</v>
      </c>
      <c r="I1668" s="9">
        <v>0</v>
      </c>
      <c r="J1668" s="9">
        <v>0</v>
      </c>
      <c r="K1668" s="9">
        <v>0</v>
      </c>
      <c r="L1668" s="8">
        <v>44891</v>
      </c>
      <c r="M1668" s="9">
        <v>20</v>
      </c>
      <c r="N1668" s="9">
        <f t="shared" si="284"/>
        <v>44870</v>
      </c>
      <c r="O1668" s="9">
        <f t="shared" si="285"/>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87">1*(1-$AG1668)/4</f>
        <v>0.19</v>
      </c>
      <c r="AE1668" s="29">
        <f t="shared" si="287"/>
        <v>0.19</v>
      </c>
      <c r="AF1668" s="29">
        <f t="shared" ref="AF1668:AF1683" si="288">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83"/>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35">
      <c r="A1669">
        <v>1668</v>
      </c>
      <c r="B1669">
        <v>107</v>
      </c>
      <c r="C1669" s="22" t="s">
        <v>1320</v>
      </c>
      <c r="D1669" s="11">
        <v>9</v>
      </c>
      <c r="E1669" s="12">
        <v>1</v>
      </c>
      <c r="F1669" s="7">
        <f t="shared" si="286"/>
        <v>9</v>
      </c>
      <c r="G1669" s="8">
        <v>1</v>
      </c>
      <c r="H1669" s="9">
        <v>0</v>
      </c>
      <c r="I1669" s="9">
        <v>0</v>
      </c>
      <c r="J1669" s="9">
        <v>0</v>
      </c>
      <c r="K1669" s="9">
        <v>0</v>
      </c>
      <c r="L1669" s="8">
        <v>44891</v>
      </c>
      <c r="M1669" s="9">
        <v>20</v>
      </c>
      <c r="N1669" s="9">
        <f t="shared" si="284"/>
        <v>44870</v>
      </c>
      <c r="O1669" s="9">
        <f t="shared" si="285"/>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87"/>
        <v>0.19</v>
      </c>
      <c r="AE1669" s="29">
        <f t="shared" si="287"/>
        <v>0.19</v>
      </c>
      <c r="AF1669" s="29">
        <f t="shared" si="288"/>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83"/>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35">
      <c r="A1670">
        <v>1669</v>
      </c>
      <c r="B1670">
        <v>107</v>
      </c>
      <c r="C1670" s="22" t="s">
        <v>1320</v>
      </c>
      <c r="D1670" s="11">
        <v>7</v>
      </c>
      <c r="E1670" s="12">
        <v>1</v>
      </c>
      <c r="F1670" s="7">
        <f t="shared" si="286"/>
        <v>7</v>
      </c>
      <c r="G1670" s="8">
        <v>1</v>
      </c>
      <c r="H1670" s="9">
        <v>0</v>
      </c>
      <c r="I1670" s="9">
        <v>0</v>
      </c>
      <c r="J1670" s="9">
        <v>0</v>
      </c>
      <c r="K1670" s="9">
        <v>0</v>
      </c>
      <c r="L1670" s="8">
        <v>44891</v>
      </c>
      <c r="M1670" s="9">
        <v>20</v>
      </c>
      <c r="N1670" s="9">
        <f t="shared" si="284"/>
        <v>44870</v>
      </c>
      <c r="O1670" s="9">
        <f t="shared" si="285"/>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87"/>
        <v>0.19</v>
      </c>
      <c r="AE1670" s="29">
        <f t="shared" si="287"/>
        <v>0.19</v>
      </c>
      <c r="AF1670" s="29">
        <f t="shared" si="288"/>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83"/>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35">
      <c r="A1671">
        <v>1670</v>
      </c>
      <c r="B1671">
        <v>107</v>
      </c>
      <c r="C1671" s="22" t="s">
        <v>1320</v>
      </c>
      <c r="D1671" s="11">
        <v>9</v>
      </c>
      <c r="E1671" s="12">
        <v>0.9</v>
      </c>
      <c r="F1671" s="7">
        <f t="shared" si="286"/>
        <v>10</v>
      </c>
      <c r="G1671" s="8">
        <v>1</v>
      </c>
      <c r="H1671" s="9">
        <v>0</v>
      </c>
      <c r="I1671" s="9">
        <v>0</v>
      </c>
      <c r="J1671" s="9">
        <v>0</v>
      </c>
      <c r="K1671" s="9">
        <v>0</v>
      </c>
      <c r="L1671" s="8">
        <v>44891</v>
      </c>
      <c r="M1671" s="9">
        <v>20</v>
      </c>
      <c r="N1671" s="9">
        <f t="shared" si="284"/>
        <v>44870</v>
      </c>
      <c r="O1671" s="9">
        <f t="shared" si="285"/>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87"/>
        <v>0.19</v>
      </c>
      <c r="AE1671" s="29">
        <f t="shared" si="287"/>
        <v>0.19</v>
      </c>
      <c r="AF1671" s="29">
        <f t="shared" si="288"/>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83"/>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35">
      <c r="A1672">
        <v>1671</v>
      </c>
      <c r="B1672">
        <v>107</v>
      </c>
      <c r="C1672" s="22" t="s">
        <v>1320</v>
      </c>
      <c r="D1672" s="11">
        <v>-1</v>
      </c>
      <c r="E1672" s="12">
        <v>3</v>
      </c>
      <c r="F1672" s="7">
        <f t="shared" si="286"/>
        <v>-0.33333333333333331</v>
      </c>
      <c r="G1672" s="8">
        <v>1</v>
      </c>
      <c r="H1672" s="9">
        <v>0</v>
      </c>
      <c r="I1672" s="9">
        <v>0</v>
      </c>
      <c r="J1672" s="9">
        <v>0</v>
      </c>
      <c r="K1672" s="9">
        <v>0</v>
      </c>
      <c r="L1672" s="8">
        <v>44891</v>
      </c>
      <c r="M1672" s="9">
        <v>17</v>
      </c>
      <c r="N1672" s="9">
        <f t="shared" si="284"/>
        <v>44873</v>
      </c>
      <c r="O1672" s="9">
        <f t="shared" si="285"/>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87"/>
        <v>0.19</v>
      </c>
      <c r="AE1672" s="29">
        <f t="shared" si="287"/>
        <v>0.19</v>
      </c>
      <c r="AF1672" s="29">
        <f t="shared" si="288"/>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83"/>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35">
      <c r="A1673">
        <v>1672</v>
      </c>
      <c r="B1673">
        <v>107</v>
      </c>
      <c r="C1673" s="22" t="s">
        <v>1320</v>
      </c>
      <c r="D1673" s="11">
        <v>1</v>
      </c>
      <c r="E1673" s="12">
        <v>2</v>
      </c>
      <c r="F1673" s="7">
        <f t="shared" si="286"/>
        <v>0.5</v>
      </c>
      <c r="G1673" s="8">
        <v>1</v>
      </c>
      <c r="H1673" s="9">
        <v>0</v>
      </c>
      <c r="I1673" s="9">
        <v>0</v>
      </c>
      <c r="J1673" s="9">
        <v>0</v>
      </c>
      <c r="K1673" s="9">
        <v>0</v>
      </c>
      <c r="L1673" s="8">
        <v>44891</v>
      </c>
      <c r="M1673" s="9">
        <v>17</v>
      </c>
      <c r="N1673" s="9">
        <f t="shared" si="284"/>
        <v>44873</v>
      </c>
      <c r="O1673" s="9">
        <f t="shared" si="285"/>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87"/>
        <v>0.19</v>
      </c>
      <c r="AE1673" s="29">
        <f t="shared" si="287"/>
        <v>0.19</v>
      </c>
      <c r="AF1673" s="29">
        <f t="shared" si="288"/>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83"/>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35">
      <c r="A1674">
        <v>1673</v>
      </c>
      <c r="B1674">
        <v>107</v>
      </c>
      <c r="C1674" s="22" t="s">
        <v>1320</v>
      </c>
      <c r="D1674" s="11">
        <v>-0.5</v>
      </c>
      <c r="E1674" s="12">
        <v>2</v>
      </c>
      <c r="F1674" s="7">
        <f t="shared" si="286"/>
        <v>-0.25</v>
      </c>
      <c r="G1674" s="8">
        <v>1</v>
      </c>
      <c r="H1674" s="9">
        <v>0</v>
      </c>
      <c r="I1674" s="9">
        <v>0</v>
      </c>
      <c r="J1674" s="9">
        <v>0</v>
      </c>
      <c r="K1674" s="9">
        <v>0</v>
      </c>
      <c r="L1674" s="8">
        <v>44891</v>
      </c>
      <c r="M1674" s="9">
        <v>17</v>
      </c>
      <c r="N1674" s="9">
        <f t="shared" si="284"/>
        <v>44873</v>
      </c>
      <c r="O1674" s="9">
        <f t="shared" si="285"/>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87"/>
        <v>0.19</v>
      </c>
      <c r="AE1674" s="29">
        <f t="shared" si="287"/>
        <v>0.19</v>
      </c>
      <c r="AF1674" s="29">
        <f t="shared" si="288"/>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83"/>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35">
      <c r="A1675">
        <v>1674</v>
      </c>
      <c r="B1675">
        <v>107</v>
      </c>
      <c r="C1675" s="22" t="s">
        <v>1320</v>
      </c>
      <c r="D1675" s="11">
        <v>2</v>
      </c>
      <c r="E1675" s="12">
        <v>2</v>
      </c>
      <c r="F1675" s="7">
        <f t="shared" si="286"/>
        <v>1</v>
      </c>
      <c r="G1675" s="8">
        <v>1</v>
      </c>
      <c r="H1675" s="9">
        <v>0</v>
      </c>
      <c r="I1675" s="9">
        <v>0</v>
      </c>
      <c r="J1675" s="9">
        <v>0</v>
      </c>
      <c r="K1675" s="9">
        <v>0</v>
      </c>
      <c r="L1675" s="8">
        <v>44891</v>
      </c>
      <c r="M1675" s="9">
        <v>17</v>
      </c>
      <c r="N1675" s="9">
        <f t="shared" si="284"/>
        <v>44873</v>
      </c>
      <c r="O1675" s="9">
        <f t="shared" si="285"/>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87"/>
        <v>0.19</v>
      </c>
      <c r="AE1675" s="29">
        <f t="shared" si="287"/>
        <v>0.19</v>
      </c>
      <c r="AF1675" s="29">
        <f t="shared" si="288"/>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83"/>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35">
      <c r="A1676">
        <v>1675</v>
      </c>
      <c r="B1676">
        <v>107</v>
      </c>
      <c r="C1676" s="22" t="s">
        <v>1320</v>
      </c>
      <c r="D1676" s="11">
        <v>-0.5</v>
      </c>
      <c r="E1676" s="12">
        <v>2</v>
      </c>
      <c r="F1676" s="7">
        <f t="shared" si="286"/>
        <v>-0.25</v>
      </c>
      <c r="G1676" s="8">
        <v>1</v>
      </c>
      <c r="H1676" s="9">
        <v>0</v>
      </c>
      <c r="I1676" s="9">
        <v>0</v>
      </c>
      <c r="J1676" s="9">
        <v>0</v>
      </c>
      <c r="K1676" s="9">
        <v>0</v>
      </c>
      <c r="L1676" s="8">
        <v>44891</v>
      </c>
      <c r="M1676" s="9">
        <v>17</v>
      </c>
      <c r="N1676" s="9">
        <f t="shared" si="284"/>
        <v>44873</v>
      </c>
      <c r="O1676" s="9">
        <f t="shared" si="285"/>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87"/>
        <v>0.19</v>
      </c>
      <c r="AE1676" s="29">
        <f t="shared" si="287"/>
        <v>0.19</v>
      </c>
      <c r="AF1676" s="29">
        <f t="shared" si="288"/>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83"/>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35">
      <c r="A1677">
        <v>1676</v>
      </c>
      <c r="B1677">
        <v>107</v>
      </c>
      <c r="C1677" s="22" t="s">
        <v>1320</v>
      </c>
      <c r="D1677" s="11">
        <v>2</v>
      </c>
      <c r="E1677" s="12">
        <v>2</v>
      </c>
      <c r="F1677" s="7">
        <f t="shared" si="286"/>
        <v>1</v>
      </c>
      <c r="G1677" s="8">
        <v>1</v>
      </c>
      <c r="H1677" s="9">
        <v>0</v>
      </c>
      <c r="I1677" s="9">
        <v>0</v>
      </c>
      <c r="J1677" s="9">
        <v>0</v>
      </c>
      <c r="K1677" s="9">
        <v>0</v>
      </c>
      <c r="L1677" s="8">
        <v>44891</v>
      </c>
      <c r="M1677" s="9">
        <v>17</v>
      </c>
      <c r="N1677" s="9">
        <f t="shared" si="284"/>
        <v>44873</v>
      </c>
      <c r="O1677" s="9">
        <f t="shared" si="285"/>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87"/>
        <v>0.19</v>
      </c>
      <c r="AE1677" s="29">
        <f t="shared" si="287"/>
        <v>0.19</v>
      </c>
      <c r="AF1677" s="29">
        <f t="shared" si="288"/>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83"/>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35">
      <c r="A1678">
        <v>1677</v>
      </c>
      <c r="B1678">
        <v>107</v>
      </c>
      <c r="C1678" s="22" t="s">
        <v>1320</v>
      </c>
      <c r="D1678" s="11">
        <v>-1</v>
      </c>
      <c r="E1678" s="12">
        <v>3</v>
      </c>
      <c r="F1678" s="7">
        <f t="shared" si="286"/>
        <v>-0.33333333333333331</v>
      </c>
      <c r="G1678" s="8">
        <v>1</v>
      </c>
      <c r="H1678" s="9">
        <v>0</v>
      </c>
      <c r="I1678" s="9">
        <v>0</v>
      </c>
      <c r="J1678" s="9">
        <v>0</v>
      </c>
      <c r="K1678" s="9">
        <v>0</v>
      </c>
      <c r="L1678" s="8">
        <v>44891</v>
      </c>
      <c r="M1678" s="9">
        <v>17</v>
      </c>
      <c r="N1678" s="9">
        <f t="shared" si="284"/>
        <v>44873</v>
      </c>
      <c r="O1678" s="9">
        <f t="shared" si="285"/>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87"/>
        <v>0.19</v>
      </c>
      <c r="AE1678" s="29">
        <f t="shared" si="287"/>
        <v>0.19</v>
      </c>
      <c r="AF1678" s="29">
        <f t="shared" si="288"/>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83"/>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35">
      <c r="A1679">
        <v>1678</v>
      </c>
      <c r="B1679">
        <v>107</v>
      </c>
      <c r="C1679" s="22" t="s">
        <v>1320</v>
      </c>
      <c r="D1679" s="11">
        <v>1</v>
      </c>
      <c r="E1679" s="12">
        <v>2</v>
      </c>
      <c r="F1679" s="7">
        <f t="shared" si="286"/>
        <v>0.5</v>
      </c>
      <c r="G1679" s="8">
        <v>1</v>
      </c>
      <c r="H1679" s="9">
        <v>0</v>
      </c>
      <c r="I1679" s="9">
        <v>0</v>
      </c>
      <c r="J1679" s="9">
        <v>0</v>
      </c>
      <c r="K1679" s="9">
        <v>0</v>
      </c>
      <c r="L1679" s="8">
        <v>44891</v>
      </c>
      <c r="M1679" s="9">
        <v>17</v>
      </c>
      <c r="N1679" s="9">
        <f t="shared" si="284"/>
        <v>44873</v>
      </c>
      <c r="O1679" s="9">
        <f t="shared" si="285"/>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87"/>
        <v>0.19</v>
      </c>
      <c r="AE1679" s="29">
        <f t="shared" si="287"/>
        <v>0.19</v>
      </c>
      <c r="AF1679" s="29">
        <f t="shared" si="288"/>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83"/>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35">
      <c r="A1680">
        <v>1679</v>
      </c>
      <c r="B1680">
        <v>107</v>
      </c>
      <c r="C1680" s="22" t="s">
        <v>1320</v>
      </c>
      <c r="D1680" s="11">
        <v>-1</v>
      </c>
      <c r="E1680" s="12">
        <v>2</v>
      </c>
      <c r="F1680" s="7">
        <f t="shared" si="286"/>
        <v>-0.5</v>
      </c>
      <c r="G1680" s="8">
        <v>1</v>
      </c>
      <c r="H1680" s="9">
        <v>0</v>
      </c>
      <c r="I1680" s="9">
        <v>0</v>
      </c>
      <c r="J1680" s="9">
        <v>0</v>
      </c>
      <c r="K1680" s="9">
        <v>0</v>
      </c>
      <c r="L1680" s="8">
        <v>44891</v>
      </c>
      <c r="M1680" s="9">
        <v>17</v>
      </c>
      <c r="N1680" s="9">
        <f t="shared" si="284"/>
        <v>44873</v>
      </c>
      <c r="O1680" s="9">
        <f t="shared" si="285"/>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87"/>
        <v>0.19</v>
      </c>
      <c r="AE1680" s="29">
        <f t="shared" si="287"/>
        <v>0.19</v>
      </c>
      <c r="AF1680" s="29">
        <f t="shared" si="288"/>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83"/>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35">
      <c r="A1681">
        <v>1680</v>
      </c>
      <c r="B1681">
        <v>107</v>
      </c>
      <c r="C1681" s="22" t="s">
        <v>1320</v>
      </c>
      <c r="D1681" s="11">
        <v>1</v>
      </c>
      <c r="E1681" s="12">
        <v>2</v>
      </c>
      <c r="F1681" s="7">
        <f t="shared" si="286"/>
        <v>0.5</v>
      </c>
      <c r="G1681" s="8">
        <v>1</v>
      </c>
      <c r="H1681" s="9">
        <v>0</v>
      </c>
      <c r="I1681" s="9">
        <v>0</v>
      </c>
      <c r="J1681" s="9">
        <v>0</v>
      </c>
      <c r="K1681" s="9">
        <v>0</v>
      </c>
      <c r="L1681" s="8">
        <v>44891</v>
      </c>
      <c r="M1681" s="9">
        <v>17</v>
      </c>
      <c r="N1681" s="9">
        <f t="shared" si="284"/>
        <v>44873</v>
      </c>
      <c r="O1681" s="9">
        <f t="shared" si="285"/>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87"/>
        <v>0.19</v>
      </c>
      <c r="AE1681" s="29">
        <f t="shared" si="287"/>
        <v>0.19</v>
      </c>
      <c r="AF1681" s="29">
        <f t="shared" si="288"/>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83"/>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35">
      <c r="A1682">
        <v>1681</v>
      </c>
      <c r="B1682">
        <v>107</v>
      </c>
      <c r="C1682" s="22" t="s">
        <v>1320</v>
      </c>
      <c r="D1682" s="11">
        <v>9</v>
      </c>
      <c r="E1682" s="12">
        <v>3</v>
      </c>
      <c r="F1682" s="7">
        <f t="shared" si="286"/>
        <v>3</v>
      </c>
      <c r="G1682" s="8">
        <v>1</v>
      </c>
      <c r="H1682" s="9">
        <v>0</v>
      </c>
      <c r="I1682" s="9">
        <v>0</v>
      </c>
      <c r="J1682" s="9">
        <v>0</v>
      </c>
      <c r="K1682" s="9">
        <v>0</v>
      </c>
      <c r="L1682" s="8">
        <v>7629</v>
      </c>
      <c r="M1682" s="9">
        <v>17</v>
      </c>
      <c r="N1682" s="9">
        <f t="shared" si="284"/>
        <v>7611</v>
      </c>
      <c r="O1682" s="9">
        <f t="shared" si="285"/>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87"/>
        <v>0.19</v>
      </c>
      <c r="AE1682" s="29">
        <f t="shared" si="287"/>
        <v>0.19</v>
      </c>
      <c r="AF1682" s="29">
        <f t="shared" si="288"/>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83"/>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35">
      <c r="A1683">
        <v>1682</v>
      </c>
      <c r="B1683">
        <v>107</v>
      </c>
      <c r="C1683" s="22" t="s">
        <v>1320</v>
      </c>
      <c r="D1683" s="11">
        <v>7</v>
      </c>
      <c r="E1683" s="12">
        <v>2</v>
      </c>
      <c r="F1683" s="7">
        <f t="shared" si="286"/>
        <v>3.5</v>
      </c>
      <c r="G1683" s="8">
        <v>1</v>
      </c>
      <c r="H1683" s="9">
        <v>0</v>
      </c>
      <c r="I1683" s="9">
        <v>0</v>
      </c>
      <c r="J1683" s="9">
        <v>0</v>
      </c>
      <c r="K1683" s="9">
        <v>0</v>
      </c>
      <c r="L1683" s="8">
        <v>7629</v>
      </c>
      <c r="M1683" s="9">
        <v>17</v>
      </c>
      <c r="N1683" s="9">
        <f t="shared" si="284"/>
        <v>7611</v>
      </c>
      <c r="O1683" s="9">
        <f t="shared" si="285"/>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87"/>
        <v>0.19</v>
      </c>
      <c r="AE1683" s="29">
        <f t="shared" si="287"/>
        <v>0.19</v>
      </c>
      <c r="AF1683" s="29">
        <f t="shared" si="288"/>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83"/>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35">
      <c r="A1684">
        <v>1683</v>
      </c>
      <c r="B1684">
        <v>108</v>
      </c>
      <c r="C1684" s="22" t="s">
        <v>1324</v>
      </c>
      <c r="D1684" s="11">
        <v>2.6</v>
      </c>
      <c r="E1684" s="12">
        <v>0.3</v>
      </c>
      <c r="F1684" s="7">
        <f t="shared" si="286"/>
        <v>8.6666666666666679</v>
      </c>
      <c r="G1684" s="8">
        <v>0</v>
      </c>
      <c r="H1684" s="9">
        <v>0</v>
      </c>
      <c r="I1684" s="9">
        <v>0</v>
      </c>
      <c r="J1684" s="9">
        <v>1</v>
      </c>
      <c r="K1684" s="9">
        <v>0</v>
      </c>
      <c r="L1684" s="8">
        <v>1955</v>
      </c>
      <c r="M1684" s="9">
        <v>3</v>
      </c>
      <c r="N1684" s="9">
        <f t="shared" si="284"/>
        <v>1951</v>
      </c>
      <c r="O1684" s="9">
        <f t="shared" si="285"/>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89">1-AE1684-AF1684-AG1684</f>
        <v>4.5000000000000012E-2</v>
      </c>
      <c r="AE1684" s="29">
        <v>0.51200000000000001</v>
      </c>
      <c r="AF1684" s="29">
        <v>0.3</v>
      </c>
      <c r="AG1684" s="39">
        <v>0.14299999999999999</v>
      </c>
      <c r="AH1684" s="38">
        <f t="shared" ref="AH1684:AH1690" si="290">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83"/>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35">
      <c r="A1685">
        <v>1684</v>
      </c>
      <c r="B1685">
        <v>108</v>
      </c>
      <c r="C1685" s="22" t="s">
        <v>1324</v>
      </c>
      <c r="D1685" s="11">
        <v>2.7</v>
      </c>
      <c r="E1685" s="12">
        <v>0.5</v>
      </c>
      <c r="F1685" s="7">
        <f t="shared" si="286"/>
        <v>5.4</v>
      </c>
      <c r="G1685" s="8">
        <v>0</v>
      </c>
      <c r="H1685" s="9">
        <v>0</v>
      </c>
      <c r="I1685" s="9">
        <v>0</v>
      </c>
      <c r="J1685" s="9">
        <v>1</v>
      </c>
      <c r="K1685" s="9">
        <v>0</v>
      </c>
      <c r="L1685" s="8">
        <v>1951</v>
      </c>
      <c r="M1685" s="9">
        <v>15</v>
      </c>
      <c r="N1685" s="9">
        <f t="shared" si="284"/>
        <v>1935</v>
      </c>
      <c r="O1685" s="9">
        <f t="shared" si="285"/>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89"/>
        <v>4.5000000000000012E-2</v>
      </c>
      <c r="AE1685" s="29">
        <v>0.51200000000000001</v>
      </c>
      <c r="AF1685" s="29">
        <v>0.3</v>
      </c>
      <c r="AG1685" s="39">
        <v>0.14299999999999999</v>
      </c>
      <c r="AH1685" s="38">
        <f t="shared" si="290"/>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83"/>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35">
      <c r="A1686">
        <v>1685</v>
      </c>
      <c r="B1686">
        <v>108</v>
      </c>
      <c r="C1686" s="22" t="s">
        <v>1324</v>
      </c>
      <c r="D1686" s="11">
        <v>5.8</v>
      </c>
      <c r="E1686" s="12">
        <v>0.4</v>
      </c>
      <c r="F1686" s="7">
        <f t="shared" si="286"/>
        <v>14.499999999999998</v>
      </c>
      <c r="G1686" s="8">
        <v>0</v>
      </c>
      <c r="H1686" s="9">
        <v>0</v>
      </c>
      <c r="I1686" s="9">
        <v>0</v>
      </c>
      <c r="J1686" s="9">
        <v>1</v>
      </c>
      <c r="K1686" s="9">
        <v>0</v>
      </c>
      <c r="L1686" s="8">
        <v>1639</v>
      </c>
      <c r="M1686" s="9">
        <v>3</v>
      </c>
      <c r="N1686" s="9">
        <f t="shared" si="284"/>
        <v>1635</v>
      </c>
      <c r="O1686" s="9">
        <f t="shared" si="285"/>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89"/>
        <v>5.1000000000000018E-2</v>
      </c>
      <c r="AE1686" s="29">
        <v>0.56899999999999995</v>
      </c>
      <c r="AF1686" s="29">
        <v>0.27900000000000003</v>
      </c>
      <c r="AG1686" s="39">
        <v>0.10100000000000001</v>
      </c>
      <c r="AH1686" s="38">
        <f t="shared" si="290"/>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83"/>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35">
      <c r="A1687">
        <v>1686</v>
      </c>
      <c r="B1687">
        <v>108</v>
      </c>
      <c r="C1687" s="22" t="s">
        <v>1324</v>
      </c>
      <c r="D1687" s="11">
        <v>5.8</v>
      </c>
      <c r="E1687" s="12">
        <v>0.5</v>
      </c>
      <c r="F1687" s="7">
        <f t="shared" si="286"/>
        <v>11.6</v>
      </c>
      <c r="G1687" s="8">
        <v>0</v>
      </c>
      <c r="H1687" s="9">
        <v>0</v>
      </c>
      <c r="I1687" s="9">
        <v>0</v>
      </c>
      <c r="J1687" s="9">
        <v>1</v>
      </c>
      <c r="K1687" s="9">
        <v>0</v>
      </c>
      <c r="L1687" s="8">
        <v>1627</v>
      </c>
      <c r="M1687" s="9">
        <v>15</v>
      </c>
      <c r="N1687" s="9">
        <f t="shared" si="284"/>
        <v>1611</v>
      </c>
      <c r="O1687" s="9">
        <f t="shared" si="285"/>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89"/>
        <v>5.1000000000000018E-2</v>
      </c>
      <c r="AE1687" s="29">
        <v>0.56899999999999995</v>
      </c>
      <c r="AF1687" s="29">
        <v>0.27900000000000003</v>
      </c>
      <c r="AG1687" s="39">
        <v>0.10100000000000001</v>
      </c>
      <c r="AH1687" s="38">
        <f t="shared" si="290"/>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83"/>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35">
      <c r="A1688">
        <v>1687</v>
      </c>
      <c r="B1688">
        <v>108</v>
      </c>
      <c r="C1688" s="22" t="s">
        <v>1324</v>
      </c>
      <c r="D1688" s="11">
        <v>5.6</v>
      </c>
      <c r="E1688" s="12">
        <v>0.9</v>
      </c>
      <c r="F1688" s="7">
        <f t="shared" si="286"/>
        <v>6.2222222222222214</v>
      </c>
      <c r="G1688" s="8">
        <v>0</v>
      </c>
      <c r="H1688" s="9">
        <v>0</v>
      </c>
      <c r="I1688" s="9">
        <v>0</v>
      </c>
      <c r="J1688" s="9">
        <v>1</v>
      </c>
      <c r="K1688" s="9">
        <v>0</v>
      </c>
      <c r="L1688" s="8">
        <v>384</v>
      </c>
      <c r="M1688" s="9">
        <v>15</v>
      </c>
      <c r="N1688" s="9">
        <f t="shared" si="284"/>
        <v>368</v>
      </c>
      <c r="O1688" s="9">
        <f t="shared" si="285"/>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89"/>
        <v>5.1000000000000018E-2</v>
      </c>
      <c r="AE1688" s="29">
        <v>0.56899999999999995</v>
      </c>
      <c r="AF1688" s="29">
        <v>0.27900000000000003</v>
      </c>
      <c r="AG1688" s="39">
        <v>0.10100000000000001</v>
      </c>
      <c r="AH1688" s="38">
        <f t="shared" si="290"/>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83"/>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35">
      <c r="A1689">
        <v>1688</v>
      </c>
      <c r="B1689">
        <v>108</v>
      </c>
      <c r="C1689" s="22" t="s">
        <v>1324</v>
      </c>
      <c r="D1689" s="11">
        <v>6.5</v>
      </c>
      <c r="E1689" s="12">
        <v>0.7</v>
      </c>
      <c r="F1689" s="7">
        <f t="shared" si="286"/>
        <v>9.2857142857142865</v>
      </c>
      <c r="G1689" s="8">
        <v>0</v>
      </c>
      <c r="H1689" s="9">
        <v>0</v>
      </c>
      <c r="I1689" s="9">
        <v>0</v>
      </c>
      <c r="J1689" s="9">
        <v>1</v>
      </c>
      <c r="K1689" s="9">
        <v>0</v>
      </c>
      <c r="L1689" s="8">
        <v>504</v>
      </c>
      <c r="M1689" s="9">
        <v>15</v>
      </c>
      <c r="N1689" s="9">
        <f t="shared" si="284"/>
        <v>488</v>
      </c>
      <c r="O1689" s="9">
        <f t="shared" si="285"/>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89"/>
        <v>5.1000000000000018E-2</v>
      </c>
      <c r="AE1689" s="29">
        <v>0.56899999999999995</v>
      </c>
      <c r="AF1689" s="29">
        <v>0.27900000000000003</v>
      </c>
      <c r="AG1689" s="39">
        <v>0.10100000000000001</v>
      </c>
      <c r="AH1689" s="38">
        <f t="shared" si="290"/>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83"/>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35">
      <c r="A1690">
        <v>1689</v>
      </c>
      <c r="B1690">
        <v>108</v>
      </c>
      <c r="C1690" s="22" t="s">
        <v>1324</v>
      </c>
      <c r="D1690" s="11">
        <v>6.1</v>
      </c>
      <c r="E1690" s="12">
        <v>1</v>
      </c>
      <c r="F1690" s="7">
        <f t="shared" si="286"/>
        <v>6.1</v>
      </c>
      <c r="G1690" s="8">
        <v>0</v>
      </c>
      <c r="H1690" s="9">
        <v>0</v>
      </c>
      <c r="I1690" s="9">
        <v>0</v>
      </c>
      <c r="J1690" s="9">
        <v>1</v>
      </c>
      <c r="K1690" s="9">
        <v>0</v>
      </c>
      <c r="L1690" s="8">
        <v>604</v>
      </c>
      <c r="M1690" s="9">
        <v>15</v>
      </c>
      <c r="N1690" s="9">
        <f t="shared" si="284"/>
        <v>588</v>
      </c>
      <c r="O1690" s="9">
        <f t="shared" si="285"/>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89"/>
        <v>5.1000000000000018E-2</v>
      </c>
      <c r="AE1690" s="29">
        <v>0.56899999999999995</v>
      </c>
      <c r="AF1690" s="29">
        <v>0.27900000000000003</v>
      </c>
      <c r="AG1690" s="39">
        <v>0.10100000000000001</v>
      </c>
      <c r="AH1690" s="38">
        <f t="shared" si="290"/>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83"/>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35">
      <c r="A1691">
        <v>1690</v>
      </c>
      <c r="B1691">
        <v>109</v>
      </c>
      <c r="C1691" s="22" t="s">
        <v>1328</v>
      </c>
      <c r="D1691" s="11">
        <v>6.1</v>
      </c>
      <c r="E1691" s="12">
        <v>0.1</v>
      </c>
      <c r="F1691" s="7">
        <f t="shared" si="286"/>
        <v>60.999999999999993</v>
      </c>
      <c r="G1691" s="8">
        <v>0</v>
      </c>
      <c r="H1691" s="9">
        <v>0</v>
      </c>
      <c r="I1691" s="9">
        <v>1</v>
      </c>
      <c r="J1691" s="9">
        <v>0</v>
      </c>
      <c r="K1691" s="9">
        <v>0</v>
      </c>
      <c r="L1691" s="8">
        <v>54126</v>
      </c>
      <c r="M1691" s="9">
        <v>50</v>
      </c>
      <c r="N1691" s="9">
        <f t="shared" si="284"/>
        <v>54075</v>
      </c>
      <c r="O1691" s="9">
        <f t="shared" si="285"/>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35">
      <c r="A1692">
        <v>1691</v>
      </c>
      <c r="B1692">
        <v>109</v>
      </c>
      <c r="C1692" s="22" t="s">
        <v>1328</v>
      </c>
      <c r="D1692" s="11">
        <v>7.4</v>
      </c>
      <c r="E1692" s="12">
        <v>0.1</v>
      </c>
      <c r="F1692" s="7">
        <f t="shared" si="286"/>
        <v>74</v>
      </c>
      <c r="G1692" s="8">
        <v>0</v>
      </c>
      <c r="H1692" s="9">
        <v>0</v>
      </c>
      <c r="I1692" s="9">
        <v>1</v>
      </c>
      <c r="J1692" s="9">
        <v>0</v>
      </c>
      <c r="K1692" s="9">
        <v>0</v>
      </c>
      <c r="L1692" s="8">
        <v>939736</v>
      </c>
      <c r="M1692" s="9">
        <v>50</v>
      </c>
      <c r="N1692" s="9">
        <f t="shared" si="284"/>
        <v>939685</v>
      </c>
      <c r="O1692" s="9">
        <f t="shared" si="285"/>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3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84"/>
        <v>736</v>
      </c>
      <c r="O1693" s="9">
        <f t="shared" si="285"/>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91">1*(1-$AG1693)/4</f>
        <v>0.245</v>
      </c>
      <c r="AE1693" s="29">
        <f t="shared" si="291"/>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3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84"/>
        <v>956</v>
      </c>
      <c r="O1694" s="9">
        <f t="shared" si="285"/>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91"/>
        <v>0.23749999999999999</v>
      </c>
      <c r="AE1694" s="29">
        <f t="shared" si="291"/>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3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84"/>
        <v>6108</v>
      </c>
      <c r="O1695" s="9">
        <f t="shared" si="285"/>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91"/>
        <v>0.23249999999999998</v>
      </c>
      <c r="AE1695" s="29">
        <f t="shared" si="291"/>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35">
      <c r="A1696">
        <v>1695</v>
      </c>
      <c r="B1696">
        <v>111</v>
      </c>
      <c r="C1696" s="22" t="s">
        <v>1337</v>
      </c>
      <c r="D1696" s="11">
        <v>5.3</v>
      </c>
      <c r="E1696" s="12">
        <v>0.4</v>
      </c>
      <c r="F1696" s="7">
        <f t="shared" ref="F1696:F1725" si="292">D1696/E1696</f>
        <v>13.249999999999998</v>
      </c>
      <c r="G1696" s="8">
        <v>0</v>
      </c>
      <c r="H1696" s="9">
        <v>0</v>
      </c>
      <c r="I1696" s="9">
        <v>0</v>
      </c>
      <c r="J1696" s="9">
        <v>0</v>
      </c>
      <c r="K1696" s="9">
        <v>1</v>
      </c>
      <c r="L1696" s="8">
        <v>6873</v>
      </c>
      <c r="M1696" s="9">
        <v>1</v>
      </c>
      <c r="N1696" s="9">
        <f t="shared" si="284"/>
        <v>6871</v>
      </c>
      <c r="O1696" s="9">
        <f t="shared" si="285"/>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35">
      <c r="A1697">
        <v>1696</v>
      </c>
      <c r="B1697">
        <v>111</v>
      </c>
      <c r="C1697" s="22" t="s">
        <v>1337</v>
      </c>
      <c r="D1697" s="11">
        <v>9.6999999999999993</v>
      </c>
      <c r="E1697" s="12">
        <v>0.3</v>
      </c>
      <c r="F1697" s="7">
        <f t="shared" si="292"/>
        <v>32.333333333333336</v>
      </c>
      <c r="G1697" s="8">
        <v>0</v>
      </c>
      <c r="H1697" s="9">
        <v>0</v>
      </c>
      <c r="I1697" s="9">
        <v>0</v>
      </c>
      <c r="J1697" s="9">
        <v>0</v>
      </c>
      <c r="K1697" s="9">
        <v>1</v>
      </c>
      <c r="L1697" s="8">
        <v>6873</v>
      </c>
      <c r="M1697" s="9">
        <v>3</v>
      </c>
      <c r="N1697" s="9">
        <f t="shared" si="284"/>
        <v>6869</v>
      </c>
      <c r="O1697" s="9">
        <f t="shared" si="285"/>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35">
      <c r="A1698">
        <v>1697</v>
      </c>
      <c r="B1698">
        <v>111</v>
      </c>
      <c r="C1698" s="22" t="s">
        <v>1337</v>
      </c>
      <c r="D1698" s="11">
        <v>5.3</v>
      </c>
      <c r="E1698" s="12">
        <v>0.3</v>
      </c>
      <c r="F1698" s="7">
        <f t="shared" si="292"/>
        <v>17.666666666666668</v>
      </c>
      <c r="G1698" s="8">
        <v>0</v>
      </c>
      <c r="H1698" s="9">
        <v>0</v>
      </c>
      <c r="I1698" s="9">
        <v>0</v>
      </c>
      <c r="J1698" s="9">
        <v>0</v>
      </c>
      <c r="K1698" s="9">
        <v>1</v>
      </c>
      <c r="L1698" s="8">
        <v>6873</v>
      </c>
      <c r="M1698" s="9">
        <v>1</v>
      </c>
      <c r="N1698" s="9">
        <f t="shared" si="284"/>
        <v>6871</v>
      </c>
      <c r="O1698" s="9">
        <f t="shared" si="285"/>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35">
      <c r="A1699">
        <v>1698</v>
      </c>
      <c r="B1699">
        <v>111</v>
      </c>
      <c r="C1699" s="22" t="s">
        <v>1337</v>
      </c>
      <c r="D1699" s="11">
        <v>8.5</v>
      </c>
      <c r="E1699" s="12">
        <v>0.2</v>
      </c>
      <c r="F1699" s="7">
        <f t="shared" si="292"/>
        <v>42.5</v>
      </c>
      <c r="G1699" s="8">
        <v>0</v>
      </c>
      <c r="H1699" s="9">
        <v>0</v>
      </c>
      <c r="I1699" s="9">
        <v>0</v>
      </c>
      <c r="J1699" s="9">
        <v>0</v>
      </c>
      <c r="K1699" s="9">
        <v>1</v>
      </c>
      <c r="L1699" s="8">
        <v>6873</v>
      </c>
      <c r="M1699" s="9">
        <v>3</v>
      </c>
      <c r="N1699" s="9">
        <f t="shared" si="284"/>
        <v>6869</v>
      </c>
      <c r="O1699" s="9">
        <f t="shared" si="285"/>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35">
      <c r="A1700">
        <v>1699</v>
      </c>
      <c r="B1700">
        <v>112</v>
      </c>
      <c r="C1700" s="22" t="s">
        <v>1340</v>
      </c>
      <c r="D1700" s="11">
        <v>6.32</v>
      </c>
      <c r="E1700" s="12">
        <v>0.03</v>
      </c>
      <c r="F1700" s="7">
        <f t="shared" si="292"/>
        <v>210.66666666666669</v>
      </c>
      <c r="G1700" s="8">
        <v>0</v>
      </c>
      <c r="H1700" s="9">
        <v>0</v>
      </c>
      <c r="I1700" s="9">
        <v>0</v>
      </c>
      <c r="J1700" s="9">
        <v>1</v>
      </c>
      <c r="K1700" s="9">
        <v>0</v>
      </c>
      <c r="L1700" s="8">
        <v>32951</v>
      </c>
      <c r="M1700" s="9">
        <v>15</v>
      </c>
      <c r="N1700" s="9">
        <f t="shared" si="284"/>
        <v>32935</v>
      </c>
      <c r="O1700" s="9">
        <f t="shared" si="285"/>
        <v>24</v>
      </c>
      <c r="P1700" s="7">
        <v>13.56</v>
      </c>
      <c r="Q1700" s="7">
        <f t="shared" ref="Q1700:Q1731" si="293">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94">(1-$AF1700-$AG1700)/2</f>
        <v>0.11499999999999999</v>
      </c>
      <c r="AE1700" s="29">
        <f t="shared" si="294"/>
        <v>0.11499999999999999</v>
      </c>
      <c r="AF1700" s="29">
        <f t="shared" ref="AF1700:AF1743" si="295">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35">
      <c r="A1701">
        <v>1700</v>
      </c>
      <c r="B1701">
        <v>112</v>
      </c>
      <c r="C1701" s="22" t="s">
        <v>1340</v>
      </c>
      <c r="D1701" s="11">
        <v>9.9</v>
      </c>
      <c r="E1701" s="12">
        <v>2.0699999999999998</v>
      </c>
      <c r="F1701" s="7">
        <f t="shared" si="292"/>
        <v>4.7826086956521747</v>
      </c>
      <c r="G1701" s="8">
        <v>0</v>
      </c>
      <c r="H1701" s="9">
        <v>0</v>
      </c>
      <c r="I1701" s="9">
        <v>0</v>
      </c>
      <c r="J1701" s="9">
        <v>1</v>
      </c>
      <c r="K1701" s="9">
        <v>0</v>
      </c>
      <c r="L1701" s="8">
        <v>32951</v>
      </c>
      <c r="M1701" s="9">
        <v>15</v>
      </c>
      <c r="N1701" s="9">
        <f t="shared" si="284"/>
        <v>32935</v>
      </c>
      <c r="O1701" s="9">
        <f t="shared" si="285"/>
        <v>24</v>
      </c>
      <c r="P1701" s="7">
        <v>13.56</v>
      </c>
      <c r="Q1701" s="7">
        <f t="shared" si="293"/>
        <v>25.439999999999998</v>
      </c>
      <c r="R1701" s="9">
        <v>1</v>
      </c>
      <c r="S1701" s="9">
        <v>0</v>
      </c>
      <c r="T1701" s="9">
        <v>0</v>
      </c>
      <c r="U1701" s="9">
        <v>1</v>
      </c>
      <c r="V1701" s="9">
        <v>0</v>
      </c>
      <c r="W1701" s="27">
        <v>0</v>
      </c>
      <c r="X1701" s="9">
        <v>0</v>
      </c>
      <c r="Y1701" s="9">
        <v>0</v>
      </c>
      <c r="Z1701" s="27">
        <v>1</v>
      </c>
      <c r="AA1701" s="9">
        <v>1</v>
      </c>
      <c r="AB1701" s="27">
        <v>0</v>
      </c>
      <c r="AC1701" s="18">
        <v>1980</v>
      </c>
      <c r="AD1701" s="29">
        <f t="shared" si="294"/>
        <v>0.11499999999999999</v>
      </c>
      <c r="AE1701" s="29">
        <f t="shared" si="294"/>
        <v>0.11499999999999999</v>
      </c>
      <c r="AF1701" s="29">
        <f t="shared" si="295"/>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35">
      <c r="A1702">
        <v>1701</v>
      </c>
      <c r="B1702">
        <v>112</v>
      </c>
      <c r="C1702" s="22" t="s">
        <v>1340</v>
      </c>
      <c r="D1702" s="11">
        <v>9.99</v>
      </c>
      <c r="E1702" s="12">
        <v>2.1</v>
      </c>
      <c r="F1702" s="7">
        <f t="shared" si="292"/>
        <v>4.7571428571428571</v>
      </c>
      <c r="G1702" s="8">
        <v>0</v>
      </c>
      <c r="H1702" s="9">
        <v>0</v>
      </c>
      <c r="I1702" s="9">
        <v>0</v>
      </c>
      <c r="J1702" s="9">
        <v>1</v>
      </c>
      <c r="K1702" s="9">
        <v>0</v>
      </c>
      <c r="L1702" s="8">
        <v>32951</v>
      </c>
      <c r="M1702" s="9">
        <v>15</v>
      </c>
      <c r="N1702" s="9">
        <f t="shared" si="284"/>
        <v>32935</v>
      </c>
      <c r="O1702" s="9">
        <f t="shared" si="285"/>
        <v>24</v>
      </c>
      <c r="P1702" s="7">
        <v>13.56</v>
      </c>
      <c r="Q1702" s="7">
        <f t="shared" si="293"/>
        <v>25.439999999999998</v>
      </c>
      <c r="R1702" s="9">
        <v>1</v>
      </c>
      <c r="S1702" s="9">
        <v>0</v>
      </c>
      <c r="T1702" s="9">
        <v>0</v>
      </c>
      <c r="U1702" s="9">
        <v>1</v>
      </c>
      <c r="V1702" s="9">
        <v>0</v>
      </c>
      <c r="W1702" s="27">
        <v>0</v>
      </c>
      <c r="X1702" s="9">
        <v>0</v>
      </c>
      <c r="Y1702" s="9">
        <v>0</v>
      </c>
      <c r="Z1702" s="27">
        <v>1</v>
      </c>
      <c r="AA1702" s="9">
        <v>1</v>
      </c>
      <c r="AB1702" s="27">
        <v>0</v>
      </c>
      <c r="AC1702" s="18">
        <v>1980</v>
      </c>
      <c r="AD1702" s="29">
        <f t="shared" si="294"/>
        <v>0.11499999999999999</v>
      </c>
      <c r="AE1702" s="29">
        <f t="shared" si="294"/>
        <v>0.11499999999999999</v>
      </c>
      <c r="AF1702" s="29">
        <f t="shared" si="295"/>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35">
      <c r="A1703">
        <v>1702</v>
      </c>
      <c r="B1703">
        <v>112</v>
      </c>
      <c r="C1703" s="22" t="s">
        <v>1340</v>
      </c>
      <c r="D1703" s="11">
        <v>6.32</v>
      </c>
      <c r="E1703" s="12">
        <v>0.03</v>
      </c>
      <c r="F1703" s="7">
        <f t="shared" si="292"/>
        <v>210.66666666666669</v>
      </c>
      <c r="G1703" s="8">
        <v>0</v>
      </c>
      <c r="H1703" s="9">
        <v>0</v>
      </c>
      <c r="I1703" s="9">
        <v>0</v>
      </c>
      <c r="J1703" s="9">
        <v>1</v>
      </c>
      <c r="K1703" s="9">
        <v>0</v>
      </c>
      <c r="L1703" s="8">
        <v>32951</v>
      </c>
      <c r="M1703" s="9">
        <v>15</v>
      </c>
      <c r="N1703" s="9">
        <f t="shared" si="284"/>
        <v>32935</v>
      </c>
      <c r="O1703" s="9">
        <f t="shared" si="285"/>
        <v>24</v>
      </c>
      <c r="P1703" s="7">
        <v>13.56</v>
      </c>
      <c r="Q1703" s="7">
        <f t="shared" si="293"/>
        <v>25.439999999999998</v>
      </c>
      <c r="R1703" s="9">
        <v>1</v>
      </c>
      <c r="S1703" s="9">
        <v>0</v>
      </c>
      <c r="T1703" s="9">
        <v>0</v>
      </c>
      <c r="U1703" s="9">
        <v>1</v>
      </c>
      <c r="V1703" s="9">
        <v>0</v>
      </c>
      <c r="W1703" s="27">
        <v>0</v>
      </c>
      <c r="X1703" s="9">
        <v>0</v>
      </c>
      <c r="Y1703" s="9">
        <v>0</v>
      </c>
      <c r="Z1703" s="27">
        <v>1</v>
      </c>
      <c r="AA1703" s="9">
        <v>1</v>
      </c>
      <c r="AB1703" s="27">
        <v>0</v>
      </c>
      <c r="AC1703" s="18">
        <v>1980</v>
      </c>
      <c r="AD1703" s="29">
        <f t="shared" si="294"/>
        <v>0.11499999999999999</v>
      </c>
      <c r="AE1703" s="29">
        <f t="shared" si="294"/>
        <v>0.11499999999999999</v>
      </c>
      <c r="AF1703" s="29">
        <f t="shared" si="295"/>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35">
      <c r="A1704">
        <v>1703</v>
      </c>
      <c r="B1704">
        <v>112</v>
      </c>
      <c r="C1704" s="22" t="s">
        <v>1340</v>
      </c>
      <c r="D1704" s="11">
        <v>8.06</v>
      </c>
      <c r="E1704" s="12">
        <v>1.64</v>
      </c>
      <c r="F1704" s="7">
        <f t="shared" si="292"/>
        <v>4.9146341463414638</v>
      </c>
      <c r="G1704" s="8">
        <v>0</v>
      </c>
      <c r="H1704" s="9">
        <v>0</v>
      </c>
      <c r="I1704" s="9">
        <v>0</v>
      </c>
      <c r="J1704" s="9">
        <v>1</v>
      </c>
      <c r="K1704" s="9">
        <v>0</v>
      </c>
      <c r="L1704" s="8">
        <v>32951</v>
      </c>
      <c r="M1704" s="9">
        <v>15</v>
      </c>
      <c r="N1704" s="9">
        <f t="shared" si="284"/>
        <v>32935</v>
      </c>
      <c r="O1704" s="9">
        <f t="shared" si="285"/>
        <v>24</v>
      </c>
      <c r="P1704" s="7">
        <v>13.56</v>
      </c>
      <c r="Q1704" s="7">
        <f t="shared" si="293"/>
        <v>25.439999999999998</v>
      </c>
      <c r="R1704" s="9">
        <v>1</v>
      </c>
      <c r="S1704" s="9">
        <v>0</v>
      </c>
      <c r="T1704" s="9">
        <v>0</v>
      </c>
      <c r="U1704" s="9">
        <v>1</v>
      </c>
      <c r="V1704" s="9">
        <v>0</v>
      </c>
      <c r="W1704" s="27">
        <v>0</v>
      </c>
      <c r="X1704" s="9">
        <v>0</v>
      </c>
      <c r="Y1704" s="9">
        <v>0</v>
      </c>
      <c r="Z1704" s="27">
        <v>1</v>
      </c>
      <c r="AA1704" s="9">
        <v>1</v>
      </c>
      <c r="AB1704" s="27">
        <v>0</v>
      </c>
      <c r="AC1704" s="18">
        <v>1980</v>
      </c>
      <c r="AD1704" s="29">
        <f t="shared" si="294"/>
        <v>0.11499999999999999</v>
      </c>
      <c r="AE1704" s="29">
        <f t="shared" si="294"/>
        <v>0.11499999999999999</v>
      </c>
      <c r="AF1704" s="29">
        <f t="shared" si="295"/>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35">
      <c r="A1705">
        <v>1704</v>
      </c>
      <c r="B1705">
        <v>112</v>
      </c>
      <c r="C1705" s="22" t="s">
        <v>1340</v>
      </c>
      <c r="D1705" s="11">
        <v>8.3800000000000008</v>
      </c>
      <c r="E1705" s="12">
        <v>1.79</v>
      </c>
      <c r="F1705" s="7">
        <f t="shared" si="292"/>
        <v>4.6815642458100566</v>
      </c>
      <c r="G1705" s="8">
        <v>0</v>
      </c>
      <c r="H1705" s="9">
        <v>0</v>
      </c>
      <c r="I1705" s="9">
        <v>0</v>
      </c>
      <c r="J1705" s="9">
        <v>1</v>
      </c>
      <c r="K1705" s="9">
        <v>0</v>
      </c>
      <c r="L1705" s="8">
        <v>32951</v>
      </c>
      <c r="M1705" s="9">
        <v>15</v>
      </c>
      <c r="N1705" s="9">
        <f t="shared" si="284"/>
        <v>32935</v>
      </c>
      <c r="O1705" s="9">
        <f t="shared" si="285"/>
        <v>24</v>
      </c>
      <c r="P1705" s="7">
        <v>13.56</v>
      </c>
      <c r="Q1705" s="7">
        <f t="shared" si="293"/>
        <v>25.439999999999998</v>
      </c>
      <c r="R1705" s="9">
        <v>1</v>
      </c>
      <c r="S1705" s="9">
        <v>0</v>
      </c>
      <c r="T1705" s="9">
        <v>0</v>
      </c>
      <c r="U1705" s="9">
        <v>1</v>
      </c>
      <c r="V1705" s="9">
        <v>0</v>
      </c>
      <c r="W1705" s="27">
        <v>0</v>
      </c>
      <c r="X1705" s="9">
        <v>0</v>
      </c>
      <c r="Y1705" s="9">
        <v>0</v>
      </c>
      <c r="Z1705" s="27">
        <v>1</v>
      </c>
      <c r="AA1705" s="9">
        <v>1</v>
      </c>
      <c r="AB1705" s="27">
        <v>0</v>
      </c>
      <c r="AC1705" s="18">
        <v>1980</v>
      </c>
      <c r="AD1705" s="29">
        <f t="shared" si="294"/>
        <v>0.11499999999999999</v>
      </c>
      <c r="AE1705" s="29">
        <f t="shared" si="294"/>
        <v>0.11499999999999999</v>
      </c>
      <c r="AF1705" s="29">
        <f t="shared" si="295"/>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35">
      <c r="A1706">
        <v>1705</v>
      </c>
      <c r="B1706">
        <v>112</v>
      </c>
      <c r="C1706" s="22" t="s">
        <v>1340</v>
      </c>
      <c r="D1706" s="11">
        <v>6.32</v>
      </c>
      <c r="E1706" s="12">
        <v>0.03</v>
      </c>
      <c r="F1706" s="7">
        <f t="shared" si="292"/>
        <v>210.66666666666669</v>
      </c>
      <c r="G1706" s="8">
        <v>0</v>
      </c>
      <c r="H1706" s="9">
        <v>0</v>
      </c>
      <c r="I1706" s="9">
        <v>0</v>
      </c>
      <c r="J1706" s="9">
        <v>1</v>
      </c>
      <c r="K1706" s="9">
        <v>0</v>
      </c>
      <c r="L1706" s="8">
        <v>32951</v>
      </c>
      <c r="M1706" s="9">
        <v>17</v>
      </c>
      <c r="N1706" s="9">
        <f t="shared" si="284"/>
        <v>32933</v>
      </c>
      <c r="O1706" s="9">
        <f t="shared" si="285"/>
        <v>24</v>
      </c>
      <c r="P1706" s="7">
        <v>13.56</v>
      </c>
      <c r="Q1706" s="7">
        <f t="shared" si="293"/>
        <v>25.439999999999998</v>
      </c>
      <c r="R1706" s="9">
        <v>1</v>
      </c>
      <c r="S1706" s="9">
        <v>0</v>
      </c>
      <c r="T1706" s="9">
        <v>0</v>
      </c>
      <c r="U1706" s="9">
        <v>1</v>
      </c>
      <c r="V1706" s="9">
        <v>0</v>
      </c>
      <c r="W1706" s="27">
        <v>0</v>
      </c>
      <c r="X1706" s="9">
        <v>0</v>
      </c>
      <c r="Y1706" s="9">
        <v>0</v>
      </c>
      <c r="Z1706" s="27">
        <v>1</v>
      </c>
      <c r="AA1706" s="9">
        <v>1</v>
      </c>
      <c r="AB1706" s="27">
        <v>0</v>
      </c>
      <c r="AC1706" s="18">
        <v>1980</v>
      </c>
      <c r="AD1706" s="29">
        <f t="shared" si="294"/>
        <v>0.11499999999999999</v>
      </c>
      <c r="AE1706" s="29">
        <f t="shared" si="294"/>
        <v>0.11499999999999999</v>
      </c>
      <c r="AF1706" s="29">
        <f t="shared" si="295"/>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35">
      <c r="A1707">
        <v>1706</v>
      </c>
      <c r="B1707">
        <v>112</v>
      </c>
      <c r="C1707" s="22" t="s">
        <v>1340</v>
      </c>
      <c r="D1707" s="11">
        <v>6</v>
      </c>
      <c r="E1707" s="12">
        <v>2.9</v>
      </c>
      <c r="F1707" s="7">
        <f t="shared" si="292"/>
        <v>2.0689655172413794</v>
      </c>
      <c r="G1707" s="8">
        <v>0</v>
      </c>
      <c r="H1707" s="9">
        <v>0</v>
      </c>
      <c r="I1707" s="9">
        <v>0</v>
      </c>
      <c r="J1707" s="9">
        <v>1</v>
      </c>
      <c r="K1707" s="9">
        <v>0</v>
      </c>
      <c r="L1707" s="8">
        <v>32951</v>
      </c>
      <c r="M1707" s="9">
        <v>17</v>
      </c>
      <c r="N1707" s="9">
        <f t="shared" si="284"/>
        <v>32933</v>
      </c>
      <c r="O1707" s="9">
        <f t="shared" si="285"/>
        <v>24</v>
      </c>
      <c r="P1707" s="7">
        <v>13.56</v>
      </c>
      <c r="Q1707" s="7">
        <f t="shared" si="293"/>
        <v>25.439999999999998</v>
      </c>
      <c r="R1707" s="9">
        <v>1</v>
      </c>
      <c r="S1707" s="9">
        <v>0</v>
      </c>
      <c r="T1707" s="9">
        <v>0</v>
      </c>
      <c r="U1707" s="9">
        <v>1</v>
      </c>
      <c r="V1707" s="9">
        <v>0</v>
      </c>
      <c r="W1707" s="27">
        <v>0</v>
      </c>
      <c r="X1707" s="9">
        <v>0</v>
      </c>
      <c r="Y1707" s="9">
        <v>0</v>
      </c>
      <c r="Z1707" s="27">
        <v>1</v>
      </c>
      <c r="AA1707" s="9">
        <v>1</v>
      </c>
      <c r="AB1707" s="27">
        <v>0</v>
      </c>
      <c r="AC1707" s="18">
        <v>1980</v>
      </c>
      <c r="AD1707" s="29">
        <f t="shared" si="294"/>
        <v>0.11499999999999999</v>
      </c>
      <c r="AE1707" s="29">
        <f t="shared" si="294"/>
        <v>0.11499999999999999</v>
      </c>
      <c r="AF1707" s="29">
        <f t="shared" si="295"/>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35">
      <c r="A1708">
        <v>1707</v>
      </c>
      <c r="B1708">
        <v>112</v>
      </c>
      <c r="C1708" s="22" t="s">
        <v>1340</v>
      </c>
      <c r="D1708" s="11">
        <v>5.74</v>
      </c>
      <c r="E1708" s="12">
        <v>3.85</v>
      </c>
      <c r="F1708" s="7">
        <f t="shared" si="292"/>
        <v>1.490909090909091</v>
      </c>
      <c r="G1708" s="8">
        <v>0</v>
      </c>
      <c r="H1708" s="9">
        <v>0</v>
      </c>
      <c r="I1708" s="9">
        <v>0</v>
      </c>
      <c r="J1708" s="9">
        <v>1</v>
      </c>
      <c r="K1708" s="9">
        <v>0</v>
      </c>
      <c r="L1708" s="8">
        <v>32951</v>
      </c>
      <c r="M1708" s="9">
        <v>17</v>
      </c>
      <c r="N1708" s="9">
        <f t="shared" si="284"/>
        <v>32933</v>
      </c>
      <c r="O1708" s="9">
        <f t="shared" si="285"/>
        <v>24</v>
      </c>
      <c r="P1708" s="7">
        <v>13.56</v>
      </c>
      <c r="Q1708" s="7">
        <f t="shared" si="293"/>
        <v>25.439999999999998</v>
      </c>
      <c r="R1708" s="9">
        <v>1</v>
      </c>
      <c r="S1708" s="9">
        <v>0</v>
      </c>
      <c r="T1708" s="9">
        <v>0</v>
      </c>
      <c r="U1708" s="9">
        <v>1</v>
      </c>
      <c r="V1708" s="9">
        <v>0</v>
      </c>
      <c r="W1708" s="27">
        <v>0</v>
      </c>
      <c r="X1708" s="9">
        <v>0</v>
      </c>
      <c r="Y1708" s="9">
        <v>0</v>
      </c>
      <c r="Z1708" s="27">
        <v>1</v>
      </c>
      <c r="AA1708" s="9">
        <v>1</v>
      </c>
      <c r="AB1708" s="27">
        <v>0</v>
      </c>
      <c r="AC1708" s="18">
        <v>1980</v>
      </c>
      <c r="AD1708" s="29">
        <f t="shared" si="294"/>
        <v>0.11499999999999999</v>
      </c>
      <c r="AE1708" s="29">
        <f t="shared" si="294"/>
        <v>0.11499999999999999</v>
      </c>
      <c r="AF1708" s="29">
        <f t="shared" si="295"/>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35">
      <c r="A1709">
        <v>1708</v>
      </c>
      <c r="B1709">
        <v>112</v>
      </c>
      <c r="C1709" s="22" t="s">
        <v>1340</v>
      </c>
      <c r="D1709" s="11">
        <v>6.28</v>
      </c>
      <c r="E1709" s="12">
        <v>0.03</v>
      </c>
      <c r="F1709" s="7">
        <f t="shared" si="292"/>
        <v>209.33333333333334</v>
      </c>
      <c r="G1709" s="8">
        <v>0</v>
      </c>
      <c r="H1709" s="9">
        <v>0</v>
      </c>
      <c r="I1709" s="9">
        <v>0</v>
      </c>
      <c r="J1709" s="9">
        <v>1</v>
      </c>
      <c r="K1709" s="9">
        <v>0</v>
      </c>
      <c r="L1709" s="8">
        <v>32951</v>
      </c>
      <c r="M1709" s="9">
        <v>22</v>
      </c>
      <c r="N1709" s="9">
        <f t="shared" si="284"/>
        <v>32928</v>
      </c>
      <c r="O1709" s="9">
        <f t="shared" si="285"/>
        <v>24</v>
      </c>
      <c r="P1709" s="7">
        <v>13.56</v>
      </c>
      <c r="Q1709" s="7">
        <f t="shared" si="293"/>
        <v>25.439999999999998</v>
      </c>
      <c r="R1709" s="9">
        <v>1</v>
      </c>
      <c r="S1709" s="9">
        <v>0</v>
      </c>
      <c r="T1709" s="9">
        <v>0</v>
      </c>
      <c r="U1709" s="9">
        <v>1</v>
      </c>
      <c r="V1709" s="9">
        <v>0</v>
      </c>
      <c r="W1709" s="27">
        <v>0</v>
      </c>
      <c r="X1709" s="9">
        <v>0</v>
      </c>
      <c r="Y1709" s="9">
        <v>0</v>
      </c>
      <c r="Z1709" s="27">
        <v>1</v>
      </c>
      <c r="AA1709" s="9">
        <v>1</v>
      </c>
      <c r="AB1709" s="27">
        <v>0</v>
      </c>
      <c r="AC1709" s="18">
        <v>1980</v>
      </c>
      <c r="AD1709" s="29">
        <f t="shared" si="294"/>
        <v>0.11499999999999999</v>
      </c>
      <c r="AE1709" s="29">
        <f t="shared" si="294"/>
        <v>0.11499999999999999</v>
      </c>
      <c r="AF1709" s="29">
        <f t="shared" si="295"/>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35">
      <c r="A1710">
        <v>1709</v>
      </c>
      <c r="B1710">
        <v>112</v>
      </c>
      <c r="C1710" s="22" t="s">
        <v>1340</v>
      </c>
      <c r="D1710" s="11">
        <v>8.11</v>
      </c>
      <c r="E1710" s="12">
        <v>10.9</v>
      </c>
      <c r="F1710" s="7">
        <f t="shared" si="292"/>
        <v>0.74403669724770638</v>
      </c>
      <c r="G1710" s="8">
        <v>0</v>
      </c>
      <c r="H1710" s="9">
        <v>0</v>
      </c>
      <c r="I1710" s="9">
        <v>0</v>
      </c>
      <c r="J1710" s="9">
        <v>1</v>
      </c>
      <c r="K1710" s="9">
        <v>0</v>
      </c>
      <c r="L1710" s="8">
        <v>32951</v>
      </c>
      <c r="M1710" s="9">
        <v>22</v>
      </c>
      <c r="N1710" s="9">
        <f t="shared" si="284"/>
        <v>32928</v>
      </c>
      <c r="O1710" s="9">
        <f t="shared" si="285"/>
        <v>24</v>
      </c>
      <c r="P1710" s="7">
        <v>13.56</v>
      </c>
      <c r="Q1710" s="7">
        <f t="shared" si="293"/>
        <v>25.439999999999998</v>
      </c>
      <c r="R1710" s="9">
        <v>1</v>
      </c>
      <c r="S1710" s="9">
        <v>0</v>
      </c>
      <c r="T1710" s="9">
        <v>0</v>
      </c>
      <c r="U1710" s="9">
        <v>1</v>
      </c>
      <c r="V1710" s="9">
        <v>0</v>
      </c>
      <c r="W1710" s="27">
        <v>0</v>
      </c>
      <c r="X1710" s="9">
        <v>0</v>
      </c>
      <c r="Y1710" s="9">
        <v>0</v>
      </c>
      <c r="Z1710" s="27">
        <v>1</v>
      </c>
      <c r="AA1710" s="9">
        <v>1</v>
      </c>
      <c r="AB1710" s="27">
        <v>0</v>
      </c>
      <c r="AC1710" s="18">
        <v>1980</v>
      </c>
      <c r="AD1710" s="29">
        <f t="shared" si="294"/>
        <v>0.11499999999999999</v>
      </c>
      <c r="AE1710" s="29">
        <f t="shared" si="294"/>
        <v>0.11499999999999999</v>
      </c>
      <c r="AF1710" s="29">
        <f t="shared" si="295"/>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35">
      <c r="A1711">
        <v>1710</v>
      </c>
      <c r="B1711">
        <v>112</v>
      </c>
      <c r="C1711" s="22" t="s">
        <v>1340</v>
      </c>
      <c r="D1711" s="11">
        <v>9.82</v>
      </c>
      <c r="E1711" s="12">
        <v>15.3</v>
      </c>
      <c r="F1711" s="7">
        <f t="shared" si="292"/>
        <v>0.64183006535947706</v>
      </c>
      <c r="G1711" s="8">
        <v>0</v>
      </c>
      <c r="H1711" s="9">
        <v>0</v>
      </c>
      <c r="I1711" s="9">
        <v>0</v>
      </c>
      <c r="J1711" s="9">
        <v>1</v>
      </c>
      <c r="K1711" s="9">
        <v>0</v>
      </c>
      <c r="L1711" s="8">
        <v>32951</v>
      </c>
      <c r="M1711" s="9">
        <v>22</v>
      </c>
      <c r="N1711" s="9">
        <f t="shared" si="284"/>
        <v>32928</v>
      </c>
      <c r="O1711" s="9">
        <f t="shared" si="285"/>
        <v>24</v>
      </c>
      <c r="P1711" s="7">
        <v>13.56</v>
      </c>
      <c r="Q1711" s="7">
        <f t="shared" si="293"/>
        <v>25.439999999999998</v>
      </c>
      <c r="R1711" s="9">
        <v>1</v>
      </c>
      <c r="S1711" s="9">
        <v>0</v>
      </c>
      <c r="T1711" s="9">
        <v>0</v>
      </c>
      <c r="U1711" s="9">
        <v>1</v>
      </c>
      <c r="V1711" s="9">
        <v>0</v>
      </c>
      <c r="W1711" s="27">
        <v>0</v>
      </c>
      <c r="X1711" s="9">
        <v>0</v>
      </c>
      <c r="Y1711" s="9">
        <v>0</v>
      </c>
      <c r="Z1711" s="27">
        <v>1</v>
      </c>
      <c r="AA1711" s="9">
        <v>1</v>
      </c>
      <c r="AB1711" s="27">
        <v>0</v>
      </c>
      <c r="AC1711" s="18">
        <v>1980</v>
      </c>
      <c r="AD1711" s="29">
        <f t="shared" si="294"/>
        <v>0.11499999999999999</v>
      </c>
      <c r="AE1711" s="29">
        <f t="shared" si="294"/>
        <v>0.11499999999999999</v>
      </c>
      <c r="AF1711" s="29">
        <f t="shared" si="295"/>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35">
      <c r="A1712">
        <v>1711</v>
      </c>
      <c r="B1712">
        <v>112</v>
      </c>
      <c r="C1712" s="22" t="s">
        <v>1340</v>
      </c>
      <c r="D1712" s="11">
        <v>5.2</v>
      </c>
      <c r="E1712" s="12">
        <v>0.03</v>
      </c>
      <c r="F1712" s="7">
        <f t="shared" si="292"/>
        <v>173.33333333333334</v>
      </c>
      <c r="G1712" s="8">
        <v>0</v>
      </c>
      <c r="H1712" s="9">
        <v>0</v>
      </c>
      <c r="I1712" s="9">
        <v>0</v>
      </c>
      <c r="J1712" s="9">
        <v>1</v>
      </c>
      <c r="K1712" s="9">
        <v>0</v>
      </c>
      <c r="L1712" s="8">
        <v>48693</v>
      </c>
      <c r="M1712" s="9">
        <v>15</v>
      </c>
      <c r="N1712" s="9">
        <f t="shared" si="284"/>
        <v>48677</v>
      </c>
      <c r="O1712" s="9">
        <f t="shared" si="285"/>
        <v>24</v>
      </c>
      <c r="P1712" s="7">
        <v>13.56</v>
      </c>
      <c r="Q1712" s="7">
        <f t="shared" si="293"/>
        <v>15.439999999999998</v>
      </c>
      <c r="R1712" s="9">
        <v>1</v>
      </c>
      <c r="S1712" s="9">
        <v>0</v>
      </c>
      <c r="T1712" s="9">
        <v>0</v>
      </c>
      <c r="U1712" s="9">
        <v>1</v>
      </c>
      <c r="V1712" s="9">
        <v>0</v>
      </c>
      <c r="W1712" s="27">
        <v>0</v>
      </c>
      <c r="X1712" s="9">
        <v>0</v>
      </c>
      <c r="Y1712" s="9">
        <v>0</v>
      </c>
      <c r="Z1712" s="27">
        <v>1</v>
      </c>
      <c r="AA1712" s="9">
        <v>1</v>
      </c>
      <c r="AB1712" s="27">
        <v>0</v>
      </c>
      <c r="AC1712" s="18">
        <v>1980</v>
      </c>
      <c r="AD1712" s="29">
        <f t="shared" si="294"/>
        <v>0.11499999999999999</v>
      </c>
      <c r="AE1712" s="29">
        <f t="shared" si="294"/>
        <v>0.11499999999999999</v>
      </c>
      <c r="AF1712" s="29">
        <f t="shared" si="295"/>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35">
      <c r="A1713">
        <v>1712</v>
      </c>
      <c r="B1713">
        <v>112</v>
      </c>
      <c r="C1713" s="22" t="s">
        <v>1340</v>
      </c>
      <c r="D1713" s="11">
        <v>-7.34</v>
      </c>
      <c r="E1713" s="12">
        <v>2.73</v>
      </c>
      <c r="F1713" s="7">
        <f t="shared" si="292"/>
        <v>-2.6886446886446884</v>
      </c>
      <c r="G1713" s="8">
        <v>0</v>
      </c>
      <c r="H1713" s="9">
        <v>0</v>
      </c>
      <c r="I1713" s="9">
        <v>0</v>
      </c>
      <c r="J1713" s="9">
        <v>1</v>
      </c>
      <c r="K1713" s="9">
        <v>0</v>
      </c>
      <c r="L1713" s="8">
        <v>48693</v>
      </c>
      <c r="M1713" s="9">
        <v>15</v>
      </c>
      <c r="N1713" s="9">
        <f t="shared" si="284"/>
        <v>48677</v>
      </c>
      <c r="O1713" s="9">
        <f t="shared" si="285"/>
        <v>24</v>
      </c>
      <c r="P1713" s="7">
        <v>13.56</v>
      </c>
      <c r="Q1713" s="7">
        <f t="shared" si="293"/>
        <v>15.439999999999998</v>
      </c>
      <c r="R1713" s="9">
        <v>1</v>
      </c>
      <c r="S1713" s="9">
        <v>0</v>
      </c>
      <c r="T1713" s="9">
        <v>0</v>
      </c>
      <c r="U1713" s="9">
        <v>1</v>
      </c>
      <c r="V1713" s="9">
        <v>0</v>
      </c>
      <c r="W1713" s="27">
        <v>0</v>
      </c>
      <c r="X1713" s="9">
        <v>0</v>
      </c>
      <c r="Y1713" s="9">
        <v>0</v>
      </c>
      <c r="Z1713" s="27">
        <v>1</v>
      </c>
      <c r="AA1713" s="9">
        <v>1</v>
      </c>
      <c r="AB1713" s="27">
        <v>0</v>
      </c>
      <c r="AC1713" s="18">
        <v>1980</v>
      </c>
      <c r="AD1713" s="29">
        <f t="shared" si="294"/>
        <v>0.11499999999999999</v>
      </c>
      <c r="AE1713" s="29">
        <f t="shared" si="294"/>
        <v>0.11499999999999999</v>
      </c>
      <c r="AF1713" s="29">
        <f t="shared" si="295"/>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35">
      <c r="A1714">
        <v>1713</v>
      </c>
      <c r="B1714">
        <v>112</v>
      </c>
      <c r="C1714" s="22" t="s">
        <v>1340</v>
      </c>
      <c r="D1714" s="11">
        <v>-9.02</v>
      </c>
      <c r="E1714" s="12">
        <v>3.01</v>
      </c>
      <c r="F1714" s="7">
        <f t="shared" si="292"/>
        <v>-2.9966777408637872</v>
      </c>
      <c r="G1714" s="8">
        <v>0</v>
      </c>
      <c r="H1714" s="9">
        <v>0</v>
      </c>
      <c r="I1714" s="9">
        <v>0</v>
      </c>
      <c r="J1714" s="9">
        <v>1</v>
      </c>
      <c r="K1714" s="9">
        <v>0</v>
      </c>
      <c r="L1714" s="8">
        <v>48693</v>
      </c>
      <c r="M1714" s="9">
        <v>15</v>
      </c>
      <c r="N1714" s="9">
        <f t="shared" si="284"/>
        <v>48677</v>
      </c>
      <c r="O1714" s="9">
        <f t="shared" si="285"/>
        <v>24</v>
      </c>
      <c r="P1714" s="7">
        <v>13.56</v>
      </c>
      <c r="Q1714" s="7">
        <f t="shared" si="293"/>
        <v>15.439999999999998</v>
      </c>
      <c r="R1714" s="9">
        <v>1</v>
      </c>
      <c r="S1714" s="9">
        <v>0</v>
      </c>
      <c r="T1714" s="9">
        <v>0</v>
      </c>
      <c r="U1714" s="9">
        <v>1</v>
      </c>
      <c r="V1714" s="9">
        <v>0</v>
      </c>
      <c r="W1714" s="27">
        <v>0</v>
      </c>
      <c r="X1714" s="9">
        <v>0</v>
      </c>
      <c r="Y1714" s="9">
        <v>0</v>
      </c>
      <c r="Z1714" s="27">
        <v>1</v>
      </c>
      <c r="AA1714" s="9">
        <v>1</v>
      </c>
      <c r="AB1714" s="27">
        <v>0</v>
      </c>
      <c r="AC1714" s="18">
        <v>1980</v>
      </c>
      <c r="AD1714" s="29">
        <f t="shared" si="294"/>
        <v>0.11499999999999999</v>
      </c>
      <c r="AE1714" s="29">
        <f t="shared" si="294"/>
        <v>0.11499999999999999</v>
      </c>
      <c r="AF1714" s="29">
        <f t="shared" si="295"/>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35">
      <c r="A1715">
        <v>1714</v>
      </c>
      <c r="B1715">
        <v>112</v>
      </c>
      <c r="C1715" s="22" t="s">
        <v>1340</v>
      </c>
      <c r="D1715" s="11">
        <v>5.2</v>
      </c>
      <c r="E1715" s="12">
        <v>0.03</v>
      </c>
      <c r="F1715" s="7">
        <f t="shared" si="292"/>
        <v>173.33333333333334</v>
      </c>
      <c r="G1715" s="8">
        <v>0</v>
      </c>
      <c r="H1715" s="9">
        <v>0</v>
      </c>
      <c r="I1715" s="9">
        <v>0</v>
      </c>
      <c r="J1715" s="9">
        <v>1</v>
      </c>
      <c r="K1715" s="9">
        <v>0</v>
      </c>
      <c r="L1715" s="8">
        <v>48693</v>
      </c>
      <c r="M1715" s="9">
        <v>15</v>
      </c>
      <c r="N1715" s="9">
        <f t="shared" si="284"/>
        <v>48677</v>
      </c>
      <c r="O1715" s="9">
        <f t="shared" si="285"/>
        <v>24</v>
      </c>
      <c r="P1715" s="7">
        <v>13.56</v>
      </c>
      <c r="Q1715" s="7">
        <f t="shared" si="293"/>
        <v>15.439999999999998</v>
      </c>
      <c r="R1715" s="9">
        <v>1</v>
      </c>
      <c r="S1715" s="9">
        <v>0</v>
      </c>
      <c r="T1715" s="9">
        <v>0</v>
      </c>
      <c r="U1715" s="9">
        <v>1</v>
      </c>
      <c r="V1715" s="9">
        <v>0</v>
      </c>
      <c r="W1715" s="27">
        <v>0</v>
      </c>
      <c r="X1715" s="9">
        <v>0</v>
      </c>
      <c r="Y1715" s="9">
        <v>0</v>
      </c>
      <c r="Z1715" s="27">
        <v>1</v>
      </c>
      <c r="AA1715" s="9">
        <v>1</v>
      </c>
      <c r="AB1715" s="27">
        <v>0</v>
      </c>
      <c r="AC1715" s="18">
        <v>1980</v>
      </c>
      <c r="AD1715" s="29">
        <f t="shared" si="294"/>
        <v>0.11499999999999999</v>
      </c>
      <c r="AE1715" s="29">
        <f t="shared" si="294"/>
        <v>0.11499999999999999</v>
      </c>
      <c r="AF1715" s="29">
        <f t="shared" si="295"/>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35">
      <c r="A1716">
        <v>1715</v>
      </c>
      <c r="B1716">
        <v>112</v>
      </c>
      <c r="C1716" s="22" t="s">
        <v>1340</v>
      </c>
      <c r="D1716" s="11">
        <v>3.93</v>
      </c>
      <c r="E1716" s="12">
        <v>1.45</v>
      </c>
      <c r="F1716" s="7">
        <f t="shared" si="292"/>
        <v>2.7103448275862072</v>
      </c>
      <c r="G1716" s="8">
        <v>0</v>
      </c>
      <c r="H1716" s="9">
        <v>0</v>
      </c>
      <c r="I1716" s="9">
        <v>0</v>
      </c>
      <c r="J1716" s="9">
        <v>1</v>
      </c>
      <c r="K1716" s="9">
        <v>0</v>
      </c>
      <c r="L1716" s="8">
        <v>48693</v>
      </c>
      <c r="M1716" s="9">
        <v>15</v>
      </c>
      <c r="N1716" s="9">
        <f t="shared" si="284"/>
        <v>48677</v>
      </c>
      <c r="O1716" s="9">
        <f t="shared" si="285"/>
        <v>24</v>
      </c>
      <c r="P1716" s="7">
        <v>13.56</v>
      </c>
      <c r="Q1716" s="7">
        <f t="shared" si="293"/>
        <v>15.439999999999998</v>
      </c>
      <c r="R1716" s="9">
        <v>1</v>
      </c>
      <c r="S1716" s="9">
        <v>0</v>
      </c>
      <c r="T1716" s="9">
        <v>0</v>
      </c>
      <c r="U1716" s="9">
        <v>1</v>
      </c>
      <c r="V1716" s="9">
        <v>0</v>
      </c>
      <c r="W1716" s="27">
        <v>0</v>
      </c>
      <c r="X1716" s="9">
        <v>0</v>
      </c>
      <c r="Y1716" s="9">
        <v>0</v>
      </c>
      <c r="Z1716" s="27">
        <v>1</v>
      </c>
      <c r="AA1716" s="9">
        <v>1</v>
      </c>
      <c r="AB1716" s="27">
        <v>0</v>
      </c>
      <c r="AC1716" s="18">
        <v>1980</v>
      </c>
      <c r="AD1716" s="29">
        <f t="shared" si="294"/>
        <v>0.11499999999999999</v>
      </c>
      <c r="AE1716" s="29">
        <f t="shared" si="294"/>
        <v>0.11499999999999999</v>
      </c>
      <c r="AF1716" s="29">
        <f t="shared" si="295"/>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35">
      <c r="A1717">
        <v>1716</v>
      </c>
      <c r="B1717">
        <v>112</v>
      </c>
      <c r="C1717" s="22" t="s">
        <v>1340</v>
      </c>
      <c r="D1717" s="11">
        <v>2.86</v>
      </c>
      <c r="E1717" s="12">
        <v>1.97</v>
      </c>
      <c r="F1717" s="7">
        <f t="shared" si="292"/>
        <v>1.4517766497461928</v>
      </c>
      <c r="G1717" s="8">
        <v>0</v>
      </c>
      <c r="H1717" s="9">
        <v>0</v>
      </c>
      <c r="I1717" s="9">
        <v>0</v>
      </c>
      <c r="J1717" s="9">
        <v>1</v>
      </c>
      <c r="K1717" s="9">
        <v>0</v>
      </c>
      <c r="L1717" s="8">
        <v>48693</v>
      </c>
      <c r="M1717" s="9">
        <v>15</v>
      </c>
      <c r="N1717" s="9">
        <f t="shared" si="284"/>
        <v>48677</v>
      </c>
      <c r="O1717" s="9">
        <f t="shared" si="285"/>
        <v>24</v>
      </c>
      <c r="P1717" s="7">
        <v>13.56</v>
      </c>
      <c r="Q1717" s="7">
        <f t="shared" si="293"/>
        <v>15.439999999999998</v>
      </c>
      <c r="R1717" s="9">
        <v>1</v>
      </c>
      <c r="S1717" s="9">
        <v>0</v>
      </c>
      <c r="T1717" s="9">
        <v>0</v>
      </c>
      <c r="U1717" s="9">
        <v>1</v>
      </c>
      <c r="V1717" s="9">
        <v>0</v>
      </c>
      <c r="W1717" s="27">
        <v>0</v>
      </c>
      <c r="X1717" s="9">
        <v>0</v>
      </c>
      <c r="Y1717" s="9">
        <v>0</v>
      </c>
      <c r="Z1717" s="27">
        <v>1</v>
      </c>
      <c r="AA1717" s="9">
        <v>1</v>
      </c>
      <c r="AB1717" s="27">
        <v>0</v>
      </c>
      <c r="AC1717" s="18">
        <v>1980</v>
      </c>
      <c r="AD1717" s="29">
        <f t="shared" si="294"/>
        <v>0.11499999999999999</v>
      </c>
      <c r="AE1717" s="29">
        <f t="shared" si="294"/>
        <v>0.11499999999999999</v>
      </c>
      <c r="AF1717" s="29">
        <f t="shared" si="295"/>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35">
      <c r="A1718">
        <v>1717</v>
      </c>
      <c r="B1718">
        <v>112</v>
      </c>
      <c r="C1718" s="22" t="s">
        <v>1340</v>
      </c>
      <c r="D1718" s="11">
        <v>5.2</v>
      </c>
      <c r="E1718" s="12">
        <v>0.03</v>
      </c>
      <c r="F1718" s="7">
        <f t="shared" si="292"/>
        <v>173.33333333333334</v>
      </c>
      <c r="G1718" s="8">
        <v>0</v>
      </c>
      <c r="H1718" s="9">
        <v>0</v>
      </c>
      <c r="I1718" s="9">
        <v>0</v>
      </c>
      <c r="J1718" s="9">
        <v>1</v>
      </c>
      <c r="K1718" s="9">
        <v>0</v>
      </c>
      <c r="L1718" s="8">
        <v>48693</v>
      </c>
      <c r="M1718" s="9">
        <v>17</v>
      </c>
      <c r="N1718" s="9">
        <f t="shared" si="284"/>
        <v>48675</v>
      </c>
      <c r="O1718" s="9">
        <f t="shared" si="285"/>
        <v>24</v>
      </c>
      <c r="P1718" s="7">
        <v>13.56</v>
      </c>
      <c r="Q1718" s="7">
        <f t="shared" si="293"/>
        <v>15.439999999999998</v>
      </c>
      <c r="R1718" s="9">
        <v>1</v>
      </c>
      <c r="S1718" s="9">
        <v>0</v>
      </c>
      <c r="T1718" s="9">
        <v>0</v>
      </c>
      <c r="U1718" s="9">
        <v>1</v>
      </c>
      <c r="V1718" s="9">
        <v>0</v>
      </c>
      <c r="W1718" s="27">
        <v>0</v>
      </c>
      <c r="X1718" s="9">
        <v>0</v>
      </c>
      <c r="Y1718" s="9">
        <v>0</v>
      </c>
      <c r="Z1718" s="27">
        <v>1</v>
      </c>
      <c r="AA1718" s="9">
        <v>1</v>
      </c>
      <c r="AB1718" s="27">
        <v>0</v>
      </c>
      <c r="AC1718" s="18">
        <v>1980</v>
      </c>
      <c r="AD1718" s="29">
        <f t="shared" si="294"/>
        <v>0.11499999999999999</v>
      </c>
      <c r="AE1718" s="29">
        <f t="shared" si="294"/>
        <v>0.11499999999999999</v>
      </c>
      <c r="AF1718" s="29">
        <f t="shared" si="295"/>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35">
      <c r="A1719">
        <v>1718</v>
      </c>
      <c r="B1719">
        <v>112</v>
      </c>
      <c r="C1719" s="22" t="s">
        <v>1340</v>
      </c>
      <c r="D1719" s="11">
        <v>7.79</v>
      </c>
      <c r="E1719" s="12">
        <v>2.39</v>
      </c>
      <c r="F1719" s="7">
        <f t="shared" si="292"/>
        <v>3.2594142259414225</v>
      </c>
      <c r="G1719" s="8">
        <v>0</v>
      </c>
      <c r="H1719" s="9">
        <v>0</v>
      </c>
      <c r="I1719" s="9">
        <v>0</v>
      </c>
      <c r="J1719" s="9">
        <v>1</v>
      </c>
      <c r="K1719" s="9">
        <v>0</v>
      </c>
      <c r="L1719" s="8">
        <v>48693</v>
      </c>
      <c r="M1719" s="9">
        <v>17</v>
      </c>
      <c r="N1719" s="9">
        <f t="shared" si="284"/>
        <v>48675</v>
      </c>
      <c r="O1719" s="9">
        <f t="shared" si="285"/>
        <v>24</v>
      </c>
      <c r="P1719" s="7">
        <v>13.56</v>
      </c>
      <c r="Q1719" s="7">
        <f t="shared" si="293"/>
        <v>15.439999999999998</v>
      </c>
      <c r="R1719" s="9">
        <v>1</v>
      </c>
      <c r="S1719" s="9">
        <v>0</v>
      </c>
      <c r="T1719" s="9">
        <v>0</v>
      </c>
      <c r="U1719" s="9">
        <v>1</v>
      </c>
      <c r="V1719" s="9">
        <v>0</v>
      </c>
      <c r="W1719" s="27">
        <v>0</v>
      </c>
      <c r="X1719" s="9">
        <v>0</v>
      </c>
      <c r="Y1719" s="9">
        <v>0</v>
      </c>
      <c r="Z1719" s="27">
        <v>1</v>
      </c>
      <c r="AA1719" s="9">
        <v>1</v>
      </c>
      <c r="AB1719" s="27">
        <v>0</v>
      </c>
      <c r="AC1719" s="18">
        <v>1980</v>
      </c>
      <c r="AD1719" s="29">
        <f t="shared" si="294"/>
        <v>0.11499999999999999</v>
      </c>
      <c r="AE1719" s="29">
        <f t="shared" si="294"/>
        <v>0.11499999999999999</v>
      </c>
      <c r="AF1719" s="29">
        <f t="shared" si="295"/>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35">
      <c r="A1720">
        <v>1719</v>
      </c>
      <c r="B1720">
        <v>112</v>
      </c>
      <c r="C1720" s="22" t="s">
        <v>1340</v>
      </c>
      <c r="D1720" s="11">
        <v>12.43</v>
      </c>
      <c r="E1720" s="12">
        <v>4.2</v>
      </c>
      <c r="F1720" s="7">
        <f t="shared" si="292"/>
        <v>2.9595238095238092</v>
      </c>
      <c r="G1720" s="8">
        <v>0</v>
      </c>
      <c r="H1720" s="9">
        <v>0</v>
      </c>
      <c r="I1720" s="9">
        <v>0</v>
      </c>
      <c r="J1720" s="9">
        <v>1</v>
      </c>
      <c r="K1720" s="9">
        <v>0</v>
      </c>
      <c r="L1720" s="8">
        <v>48693</v>
      </c>
      <c r="M1720" s="9">
        <v>17</v>
      </c>
      <c r="N1720" s="9">
        <f t="shared" si="284"/>
        <v>48675</v>
      </c>
      <c r="O1720" s="9">
        <f t="shared" si="285"/>
        <v>24</v>
      </c>
      <c r="P1720" s="7">
        <v>13.56</v>
      </c>
      <c r="Q1720" s="7">
        <f t="shared" si="293"/>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96">(1-$AF1720-$AG1720)/2</f>
        <v>0.11499999999999999</v>
      </c>
      <c r="AE1720" s="29">
        <f t="shared" si="296"/>
        <v>0.11499999999999999</v>
      </c>
      <c r="AF1720" s="29">
        <f t="shared" si="295"/>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35">
      <c r="A1721">
        <v>1720</v>
      </c>
      <c r="B1721">
        <v>112</v>
      </c>
      <c r="C1721" s="22" t="s">
        <v>1340</v>
      </c>
      <c r="D1721" s="11">
        <v>5.16</v>
      </c>
      <c r="E1721" s="12">
        <v>0.03</v>
      </c>
      <c r="F1721" s="7">
        <f t="shared" si="292"/>
        <v>172</v>
      </c>
      <c r="G1721" s="8">
        <v>0</v>
      </c>
      <c r="H1721" s="9">
        <v>0</v>
      </c>
      <c r="I1721" s="9">
        <v>0</v>
      </c>
      <c r="J1721" s="9">
        <v>1</v>
      </c>
      <c r="K1721" s="9">
        <v>0</v>
      </c>
      <c r="L1721" s="8">
        <v>48693</v>
      </c>
      <c r="M1721" s="9">
        <v>22</v>
      </c>
      <c r="N1721" s="9">
        <f t="shared" si="284"/>
        <v>48670</v>
      </c>
      <c r="O1721" s="9">
        <f t="shared" si="285"/>
        <v>24</v>
      </c>
      <c r="P1721" s="7">
        <v>13.56</v>
      </c>
      <c r="Q1721" s="7">
        <f t="shared" si="293"/>
        <v>15.439999999999998</v>
      </c>
      <c r="R1721" s="9">
        <v>1</v>
      </c>
      <c r="S1721" s="9">
        <v>0</v>
      </c>
      <c r="T1721" s="9">
        <v>0</v>
      </c>
      <c r="U1721" s="9">
        <v>1</v>
      </c>
      <c r="V1721" s="9">
        <v>0</v>
      </c>
      <c r="W1721" s="27">
        <v>0</v>
      </c>
      <c r="X1721" s="9">
        <v>0</v>
      </c>
      <c r="Y1721" s="9">
        <v>0</v>
      </c>
      <c r="Z1721" s="27">
        <v>1</v>
      </c>
      <c r="AA1721" s="9">
        <v>1</v>
      </c>
      <c r="AB1721" s="27">
        <v>0</v>
      </c>
      <c r="AC1721" s="18">
        <v>1980</v>
      </c>
      <c r="AD1721" s="29">
        <f t="shared" si="296"/>
        <v>0.11499999999999999</v>
      </c>
      <c r="AE1721" s="29">
        <f t="shared" si="296"/>
        <v>0.11499999999999999</v>
      </c>
      <c r="AF1721" s="29">
        <f t="shared" si="295"/>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35">
      <c r="A1722">
        <v>1721</v>
      </c>
      <c r="B1722">
        <v>112</v>
      </c>
      <c r="C1722" s="22" t="s">
        <v>1340</v>
      </c>
      <c r="D1722" s="11">
        <v>6.66</v>
      </c>
      <c r="E1722" s="12">
        <v>1.1299999999999999</v>
      </c>
      <c r="F1722" s="7">
        <f t="shared" si="292"/>
        <v>5.893805309734514</v>
      </c>
      <c r="G1722" s="8">
        <v>0</v>
      </c>
      <c r="H1722" s="9">
        <v>0</v>
      </c>
      <c r="I1722" s="9">
        <v>0</v>
      </c>
      <c r="J1722" s="9">
        <v>1</v>
      </c>
      <c r="K1722" s="9">
        <v>0</v>
      </c>
      <c r="L1722" s="8">
        <v>48693</v>
      </c>
      <c r="M1722" s="9">
        <v>22</v>
      </c>
      <c r="N1722" s="9">
        <f t="shared" si="284"/>
        <v>48670</v>
      </c>
      <c r="O1722" s="9">
        <f t="shared" si="285"/>
        <v>24</v>
      </c>
      <c r="P1722" s="7">
        <v>13.56</v>
      </c>
      <c r="Q1722" s="7">
        <f t="shared" si="293"/>
        <v>15.439999999999998</v>
      </c>
      <c r="R1722" s="9">
        <v>1</v>
      </c>
      <c r="S1722" s="9">
        <v>0</v>
      </c>
      <c r="T1722" s="9">
        <v>0</v>
      </c>
      <c r="U1722" s="9">
        <v>1</v>
      </c>
      <c r="V1722" s="9">
        <v>0</v>
      </c>
      <c r="W1722" s="27">
        <v>0</v>
      </c>
      <c r="X1722" s="9">
        <v>0</v>
      </c>
      <c r="Y1722" s="9">
        <v>0</v>
      </c>
      <c r="Z1722" s="27">
        <v>1</v>
      </c>
      <c r="AA1722" s="9">
        <v>1</v>
      </c>
      <c r="AB1722" s="27">
        <v>0</v>
      </c>
      <c r="AC1722" s="18">
        <v>1980</v>
      </c>
      <c r="AD1722" s="29">
        <f t="shared" si="296"/>
        <v>0.11499999999999999</v>
      </c>
      <c r="AE1722" s="29">
        <f t="shared" si="296"/>
        <v>0.11499999999999999</v>
      </c>
      <c r="AF1722" s="29">
        <f t="shared" si="295"/>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35">
      <c r="A1723">
        <v>1722</v>
      </c>
      <c r="B1723">
        <v>112</v>
      </c>
      <c r="C1723" s="22" t="s">
        <v>1340</v>
      </c>
      <c r="D1723" s="11">
        <v>8.7799999999999994</v>
      </c>
      <c r="E1723" s="12">
        <v>1.78</v>
      </c>
      <c r="F1723" s="7">
        <f t="shared" si="292"/>
        <v>4.9325842696629207</v>
      </c>
      <c r="G1723" s="8">
        <v>0</v>
      </c>
      <c r="H1723" s="9">
        <v>0</v>
      </c>
      <c r="I1723" s="9">
        <v>0</v>
      </c>
      <c r="J1723" s="9">
        <v>1</v>
      </c>
      <c r="K1723" s="9">
        <v>0</v>
      </c>
      <c r="L1723" s="8">
        <v>48693</v>
      </c>
      <c r="M1723" s="9">
        <v>22</v>
      </c>
      <c r="N1723" s="9">
        <f t="shared" si="284"/>
        <v>48670</v>
      </c>
      <c r="O1723" s="9">
        <f t="shared" si="285"/>
        <v>24</v>
      </c>
      <c r="P1723" s="7">
        <v>13.56</v>
      </c>
      <c r="Q1723" s="7">
        <f t="shared" si="293"/>
        <v>15.439999999999998</v>
      </c>
      <c r="R1723" s="9">
        <v>1</v>
      </c>
      <c r="S1723" s="9">
        <v>0</v>
      </c>
      <c r="T1723" s="9">
        <v>0</v>
      </c>
      <c r="U1723" s="9">
        <v>1</v>
      </c>
      <c r="V1723" s="9">
        <v>0</v>
      </c>
      <c r="W1723" s="27">
        <v>0</v>
      </c>
      <c r="X1723" s="9">
        <v>0</v>
      </c>
      <c r="Y1723" s="9">
        <v>0</v>
      </c>
      <c r="Z1723" s="27">
        <v>1</v>
      </c>
      <c r="AA1723" s="9">
        <v>1</v>
      </c>
      <c r="AB1723" s="27">
        <v>0</v>
      </c>
      <c r="AC1723" s="18">
        <v>1980</v>
      </c>
      <c r="AD1723" s="29">
        <f t="shared" si="296"/>
        <v>0.11499999999999999</v>
      </c>
      <c r="AE1723" s="29">
        <f t="shared" si="296"/>
        <v>0.11499999999999999</v>
      </c>
      <c r="AF1723" s="29">
        <f t="shared" si="295"/>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35">
      <c r="A1724">
        <v>1723</v>
      </c>
      <c r="B1724">
        <v>113</v>
      </c>
      <c r="C1724" s="22" t="s">
        <v>1345</v>
      </c>
      <c r="D1724" s="11">
        <v>7.3</v>
      </c>
      <c r="E1724" s="12">
        <v>0.05</v>
      </c>
      <c r="F1724" s="7">
        <f t="shared" si="292"/>
        <v>146</v>
      </c>
      <c r="G1724" s="8">
        <v>0</v>
      </c>
      <c r="H1724" s="9">
        <v>0</v>
      </c>
      <c r="I1724" s="9">
        <v>0</v>
      </c>
      <c r="J1724" s="9">
        <v>1</v>
      </c>
      <c r="K1724" s="9">
        <v>0</v>
      </c>
      <c r="L1724" s="8">
        <v>609852</v>
      </c>
      <c r="M1724" s="9">
        <v>20</v>
      </c>
      <c r="N1724" s="9">
        <f t="shared" si="284"/>
        <v>609831</v>
      </c>
      <c r="O1724" s="9">
        <f t="shared" si="285"/>
        <v>8</v>
      </c>
      <c r="P1724" s="7">
        <v>9.5</v>
      </c>
      <c r="Q1724" s="7">
        <f t="shared" si="293"/>
        <v>29</v>
      </c>
      <c r="R1724" s="9">
        <v>1</v>
      </c>
      <c r="S1724" s="9">
        <v>0</v>
      </c>
      <c r="T1724" s="9">
        <v>0</v>
      </c>
      <c r="U1724" s="9">
        <v>1</v>
      </c>
      <c r="V1724" s="9">
        <v>0</v>
      </c>
      <c r="W1724" s="27">
        <v>0</v>
      </c>
      <c r="X1724" s="9">
        <v>0</v>
      </c>
      <c r="Y1724" s="9">
        <v>0</v>
      </c>
      <c r="Z1724" s="27">
        <v>1</v>
      </c>
      <c r="AA1724" s="9">
        <v>0</v>
      </c>
      <c r="AB1724" s="27">
        <v>1</v>
      </c>
      <c r="AC1724" s="18">
        <v>1970</v>
      </c>
      <c r="AD1724" s="29">
        <f t="shared" si="296"/>
        <v>0.11499999999999999</v>
      </c>
      <c r="AE1724" s="29">
        <f t="shared" si="296"/>
        <v>0.11499999999999999</v>
      </c>
      <c r="AF1724" s="29">
        <f t="shared" si="295"/>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35">
      <c r="A1725">
        <v>1724</v>
      </c>
      <c r="B1725">
        <v>113</v>
      </c>
      <c r="C1725" s="22" t="s">
        <v>1345</v>
      </c>
      <c r="D1725" s="11">
        <v>7.3</v>
      </c>
      <c r="E1725" s="12">
        <v>0.05</v>
      </c>
      <c r="F1725" s="7">
        <f t="shared" si="292"/>
        <v>146</v>
      </c>
      <c r="G1725" s="8">
        <v>0</v>
      </c>
      <c r="H1725" s="9">
        <v>0</v>
      </c>
      <c r="I1725" s="9">
        <v>0</v>
      </c>
      <c r="J1725" s="9">
        <v>1</v>
      </c>
      <c r="K1725" s="9">
        <v>0</v>
      </c>
      <c r="L1725" s="8">
        <v>609852</v>
      </c>
      <c r="M1725" s="9">
        <v>20</v>
      </c>
      <c r="N1725" s="9">
        <f t="shared" si="284"/>
        <v>609831</v>
      </c>
      <c r="O1725" s="9">
        <f t="shared" si="285"/>
        <v>8</v>
      </c>
      <c r="P1725" s="7">
        <v>9.5</v>
      </c>
      <c r="Q1725" s="7">
        <f t="shared" si="293"/>
        <v>29</v>
      </c>
      <c r="R1725" s="9">
        <v>1</v>
      </c>
      <c r="S1725" s="9">
        <v>0</v>
      </c>
      <c r="T1725" s="9">
        <v>0</v>
      </c>
      <c r="U1725" s="9">
        <v>1</v>
      </c>
      <c r="V1725" s="9">
        <v>0</v>
      </c>
      <c r="W1725" s="27">
        <v>0</v>
      </c>
      <c r="X1725" s="9">
        <v>0</v>
      </c>
      <c r="Y1725" s="9">
        <v>0</v>
      </c>
      <c r="Z1725" s="27">
        <v>1</v>
      </c>
      <c r="AA1725" s="9">
        <v>0</v>
      </c>
      <c r="AB1725" s="27">
        <v>1</v>
      </c>
      <c r="AC1725" s="18">
        <v>1970</v>
      </c>
      <c r="AD1725" s="29">
        <f t="shared" si="296"/>
        <v>0.11499999999999999</v>
      </c>
      <c r="AE1725" s="29">
        <f t="shared" si="296"/>
        <v>0.11499999999999999</v>
      </c>
      <c r="AF1725" s="29">
        <f t="shared" si="295"/>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35">
      <c r="A1726">
        <v>1725</v>
      </c>
      <c r="B1726">
        <v>113</v>
      </c>
      <c r="C1726" s="22" t="s">
        <v>1345</v>
      </c>
      <c r="D1726" s="11">
        <v>6.3</v>
      </c>
      <c r="E1726" s="12">
        <v>0.04</v>
      </c>
      <c r="F1726" s="7">
        <f t="shared" ref="F1726:F1743" si="297">D1726/E1726</f>
        <v>157.5</v>
      </c>
      <c r="G1726" s="8">
        <v>0</v>
      </c>
      <c r="H1726" s="9">
        <v>0</v>
      </c>
      <c r="I1726" s="9">
        <v>0</v>
      </c>
      <c r="J1726" s="9">
        <v>1</v>
      </c>
      <c r="K1726" s="9">
        <v>0</v>
      </c>
      <c r="L1726" s="8">
        <v>2166387</v>
      </c>
      <c r="M1726" s="9">
        <v>23</v>
      </c>
      <c r="N1726" s="9">
        <f t="shared" si="284"/>
        <v>2166363</v>
      </c>
      <c r="O1726" s="9">
        <f t="shared" si="285"/>
        <v>8</v>
      </c>
      <c r="P1726" s="7">
        <v>9.5</v>
      </c>
      <c r="Q1726" s="7">
        <f t="shared" si="293"/>
        <v>24</v>
      </c>
      <c r="R1726" s="9">
        <v>1</v>
      </c>
      <c r="S1726" s="9">
        <v>0</v>
      </c>
      <c r="T1726" s="9">
        <v>0</v>
      </c>
      <c r="U1726" s="9">
        <v>1</v>
      </c>
      <c r="V1726" s="9">
        <v>0</v>
      </c>
      <c r="W1726" s="27">
        <v>0</v>
      </c>
      <c r="X1726" s="9">
        <v>0</v>
      </c>
      <c r="Y1726" s="9">
        <v>0</v>
      </c>
      <c r="Z1726" s="27">
        <v>1</v>
      </c>
      <c r="AA1726" s="9">
        <v>0</v>
      </c>
      <c r="AB1726" s="27">
        <v>1</v>
      </c>
      <c r="AC1726" s="18">
        <v>1970</v>
      </c>
      <c r="AD1726" s="29">
        <f t="shared" si="296"/>
        <v>0.11499999999999999</v>
      </c>
      <c r="AE1726" s="29">
        <f t="shared" si="296"/>
        <v>0.11499999999999999</v>
      </c>
      <c r="AF1726" s="29">
        <f t="shared" si="295"/>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35">
      <c r="A1727">
        <v>1726</v>
      </c>
      <c r="B1727">
        <v>113</v>
      </c>
      <c r="C1727" s="22" t="s">
        <v>1345</v>
      </c>
      <c r="D1727" s="11">
        <v>6.3</v>
      </c>
      <c r="E1727" s="12">
        <v>0.04</v>
      </c>
      <c r="F1727" s="7">
        <f t="shared" si="297"/>
        <v>157.5</v>
      </c>
      <c r="G1727" s="8">
        <v>0</v>
      </c>
      <c r="H1727" s="9">
        <v>0</v>
      </c>
      <c r="I1727" s="9">
        <v>0</v>
      </c>
      <c r="J1727" s="9">
        <v>1</v>
      </c>
      <c r="K1727" s="9">
        <v>0</v>
      </c>
      <c r="L1727" s="8">
        <v>2166387</v>
      </c>
      <c r="M1727" s="9">
        <v>23</v>
      </c>
      <c r="N1727" s="9">
        <f t="shared" ref="N1727:N1755" si="298">L1727-M1727-1</f>
        <v>2166363</v>
      </c>
      <c r="O1727" s="9">
        <f t="shared" si="285"/>
        <v>8</v>
      </c>
      <c r="P1727" s="7">
        <v>9.5</v>
      </c>
      <c r="Q1727" s="7">
        <f t="shared" si="293"/>
        <v>24</v>
      </c>
      <c r="R1727" s="9">
        <v>1</v>
      </c>
      <c r="S1727" s="9">
        <v>0</v>
      </c>
      <c r="T1727" s="9">
        <v>0</v>
      </c>
      <c r="U1727" s="9">
        <v>1</v>
      </c>
      <c r="V1727" s="9">
        <v>0</v>
      </c>
      <c r="W1727" s="27">
        <v>0</v>
      </c>
      <c r="X1727" s="9">
        <v>0</v>
      </c>
      <c r="Y1727" s="9">
        <v>0</v>
      </c>
      <c r="Z1727" s="27">
        <v>1</v>
      </c>
      <c r="AA1727" s="9">
        <v>0</v>
      </c>
      <c r="AB1727" s="27">
        <v>1</v>
      </c>
      <c r="AC1727" s="18">
        <v>1970</v>
      </c>
      <c r="AD1727" s="29">
        <f t="shared" si="296"/>
        <v>0.11499999999999999</v>
      </c>
      <c r="AE1727" s="29">
        <f t="shared" si="296"/>
        <v>0.11499999999999999</v>
      </c>
      <c r="AF1727" s="29">
        <f t="shared" si="295"/>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35">
      <c r="A1728">
        <v>1727</v>
      </c>
      <c r="B1728">
        <v>113</v>
      </c>
      <c r="C1728" s="22" t="s">
        <v>1345</v>
      </c>
      <c r="D1728" s="11">
        <v>6.8</v>
      </c>
      <c r="E1728" s="12">
        <v>0.03</v>
      </c>
      <c r="F1728" s="7">
        <f t="shared" si="297"/>
        <v>226.66666666666666</v>
      </c>
      <c r="G1728" s="8">
        <v>0</v>
      </c>
      <c r="H1728" s="9">
        <v>0</v>
      </c>
      <c r="I1728" s="9">
        <v>0</v>
      </c>
      <c r="J1728" s="9">
        <v>1</v>
      </c>
      <c r="K1728" s="9">
        <v>0</v>
      </c>
      <c r="L1728" s="8">
        <v>3680223</v>
      </c>
      <c r="M1728" s="9">
        <v>24</v>
      </c>
      <c r="N1728" s="9">
        <f t="shared" si="298"/>
        <v>3680198</v>
      </c>
      <c r="O1728" s="9">
        <f t="shared" si="285"/>
        <v>8</v>
      </c>
      <c r="P1728" s="7">
        <v>9.5</v>
      </c>
      <c r="Q1728" s="7">
        <f t="shared" si="293"/>
        <v>24</v>
      </c>
      <c r="R1728" s="9">
        <v>1</v>
      </c>
      <c r="S1728" s="9">
        <v>0</v>
      </c>
      <c r="T1728" s="9">
        <v>0</v>
      </c>
      <c r="U1728" s="9">
        <v>1</v>
      </c>
      <c r="V1728" s="9">
        <v>0</v>
      </c>
      <c r="W1728" s="27">
        <v>0</v>
      </c>
      <c r="X1728" s="9">
        <v>0</v>
      </c>
      <c r="Y1728" s="9">
        <v>0</v>
      </c>
      <c r="Z1728" s="27">
        <v>1</v>
      </c>
      <c r="AA1728" s="9">
        <v>0</v>
      </c>
      <c r="AB1728" s="27">
        <v>1</v>
      </c>
      <c r="AC1728" s="18">
        <v>1970</v>
      </c>
      <c r="AD1728" s="29">
        <f t="shared" si="296"/>
        <v>0.11499999999999999</v>
      </c>
      <c r="AE1728" s="29">
        <f t="shared" si="296"/>
        <v>0.11499999999999999</v>
      </c>
      <c r="AF1728" s="29">
        <f t="shared" si="295"/>
        <v>0.53</v>
      </c>
      <c r="AG1728" s="39">
        <v>0.24</v>
      </c>
      <c r="AH1728" s="38" t="s">
        <v>94</v>
      </c>
      <c r="AI1728" s="15" t="s">
        <v>94</v>
      </c>
      <c r="AJ1728">
        <v>0.58799999999999997</v>
      </c>
      <c r="AK1728" s="36">
        <f t="shared" ref="AK1728:AK1731" si="299">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35">
      <c r="A1729">
        <v>1728</v>
      </c>
      <c r="B1729">
        <v>113</v>
      </c>
      <c r="C1729" s="22" t="s">
        <v>1345</v>
      </c>
      <c r="D1729" s="11">
        <v>6.8</v>
      </c>
      <c r="E1729" s="12">
        <v>0.03</v>
      </c>
      <c r="F1729" s="7">
        <f t="shared" si="297"/>
        <v>226.66666666666666</v>
      </c>
      <c r="G1729" s="8">
        <v>0</v>
      </c>
      <c r="H1729" s="9">
        <v>0</v>
      </c>
      <c r="I1729" s="9">
        <v>0</v>
      </c>
      <c r="J1729" s="9">
        <v>1</v>
      </c>
      <c r="K1729" s="9">
        <v>0</v>
      </c>
      <c r="L1729" s="8">
        <v>3680223</v>
      </c>
      <c r="M1729" s="9">
        <v>24</v>
      </c>
      <c r="N1729" s="9">
        <f t="shared" si="298"/>
        <v>3680198</v>
      </c>
      <c r="O1729" s="9">
        <f t="shared" si="285"/>
        <v>8</v>
      </c>
      <c r="P1729" s="7">
        <v>9.5</v>
      </c>
      <c r="Q1729" s="7">
        <f t="shared" si="293"/>
        <v>24</v>
      </c>
      <c r="R1729" s="9">
        <v>1</v>
      </c>
      <c r="S1729" s="9">
        <v>0</v>
      </c>
      <c r="T1729" s="9">
        <v>0</v>
      </c>
      <c r="U1729" s="9">
        <v>1</v>
      </c>
      <c r="V1729" s="9">
        <v>0</v>
      </c>
      <c r="W1729" s="27">
        <v>0</v>
      </c>
      <c r="X1729" s="9">
        <v>0</v>
      </c>
      <c r="Y1729" s="9">
        <v>0</v>
      </c>
      <c r="Z1729" s="27">
        <v>1</v>
      </c>
      <c r="AA1729" s="9">
        <v>0</v>
      </c>
      <c r="AB1729" s="27">
        <v>1</v>
      </c>
      <c r="AC1729" s="18">
        <v>1970</v>
      </c>
      <c r="AD1729" s="29">
        <f t="shared" si="296"/>
        <v>0.11499999999999999</v>
      </c>
      <c r="AE1729" s="29">
        <f t="shared" si="296"/>
        <v>0.11499999999999999</v>
      </c>
      <c r="AF1729" s="29">
        <f t="shared" si="295"/>
        <v>0.53</v>
      </c>
      <c r="AG1729" s="39">
        <v>0.24</v>
      </c>
      <c r="AH1729" s="38" t="s">
        <v>94</v>
      </c>
      <c r="AI1729" s="15" t="s">
        <v>94</v>
      </c>
      <c r="AJ1729">
        <v>0.58799999999999997</v>
      </c>
      <c r="AK1729" s="36">
        <f t="shared" si="299"/>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35">
      <c r="A1730">
        <v>1729</v>
      </c>
      <c r="B1730">
        <v>113</v>
      </c>
      <c r="C1730" s="22" t="s">
        <v>1345</v>
      </c>
      <c r="D1730" s="11">
        <v>6.7</v>
      </c>
      <c r="E1730" s="12">
        <v>0.04</v>
      </c>
      <c r="F1730" s="7">
        <f t="shared" si="297"/>
        <v>167.5</v>
      </c>
      <c r="G1730" s="8">
        <v>0</v>
      </c>
      <c r="H1730" s="9">
        <v>0</v>
      </c>
      <c r="I1730" s="9">
        <v>0</v>
      </c>
      <c r="J1730" s="9">
        <v>1</v>
      </c>
      <c r="K1730" s="9">
        <v>0</v>
      </c>
      <c r="L1730" s="8">
        <v>2566127</v>
      </c>
      <c r="M1730" s="9">
        <v>14</v>
      </c>
      <c r="N1730" s="9">
        <f t="shared" si="298"/>
        <v>2566112</v>
      </c>
      <c r="O1730" s="9">
        <f t="shared" ref="O1730:O1755" si="300">COUNTIF(B:B,B1730)</f>
        <v>8</v>
      </c>
      <c r="P1730" s="7">
        <v>9.5</v>
      </c>
      <c r="Q1730" s="7">
        <f t="shared" si="293"/>
        <v>24</v>
      </c>
      <c r="R1730" s="9">
        <v>1</v>
      </c>
      <c r="S1730" s="9">
        <v>0</v>
      </c>
      <c r="T1730" s="9">
        <v>0</v>
      </c>
      <c r="U1730" s="9">
        <v>1</v>
      </c>
      <c r="V1730" s="9">
        <v>0</v>
      </c>
      <c r="W1730" s="27">
        <v>0</v>
      </c>
      <c r="X1730" s="9">
        <v>0</v>
      </c>
      <c r="Y1730" s="9">
        <v>0</v>
      </c>
      <c r="Z1730" s="27">
        <v>1</v>
      </c>
      <c r="AA1730" s="9">
        <v>0</v>
      </c>
      <c r="AB1730" s="27">
        <v>1</v>
      </c>
      <c r="AC1730" s="18">
        <v>1970</v>
      </c>
      <c r="AD1730" s="29">
        <f t="shared" si="296"/>
        <v>0.11499999999999999</v>
      </c>
      <c r="AE1730" s="29">
        <f t="shared" si="296"/>
        <v>0.11499999999999999</v>
      </c>
      <c r="AF1730" s="29">
        <f t="shared" si="295"/>
        <v>0.53</v>
      </c>
      <c r="AG1730" s="39">
        <v>0.24</v>
      </c>
      <c r="AH1730" s="38" t="s">
        <v>94</v>
      </c>
      <c r="AI1730" s="15" t="s">
        <v>94</v>
      </c>
      <c r="AJ1730">
        <v>0.58799999999999997</v>
      </c>
      <c r="AK1730" s="36">
        <f t="shared" si="299"/>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35">
      <c r="A1731" s="161">
        <v>1730</v>
      </c>
      <c r="B1731" s="161">
        <v>113</v>
      </c>
      <c r="C1731" s="162" t="s">
        <v>1345</v>
      </c>
      <c r="D1731" s="163">
        <v>6.9</v>
      </c>
      <c r="E1731" s="164">
        <v>0.04</v>
      </c>
      <c r="F1731" s="165">
        <f t="shared" si="297"/>
        <v>172.5</v>
      </c>
      <c r="G1731" s="167">
        <v>0</v>
      </c>
      <c r="H1731" s="168">
        <v>0</v>
      </c>
      <c r="I1731" s="168">
        <v>0</v>
      </c>
      <c r="J1731" s="168">
        <v>1</v>
      </c>
      <c r="K1731" s="168">
        <v>0</v>
      </c>
      <c r="L1731" s="167">
        <v>1114096</v>
      </c>
      <c r="M1731" s="168">
        <v>14</v>
      </c>
      <c r="N1731" s="168">
        <f t="shared" si="298"/>
        <v>1114081</v>
      </c>
      <c r="O1731" s="168">
        <f t="shared" si="300"/>
        <v>8</v>
      </c>
      <c r="P1731" s="165">
        <v>9.5</v>
      </c>
      <c r="Q1731" s="165">
        <f t="shared" si="293"/>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96"/>
        <v>0.11499999999999999</v>
      </c>
      <c r="AE1731" s="166">
        <f t="shared" si="296"/>
        <v>0.11499999999999999</v>
      </c>
      <c r="AF1731" s="166">
        <f t="shared" si="295"/>
        <v>0.53</v>
      </c>
      <c r="AG1731" s="171">
        <v>0.24</v>
      </c>
      <c r="AH1731" s="172" t="s">
        <v>94</v>
      </c>
      <c r="AI1731" s="173" t="s">
        <v>94</v>
      </c>
      <c r="AJ1731" s="161">
        <v>0.58799999999999997</v>
      </c>
      <c r="AK1731" s="174">
        <f t="shared" si="299"/>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35">
      <c r="A1732">
        <v>1731</v>
      </c>
      <c r="B1732">
        <v>114</v>
      </c>
      <c r="C1732" s="22" t="s">
        <v>1349</v>
      </c>
      <c r="D1732" s="11">
        <v>7.9</v>
      </c>
      <c r="E1732" s="12">
        <v>1.5</v>
      </c>
      <c r="F1732" s="7">
        <f t="shared" si="297"/>
        <v>5.2666666666666666</v>
      </c>
      <c r="G1732" s="8">
        <v>0</v>
      </c>
      <c r="H1732" s="9">
        <v>0</v>
      </c>
      <c r="I1732" s="9">
        <v>0</v>
      </c>
      <c r="J1732" s="9">
        <v>1</v>
      </c>
      <c r="K1732" s="9">
        <v>0</v>
      </c>
      <c r="L1732" s="8">
        <v>8394</v>
      </c>
      <c r="M1732" s="9">
        <v>13</v>
      </c>
      <c r="N1732" s="9">
        <f t="shared" si="298"/>
        <v>8380</v>
      </c>
      <c r="O1732" s="9">
        <f t="shared" si="300"/>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301">(1-$AF1732-$AG1732)/2</f>
        <v>0.11499999999999999</v>
      </c>
      <c r="AE1732" s="29">
        <f t="shared" si="301"/>
        <v>0.11499999999999999</v>
      </c>
      <c r="AF1732" s="29">
        <f t="shared" si="295"/>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35">
      <c r="A1733">
        <v>1732</v>
      </c>
      <c r="B1733">
        <v>114</v>
      </c>
      <c r="C1733" s="22" t="s">
        <v>1349</v>
      </c>
      <c r="D1733" s="11">
        <v>8.3000000000000007</v>
      </c>
      <c r="E1733" s="12">
        <v>1</v>
      </c>
      <c r="F1733" s="7">
        <f t="shared" si="297"/>
        <v>8.3000000000000007</v>
      </c>
      <c r="G1733" s="8">
        <v>0</v>
      </c>
      <c r="H1733" s="9">
        <v>0</v>
      </c>
      <c r="I1733" s="9">
        <v>0</v>
      </c>
      <c r="J1733" s="9">
        <v>1</v>
      </c>
      <c r="K1733" s="9">
        <v>0</v>
      </c>
      <c r="L1733" s="8">
        <v>8394</v>
      </c>
      <c r="M1733" s="9">
        <v>13</v>
      </c>
      <c r="N1733" s="9">
        <f t="shared" si="298"/>
        <v>8380</v>
      </c>
      <c r="O1733" s="9">
        <f t="shared" si="300"/>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301"/>
        <v>0.11499999999999999</v>
      </c>
      <c r="AE1733" s="29">
        <f t="shared" si="301"/>
        <v>0.11499999999999999</v>
      </c>
      <c r="AF1733" s="29">
        <f t="shared" si="295"/>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35">
      <c r="A1734">
        <v>1733</v>
      </c>
      <c r="B1734">
        <v>114</v>
      </c>
      <c r="C1734" s="22" t="s">
        <v>1349</v>
      </c>
      <c r="D1734" s="11">
        <v>10.7</v>
      </c>
      <c r="E1734" s="12">
        <v>0.9</v>
      </c>
      <c r="F1734" s="7">
        <f t="shared" si="297"/>
        <v>11.888888888888888</v>
      </c>
      <c r="G1734" s="8">
        <v>0</v>
      </c>
      <c r="H1734" s="9">
        <v>0</v>
      </c>
      <c r="I1734" s="9">
        <v>0</v>
      </c>
      <c r="J1734" s="9">
        <v>1</v>
      </c>
      <c r="K1734" s="9">
        <v>0</v>
      </c>
      <c r="L1734" s="8">
        <v>8394</v>
      </c>
      <c r="M1734" s="9">
        <v>13</v>
      </c>
      <c r="N1734" s="9">
        <f t="shared" si="298"/>
        <v>8380</v>
      </c>
      <c r="O1734" s="9">
        <f t="shared" si="300"/>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301"/>
        <v>0.11499999999999999</v>
      </c>
      <c r="AE1734" s="29">
        <f t="shared" si="301"/>
        <v>0.11499999999999999</v>
      </c>
      <c r="AF1734" s="29">
        <f t="shared" si="295"/>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35">
      <c r="A1735">
        <v>1734</v>
      </c>
      <c r="B1735">
        <v>114</v>
      </c>
      <c r="C1735" s="22" t="s">
        <v>1349</v>
      </c>
      <c r="D1735" s="11">
        <v>15.9</v>
      </c>
      <c r="E1735" s="12">
        <v>6.9</v>
      </c>
      <c r="F1735" s="7">
        <f t="shared" si="297"/>
        <v>2.3043478260869565</v>
      </c>
      <c r="G1735" s="8">
        <v>0</v>
      </c>
      <c r="H1735" s="9">
        <v>0</v>
      </c>
      <c r="I1735" s="9">
        <v>0</v>
      </c>
      <c r="J1735" s="9">
        <v>1</v>
      </c>
      <c r="K1735" s="9">
        <v>0</v>
      </c>
      <c r="L1735" s="8">
        <v>8394</v>
      </c>
      <c r="M1735" s="9">
        <v>13</v>
      </c>
      <c r="N1735" s="9">
        <f t="shared" si="298"/>
        <v>8380</v>
      </c>
      <c r="O1735" s="9">
        <f t="shared" si="300"/>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301"/>
        <v>0.11499999999999999</v>
      </c>
      <c r="AE1735" s="29">
        <f t="shared" si="301"/>
        <v>0.11499999999999999</v>
      </c>
      <c r="AF1735" s="29">
        <f t="shared" si="295"/>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35">
      <c r="A1736">
        <v>1735</v>
      </c>
      <c r="B1736">
        <v>114</v>
      </c>
      <c r="C1736" s="22" t="s">
        <v>1349</v>
      </c>
      <c r="D1736" s="11">
        <v>12.5</v>
      </c>
      <c r="E1736" s="12">
        <v>3.4</v>
      </c>
      <c r="F1736" s="7">
        <f t="shared" si="297"/>
        <v>3.6764705882352944</v>
      </c>
      <c r="G1736" s="8">
        <v>0</v>
      </c>
      <c r="H1736" s="9">
        <v>0</v>
      </c>
      <c r="I1736" s="9">
        <v>0</v>
      </c>
      <c r="J1736" s="9">
        <v>1</v>
      </c>
      <c r="K1736" s="9">
        <v>0</v>
      </c>
      <c r="L1736" s="8">
        <v>8394</v>
      </c>
      <c r="M1736" s="9">
        <v>13</v>
      </c>
      <c r="N1736" s="9">
        <f t="shared" si="298"/>
        <v>8380</v>
      </c>
      <c r="O1736" s="9">
        <f t="shared" si="300"/>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301"/>
        <v>0.11499999999999999</v>
      </c>
      <c r="AE1736" s="29">
        <f t="shared" si="301"/>
        <v>0.11499999999999999</v>
      </c>
      <c r="AF1736" s="29">
        <f t="shared" si="295"/>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35">
      <c r="A1737">
        <v>1736</v>
      </c>
      <c r="B1737">
        <v>114</v>
      </c>
      <c r="C1737" s="22" t="s">
        <v>1349</v>
      </c>
      <c r="D1737" s="11">
        <v>13.3</v>
      </c>
      <c r="E1737" s="12">
        <v>2.5</v>
      </c>
      <c r="F1737" s="7">
        <f t="shared" si="297"/>
        <v>5.32</v>
      </c>
      <c r="G1737" s="8">
        <v>0</v>
      </c>
      <c r="H1737" s="9">
        <v>0</v>
      </c>
      <c r="I1737" s="9">
        <v>0</v>
      </c>
      <c r="J1737" s="9">
        <v>1</v>
      </c>
      <c r="K1737" s="9">
        <v>0</v>
      </c>
      <c r="L1737" s="8">
        <v>8394</v>
      </c>
      <c r="M1737" s="9">
        <v>13</v>
      </c>
      <c r="N1737" s="9">
        <f t="shared" si="298"/>
        <v>8380</v>
      </c>
      <c r="O1737" s="9">
        <f t="shared" si="300"/>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301"/>
        <v>0.11499999999999999</v>
      </c>
      <c r="AE1737" s="29">
        <f t="shared" si="301"/>
        <v>0.11499999999999999</v>
      </c>
      <c r="AF1737" s="29">
        <f t="shared" si="295"/>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35">
      <c r="A1738">
        <v>1737</v>
      </c>
      <c r="B1738">
        <v>114</v>
      </c>
      <c r="C1738" s="22" t="s">
        <v>1349</v>
      </c>
      <c r="D1738" s="11">
        <v>5.4</v>
      </c>
      <c r="E1738" s="12">
        <v>1.9</v>
      </c>
      <c r="F1738" s="7">
        <f t="shared" si="297"/>
        <v>2.8421052631578951</v>
      </c>
      <c r="G1738" s="8">
        <v>0</v>
      </c>
      <c r="H1738" s="9">
        <v>0</v>
      </c>
      <c r="I1738" s="9">
        <v>0</v>
      </c>
      <c r="J1738" s="9">
        <v>1</v>
      </c>
      <c r="K1738" s="9">
        <v>0</v>
      </c>
      <c r="L1738" s="8">
        <v>7113</v>
      </c>
      <c r="M1738" s="9">
        <v>12</v>
      </c>
      <c r="N1738" s="9">
        <f t="shared" si="298"/>
        <v>7100</v>
      </c>
      <c r="O1738" s="9">
        <f t="shared" si="300"/>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301"/>
        <v>0.11499999999999999</v>
      </c>
      <c r="AE1738" s="29">
        <f t="shared" si="301"/>
        <v>0.11499999999999999</v>
      </c>
      <c r="AF1738" s="29">
        <f t="shared" si="295"/>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35">
      <c r="A1739">
        <v>1738</v>
      </c>
      <c r="B1739">
        <v>114</v>
      </c>
      <c r="C1739" s="22" t="s">
        <v>1349</v>
      </c>
      <c r="D1739" s="11">
        <v>7.8</v>
      </c>
      <c r="E1739" s="12">
        <v>1.2</v>
      </c>
      <c r="F1739" s="7">
        <f t="shared" si="297"/>
        <v>6.5</v>
      </c>
      <c r="G1739" s="8">
        <v>0</v>
      </c>
      <c r="H1739" s="9">
        <v>0</v>
      </c>
      <c r="I1739" s="9">
        <v>0</v>
      </c>
      <c r="J1739" s="9">
        <v>1</v>
      </c>
      <c r="K1739" s="9">
        <v>0</v>
      </c>
      <c r="L1739" s="8">
        <v>7113</v>
      </c>
      <c r="M1739" s="9">
        <v>12</v>
      </c>
      <c r="N1739" s="9">
        <f t="shared" si="298"/>
        <v>7100</v>
      </c>
      <c r="O1739" s="9">
        <f t="shared" si="300"/>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301"/>
        <v>0.11499999999999999</v>
      </c>
      <c r="AE1739" s="29">
        <f t="shared" si="301"/>
        <v>0.11499999999999999</v>
      </c>
      <c r="AF1739" s="29">
        <f t="shared" si="295"/>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35">
      <c r="A1740">
        <v>1739</v>
      </c>
      <c r="B1740">
        <v>114</v>
      </c>
      <c r="C1740" s="22" t="s">
        <v>1349</v>
      </c>
      <c r="D1740" s="11">
        <v>10.199999999999999</v>
      </c>
      <c r="E1740" s="12">
        <v>1</v>
      </c>
      <c r="F1740" s="7">
        <f t="shared" si="297"/>
        <v>10.199999999999999</v>
      </c>
      <c r="G1740" s="8">
        <v>0</v>
      </c>
      <c r="H1740" s="9">
        <v>0</v>
      </c>
      <c r="I1740" s="9">
        <v>0</v>
      </c>
      <c r="J1740" s="9">
        <v>1</v>
      </c>
      <c r="K1740" s="9">
        <v>0</v>
      </c>
      <c r="L1740" s="8">
        <v>7113</v>
      </c>
      <c r="M1740" s="9">
        <v>12</v>
      </c>
      <c r="N1740" s="9">
        <f t="shared" si="298"/>
        <v>7100</v>
      </c>
      <c r="O1740" s="9">
        <f t="shared" si="300"/>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301"/>
        <v>0.11499999999999999</v>
      </c>
      <c r="AE1740" s="29">
        <f t="shared" si="301"/>
        <v>0.11499999999999999</v>
      </c>
      <c r="AF1740" s="29">
        <f t="shared" si="295"/>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35">
      <c r="A1741">
        <v>1740</v>
      </c>
      <c r="B1741">
        <v>114</v>
      </c>
      <c r="C1741" s="22" t="s">
        <v>1349</v>
      </c>
      <c r="D1741" s="11">
        <v>10</v>
      </c>
      <c r="E1741" s="12">
        <v>9</v>
      </c>
      <c r="F1741" s="7">
        <f t="shared" si="297"/>
        <v>1.1111111111111112</v>
      </c>
      <c r="G1741" s="8">
        <v>0</v>
      </c>
      <c r="H1741" s="9">
        <v>0</v>
      </c>
      <c r="I1741" s="9">
        <v>0</v>
      </c>
      <c r="J1741" s="9">
        <v>1</v>
      </c>
      <c r="K1741" s="9">
        <v>0</v>
      </c>
      <c r="L1741" s="8">
        <v>7113</v>
      </c>
      <c r="M1741" s="9">
        <v>12</v>
      </c>
      <c r="N1741" s="9">
        <f t="shared" si="298"/>
        <v>7100</v>
      </c>
      <c r="O1741" s="9">
        <f t="shared" si="300"/>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301"/>
        <v>0.11499999999999999</v>
      </c>
      <c r="AE1741" s="29">
        <f t="shared" si="301"/>
        <v>0.11499999999999999</v>
      </c>
      <c r="AF1741" s="29">
        <f t="shared" si="295"/>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35">
      <c r="A1742">
        <v>1741</v>
      </c>
      <c r="B1742">
        <v>114</v>
      </c>
      <c r="C1742" s="22" t="s">
        <v>1349</v>
      </c>
      <c r="D1742" s="11">
        <v>12.1</v>
      </c>
      <c r="E1742" s="12">
        <v>4</v>
      </c>
      <c r="F1742" s="7">
        <f t="shared" si="297"/>
        <v>3.0249999999999999</v>
      </c>
      <c r="G1742" s="8">
        <v>0</v>
      </c>
      <c r="H1742" s="9">
        <v>0</v>
      </c>
      <c r="I1742" s="9">
        <v>0</v>
      </c>
      <c r="J1742" s="9">
        <v>1</v>
      </c>
      <c r="K1742" s="9">
        <v>0</v>
      </c>
      <c r="L1742" s="8">
        <v>7113</v>
      </c>
      <c r="M1742" s="9">
        <v>12</v>
      </c>
      <c r="N1742" s="9">
        <f t="shared" si="298"/>
        <v>7100</v>
      </c>
      <c r="O1742" s="9">
        <f t="shared" si="300"/>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301"/>
        <v>0.11499999999999999</v>
      </c>
      <c r="AE1742" s="29">
        <f t="shared" si="301"/>
        <v>0.11499999999999999</v>
      </c>
      <c r="AF1742" s="29">
        <f t="shared" si="295"/>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35">
      <c r="A1743">
        <v>1742</v>
      </c>
      <c r="B1743">
        <v>114</v>
      </c>
      <c r="C1743" s="22" t="s">
        <v>1349</v>
      </c>
      <c r="D1743" s="11">
        <v>11.5</v>
      </c>
      <c r="E1743" s="12">
        <v>2.8</v>
      </c>
      <c r="F1743" s="7">
        <f t="shared" si="297"/>
        <v>4.1071428571428577</v>
      </c>
      <c r="G1743" s="8">
        <v>0</v>
      </c>
      <c r="H1743" s="9">
        <v>0</v>
      </c>
      <c r="I1743" s="9">
        <v>0</v>
      </c>
      <c r="J1743" s="9">
        <v>1</v>
      </c>
      <c r="K1743" s="9">
        <v>0</v>
      </c>
      <c r="L1743" s="8">
        <v>7113</v>
      </c>
      <c r="M1743" s="9">
        <v>12</v>
      </c>
      <c r="N1743" s="9">
        <f t="shared" si="298"/>
        <v>7100</v>
      </c>
      <c r="O1743" s="9">
        <f t="shared" si="300"/>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301"/>
        <v>0.11499999999999999</v>
      </c>
      <c r="AE1743" s="29">
        <f t="shared" si="301"/>
        <v>0.11499999999999999</v>
      </c>
      <c r="AF1743" s="29">
        <f t="shared" si="295"/>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3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98"/>
        <v>667327</v>
      </c>
      <c r="O1744" s="9">
        <f t="shared" si="300"/>
        <v>12</v>
      </c>
      <c r="P1744" s="7">
        <f t="shared" ref="P1744:P1755" si="302">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303">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3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98"/>
        <v>667327</v>
      </c>
      <c r="O1745" s="9">
        <f t="shared" si="300"/>
        <v>12</v>
      </c>
      <c r="P1745" s="7">
        <f t="shared" si="302"/>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303"/>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3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98"/>
        <v>667327</v>
      </c>
      <c r="O1746" s="9">
        <f t="shared" si="300"/>
        <v>12</v>
      </c>
      <c r="P1746" s="7">
        <f t="shared" si="302"/>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303"/>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3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98"/>
        <v>667327</v>
      </c>
      <c r="O1747" s="9">
        <f t="shared" si="300"/>
        <v>12</v>
      </c>
      <c r="P1747" s="7">
        <f t="shared" si="302"/>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303"/>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3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98"/>
        <v>129887</v>
      </c>
      <c r="O1748" s="9">
        <f t="shared" si="300"/>
        <v>12</v>
      </c>
      <c r="P1748" s="7">
        <f t="shared" si="302"/>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303"/>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3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98"/>
        <v>129887</v>
      </c>
      <c r="O1749" s="9">
        <f t="shared" si="300"/>
        <v>12</v>
      </c>
      <c r="P1749" s="7">
        <f t="shared" si="302"/>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303"/>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3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98"/>
        <v>129887</v>
      </c>
      <c r="O1750" s="9">
        <f t="shared" si="300"/>
        <v>12</v>
      </c>
      <c r="P1750" s="7">
        <f t="shared" si="302"/>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303"/>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3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98"/>
        <v>129887</v>
      </c>
      <c r="O1751" s="9">
        <f t="shared" si="300"/>
        <v>12</v>
      </c>
      <c r="P1751" s="7">
        <f t="shared" si="302"/>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303"/>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3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98"/>
        <v>129887</v>
      </c>
      <c r="O1752" s="9">
        <f t="shared" si="300"/>
        <v>12</v>
      </c>
      <c r="P1752" s="7">
        <f t="shared" si="302"/>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303"/>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3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98"/>
        <v>129887</v>
      </c>
      <c r="O1753" s="9">
        <f t="shared" si="300"/>
        <v>12</v>
      </c>
      <c r="P1753" s="7">
        <f t="shared" si="302"/>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303"/>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3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98"/>
        <v>129887</v>
      </c>
      <c r="O1754" s="9">
        <f t="shared" si="300"/>
        <v>12</v>
      </c>
      <c r="P1754" s="7">
        <f t="shared" si="302"/>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303"/>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3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98"/>
        <v>129887</v>
      </c>
      <c r="O1755" s="9">
        <f t="shared" si="300"/>
        <v>12</v>
      </c>
      <c r="P1755" s="7">
        <f t="shared" si="302"/>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303"/>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89"/>
  <sheetViews>
    <sheetView tabSelected="1" workbookViewId="0">
      <pane xSplit="1" ySplit="1" topLeftCell="B26" activePane="bottomRight" state="frozen"/>
      <selection pane="topRight" activeCell="B1" sqref="B1"/>
      <selection pane="bottomLeft" activeCell="A2" sqref="A2"/>
      <selection pane="bottomRight" activeCell="J52" sqref="J52"/>
    </sheetView>
  </sheetViews>
  <sheetFormatPr defaultRowHeight="14.5" x14ac:dyDescent="0.35"/>
  <cols>
    <col min="1" max="1" width="19.7265625" customWidth="1"/>
    <col min="2" max="2" width="27.26953125" customWidth="1"/>
    <col min="3" max="3" width="22.1796875" style="102" customWidth="1"/>
    <col min="5" max="5" width="14.81640625" bestFit="1" customWidth="1"/>
    <col min="6" max="6" width="14.81640625" customWidth="1"/>
    <col min="7" max="7" width="17.54296875" style="38" bestFit="1" customWidth="1"/>
    <col min="8" max="8" width="13.81640625" style="38" bestFit="1" customWidth="1"/>
    <col min="10" max="10" width="9.1796875" style="15"/>
    <col min="11" max="12" width="10.7265625" customWidth="1"/>
    <col min="13" max="13" width="15.1796875" bestFit="1" customWidth="1"/>
    <col min="14" max="14" width="9.1796875" style="38"/>
    <col min="15" max="15" width="13" customWidth="1"/>
  </cols>
  <sheetData>
    <row r="1" spans="1:17" x14ac:dyDescent="0.35">
      <c r="A1" s="83" t="s">
        <v>308</v>
      </c>
      <c r="B1" s="83" t="s">
        <v>344</v>
      </c>
      <c r="C1" s="101" t="s">
        <v>1441</v>
      </c>
      <c r="D1" s="83" t="s">
        <v>317</v>
      </c>
      <c r="E1" s="83" t="s">
        <v>337</v>
      </c>
      <c r="F1" s="83" t="s">
        <v>921</v>
      </c>
      <c r="G1" s="108" t="s">
        <v>340</v>
      </c>
      <c r="H1" s="153" t="s">
        <v>914</v>
      </c>
      <c r="I1" s="154" t="s">
        <v>341</v>
      </c>
      <c r="J1" s="155" t="s">
        <v>342</v>
      </c>
      <c r="K1" s="82" t="s">
        <v>309</v>
      </c>
      <c r="L1" s="82" t="s">
        <v>1444</v>
      </c>
      <c r="M1" s="82" t="s">
        <v>878</v>
      </c>
      <c r="N1" s="156" t="s">
        <v>310</v>
      </c>
      <c r="O1" s="182" t="s">
        <v>1479</v>
      </c>
      <c r="P1" s="182" t="s">
        <v>1480</v>
      </c>
      <c r="Q1" s="182" t="s">
        <v>1481</v>
      </c>
    </row>
    <row r="2" spans="1:17" x14ac:dyDescent="0.35">
      <c r="A2" s="25" t="s">
        <v>0</v>
      </c>
      <c r="B2" s="26" t="s">
        <v>347</v>
      </c>
      <c r="C2" s="110" t="s">
        <v>1411</v>
      </c>
      <c r="D2" t="s">
        <v>335</v>
      </c>
      <c r="E2">
        <v>1</v>
      </c>
      <c r="F2" t="s">
        <v>922</v>
      </c>
      <c r="G2" s="38" t="b">
        <v>0</v>
      </c>
      <c r="H2" s="38" t="b">
        <v>0</v>
      </c>
      <c r="K2" t="b">
        <v>0</v>
      </c>
      <c r="L2" t="b">
        <v>0</v>
      </c>
      <c r="M2" t="b">
        <v>0</v>
      </c>
      <c r="N2" s="38" t="s">
        <v>922</v>
      </c>
      <c r="O2" s="183" t="b">
        <v>0</v>
      </c>
    </row>
    <row r="3" spans="1:17" x14ac:dyDescent="0.35">
      <c r="A3" s="25" t="s">
        <v>1</v>
      </c>
      <c r="B3" s="26" t="s">
        <v>345</v>
      </c>
      <c r="C3" s="110" t="s">
        <v>1410</v>
      </c>
      <c r="D3" t="s">
        <v>335</v>
      </c>
      <c r="E3">
        <v>2</v>
      </c>
      <c r="F3" t="s">
        <v>922</v>
      </c>
      <c r="G3" s="38" t="b">
        <v>0</v>
      </c>
      <c r="H3" s="38" t="b">
        <v>0</v>
      </c>
      <c r="K3" t="b">
        <v>0</v>
      </c>
      <c r="L3" t="b">
        <v>0</v>
      </c>
      <c r="M3" t="b">
        <v>0</v>
      </c>
      <c r="N3" s="38" t="s">
        <v>922</v>
      </c>
      <c r="O3" s="183" t="b">
        <v>0</v>
      </c>
    </row>
    <row r="4" spans="1:17" x14ac:dyDescent="0.35">
      <c r="A4" s="25" t="s">
        <v>313</v>
      </c>
      <c r="B4" s="26" t="s">
        <v>346</v>
      </c>
      <c r="C4" s="110" t="s">
        <v>1409</v>
      </c>
      <c r="D4" t="s">
        <v>343</v>
      </c>
      <c r="E4">
        <v>3</v>
      </c>
      <c r="F4" t="s">
        <v>922</v>
      </c>
      <c r="G4" s="38" t="b">
        <v>0</v>
      </c>
      <c r="H4" s="38" t="b">
        <v>0</v>
      </c>
      <c r="K4" t="b">
        <v>0</v>
      </c>
      <c r="L4" t="b">
        <v>0</v>
      </c>
      <c r="M4" t="b">
        <v>0</v>
      </c>
      <c r="N4" s="38" t="s">
        <v>922</v>
      </c>
      <c r="O4" s="183" t="b">
        <v>0</v>
      </c>
    </row>
    <row r="5" spans="1:17" x14ac:dyDescent="0.35">
      <c r="A5" s="109" t="s">
        <v>913</v>
      </c>
      <c r="B5" s="109" t="s">
        <v>1086</v>
      </c>
      <c r="C5" s="103" t="s">
        <v>1412</v>
      </c>
      <c r="D5" t="s">
        <v>336</v>
      </c>
      <c r="E5">
        <v>4</v>
      </c>
      <c r="F5" t="s">
        <v>922</v>
      </c>
      <c r="G5" s="38" t="b">
        <v>1</v>
      </c>
      <c r="H5" s="38" t="b">
        <v>0</v>
      </c>
      <c r="K5" t="b">
        <v>1</v>
      </c>
      <c r="L5" t="b">
        <v>0</v>
      </c>
      <c r="M5" t="b">
        <v>0</v>
      </c>
      <c r="N5" s="38" t="s">
        <v>922</v>
      </c>
      <c r="O5" s="183" t="b">
        <v>0</v>
      </c>
    </row>
    <row r="6" spans="1:17" x14ac:dyDescent="0.35">
      <c r="A6" s="25" t="s">
        <v>143</v>
      </c>
      <c r="B6" s="26" t="s">
        <v>1457</v>
      </c>
      <c r="C6" s="110" t="s">
        <v>1439</v>
      </c>
      <c r="D6" t="s">
        <v>336</v>
      </c>
      <c r="E6">
        <v>5</v>
      </c>
      <c r="F6" t="s">
        <v>922</v>
      </c>
      <c r="G6" s="38" t="b">
        <v>1</v>
      </c>
      <c r="H6" s="38" t="b">
        <v>0</v>
      </c>
      <c r="K6" t="b">
        <v>1</v>
      </c>
      <c r="L6" t="b">
        <v>0</v>
      </c>
      <c r="M6" t="b">
        <v>0</v>
      </c>
      <c r="N6" s="38">
        <v>0</v>
      </c>
      <c r="O6" s="183" t="b">
        <v>0</v>
      </c>
    </row>
    <row r="7" spans="1:17" x14ac:dyDescent="0.35">
      <c r="A7" s="25" t="s">
        <v>84</v>
      </c>
      <c r="B7" s="26" t="s">
        <v>356</v>
      </c>
      <c r="C7" s="110" t="s">
        <v>1440</v>
      </c>
      <c r="D7" t="s">
        <v>336</v>
      </c>
      <c r="E7">
        <v>6</v>
      </c>
      <c r="F7" t="s">
        <v>922</v>
      </c>
      <c r="G7" s="38" t="b">
        <v>1</v>
      </c>
      <c r="H7" s="38" t="b">
        <v>0</v>
      </c>
      <c r="K7" t="b">
        <v>0</v>
      </c>
      <c r="L7" t="b">
        <v>0</v>
      </c>
      <c r="M7" t="b">
        <v>0</v>
      </c>
      <c r="N7" s="38" t="s">
        <v>922</v>
      </c>
      <c r="O7" s="183" t="b">
        <v>0</v>
      </c>
    </row>
    <row r="8" spans="1:17" x14ac:dyDescent="0.3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c r="O8" s="183" t="b">
        <v>0</v>
      </c>
    </row>
    <row r="9" spans="1:17" x14ac:dyDescent="0.3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c r="O9" s="183" t="b">
        <v>0</v>
      </c>
    </row>
    <row r="10" spans="1:17" x14ac:dyDescent="0.3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c r="O10" s="183" t="b">
        <v>0</v>
      </c>
    </row>
    <row r="11" spans="1:17" x14ac:dyDescent="0.3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c r="O11" s="183" t="b">
        <v>0</v>
      </c>
    </row>
    <row r="12" spans="1:17" x14ac:dyDescent="0.3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c r="O12" s="183" t="b">
        <v>0</v>
      </c>
    </row>
    <row r="13" spans="1:17" x14ac:dyDescent="0.35">
      <c r="A13" s="6" t="s">
        <v>86</v>
      </c>
      <c r="B13" s="6" t="s">
        <v>1363</v>
      </c>
      <c r="C13" s="104" t="s">
        <v>1413</v>
      </c>
      <c r="D13" t="s">
        <v>335</v>
      </c>
      <c r="E13">
        <v>8</v>
      </c>
      <c r="F13" t="s">
        <v>922</v>
      </c>
      <c r="G13" s="38" t="b">
        <v>1</v>
      </c>
      <c r="H13" s="38" t="b">
        <v>1</v>
      </c>
      <c r="J13" s="15" t="s">
        <v>924</v>
      </c>
      <c r="K13" t="b">
        <v>0</v>
      </c>
      <c r="L13" t="b">
        <v>0</v>
      </c>
      <c r="M13" t="b">
        <v>0</v>
      </c>
      <c r="N13" s="38" t="s">
        <v>922</v>
      </c>
      <c r="O13" s="183" t="b">
        <v>0</v>
      </c>
    </row>
    <row r="14" spans="1:17" x14ac:dyDescent="0.35">
      <c r="A14" s="6" t="s">
        <v>87</v>
      </c>
      <c r="B14" s="6" t="s">
        <v>348</v>
      </c>
      <c r="C14" s="104" t="s">
        <v>1414</v>
      </c>
      <c r="D14" t="s">
        <v>335</v>
      </c>
      <c r="E14">
        <v>8</v>
      </c>
      <c r="F14" t="s">
        <v>922</v>
      </c>
      <c r="G14" s="38" t="b">
        <v>0</v>
      </c>
      <c r="H14" s="38" t="b">
        <v>0</v>
      </c>
      <c r="K14" t="b">
        <v>0</v>
      </c>
      <c r="L14" t="b">
        <v>0</v>
      </c>
      <c r="M14" t="b">
        <v>0</v>
      </c>
      <c r="N14" s="38" t="s">
        <v>922</v>
      </c>
      <c r="O14" s="183" t="b">
        <v>0</v>
      </c>
    </row>
    <row r="15" spans="1:17" x14ac:dyDescent="0.35">
      <c r="A15" s="6" t="s">
        <v>85</v>
      </c>
      <c r="B15" s="6" t="s">
        <v>349</v>
      </c>
      <c r="C15" s="104" t="s">
        <v>1415</v>
      </c>
      <c r="D15" t="s">
        <v>335</v>
      </c>
      <c r="E15">
        <v>8</v>
      </c>
      <c r="F15" t="s">
        <v>922</v>
      </c>
      <c r="G15" s="38" t="b">
        <v>0</v>
      </c>
      <c r="H15" s="38" t="b">
        <v>0</v>
      </c>
      <c r="K15" t="b">
        <v>0</v>
      </c>
      <c r="L15" t="b">
        <v>0</v>
      </c>
      <c r="M15" t="b">
        <v>0</v>
      </c>
      <c r="N15" s="38" t="s">
        <v>922</v>
      </c>
      <c r="O15" s="183" t="b">
        <v>0</v>
      </c>
    </row>
    <row r="16" spans="1:17" x14ac:dyDescent="0.35">
      <c r="A16" s="2" t="s">
        <v>133</v>
      </c>
      <c r="B16" s="2" t="s">
        <v>350</v>
      </c>
      <c r="C16" s="105" t="s">
        <v>1417</v>
      </c>
      <c r="D16" t="s">
        <v>335</v>
      </c>
      <c r="E16">
        <v>9</v>
      </c>
      <c r="F16" t="s">
        <v>922</v>
      </c>
      <c r="G16" s="38" t="b">
        <v>1</v>
      </c>
      <c r="H16" s="38" t="b">
        <v>1</v>
      </c>
      <c r="J16" s="15" t="s">
        <v>924</v>
      </c>
      <c r="K16" t="b">
        <v>1</v>
      </c>
      <c r="L16" t="b">
        <v>0</v>
      </c>
      <c r="M16" t="b">
        <v>1</v>
      </c>
      <c r="N16" s="38" t="s">
        <v>923</v>
      </c>
      <c r="O16" s="183" t="b">
        <v>0</v>
      </c>
    </row>
    <row r="17" spans="1:17" x14ac:dyDescent="0.35">
      <c r="A17" s="2" t="s">
        <v>31</v>
      </c>
      <c r="B17" s="2" t="s">
        <v>1364</v>
      </c>
      <c r="C17" s="105" t="s">
        <v>1472</v>
      </c>
      <c r="D17" t="s">
        <v>336</v>
      </c>
      <c r="E17">
        <v>10</v>
      </c>
      <c r="F17" t="s">
        <v>924</v>
      </c>
      <c r="G17" s="38" t="b">
        <v>1</v>
      </c>
      <c r="H17" s="38" t="b">
        <v>1</v>
      </c>
      <c r="J17" s="15" t="s">
        <v>924</v>
      </c>
      <c r="K17" t="b">
        <v>1</v>
      </c>
      <c r="L17" t="b">
        <v>0</v>
      </c>
      <c r="M17" t="b">
        <v>0</v>
      </c>
      <c r="N17" s="38" t="s">
        <v>923</v>
      </c>
      <c r="O17" s="183" t="b">
        <v>1</v>
      </c>
      <c r="Q17" t="s">
        <v>924</v>
      </c>
    </row>
    <row r="18" spans="1:17" x14ac:dyDescent="0.35">
      <c r="A18" s="2" t="s">
        <v>44</v>
      </c>
      <c r="B18" s="2" t="s">
        <v>1365</v>
      </c>
      <c r="C18" s="105" t="s">
        <v>1473</v>
      </c>
      <c r="D18" t="s">
        <v>336</v>
      </c>
      <c r="E18">
        <v>11</v>
      </c>
      <c r="F18" t="s">
        <v>924</v>
      </c>
      <c r="G18" s="38" t="b">
        <v>1</v>
      </c>
      <c r="H18" s="38" t="b">
        <v>1</v>
      </c>
      <c r="J18" s="15" t="s">
        <v>924</v>
      </c>
      <c r="K18" t="b">
        <v>1</v>
      </c>
      <c r="L18" t="b">
        <v>0</v>
      </c>
      <c r="M18" t="b">
        <v>0</v>
      </c>
      <c r="N18" s="38" t="s">
        <v>923</v>
      </c>
      <c r="O18" s="183" t="b">
        <v>1</v>
      </c>
      <c r="Q18" t="s">
        <v>924</v>
      </c>
    </row>
    <row r="19" spans="1:17" x14ac:dyDescent="0.35">
      <c r="A19" s="2" t="s">
        <v>183</v>
      </c>
      <c r="B19" s="2" t="s">
        <v>1442</v>
      </c>
      <c r="C19" s="105" t="str">
        <f>"=1 if authors report schooling in years."</f>
        <v>=1 if authors report schooling in years.</v>
      </c>
      <c r="D19" t="s">
        <v>318</v>
      </c>
      <c r="E19">
        <v>12</v>
      </c>
      <c r="F19" t="s">
        <v>922</v>
      </c>
      <c r="G19" s="38" t="b">
        <v>1</v>
      </c>
      <c r="H19" s="38" t="b">
        <v>0</v>
      </c>
      <c r="I19">
        <v>1</v>
      </c>
      <c r="K19" t="b">
        <v>1</v>
      </c>
      <c r="L19" t="b">
        <v>0</v>
      </c>
      <c r="M19" t="b">
        <v>0</v>
      </c>
      <c r="N19" s="38" t="s">
        <v>923</v>
      </c>
      <c r="O19" s="183" t="b">
        <v>1</v>
      </c>
      <c r="P19">
        <v>1</v>
      </c>
    </row>
    <row r="20" spans="1:17" x14ac:dyDescent="0.35">
      <c r="A20" s="2" t="s">
        <v>184</v>
      </c>
      <c r="B20" s="2" t="s">
        <v>1443</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0</v>
      </c>
      <c r="I20">
        <v>1</v>
      </c>
      <c r="K20" t="b">
        <v>0</v>
      </c>
      <c r="L20" t="b">
        <v>1</v>
      </c>
      <c r="M20" t="b">
        <v>0</v>
      </c>
      <c r="N20" s="38" t="s">
        <v>922</v>
      </c>
      <c r="O20" s="183" t="b">
        <v>1</v>
      </c>
      <c r="P20">
        <v>1</v>
      </c>
    </row>
    <row r="21" spans="1:17" x14ac:dyDescent="0.3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0</v>
      </c>
      <c r="I21">
        <v>1</v>
      </c>
      <c r="K21" t="b">
        <v>1</v>
      </c>
      <c r="L21" t="b">
        <v>0</v>
      </c>
      <c r="M21" t="b">
        <v>0</v>
      </c>
      <c r="N21" s="38" t="s">
        <v>923</v>
      </c>
      <c r="O21" s="183" t="b">
        <v>0</v>
      </c>
    </row>
    <row r="22" spans="1:17" x14ac:dyDescent="0.3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0</v>
      </c>
      <c r="I22">
        <v>1</v>
      </c>
      <c r="K22" t="b">
        <v>1</v>
      </c>
      <c r="L22" t="b">
        <v>0</v>
      </c>
      <c r="M22" t="b">
        <v>0</v>
      </c>
      <c r="N22" s="38" t="s">
        <v>923</v>
      </c>
      <c r="O22" s="183" t="b">
        <v>0</v>
      </c>
    </row>
    <row r="23" spans="1:17" x14ac:dyDescent="0.3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0</v>
      </c>
      <c r="I23">
        <v>1</v>
      </c>
      <c r="K23" t="b">
        <v>1</v>
      </c>
      <c r="L23" t="b">
        <v>0</v>
      </c>
      <c r="M23" t="b">
        <v>0</v>
      </c>
      <c r="N23" s="38" t="s">
        <v>923</v>
      </c>
      <c r="O23" s="183" t="b">
        <v>0</v>
      </c>
    </row>
    <row r="24" spans="1:17" x14ac:dyDescent="0.35">
      <c r="A24" s="2" t="s">
        <v>117</v>
      </c>
      <c r="B24" s="2" t="s">
        <v>1453</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0</v>
      </c>
      <c r="I24">
        <v>1</v>
      </c>
      <c r="K24" t="b">
        <v>0</v>
      </c>
      <c r="L24" t="b">
        <v>1</v>
      </c>
      <c r="M24" t="b">
        <v>0</v>
      </c>
      <c r="N24" s="38" t="s">
        <v>922</v>
      </c>
      <c r="O24" s="183" t="b">
        <v>0</v>
      </c>
    </row>
    <row r="25" spans="1:17" x14ac:dyDescent="0.35">
      <c r="A25" s="2" t="s">
        <v>45</v>
      </c>
      <c r="B25" s="2" t="s">
        <v>1407</v>
      </c>
      <c r="C25" s="105" t="str">
        <f>"=1 if the study uses micro data."</f>
        <v>=1 if the study uses micro data.</v>
      </c>
      <c r="D25" t="s">
        <v>318</v>
      </c>
      <c r="E25">
        <v>14</v>
      </c>
      <c r="F25" t="s">
        <v>922</v>
      </c>
      <c r="G25" s="38" t="b">
        <v>1</v>
      </c>
      <c r="H25" s="38" t="b">
        <v>0</v>
      </c>
      <c r="I25">
        <v>1</v>
      </c>
      <c r="K25" t="b">
        <v>1</v>
      </c>
      <c r="L25" t="b">
        <v>0</v>
      </c>
      <c r="M25" t="b">
        <v>0</v>
      </c>
      <c r="N25" s="38" t="s">
        <v>923</v>
      </c>
      <c r="O25" s="183" t="b">
        <v>1</v>
      </c>
      <c r="P25">
        <v>1</v>
      </c>
    </row>
    <row r="26" spans="1:17" x14ac:dyDescent="0.35">
      <c r="A26" s="2" t="s">
        <v>46</v>
      </c>
      <c r="B26" s="2" t="s">
        <v>1406</v>
      </c>
      <c r="C26" s="105" t="str">
        <f>"=1 if the study uses data from a survey."</f>
        <v>=1 if the study uses data from a survey.</v>
      </c>
      <c r="D26" t="s">
        <v>318</v>
      </c>
      <c r="E26">
        <v>14</v>
      </c>
      <c r="F26" t="s">
        <v>922</v>
      </c>
      <c r="G26" s="38" t="b">
        <v>1</v>
      </c>
      <c r="H26" s="38" t="b">
        <v>0</v>
      </c>
      <c r="I26">
        <v>1</v>
      </c>
      <c r="K26" t="b">
        <v>1</v>
      </c>
      <c r="L26" t="b">
        <v>0</v>
      </c>
      <c r="M26" t="b">
        <v>0</v>
      </c>
      <c r="N26" s="38" t="s">
        <v>923</v>
      </c>
      <c r="O26" s="183" t="b">
        <v>1</v>
      </c>
      <c r="P26">
        <v>1</v>
      </c>
    </row>
    <row r="27" spans="1:17" x14ac:dyDescent="0.35">
      <c r="A27" s="2" t="s">
        <v>47</v>
      </c>
      <c r="B27" s="2" t="s">
        <v>1405</v>
      </c>
      <c r="C27" s="105" t="str">
        <f>"=1 if the study uses data from a national register (reference category)."</f>
        <v>=1 if the study uses data from a national register (reference category).</v>
      </c>
      <c r="D27" t="s">
        <v>318</v>
      </c>
      <c r="E27">
        <v>14</v>
      </c>
      <c r="F27" t="s">
        <v>922</v>
      </c>
      <c r="G27" s="38" t="b">
        <v>1</v>
      </c>
      <c r="H27" s="38" t="b">
        <v>0</v>
      </c>
      <c r="I27">
        <v>1</v>
      </c>
      <c r="K27" t="b">
        <v>0</v>
      </c>
      <c r="L27" t="b">
        <v>1</v>
      </c>
      <c r="M27" t="b">
        <v>0</v>
      </c>
      <c r="N27" s="38" t="s">
        <v>922</v>
      </c>
      <c r="O27" s="183" t="b">
        <v>1</v>
      </c>
      <c r="P27">
        <v>1</v>
      </c>
    </row>
    <row r="28" spans="1:17" x14ac:dyDescent="0.3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c r="O28" s="183" t="b">
        <v>1</v>
      </c>
      <c r="P28">
        <v>1</v>
      </c>
    </row>
    <row r="29" spans="1:17" x14ac:dyDescent="0.3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c r="O29" s="183" t="b">
        <v>1</v>
      </c>
      <c r="P29">
        <v>1</v>
      </c>
    </row>
    <row r="30" spans="1:17" x14ac:dyDescent="0.35">
      <c r="A30" s="2" t="s">
        <v>62</v>
      </c>
      <c r="B30" s="2" t="s">
        <v>1408</v>
      </c>
      <c r="C30" s="105" t="s">
        <v>1416</v>
      </c>
      <c r="D30" t="s">
        <v>336</v>
      </c>
      <c r="E30">
        <v>16</v>
      </c>
      <c r="F30" t="s">
        <v>924</v>
      </c>
      <c r="G30" s="38" t="b">
        <v>1</v>
      </c>
      <c r="H30" s="38" t="b">
        <v>1</v>
      </c>
      <c r="J30" s="15" t="s">
        <v>924</v>
      </c>
      <c r="K30" t="b">
        <v>1</v>
      </c>
      <c r="L30" t="b">
        <v>0</v>
      </c>
      <c r="M30" t="b">
        <v>1</v>
      </c>
      <c r="N30" s="38" t="s">
        <v>923</v>
      </c>
      <c r="O30" s="183" t="b">
        <v>0</v>
      </c>
    </row>
    <row r="31" spans="1:17" x14ac:dyDescent="0.35">
      <c r="A31" s="34" t="s">
        <v>99</v>
      </c>
      <c r="B31" s="3" t="s">
        <v>1402</v>
      </c>
      <c r="C31" s="111" t="s">
        <v>1420</v>
      </c>
      <c r="D31" t="s">
        <v>338</v>
      </c>
      <c r="E31">
        <v>17</v>
      </c>
      <c r="F31" t="s">
        <v>923</v>
      </c>
      <c r="G31" s="38" t="b">
        <v>1</v>
      </c>
      <c r="H31" s="38" t="b">
        <v>0</v>
      </c>
      <c r="K31" t="b">
        <v>0</v>
      </c>
      <c r="L31" t="b">
        <v>1</v>
      </c>
      <c r="M31" t="b">
        <v>0</v>
      </c>
      <c r="N31" s="38" t="s">
        <v>922</v>
      </c>
      <c r="O31" s="183" t="b">
        <v>1</v>
      </c>
      <c r="Q31">
        <v>0.5</v>
      </c>
    </row>
    <row r="32" spans="1:17" x14ac:dyDescent="0.35">
      <c r="A32" s="34" t="s">
        <v>95</v>
      </c>
      <c r="B32" s="3" t="s">
        <v>1401</v>
      </c>
      <c r="C32" s="111" t="s">
        <v>1418</v>
      </c>
      <c r="D32" t="s">
        <v>338</v>
      </c>
      <c r="E32">
        <v>17</v>
      </c>
      <c r="F32" t="s">
        <v>923</v>
      </c>
      <c r="G32" s="38" t="b">
        <v>1</v>
      </c>
      <c r="H32" s="38" t="b">
        <v>0</v>
      </c>
      <c r="K32" t="b">
        <v>1</v>
      </c>
      <c r="L32" t="b">
        <v>0</v>
      </c>
      <c r="M32" t="b">
        <v>0</v>
      </c>
      <c r="N32" s="38" t="s">
        <v>923</v>
      </c>
      <c r="O32" s="183" t="b">
        <v>0</v>
      </c>
    </row>
    <row r="33" spans="1:17" x14ac:dyDescent="0.35">
      <c r="A33" s="34" t="s">
        <v>96</v>
      </c>
      <c r="B33" s="3" t="s">
        <v>1368</v>
      </c>
      <c r="C33" s="111" t="s">
        <v>1419</v>
      </c>
      <c r="D33" t="s">
        <v>338</v>
      </c>
      <c r="E33">
        <v>17</v>
      </c>
      <c r="F33" t="s">
        <v>923</v>
      </c>
      <c r="G33" s="38" t="b">
        <v>1</v>
      </c>
      <c r="H33" s="38" t="b">
        <v>0</v>
      </c>
      <c r="K33" t="b">
        <v>1</v>
      </c>
      <c r="L33" t="b">
        <v>0</v>
      </c>
      <c r="M33" t="b">
        <v>0</v>
      </c>
      <c r="N33" s="38" t="s">
        <v>923</v>
      </c>
      <c r="O33" s="183" t="b">
        <v>0</v>
      </c>
    </row>
    <row r="34" spans="1:17" x14ac:dyDescent="0.35">
      <c r="A34" s="34" t="s">
        <v>97</v>
      </c>
      <c r="B34" s="3" t="s">
        <v>882</v>
      </c>
      <c r="C34" s="111" t="s">
        <v>1421</v>
      </c>
      <c r="D34" t="s">
        <v>338</v>
      </c>
      <c r="E34">
        <v>17</v>
      </c>
      <c r="F34" t="s">
        <v>923</v>
      </c>
      <c r="G34" s="38" t="b">
        <v>1</v>
      </c>
      <c r="H34" s="38" t="b">
        <v>1</v>
      </c>
      <c r="J34" s="15">
        <v>0.5</v>
      </c>
      <c r="K34" t="b">
        <v>1</v>
      </c>
      <c r="L34" t="b">
        <v>0</v>
      </c>
      <c r="M34" t="b">
        <v>0</v>
      </c>
      <c r="N34" s="38" t="s">
        <v>923</v>
      </c>
      <c r="O34" s="183" t="b">
        <v>0</v>
      </c>
    </row>
    <row r="35" spans="1:17" x14ac:dyDescent="0.35">
      <c r="A35" s="34" t="s">
        <v>89</v>
      </c>
      <c r="B35" s="3" t="s">
        <v>1455</v>
      </c>
      <c r="C35" s="111" t="s">
        <v>1426</v>
      </c>
      <c r="D35" t="s">
        <v>338</v>
      </c>
      <c r="E35">
        <v>19</v>
      </c>
      <c r="F35" t="s">
        <v>923</v>
      </c>
      <c r="G35" s="38" t="b">
        <v>1</v>
      </c>
      <c r="H35" s="38" t="b">
        <v>1</v>
      </c>
      <c r="J35" s="15">
        <v>0.5</v>
      </c>
      <c r="K35" t="b">
        <v>1</v>
      </c>
      <c r="L35" t="b">
        <v>0</v>
      </c>
      <c r="M35" t="b">
        <v>0</v>
      </c>
      <c r="N35" s="38" t="s">
        <v>923</v>
      </c>
      <c r="O35" s="183" t="b">
        <v>1</v>
      </c>
      <c r="Q35">
        <v>0.5</v>
      </c>
    </row>
    <row r="36" spans="1:17" x14ac:dyDescent="0.35">
      <c r="A36" s="34" t="s">
        <v>88</v>
      </c>
      <c r="B36" s="3" t="s">
        <v>1456</v>
      </c>
      <c r="C36" s="111" t="s">
        <v>1425</v>
      </c>
      <c r="D36" t="s">
        <v>338</v>
      </c>
      <c r="E36">
        <v>19</v>
      </c>
      <c r="F36" t="s">
        <v>923</v>
      </c>
      <c r="G36" s="38" t="b">
        <v>0</v>
      </c>
      <c r="H36" s="38" t="b">
        <v>0</v>
      </c>
      <c r="K36" t="b">
        <v>0</v>
      </c>
      <c r="L36" t="b">
        <v>1</v>
      </c>
      <c r="M36" t="b">
        <v>0</v>
      </c>
      <c r="N36" s="38" t="s">
        <v>922</v>
      </c>
      <c r="O36" s="183" t="b">
        <v>1</v>
      </c>
      <c r="Q36">
        <v>0.5</v>
      </c>
    </row>
    <row r="37" spans="1:17" x14ac:dyDescent="0.35">
      <c r="A37" s="34" t="s">
        <v>32</v>
      </c>
      <c r="B37" s="3" t="s">
        <v>252</v>
      </c>
      <c r="C37" s="111" t="s">
        <v>1424</v>
      </c>
      <c r="D37" t="s">
        <v>338</v>
      </c>
      <c r="E37">
        <v>20</v>
      </c>
      <c r="F37" t="s">
        <v>923</v>
      </c>
      <c r="G37" s="38" t="b">
        <v>1</v>
      </c>
      <c r="H37" s="38" t="b">
        <v>1</v>
      </c>
      <c r="J37" s="15">
        <v>0.5</v>
      </c>
      <c r="K37" t="b">
        <v>1</v>
      </c>
      <c r="L37" t="b">
        <v>0</v>
      </c>
      <c r="M37" t="b">
        <v>0</v>
      </c>
      <c r="N37" s="38" t="s">
        <v>923</v>
      </c>
      <c r="O37" s="183" t="b">
        <v>1</v>
      </c>
      <c r="Q37">
        <v>0.5</v>
      </c>
    </row>
    <row r="38" spans="1:17" x14ac:dyDescent="0.35">
      <c r="A38" s="34" t="s">
        <v>33</v>
      </c>
      <c r="B38" s="3" t="s">
        <v>253</v>
      </c>
      <c r="C38" s="111" t="s">
        <v>1423</v>
      </c>
      <c r="D38" t="s">
        <v>338</v>
      </c>
      <c r="E38">
        <v>20</v>
      </c>
      <c r="F38" t="s">
        <v>923</v>
      </c>
      <c r="G38" s="38" t="b">
        <v>0</v>
      </c>
      <c r="H38" s="38" t="b">
        <v>0</v>
      </c>
      <c r="K38" t="b">
        <v>0</v>
      </c>
      <c r="L38" t="b">
        <v>1</v>
      </c>
      <c r="M38" t="b">
        <v>0</v>
      </c>
      <c r="N38" s="38" t="s">
        <v>922</v>
      </c>
      <c r="O38" s="183" t="b">
        <v>1</v>
      </c>
      <c r="Q38">
        <v>0.5</v>
      </c>
    </row>
    <row r="39" spans="1:17" x14ac:dyDescent="0.35">
      <c r="A39" s="34" t="s">
        <v>34</v>
      </c>
      <c r="B39" s="3" t="s">
        <v>1474</v>
      </c>
      <c r="C39" s="111" t="s">
        <v>1422</v>
      </c>
      <c r="D39" t="s">
        <v>338</v>
      </c>
      <c r="E39">
        <v>21</v>
      </c>
      <c r="F39" t="s">
        <v>923</v>
      </c>
      <c r="G39" s="38" t="b">
        <v>1</v>
      </c>
      <c r="H39" s="38" t="b">
        <v>1</v>
      </c>
      <c r="J39" s="15">
        <v>0.5</v>
      </c>
      <c r="K39" t="b">
        <v>1</v>
      </c>
      <c r="L39" t="b">
        <v>0</v>
      </c>
      <c r="M39" t="b">
        <v>0</v>
      </c>
      <c r="N39" s="38" t="s">
        <v>923</v>
      </c>
      <c r="O39" s="183" t="b">
        <v>0</v>
      </c>
    </row>
    <row r="40" spans="1:17" x14ac:dyDescent="0.35">
      <c r="A40" s="34" t="s">
        <v>35</v>
      </c>
      <c r="B40" s="3" t="s">
        <v>1475</v>
      </c>
      <c r="C40" s="111" t="s">
        <v>1427</v>
      </c>
      <c r="D40" t="s">
        <v>338</v>
      </c>
      <c r="E40">
        <v>21</v>
      </c>
      <c r="F40" t="s">
        <v>923</v>
      </c>
      <c r="G40" s="38" t="b">
        <v>0</v>
      </c>
      <c r="H40" s="38" t="b">
        <v>0</v>
      </c>
      <c r="K40" t="b">
        <v>0</v>
      </c>
      <c r="L40" t="b">
        <v>1</v>
      </c>
      <c r="M40" t="b">
        <v>0</v>
      </c>
      <c r="N40" s="38" t="s">
        <v>922</v>
      </c>
      <c r="O40" s="183" t="b">
        <v>0</v>
      </c>
    </row>
    <row r="41" spans="1:17" x14ac:dyDescent="0.35">
      <c r="A41" s="34" t="s">
        <v>50</v>
      </c>
      <c r="B41" s="3" t="s">
        <v>1377</v>
      </c>
      <c r="C41" s="111" t="s">
        <v>1428</v>
      </c>
      <c r="D41" t="s">
        <v>338</v>
      </c>
      <c r="E41">
        <v>22</v>
      </c>
      <c r="F41" t="s">
        <v>923</v>
      </c>
      <c r="G41" s="38" t="b">
        <v>1</v>
      </c>
      <c r="H41" s="38" t="b">
        <v>0</v>
      </c>
      <c r="K41" t="b">
        <v>1</v>
      </c>
      <c r="L41" t="b">
        <v>0</v>
      </c>
      <c r="M41" t="b">
        <v>0</v>
      </c>
      <c r="N41" s="38" t="s">
        <v>923</v>
      </c>
      <c r="O41" s="183" t="b">
        <v>1</v>
      </c>
      <c r="Q41">
        <v>0.5</v>
      </c>
    </row>
    <row r="42" spans="1:17" x14ac:dyDescent="0.35">
      <c r="A42" s="34" t="s">
        <v>51</v>
      </c>
      <c r="B42" s="3" t="s">
        <v>1378</v>
      </c>
      <c r="C42" s="111" t="s">
        <v>1429</v>
      </c>
      <c r="D42" t="s">
        <v>338</v>
      </c>
      <c r="E42">
        <v>22</v>
      </c>
      <c r="F42" t="s">
        <v>923</v>
      </c>
      <c r="G42" s="38" t="b">
        <v>0</v>
      </c>
      <c r="H42" s="38" t="b">
        <v>0</v>
      </c>
      <c r="K42" t="b">
        <v>0</v>
      </c>
      <c r="L42" t="b">
        <v>1</v>
      </c>
      <c r="M42" t="b">
        <v>0</v>
      </c>
      <c r="N42" s="38" t="s">
        <v>922</v>
      </c>
      <c r="O42" s="183" t="b">
        <v>1</v>
      </c>
      <c r="Q42">
        <v>0.5</v>
      </c>
    </row>
    <row r="43" spans="1:17" x14ac:dyDescent="0.35">
      <c r="A43" s="34" t="s">
        <v>214</v>
      </c>
      <c r="B43" s="3" t="s">
        <v>167</v>
      </c>
      <c r="C43" s="111" t="s">
        <v>1430</v>
      </c>
      <c r="D43" t="s">
        <v>338</v>
      </c>
      <c r="E43">
        <v>23</v>
      </c>
      <c r="F43" t="s">
        <v>923</v>
      </c>
      <c r="G43" s="38" t="b">
        <v>1</v>
      </c>
      <c r="H43" s="38" t="b">
        <v>1</v>
      </c>
      <c r="J43" s="15">
        <v>0.5</v>
      </c>
      <c r="K43" t="b">
        <v>1</v>
      </c>
      <c r="L43" t="b">
        <v>0</v>
      </c>
      <c r="M43" t="b">
        <v>0</v>
      </c>
      <c r="N43" s="38" t="s">
        <v>923</v>
      </c>
      <c r="O43" s="183" t="b">
        <v>1</v>
      </c>
      <c r="Q43">
        <v>0.5</v>
      </c>
    </row>
    <row r="44" spans="1:17" x14ac:dyDescent="0.35">
      <c r="A44" s="34" t="s">
        <v>213</v>
      </c>
      <c r="B44" s="3" t="s">
        <v>168</v>
      </c>
      <c r="C44" s="111" t="s">
        <v>1431</v>
      </c>
      <c r="D44" t="s">
        <v>338</v>
      </c>
      <c r="E44">
        <v>23</v>
      </c>
      <c r="F44" t="s">
        <v>923</v>
      </c>
      <c r="G44" s="38" t="b">
        <v>1</v>
      </c>
      <c r="H44" s="38" t="b">
        <v>0</v>
      </c>
      <c r="K44" t="b">
        <v>0</v>
      </c>
      <c r="L44" t="b">
        <v>1</v>
      </c>
      <c r="M44" t="b">
        <v>0</v>
      </c>
      <c r="N44" s="38" t="s">
        <v>922</v>
      </c>
      <c r="O44" s="183" t="b">
        <v>1</v>
      </c>
      <c r="Q44">
        <v>0.5</v>
      </c>
    </row>
    <row r="45" spans="1:17" x14ac:dyDescent="0.35">
      <c r="A45" s="34" t="s">
        <v>36</v>
      </c>
      <c r="B45" s="3" t="s">
        <v>277</v>
      </c>
      <c r="C45" s="111" t="s">
        <v>1432</v>
      </c>
      <c r="D45" t="s">
        <v>343</v>
      </c>
      <c r="E45">
        <v>24</v>
      </c>
      <c r="F45" t="s">
        <v>922</v>
      </c>
      <c r="G45" s="38" t="b">
        <v>0</v>
      </c>
      <c r="H45" s="38" t="b">
        <v>0</v>
      </c>
      <c r="K45" t="b">
        <v>0</v>
      </c>
      <c r="L45" t="b">
        <v>0</v>
      </c>
      <c r="M45" t="b">
        <v>0</v>
      </c>
      <c r="N45" s="38" t="s">
        <v>922</v>
      </c>
      <c r="O45" s="183" t="b">
        <v>0</v>
      </c>
    </row>
    <row r="46" spans="1:17" x14ac:dyDescent="0.35">
      <c r="A46" s="34" t="s">
        <v>55</v>
      </c>
      <c r="B46" s="3" t="s">
        <v>1445</v>
      </c>
      <c r="C46" s="111" t="str">
        <f>"=1 if the study was conducted in a country with advanced economy. (reference group)"</f>
        <v>=1 if the study was conducted in a country with advanced economy. (reference group)</v>
      </c>
      <c r="D46" t="s">
        <v>318</v>
      </c>
      <c r="E46">
        <v>25</v>
      </c>
      <c r="F46" t="s">
        <v>922</v>
      </c>
      <c r="G46" s="38" t="b">
        <v>1</v>
      </c>
      <c r="H46" s="38" t="b">
        <v>0</v>
      </c>
      <c r="K46" t="b">
        <v>0</v>
      </c>
      <c r="L46" t="b">
        <v>1</v>
      </c>
      <c r="M46" t="b">
        <v>0</v>
      </c>
      <c r="N46" s="38" t="s">
        <v>922</v>
      </c>
      <c r="O46" s="183" t="b">
        <v>0</v>
      </c>
    </row>
    <row r="47" spans="1:17" x14ac:dyDescent="0.35">
      <c r="A47" s="34" t="s">
        <v>56</v>
      </c>
      <c r="B47" s="3" t="s">
        <v>1446</v>
      </c>
      <c r="C47" s="111" t="str">
        <f>"=1 if the study was conducted in the East Asia and Pacific region."</f>
        <v>=1 if the study was conducted in the East Asia and Pacific region.</v>
      </c>
      <c r="D47" t="s">
        <v>318</v>
      </c>
      <c r="E47">
        <v>25</v>
      </c>
      <c r="F47" t="s">
        <v>922</v>
      </c>
      <c r="G47" s="38" t="b">
        <v>1</v>
      </c>
      <c r="H47" s="38" t="b">
        <v>0</v>
      </c>
      <c r="K47" t="b">
        <v>0</v>
      </c>
      <c r="L47" t="b">
        <v>0</v>
      </c>
      <c r="M47" t="b">
        <v>0</v>
      </c>
      <c r="N47" s="38" t="s">
        <v>922</v>
      </c>
      <c r="O47" s="183" t="b">
        <v>0</v>
      </c>
    </row>
    <row r="48" spans="1:17" x14ac:dyDescent="0.35">
      <c r="A48" s="34" t="s">
        <v>57</v>
      </c>
      <c r="B48" s="3" t="s">
        <v>1447</v>
      </c>
      <c r="C48" s="111" t="str">
        <f>"=1 if the study was conducted in the Europe and Central Asia region."</f>
        <v>=1 if the study was conducted in the Europe and Central Asia region.</v>
      </c>
      <c r="D48" t="s">
        <v>318</v>
      </c>
      <c r="E48">
        <v>25</v>
      </c>
      <c r="F48" t="s">
        <v>922</v>
      </c>
      <c r="G48" s="38" t="b">
        <v>1</v>
      </c>
      <c r="H48" s="38" t="b">
        <v>0</v>
      </c>
      <c r="K48" t="b">
        <v>0</v>
      </c>
      <c r="L48" t="b">
        <v>0</v>
      </c>
      <c r="M48" t="b">
        <v>0</v>
      </c>
      <c r="N48" s="38" t="s">
        <v>922</v>
      </c>
      <c r="O48" s="183" t="b">
        <v>0</v>
      </c>
    </row>
    <row r="49" spans="1:17" x14ac:dyDescent="0.35">
      <c r="A49" s="34" t="s">
        <v>58</v>
      </c>
      <c r="B49" s="3" t="s">
        <v>1448</v>
      </c>
      <c r="C49" s="111" t="str">
        <f>"=1 if the study was conducted in the Latin America and Caribbean region."</f>
        <v>=1 if the study was conducted in the Latin America and Caribbean region.</v>
      </c>
      <c r="D49" t="s">
        <v>318</v>
      </c>
      <c r="E49">
        <v>25</v>
      </c>
      <c r="F49" t="s">
        <v>922</v>
      </c>
      <c r="G49" s="38" t="b">
        <v>1</v>
      </c>
      <c r="H49" s="38" t="b">
        <v>0</v>
      </c>
      <c r="K49" t="b">
        <v>0</v>
      </c>
      <c r="L49" t="b">
        <v>0</v>
      </c>
      <c r="M49" t="b">
        <v>0</v>
      </c>
      <c r="N49" s="38" t="s">
        <v>922</v>
      </c>
      <c r="O49" s="183" t="b">
        <v>0</v>
      </c>
    </row>
    <row r="50" spans="1:17" x14ac:dyDescent="0.35">
      <c r="A50" s="34" t="s">
        <v>59</v>
      </c>
      <c r="B50" s="3" t="s">
        <v>1449</v>
      </c>
      <c r="C50" s="111" t="str">
        <f>"=1 if the study was conducted in the Middle East and North Africa region."</f>
        <v>=1 if the study was conducted in the Middle East and North Africa region.</v>
      </c>
      <c r="D50" t="s">
        <v>318</v>
      </c>
      <c r="E50">
        <v>25</v>
      </c>
      <c r="F50" t="s">
        <v>922</v>
      </c>
      <c r="G50" s="38" t="b">
        <v>1</v>
      </c>
      <c r="H50" s="38" t="b">
        <v>0</v>
      </c>
      <c r="K50" t="b">
        <v>0</v>
      </c>
      <c r="L50" t="b">
        <v>0</v>
      </c>
      <c r="M50" t="b">
        <v>0</v>
      </c>
      <c r="N50" s="38" t="s">
        <v>922</v>
      </c>
      <c r="O50" s="183" t="b">
        <v>0</v>
      </c>
    </row>
    <row r="51" spans="1:17" x14ac:dyDescent="0.35">
      <c r="A51" s="34" t="s">
        <v>60</v>
      </c>
      <c r="B51" s="3" t="s">
        <v>1450</v>
      </c>
      <c r="C51" s="111" t="str">
        <f>"=1 if the study was conducted in the South African region."</f>
        <v>=1 if the study was conducted in the South African region.</v>
      </c>
      <c r="D51" t="s">
        <v>318</v>
      </c>
      <c r="E51">
        <v>25</v>
      </c>
      <c r="F51" t="s">
        <v>922</v>
      </c>
      <c r="G51" s="38" t="b">
        <v>1</v>
      </c>
      <c r="H51" s="38" t="b">
        <v>0</v>
      </c>
      <c r="K51" t="b">
        <v>0</v>
      </c>
      <c r="L51" t="b">
        <v>0</v>
      </c>
      <c r="M51" t="b">
        <v>0</v>
      </c>
      <c r="N51" s="38" t="s">
        <v>922</v>
      </c>
      <c r="O51" s="183" t="b">
        <v>0</v>
      </c>
    </row>
    <row r="52" spans="1:17" x14ac:dyDescent="0.35">
      <c r="A52" s="34" t="s">
        <v>61</v>
      </c>
      <c r="B52" s="3" t="s">
        <v>1451</v>
      </c>
      <c r="C52" s="111" t="str">
        <f>"=1 if the study was conducted in the region of Sub Saharan Africa."</f>
        <v>=1 if the study was conducted in the region of Sub Saharan Africa.</v>
      </c>
      <c r="D52" t="s">
        <v>318</v>
      </c>
      <c r="E52">
        <v>25</v>
      </c>
      <c r="F52" t="s">
        <v>922</v>
      </c>
      <c r="G52" s="38" t="b">
        <v>1</v>
      </c>
      <c r="H52" s="38" t="b">
        <v>0</v>
      </c>
      <c r="K52" t="b">
        <v>0</v>
      </c>
      <c r="L52" t="b">
        <v>0</v>
      </c>
      <c r="M52" t="b">
        <v>0</v>
      </c>
      <c r="N52" s="38" t="s">
        <v>922</v>
      </c>
      <c r="O52" s="183" t="b">
        <v>0</v>
      </c>
    </row>
    <row r="53" spans="1:17" x14ac:dyDescent="0.35">
      <c r="A53" s="34" t="s">
        <v>54</v>
      </c>
      <c r="B53" s="3" t="s">
        <v>1476</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c r="O53" s="183" t="b">
        <v>1</v>
      </c>
      <c r="P53">
        <v>1</v>
      </c>
    </row>
    <row r="54" spans="1:17" x14ac:dyDescent="0.35">
      <c r="A54" s="34" t="s">
        <v>53</v>
      </c>
      <c r="B54" s="3" t="s">
        <v>1477</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c r="O54" s="183" t="b">
        <v>1</v>
      </c>
      <c r="P54">
        <v>1</v>
      </c>
    </row>
    <row r="55" spans="1:17" x14ac:dyDescent="0.35">
      <c r="A55" s="34" t="s">
        <v>52</v>
      </c>
      <c r="B55" s="3" t="s">
        <v>1478</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c r="O55" s="183" t="b">
        <v>1</v>
      </c>
      <c r="P55">
        <v>1</v>
      </c>
    </row>
    <row r="56" spans="1:17" x14ac:dyDescent="0.35">
      <c r="A56" s="34" t="s">
        <v>63</v>
      </c>
      <c r="B56" s="3" t="s">
        <v>351</v>
      </c>
      <c r="C56" s="111" t="s">
        <v>1433</v>
      </c>
      <c r="D56" t="s">
        <v>336</v>
      </c>
      <c r="E56">
        <v>27</v>
      </c>
      <c r="F56" t="s">
        <v>924</v>
      </c>
      <c r="G56" s="38" t="b">
        <v>1</v>
      </c>
      <c r="H56" s="38" t="b">
        <v>0</v>
      </c>
      <c r="K56" t="b">
        <v>1</v>
      </c>
      <c r="L56" t="b">
        <v>0</v>
      </c>
      <c r="M56" t="b">
        <v>1</v>
      </c>
      <c r="N56" s="38" t="s">
        <v>923</v>
      </c>
      <c r="O56" s="183" t="b">
        <v>1</v>
      </c>
      <c r="Q56" t="s">
        <v>924</v>
      </c>
    </row>
    <row r="57" spans="1:17" x14ac:dyDescent="0.35">
      <c r="A57" s="34" t="s">
        <v>64</v>
      </c>
      <c r="B57" s="3" t="s">
        <v>352</v>
      </c>
      <c r="C57" s="111" t="s">
        <v>1434</v>
      </c>
      <c r="D57" t="s">
        <v>336</v>
      </c>
      <c r="E57">
        <v>28</v>
      </c>
      <c r="F57" t="s">
        <v>924</v>
      </c>
      <c r="G57" s="38" t="b">
        <v>1</v>
      </c>
      <c r="H57" s="38" t="b">
        <v>0</v>
      </c>
      <c r="K57" t="b">
        <v>1</v>
      </c>
      <c r="L57" t="b">
        <v>0</v>
      </c>
      <c r="M57" t="b">
        <v>1</v>
      </c>
      <c r="N57" s="38" t="s">
        <v>923</v>
      </c>
      <c r="O57" s="183" t="b">
        <v>1</v>
      </c>
      <c r="Q57" t="s">
        <v>924</v>
      </c>
    </row>
    <row r="58" spans="1:17" x14ac:dyDescent="0.35">
      <c r="A58" s="34" t="s">
        <v>1359</v>
      </c>
      <c r="B58" s="3" t="s">
        <v>1360</v>
      </c>
      <c r="C58" s="111" t="s">
        <v>1435</v>
      </c>
      <c r="D58" t="s">
        <v>336</v>
      </c>
      <c r="E58">
        <v>29</v>
      </c>
      <c r="F58" t="s">
        <v>924</v>
      </c>
      <c r="G58" s="38" t="b">
        <v>1</v>
      </c>
      <c r="H58" s="38" t="b">
        <v>0</v>
      </c>
      <c r="K58" t="b">
        <v>1</v>
      </c>
      <c r="L58" t="b">
        <v>0</v>
      </c>
      <c r="M58" t="b">
        <v>0</v>
      </c>
      <c r="N58" s="38" t="s">
        <v>923</v>
      </c>
      <c r="O58" s="183" t="b">
        <v>0</v>
      </c>
    </row>
    <row r="59" spans="1:17" x14ac:dyDescent="0.35">
      <c r="A59" s="34" t="s">
        <v>65</v>
      </c>
      <c r="B59" s="3" t="s">
        <v>1362</v>
      </c>
      <c r="C59" s="111" t="s">
        <v>1436</v>
      </c>
      <c r="D59" t="s">
        <v>336</v>
      </c>
      <c r="E59">
        <v>30</v>
      </c>
      <c r="F59" t="s">
        <v>924</v>
      </c>
      <c r="G59" s="38" t="b">
        <v>1</v>
      </c>
      <c r="H59" s="38" t="b">
        <v>1</v>
      </c>
      <c r="J59" s="15" t="s">
        <v>924</v>
      </c>
      <c r="K59" t="b">
        <v>0</v>
      </c>
      <c r="L59" t="b">
        <v>0</v>
      </c>
      <c r="M59" t="b">
        <v>0</v>
      </c>
      <c r="N59" s="38" t="s">
        <v>922</v>
      </c>
      <c r="O59" s="183" t="b">
        <v>1</v>
      </c>
      <c r="Q59" t="s">
        <v>924</v>
      </c>
    </row>
    <row r="60" spans="1:17" x14ac:dyDescent="0.35">
      <c r="A60" s="4" t="s">
        <v>66</v>
      </c>
      <c r="B60" s="4" t="s">
        <v>1379</v>
      </c>
      <c r="C60" s="106" t="str">
        <f>"=1 if the authors use Ordinary least squares (reference category)."</f>
        <v>=1 if the authors use Ordinary least squares (reference category).</v>
      </c>
      <c r="D60" t="s">
        <v>318</v>
      </c>
      <c r="E60">
        <v>31</v>
      </c>
      <c r="F60" t="s">
        <v>922</v>
      </c>
      <c r="G60" s="38" t="b">
        <v>1</v>
      </c>
      <c r="H60" s="38" t="b">
        <v>0</v>
      </c>
      <c r="K60" t="b">
        <v>0</v>
      </c>
      <c r="L60" t="b">
        <v>1</v>
      </c>
      <c r="M60" t="b">
        <v>0</v>
      </c>
      <c r="N60" s="38" t="s">
        <v>922</v>
      </c>
      <c r="O60" s="183" t="b">
        <v>1</v>
      </c>
      <c r="P60">
        <v>1</v>
      </c>
    </row>
    <row r="61" spans="1:17" x14ac:dyDescent="0.35">
      <c r="A61" s="4" t="s">
        <v>1466</v>
      </c>
      <c r="B61" s="4" t="s">
        <v>1467</v>
      </c>
      <c r="C61" s="106" t="str">
        <f>"=1 if the authors use Cohort-type or Fixed-effects estimation."</f>
        <v>=1 if the authors use Cohort-type or Fixed-effects estimation.</v>
      </c>
      <c r="D61" t="s">
        <v>318</v>
      </c>
      <c r="E61">
        <v>31</v>
      </c>
      <c r="F61" t="s">
        <v>922</v>
      </c>
      <c r="G61" s="38" t="b">
        <v>1</v>
      </c>
      <c r="H61" s="38" t="b">
        <v>0</v>
      </c>
      <c r="K61" t="b">
        <v>1</v>
      </c>
      <c r="L61" t="b">
        <v>0</v>
      </c>
      <c r="M61" t="b">
        <v>0</v>
      </c>
      <c r="N61" s="38" t="s">
        <v>923</v>
      </c>
      <c r="O61" s="183" t="b">
        <v>1</v>
      </c>
      <c r="P61">
        <v>1</v>
      </c>
    </row>
    <row r="62" spans="1:17" x14ac:dyDescent="0.35">
      <c r="A62" s="4" t="s">
        <v>119</v>
      </c>
      <c r="B62" s="4" t="s">
        <v>1380</v>
      </c>
      <c r="C62" s="106" t="str">
        <f>"=1 if the authors use Two-Stage least squares estimation."</f>
        <v>=1 if the authors use Two-Stage least squares estimation.</v>
      </c>
      <c r="D62" t="s">
        <v>318</v>
      </c>
      <c r="E62">
        <v>31</v>
      </c>
      <c r="F62" t="s">
        <v>922</v>
      </c>
      <c r="G62" s="38" t="b">
        <v>1</v>
      </c>
      <c r="H62" s="38" t="b">
        <v>0</v>
      </c>
      <c r="K62" t="b">
        <v>1</v>
      </c>
      <c r="L62" t="b">
        <v>0</v>
      </c>
      <c r="M62" t="b">
        <v>0</v>
      </c>
      <c r="N62" s="38" t="s">
        <v>923</v>
      </c>
      <c r="O62" s="183" t="b">
        <v>1</v>
      </c>
      <c r="P62">
        <v>1</v>
      </c>
    </row>
    <row r="63" spans="1:17" x14ac:dyDescent="0.35">
      <c r="A63" s="4" t="s">
        <v>129</v>
      </c>
      <c r="B63" s="4" t="s">
        <v>1381</v>
      </c>
      <c r="C63" s="106" t="str">
        <f>"=1 if the authors use Two-step estimation (Heckman and Polachek, 1974)."</f>
        <v>=1 if the authors use Two-step estimation (Heckman and Polachek, 1974).</v>
      </c>
      <c r="D63" t="s">
        <v>318</v>
      </c>
      <c r="E63">
        <v>31</v>
      </c>
      <c r="F63" t="s">
        <v>922</v>
      </c>
      <c r="G63" s="38" t="b">
        <v>1</v>
      </c>
      <c r="H63" s="38" t="b">
        <v>0</v>
      </c>
      <c r="K63" t="b">
        <v>1</v>
      </c>
      <c r="L63" t="b">
        <v>0</v>
      </c>
      <c r="M63" t="b">
        <v>0</v>
      </c>
      <c r="N63" s="38" t="s">
        <v>923</v>
      </c>
      <c r="O63" s="183" t="b">
        <v>1</v>
      </c>
      <c r="P63">
        <v>1</v>
      </c>
    </row>
    <row r="64" spans="1:17" x14ac:dyDescent="0.35">
      <c r="A64" s="4" t="s">
        <v>128</v>
      </c>
      <c r="B64" s="4" t="s">
        <v>1382</v>
      </c>
      <c r="C64" s="106" t="str">
        <f>"=1 if the authors use Probit estimation."</f>
        <v>=1 if the authors use Probit estimation.</v>
      </c>
      <c r="D64" t="s">
        <v>318</v>
      </c>
      <c r="E64">
        <v>31</v>
      </c>
      <c r="F64" t="s">
        <v>922</v>
      </c>
      <c r="G64" s="38" t="b">
        <v>1</v>
      </c>
      <c r="H64" s="38" t="b">
        <v>0</v>
      </c>
      <c r="K64" t="b">
        <v>1</v>
      </c>
      <c r="L64" t="b">
        <v>0</v>
      </c>
      <c r="M64" t="b">
        <v>0</v>
      </c>
      <c r="N64" s="38" t="s">
        <v>923</v>
      </c>
      <c r="O64" s="183" t="b">
        <v>1</v>
      </c>
      <c r="P64">
        <v>1</v>
      </c>
    </row>
    <row r="65" spans="1:16" x14ac:dyDescent="0.35">
      <c r="A65" s="4" t="s">
        <v>67</v>
      </c>
      <c r="B65" s="4" t="s">
        <v>1383</v>
      </c>
      <c r="C65" s="106" t="str">
        <f>"=1 if the authors use Instrumental variables estimation."</f>
        <v>=1 if the authors use Instrumental variables estimation.</v>
      </c>
      <c r="D65" t="s">
        <v>318</v>
      </c>
      <c r="E65">
        <v>31</v>
      </c>
      <c r="F65" t="s">
        <v>922</v>
      </c>
      <c r="G65" s="38" t="b">
        <v>1</v>
      </c>
      <c r="H65" s="38" t="b">
        <v>0</v>
      </c>
      <c r="K65" t="b">
        <v>1</v>
      </c>
      <c r="L65" t="b">
        <v>0</v>
      </c>
      <c r="M65" t="b">
        <v>0</v>
      </c>
      <c r="N65" s="38" t="s">
        <v>923</v>
      </c>
      <c r="O65" s="183" t="b">
        <v>1</v>
      </c>
      <c r="P65">
        <v>1</v>
      </c>
    </row>
    <row r="66" spans="1:16" x14ac:dyDescent="0.35">
      <c r="A66" s="4" t="s">
        <v>68</v>
      </c>
      <c r="B66" s="4" t="s">
        <v>1384</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c r="O66" s="183" t="b">
        <v>1</v>
      </c>
      <c r="P66">
        <v>1</v>
      </c>
    </row>
    <row r="67" spans="1:16" x14ac:dyDescent="0.35">
      <c r="A67" s="4" t="s">
        <v>69</v>
      </c>
      <c r="B67" s="4" t="s">
        <v>1385</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c r="O67" s="183" t="b">
        <v>1</v>
      </c>
      <c r="P67">
        <v>1</v>
      </c>
    </row>
    <row r="68" spans="1:16" x14ac:dyDescent="0.35">
      <c r="A68" s="4" t="s">
        <v>113</v>
      </c>
      <c r="B68" s="4" t="s">
        <v>1386</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c r="O68" s="183" t="b">
        <v>1</v>
      </c>
      <c r="P68">
        <v>1</v>
      </c>
    </row>
    <row r="69" spans="1:16" x14ac:dyDescent="0.35">
      <c r="A69" s="4" t="s">
        <v>114</v>
      </c>
      <c r="B69" s="4" t="s">
        <v>1387</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c r="O69" s="183" t="b">
        <v>1</v>
      </c>
      <c r="P69">
        <v>1</v>
      </c>
    </row>
    <row r="70" spans="1:16" x14ac:dyDescent="0.35">
      <c r="A70" s="4" t="s">
        <v>122</v>
      </c>
      <c r="B70" s="4" t="s">
        <v>1388</v>
      </c>
      <c r="C70" s="106" t="str">
        <f>"=1 if the authors use parents education as an instrument in the regression."</f>
        <v>=1 if the authors use parents education as an instrument in the regression.</v>
      </c>
      <c r="D70" t="s">
        <v>335</v>
      </c>
      <c r="E70">
        <v>33</v>
      </c>
      <c r="F70" t="s">
        <v>922</v>
      </c>
      <c r="G70" s="38" t="b">
        <v>1</v>
      </c>
      <c r="H70" s="38" t="b">
        <v>0</v>
      </c>
      <c r="K70" t="b">
        <v>0</v>
      </c>
      <c r="L70" t="b">
        <v>0</v>
      </c>
      <c r="M70" t="b">
        <v>0</v>
      </c>
      <c r="N70" s="38" t="s">
        <v>922</v>
      </c>
      <c r="O70" s="183" t="b">
        <v>0</v>
      </c>
    </row>
    <row r="71" spans="1:16" x14ac:dyDescent="0.35">
      <c r="A71" s="4" t="s">
        <v>132</v>
      </c>
      <c r="B71" s="4" t="s">
        <v>1389</v>
      </c>
      <c r="C71" s="106" t="str">
        <f>"=1 if the authors use distance to school as an instrument in the regression."</f>
        <v>=1 if the authors use distance to school as an instrument in the regression.</v>
      </c>
      <c r="D71" t="s">
        <v>335</v>
      </c>
      <c r="E71">
        <v>33</v>
      </c>
      <c r="F71" t="s">
        <v>922</v>
      </c>
      <c r="G71" s="38" t="b">
        <v>1</v>
      </c>
      <c r="H71" s="38" t="b">
        <v>0</v>
      </c>
      <c r="K71" t="b">
        <v>0</v>
      </c>
      <c r="L71" t="b">
        <v>0</v>
      </c>
      <c r="M71" t="b">
        <v>0</v>
      </c>
      <c r="N71" s="38" t="s">
        <v>922</v>
      </c>
      <c r="O71" s="183" t="b">
        <v>0</v>
      </c>
    </row>
    <row r="72" spans="1:16" x14ac:dyDescent="0.35">
      <c r="A72" s="4" t="s">
        <v>123</v>
      </c>
      <c r="B72" s="4" t="s">
        <v>1390</v>
      </c>
      <c r="C72" s="106" t="str">
        <f>"=1 if the authors use another instrument in the regression."</f>
        <v>=1 if the authors use another instrument in the regression.</v>
      </c>
      <c r="D72" t="s">
        <v>335</v>
      </c>
      <c r="E72">
        <v>33</v>
      </c>
      <c r="F72" t="s">
        <v>922</v>
      </c>
      <c r="G72" s="38" t="b">
        <v>1</v>
      </c>
      <c r="H72" s="38" t="b">
        <v>0</v>
      </c>
      <c r="K72" t="b">
        <v>0</v>
      </c>
      <c r="L72" t="b">
        <v>0</v>
      </c>
      <c r="M72" t="b">
        <v>0</v>
      </c>
      <c r="N72" s="38" t="s">
        <v>922</v>
      </c>
      <c r="O72" s="183" t="b">
        <v>0</v>
      </c>
    </row>
    <row r="73" spans="1:16" x14ac:dyDescent="0.35">
      <c r="A73" s="4" t="s">
        <v>70</v>
      </c>
      <c r="B73" s="4" t="s">
        <v>1391</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c r="O73" s="183" t="b">
        <v>0</v>
      </c>
    </row>
    <row r="74" spans="1:16" x14ac:dyDescent="0.35">
      <c r="A74" s="4" t="s">
        <v>71</v>
      </c>
      <c r="B74" s="4" t="s">
        <v>1404</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c r="O74" s="183" t="b">
        <v>0</v>
      </c>
    </row>
    <row r="75" spans="1:16" x14ac:dyDescent="0.35">
      <c r="A75" s="4" t="s">
        <v>72</v>
      </c>
      <c r="B75" s="4" t="s">
        <v>1392</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c r="O75" s="183" t="b">
        <v>0</v>
      </c>
    </row>
    <row r="76" spans="1:16" x14ac:dyDescent="0.35">
      <c r="A76" s="4" t="s">
        <v>98</v>
      </c>
      <c r="B76" s="4" t="s">
        <v>1403</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c r="O76" s="183" t="b">
        <v>0</v>
      </c>
    </row>
    <row r="77" spans="1:16" x14ac:dyDescent="0.35">
      <c r="A77" s="4" t="s">
        <v>73</v>
      </c>
      <c r="B77" s="4" t="s">
        <v>1393</v>
      </c>
      <c r="C77" s="106" t="str">
        <f>"=1 if the authors control for ethnicity in the regression."</f>
        <v>=1 if the authors control for ethnicity in the regression.</v>
      </c>
      <c r="D77" t="s">
        <v>335</v>
      </c>
      <c r="E77">
        <v>34</v>
      </c>
      <c r="F77" t="s">
        <v>922</v>
      </c>
      <c r="G77" s="38" t="b">
        <v>1</v>
      </c>
      <c r="H77" s="38" t="b">
        <v>0</v>
      </c>
      <c r="K77" t="b">
        <v>1</v>
      </c>
      <c r="L77" t="b">
        <v>0</v>
      </c>
      <c r="M77" t="b">
        <v>0</v>
      </c>
      <c r="N77" s="38" t="s">
        <v>923</v>
      </c>
      <c r="O77" s="183" t="b">
        <v>0</v>
      </c>
    </row>
    <row r="78" spans="1:16" x14ac:dyDescent="0.35">
      <c r="A78" s="4" t="s">
        <v>74</v>
      </c>
      <c r="B78" s="4" t="s">
        <v>1394</v>
      </c>
      <c r="C78" s="106" t="str">
        <f>"=1 if the authors control for health in the regression."</f>
        <v>=1 if the authors control for health in the regression.</v>
      </c>
      <c r="D78" t="s">
        <v>335</v>
      </c>
      <c r="E78">
        <v>34</v>
      </c>
      <c r="F78" t="s">
        <v>922</v>
      </c>
      <c r="G78" s="38" t="b">
        <v>1</v>
      </c>
      <c r="H78" s="38" t="b">
        <v>0</v>
      </c>
      <c r="K78" t="b">
        <v>1</v>
      </c>
      <c r="L78" t="b">
        <v>0</v>
      </c>
      <c r="M78" t="b">
        <v>0</v>
      </c>
      <c r="N78" s="38" t="s">
        <v>923</v>
      </c>
      <c r="O78" s="183" t="b">
        <v>0</v>
      </c>
    </row>
    <row r="79" spans="1:16" x14ac:dyDescent="0.35">
      <c r="A79" s="4" t="s">
        <v>75</v>
      </c>
      <c r="B79" s="4" t="s">
        <v>1395</v>
      </c>
      <c r="C79" s="106" t="str">
        <f>"=1 if the authors control for gender in the regression."</f>
        <v>=1 if the authors control for gender in the regression.</v>
      </c>
      <c r="D79" t="s">
        <v>335</v>
      </c>
      <c r="E79">
        <v>34</v>
      </c>
      <c r="F79" t="s">
        <v>922</v>
      </c>
      <c r="G79" s="38" t="b">
        <v>1</v>
      </c>
      <c r="H79" s="38" t="b">
        <v>0</v>
      </c>
      <c r="K79" t="b">
        <v>1</v>
      </c>
      <c r="L79" t="b">
        <v>0</v>
      </c>
      <c r="M79" t="b">
        <v>0</v>
      </c>
      <c r="N79" s="38" t="s">
        <v>923</v>
      </c>
      <c r="O79" s="183" t="b">
        <v>0</v>
      </c>
    </row>
    <row r="80" spans="1:16" x14ac:dyDescent="0.35">
      <c r="A80" s="4" t="s">
        <v>1305</v>
      </c>
      <c r="B80" s="4" t="s">
        <v>1396</v>
      </c>
      <c r="C80" s="106" t="str">
        <f>"=1 if the authors control for marriage in the regression."</f>
        <v>=1 if the authors control for marriage in the regression.</v>
      </c>
      <c r="D80" t="s">
        <v>335</v>
      </c>
      <c r="E80">
        <v>34</v>
      </c>
      <c r="F80" t="s">
        <v>922</v>
      </c>
      <c r="G80" s="38" t="b">
        <v>1</v>
      </c>
      <c r="H80" s="38" t="b">
        <v>0</v>
      </c>
      <c r="K80" t="b">
        <v>1</v>
      </c>
      <c r="L80" t="b">
        <v>0</v>
      </c>
      <c r="M80" t="b">
        <v>0</v>
      </c>
      <c r="N80" s="38" t="s">
        <v>923</v>
      </c>
      <c r="O80" s="183" t="b">
        <v>0</v>
      </c>
    </row>
    <row r="81" spans="1:17" x14ac:dyDescent="0.35">
      <c r="A81" s="4" t="s">
        <v>76</v>
      </c>
      <c r="B81" s="4" t="s">
        <v>1397</v>
      </c>
      <c r="C81" s="106" t="str">
        <f>"=1 if the authors control for occupation of the subjects in the regression."</f>
        <v>=1 if the authors control for occupation of the subjects in the regression.</v>
      </c>
      <c r="D81" t="s">
        <v>335</v>
      </c>
      <c r="E81">
        <v>34</v>
      </c>
      <c r="F81" t="s">
        <v>922</v>
      </c>
      <c r="G81" s="38" t="b">
        <v>1</v>
      </c>
      <c r="H81" s="38" t="b">
        <v>0</v>
      </c>
      <c r="K81" t="b">
        <v>1</v>
      </c>
      <c r="L81" t="b">
        <v>0</v>
      </c>
      <c r="M81" t="b">
        <v>0</v>
      </c>
      <c r="N81" s="38" t="s">
        <v>923</v>
      </c>
      <c r="O81" s="183" t="b">
        <v>0</v>
      </c>
    </row>
    <row r="82" spans="1:17" x14ac:dyDescent="0.35">
      <c r="A82" s="4" t="s">
        <v>78</v>
      </c>
      <c r="B82" s="4" t="s">
        <v>1452</v>
      </c>
      <c r="C82" s="106" t="str">
        <f>"=1 if the authors control for firm characteristics in the regression."</f>
        <v>=1 if the authors control for firm characteristics in the regression.</v>
      </c>
      <c r="D82" t="s">
        <v>335</v>
      </c>
      <c r="E82">
        <v>34</v>
      </c>
      <c r="F82" t="s">
        <v>922</v>
      </c>
      <c r="G82" s="38" t="b">
        <v>1</v>
      </c>
      <c r="H82" s="38" t="b">
        <v>0</v>
      </c>
      <c r="K82" t="b">
        <v>1</v>
      </c>
      <c r="L82" t="b">
        <v>0</v>
      </c>
      <c r="M82" t="b">
        <v>0</v>
      </c>
      <c r="N82" s="38" t="s">
        <v>923</v>
      </c>
      <c r="O82" s="183" t="b">
        <v>0</v>
      </c>
    </row>
    <row r="83" spans="1:17" x14ac:dyDescent="0.35">
      <c r="A83" s="4" t="s">
        <v>130</v>
      </c>
      <c r="B83" s="4" t="s">
        <v>1398</v>
      </c>
      <c r="C83" s="106" t="str">
        <f>"=1 if the authors control for area type in the regression (e.g., urban, rural)."</f>
        <v>=1 if the authors control for area type in the regression (e.g., urban, rural).</v>
      </c>
      <c r="D83" t="s">
        <v>335</v>
      </c>
      <c r="E83">
        <v>34</v>
      </c>
      <c r="F83" t="s">
        <v>922</v>
      </c>
      <c r="G83" s="38" t="b">
        <v>1</v>
      </c>
      <c r="H83" s="38" t="b">
        <v>0</v>
      </c>
      <c r="K83" t="b">
        <v>1</v>
      </c>
      <c r="L83" t="b">
        <v>0</v>
      </c>
      <c r="M83" t="b">
        <v>0</v>
      </c>
      <c r="N83" s="38" t="s">
        <v>923</v>
      </c>
      <c r="O83" s="183" t="b">
        <v>0</v>
      </c>
    </row>
    <row r="84" spans="1:17" x14ac:dyDescent="0.35">
      <c r="A84" s="4" t="s">
        <v>77</v>
      </c>
      <c r="B84" s="4" t="s">
        <v>1454</v>
      </c>
      <c r="C84" s="106" t="str">
        <f>"=1 if the authors control for macroeconomic variables in the regression."</f>
        <v>=1 if the authors control for macroeconomic variables in the regression.</v>
      </c>
      <c r="D84" t="s">
        <v>335</v>
      </c>
      <c r="E84">
        <v>34</v>
      </c>
      <c r="F84" t="s">
        <v>922</v>
      </c>
      <c r="G84" s="38" t="b">
        <v>1</v>
      </c>
      <c r="H84" s="38" t="b">
        <v>0</v>
      </c>
      <c r="K84" t="b">
        <v>1</v>
      </c>
      <c r="L84" t="b">
        <v>0</v>
      </c>
      <c r="M84" t="b">
        <v>0</v>
      </c>
      <c r="N84" s="38" t="s">
        <v>923</v>
      </c>
      <c r="O84" s="183" t="b">
        <v>0</v>
      </c>
    </row>
    <row r="85" spans="1:17" x14ac:dyDescent="0.35">
      <c r="A85" s="40" t="s">
        <v>79</v>
      </c>
      <c r="B85" s="40" t="s">
        <v>353</v>
      </c>
      <c r="C85" s="107" t="s">
        <v>1437</v>
      </c>
      <c r="D85" t="s">
        <v>336</v>
      </c>
      <c r="E85">
        <v>35</v>
      </c>
      <c r="F85" t="s">
        <v>922</v>
      </c>
      <c r="G85" s="38" t="b">
        <v>1</v>
      </c>
      <c r="H85" s="38" t="b">
        <v>1</v>
      </c>
      <c r="J85" s="15" t="s">
        <v>924</v>
      </c>
      <c r="K85" t="b">
        <v>1</v>
      </c>
      <c r="L85" t="b">
        <v>0</v>
      </c>
      <c r="M85" t="b">
        <v>1</v>
      </c>
      <c r="N85" s="38" t="s">
        <v>1361</v>
      </c>
      <c r="O85" s="183" t="b">
        <v>1</v>
      </c>
      <c r="Q85" t="s">
        <v>924</v>
      </c>
    </row>
    <row r="86" spans="1:17" x14ac:dyDescent="0.35">
      <c r="A86" s="40" t="s">
        <v>80</v>
      </c>
      <c r="B86" s="40" t="s">
        <v>354</v>
      </c>
      <c r="C86" s="107" t="s">
        <v>1438</v>
      </c>
      <c r="D86" t="s">
        <v>335</v>
      </c>
      <c r="E86">
        <v>36</v>
      </c>
      <c r="F86" t="s">
        <v>922</v>
      </c>
      <c r="G86" s="38" t="b">
        <v>1</v>
      </c>
      <c r="H86" s="38" t="b">
        <v>1</v>
      </c>
      <c r="J86" s="15" t="s">
        <v>924</v>
      </c>
      <c r="K86" t="b">
        <v>1</v>
      </c>
      <c r="L86" t="b">
        <v>0</v>
      </c>
      <c r="M86" t="b">
        <v>1</v>
      </c>
      <c r="N86" s="38" t="s">
        <v>1361</v>
      </c>
      <c r="O86" s="183" t="b">
        <v>1</v>
      </c>
      <c r="Q86" t="s">
        <v>924</v>
      </c>
    </row>
    <row r="87" spans="1:17" x14ac:dyDescent="0.35">
      <c r="A87" s="40" t="s">
        <v>81</v>
      </c>
      <c r="B87" s="40" t="s">
        <v>1399</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c r="O87" s="183" t="b">
        <v>1</v>
      </c>
      <c r="P87">
        <v>1</v>
      </c>
    </row>
    <row r="88" spans="1:17" x14ac:dyDescent="0.35">
      <c r="A88" s="40" t="s">
        <v>339</v>
      </c>
      <c r="B88" s="40" t="s">
        <v>1400</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c r="O88" s="183" t="b">
        <v>1</v>
      </c>
      <c r="P88">
        <v>1</v>
      </c>
    </row>
    <row r="89" spans="1:17" x14ac:dyDescent="0.35">
      <c r="A89" s="40" t="s">
        <v>82</v>
      </c>
      <c r="B89" s="40" t="s">
        <v>355</v>
      </c>
      <c r="C89" s="107" t="s">
        <v>1471</v>
      </c>
      <c r="D89" t="s">
        <v>335</v>
      </c>
      <c r="E89">
        <v>38</v>
      </c>
      <c r="F89" t="s">
        <v>922</v>
      </c>
      <c r="G89" s="38" t="b">
        <v>1</v>
      </c>
      <c r="H89" s="38" t="b">
        <v>0</v>
      </c>
      <c r="K89" t="b">
        <v>1</v>
      </c>
      <c r="L89" t="b">
        <v>0</v>
      </c>
      <c r="M89" t="b">
        <v>1</v>
      </c>
      <c r="N89" s="38" t="s">
        <v>923</v>
      </c>
      <c r="O89" s="183" t="b">
        <v>0</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K2:M1984 G2:H1984 O2:O89">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1640625" defaultRowHeight="14.5" x14ac:dyDescent="0.35"/>
  <sheetData>
    <row r="1" spans="1:12" x14ac:dyDescent="0.35">
      <c r="A1" s="141" t="s">
        <v>36</v>
      </c>
      <c r="B1" s="141" t="s">
        <v>55</v>
      </c>
      <c r="C1" s="141" t="s">
        <v>56</v>
      </c>
      <c r="D1" s="141" t="s">
        <v>57</v>
      </c>
      <c r="E1" s="141" t="s">
        <v>58</v>
      </c>
      <c r="F1" s="141" t="s">
        <v>59</v>
      </c>
      <c r="G1" s="141" t="s">
        <v>60</v>
      </c>
      <c r="H1" s="141" t="s">
        <v>61</v>
      </c>
      <c r="I1" s="141" t="s">
        <v>54</v>
      </c>
      <c r="J1" s="141" t="s">
        <v>52</v>
      </c>
      <c r="K1" s="141" t="s">
        <v>53</v>
      </c>
    </row>
    <row r="2" spans="1:12" x14ac:dyDescent="0.35">
      <c r="A2" t="s">
        <v>483</v>
      </c>
      <c r="B2">
        <v>0</v>
      </c>
      <c r="C2">
        <v>0</v>
      </c>
      <c r="D2">
        <v>1</v>
      </c>
      <c r="E2">
        <v>0</v>
      </c>
      <c r="F2">
        <v>0</v>
      </c>
      <c r="G2">
        <v>0</v>
      </c>
      <c r="H2">
        <v>0</v>
      </c>
      <c r="I2">
        <v>0</v>
      </c>
      <c r="J2">
        <v>0</v>
      </c>
      <c r="K2">
        <v>1</v>
      </c>
      <c r="L2" s="142"/>
    </row>
    <row r="3" spans="1:12" x14ac:dyDescent="0.35">
      <c r="A3" t="s">
        <v>419</v>
      </c>
      <c r="B3">
        <v>0</v>
      </c>
      <c r="C3">
        <v>0</v>
      </c>
      <c r="D3">
        <v>0</v>
      </c>
      <c r="E3">
        <v>0</v>
      </c>
      <c r="F3">
        <v>1</v>
      </c>
      <c r="G3">
        <v>0</v>
      </c>
      <c r="H3">
        <v>0</v>
      </c>
      <c r="I3">
        <v>0</v>
      </c>
      <c r="J3">
        <v>0</v>
      </c>
      <c r="K3">
        <v>1</v>
      </c>
      <c r="L3" s="142"/>
    </row>
    <row r="4" spans="1:12" x14ac:dyDescent="0.35">
      <c r="A4" t="s">
        <v>456</v>
      </c>
      <c r="B4">
        <v>0</v>
      </c>
      <c r="C4">
        <v>0</v>
      </c>
      <c r="D4">
        <v>0</v>
      </c>
      <c r="E4">
        <v>1</v>
      </c>
      <c r="F4">
        <v>0</v>
      </c>
      <c r="G4">
        <v>0</v>
      </c>
      <c r="H4">
        <v>0</v>
      </c>
      <c r="I4">
        <v>1</v>
      </c>
      <c r="J4">
        <v>0</v>
      </c>
      <c r="K4">
        <v>0</v>
      </c>
    </row>
    <row r="5" spans="1:12" x14ac:dyDescent="0.35">
      <c r="A5" t="s">
        <v>2</v>
      </c>
      <c r="B5">
        <v>1</v>
      </c>
      <c r="C5">
        <v>0</v>
      </c>
      <c r="D5">
        <v>0</v>
      </c>
      <c r="E5">
        <v>0</v>
      </c>
      <c r="F5">
        <v>0</v>
      </c>
      <c r="G5">
        <v>0</v>
      </c>
      <c r="H5">
        <v>0</v>
      </c>
      <c r="I5">
        <v>1</v>
      </c>
      <c r="J5">
        <v>0</v>
      </c>
      <c r="K5">
        <v>0</v>
      </c>
    </row>
    <row r="6" spans="1:12" x14ac:dyDescent="0.35">
      <c r="A6" t="s">
        <v>382</v>
      </c>
      <c r="B6">
        <v>1</v>
      </c>
      <c r="C6">
        <v>0</v>
      </c>
      <c r="D6">
        <v>0</v>
      </c>
      <c r="E6">
        <v>0</v>
      </c>
      <c r="F6">
        <v>0</v>
      </c>
      <c r="G6">
        <v>0</v>
      </c>
      <c r="H6">
        <v>0</v>
      </c>
      <c r="I6">
        <v>1</v>
      </c>
      <c r="J6">
        <v>0</v>
      </c>
      <c r="K6">
        <v>0</v>
      </c>
    </row>
    <row r="7" spans="1:12" x14ac:dyDescent="0.35">
      <c r="A7" t="s">
        <v>484</v>
      </c>
      <c r="B7">
        <v>0</v>
      </c>
      <c r="C7">
        <v>0</v>
      </c>
      <c r="D7">
        <v>1</v>
      </c>
      <c r="E7">
        <v>0</v>
      </c>
      <c r="F7">
        <v>0</v>
      </c>
      <c r="G7">
        <v>0</v>
      </c>
      <c r="H7">
        <v>0</v>
      </c>
      <c r="I7">
        <v>0</v>
      </c>
      <c r="J7">
        <v>0</v>
      </c>
      <c r="K7">
        <v>1</v>
      </c>
      <c r="L7" s="142"/>
    </row>
    <row r="8" spans="1:12" x14ac:dyDescent="0.35">
      <c r="A8" t="s">
        <v>3</v>
      </c>
      <c r="B8">
        <v>0</v>
      </c>
      <c r="C8">
        <v>0</v>
      </c>
      <c r="D8">
        <v>0</v>
      </c>
      <c r="E8">
        <v>0</v>
      </c>
      <c r="F8">
        <v>0</v>
      </c>
      <c r="G8">
        <v>1</v>
      </c>
      <c r="H8">
        <v>0</v>
      </c>
      <c r="I8">
        <v>0</v>
      </c>
      <c r="J8">
        <v>0</v>
      </c>
      <c r="K8">
        <v>1</v>
      </c>
    </row>
    <row r="9" spans="1:12" x14ac:dyDescent="0.35">
      <c r="A9" t="s">
        <v>502</v>
      </c>
      <c r="B9">
        <v>0</v>
      </c>
      <c r="C9">
        <v>0</v>
      </c>
      <c r="D9">
        <v>1</v>
      </c>
      <c r="E9">
        <v>0</v>
      </c>
      <c r="F9">
        <v>0</v>
      </c>
      <c r="G9">
        <v>0</v>
      </c>
      <c r="H9">
        <v>0</v>
      </c>
      <c r="I9">
        <v>0</v>
      </c>
      <c r="J9">
        <v>0</v>
      </c>
      <c r="K9">
        <v>1</v>
      </c>
      <c r="L9" s="142"/>
    </row>
    <row r="10" spans="1:12" x14ac:dyDescent="0.35">
      <c r="A10" t="s">
        <v>491</v>
      </c>
      <c r="B10">
        <v>1</v>
      </c>
      <c r="C10">
        <v>0</v>
      </c>
      <c r="D10">
        <v>0</v>
      </c>
      <c r="E10">
        <v>0</v>
      </c>
      <c r="F10">
        <v>0</v>
      </c>
      <c r="G10">
        <v>0</v>
      </c>
      <c r="H10">
        <v>0</v>
      </c>
      <c r="I10">
        <v>1</v>
      </c>
      <c r="J10">
        <v>0</v>
      </c>
      <c r="K10">
        <v>0</v>
      </c>
    </row>
    <row r="11" spans="1:12" x14ac:dyDescent="0.35">
      <c r="A11" t="s">
        <v>463</v>
      </c>
      <c r="B11">
        <v>0</v>
      </c>
      <c r="C11">
        <v>0</v>
      </c>
      <c r="D11">
        <v>0</v>
      </c>
      <c r="E11">
        <v>1</v>
      </c>
      <c r="F11">
        <v>0</v>
      </c>
      <c r="G11">
        <v>0</v>
      </c>
      <c r="H11">
        <v>0</v>
      </c>
      <c r="I11">
        <v>0</v>
      </c>
      <c r="J11">
        <v>0</v>
      </c>
      <c r="K11">
        <v>1</v>
      </c>
      <c r="L11" s="142"/>
    </row>
    <row r="12" spans="1:12" x14ac:dyDescent="0.35">
      <c r="A12" t="s">
        <v>464</v>
      </c>
      <c r="B12">
        <v>0</v>
      </c>
      <c r="C12">
        <v>0</v>
      </c>
      <c r="D12">
        <v>0</v>
      </c>
      <c r="E12">
        <v>1</v>
      </c>
      <c r="F12">
        <v>0</v>
      </c>
      <c r="G12">
        <v>0</v>
      </c>
      <c r="H12">
        <v>0</v>
      </c>
      <c r="I12">
        <v>0</v>
      </c>
      <c r="J12">
        <v>0</v>
      </c>
      <c r="K12">
        <v>1</v>
      </c>
    </row>
    <row r="13" spans="1:12" x14ac:dyDescent="0.35">
      <c r="A13" t="s">
        <v>485</v>
      </c>
      <c r="B13">
        <v>0</v>
      </c>
      <c r="C13">
        <v>0</v>
      </c>
      <c r="D13">
        <v>1</v>
      </c>
      <c r="E13">
        <v>0</v>
      </c>
      <c r="F13">
        <v>0</v>
      </c>
      <c r="G13">
        <v>0</v>
      </c>
      <c r="H13">
        <v>0</v>
      </c>
      <c r="I13">
        <v>0</v>
      </c>
      <c r="J13">
        <v>0</v>
      </c>
      <c r="K13">
        <v>1</v>
      </c>
      <c r="L13" s="142"/>
    </row>
    <row r="14" spans="1:12" x14ac:dyDescent="0.35">
      <c r="A14" t="s">
        <v>465</v>
      </c>
      <c r="B14">
        <v>0</v>
      </c>
      <c r="C14">
        <v>0</v>
      </c>
      <c r="D14">
        <v>0</v>
      </c>
      <c r="E14">
        <v>0</v>
      </c>
      <c r="F14">
        <v>0</v>
      </c>
      <c r="G14">
        <v>0</v>
      </c>
      <c r="H14">
        <v>1</v>
      </c>
      <c r="I14">
        <v>0</v>
      </c>
      <c r="J14">
        <v>0</v>
      </c>
      <c r="K14">
        <v>1</v>
      </c>
      <c r="L14" s="142"/>
    </row>
    <row r="15" spans="1:12" x14ac:dyDescent="0.35">
      <c r="A15" t="s">
        <v>427</v>
      </c>
      <c r="B15">
        <v>0</v>
      </c>
      <c r="C15">
        <v>0</v>
      </c>
      <c r="D15">
        <v>0</v>
      </c>
      <c r="E15">
        <v>1</v>
      </c>
      <c r="F15">
        <v>0</v>
      </c>
      <c r="G15">
        <v>0</v>
      </c>
      <c r="H15">
        <v>0</v>
      </c>
      <c r="I15">
        <v>0</v>
      </c>
      <c r="J15">
        <v>0</v>
      </c>
      <c r="K15">
        <v>1</v>
      </c>
    </row>
    <row r="16" spans="1:12" x14ac:dyDescent="0.35">
      <c r="A16" t="s">
        <v>448</v>
      </c>
      <c r="B16">
        <v>0</v>
      </c>
      <c r="C16">
        <v>0</v>
      </c>
      <c r="D16">
        <v>1</v>
      </c>
      <c r="E16">
        <v>0</v>
      </c>
      <c r="F16">
        <v>0</v>
      </c>
      <c r="G16">
        <v>0</v>
      </c>
      <c r="H16">
        <v>0</v>
      </c>
      <c r="I16">
        <v>0</v>
      </c>
      <c r="J16">
        <v>0</v>
      </c>
      <c r="K16">
        <v>1</v>
      </c>
      <c r="L16" s="142"/>
    </row>
    <row r="17" spans="1:12" x14ac:dyDescent="0.35">
      <c r="A17" t="s">
        <v>492</v>
      </c>
      <c r="B17">
        <v>0</v>
      </c>
      <c r="C17">
        <v>0</v>
      </c>
      <c r="D17">
        <v>0</v>
      </c>
      <c r="E17">
        <v>0</v>
      </c>
      <c r="F17">
        <v>0</v>
      </c>
      <c r="G17">
        <v>0</v>
      </c>
      <c r="H17">
        <v>1</v>
      </c>
      <c r="I17">
        <v>0</v>
      </c>
      <c r="J17">
        <v>1</v>
      </c>
      <c r="K17">
        <v>0</v>
      </c>
      <c r="L17" s="142"/>
    </row>
    <row r="18" spans="1:12" x14ac:dyDescent="0.35">
      <c r="A18" t="s">
        <v>476</v>
      </c>
      <c r="B18">
        <v>0</v>
      </c>
      <c r="C18">
        <v>1</v>
      </c>
      <c r="D18">
        <v>0</v>
      </c>
      <c r="E18">
        <v>0</v>
      </c>
      <c r="F18">
        <v>0</v>
      </c>
      <c r="G18">
        <v>0</v>
      </c>
      <c r="H18">
        <v>0</v>
      </c>
      <c r="I18">
        <v>0</v>
      </c>
      <c r="J18">
        <v>1</v>
      </c>
      <c r="K18">
        <v>0</v>
      </c>
      <c r="L18" s="142"/>
    </row>
    <row r="19" spans="1:12" x14ac:dyDescent="0.35">
      <c r="A19" t="s">
        <v>428</v>
      </c>
      <c r="B19">
        <v>0</v>
      </c>
      <c r="C19">
        <v>0</v>
      </c>
      <c r="D19">
        <v>0</v>
      </c>
      <c r="E19">
        <v>0</v>
      </c>
      <c r="F19">
        <v>0</v>
      </c>
      <c r="G19">
        <v>0</v>
      </c>
      <c r="H19">
        <v>1</v>
      </c>
      <c r="I19">
        <v>0</v>
      </c>
      <c r="J19">
        <v>0</v>
      </c>
      <c r="K19">
        <v>1</v>
      </c>
      <c r="L19" s="142"/>
    </row>
    <row r="20" spans="1:12" x14ac:dyDescent="0.35">
      <c r="A20" t="s">
        <v>466</v>
      </c>
      <c r="B20">
        <v>1</v>
      </c>
      <c r="C20">
        <v>0</v>
      </c>
      <c r="D20">
        <v>0</v>
      </c>
      <c r="E20">
        <v>0</v>
      </c>
      <c r="F20">
        <v>0</v>
      </c>
      <c r="G20">
        <v>0</v>
      </c>
      <c r="H20">
        <v>0</v>
      </c>
      <c r="I20">
        <v>1</v>
      </c>
      <c r="J20">
        <v>0</v>
      </c>
      <c r="K20">
        <v>0</v>
      </c>
    </row>
    <row r="21" spans="1:12" x14ac:dyDescent="0.35">
      <c r="A21" t="s">
        <v>467</v>
      </c>
      <c r="B21">
        <v>1</v>
      </c>
      <c r="C21">
        <v>0</v>
      </c>
      <c r="D21">
        <v>0</v>
      </c>
      <c r="E21">
        <v>0</v>
      </c>
      <c r="F21">
        <v>0</v>
      </c>
      <c r="G21">
        <v>0</v>
      </c>
      <c r="H21">
        <v>0</v>
      </c>
      <c r="I21">
        <v>1</v>
      </c>
      <c r="J21">
        <v>0</v>
      </c>
      <c r="K21">
        <v>0</v>
      </c>
    </row>
    <row r="22" spans="1:12" x14ac:dyDescent="0.35">
      <c r="A22" t="s">
        <v>5</v>
      </c>
      <c r="B22">
        <v>0</v>
      </c>
      <c r="C22">
        <v>1</v>
      </c>
      <c r="D22">
        <v>0</v>
      </c>
      <c r="E22">
        <v>0</v>
      </c>
      <c r="F22">
        <v>0</v>
      </c>
      <c r="G22">
        <v>0</v>
      </c>
      <c r="H22">
        <v>0</v>
      </c>
      <c r="I22">
        <v>0</v>
      </c>
      <c r="J22">
        <v>0</v>
      </c>
      <c r="K22">
        <v>1</v>
      </c>
    </row>
    <row r="23" spans="1:12" x14ac:dyDescent="0.35">
      <c r="A23" t="s">
        <v>468</v>
      </c>
      <c r="B23">
        <v>0</v>
      </c>
      <c r="C23">
        <v>0</v>
      </c>
      <c r="D23">
        <v>0</v>
      </c>
      <c r="E23">
        <v>1</v>
      </c>
      <c r="F23">
        <v>0</v>
      </c>
      <c r="G23">
        <v>0</v>
      </c>
      <c r="H23">
        <v>0</v>
      </c>
      <c r="I23">
        <v>0</v>
      </c>
      <c r="J23">
        <v>0</v>
      </c>
      <c r="K23">
        <v>1</v>
      </c>
    </row>
    <row r="24" spans="1:12" x14ac:dyDescent="0.35">
      <c r="A24" t="s">
        <v>429</v>
      </c>
      <c r="B24">
        <v>0</v>
      </c>
      <c r="C24">
        <v>0</v>
      </c>
      <c r="D24">
        <v>0</v>
      </c>
      <c r="E24">
        <v>1</v>
      </c>
      <c r="F24">
        <v>0</v>
      </c>
      <c r="G24">
        <v>0</v>
      </c>
      <c r="H24">
        <v>0</v>
      </c>
      <c r="I24">
        <v>0</v>
      </c>
      <c r="J24">
        <v>0</v>
      </c>
      <c r="K24">
        <v>1</v>
      </c>
    </row>
    <row r="25" spans="1:12" x14ac:dyDescent="0.35">
      <c r="A25" t="s">
        <v>469</v>
      </c>
      <c r="B25">
        <v>0</v>
      </c>
      <c r="C25">
        <v>0</v>
      </c>
      <c r="D25">
        <v>0</v>
      </c>
      <c r="E25">
        <v>0</v>
      </c>
      <c r="F25">
        <v>0</v>
      </c>
      <c r="G25">
        <v>0</v>
      </c>
      <c r="H25">
        <v>1</v>
      </c>
      <c r="I25">
        <v>0</v>
      </c>
      <c r="J25">
        <v>0</v>
      </c>
      <c r="K25">
        <v>1</v>
      </c>
      <c r="L25" s="142"/>
    </row>
    <row r="26" spans="1:12" x14ac:dyDescent="0.35">
      <c r="A26" t="s">
        <v>497</v>
      </c>
      <c r="B26">
        <v>0</v>
      </c>
      <c r="C26">
        <v>1</v>
      </c>
      <c r="D26">
        <v>0</v>
      </c>
      <c r="E26">
        <v>0</v>
      </c>
      <c r="F26">
        <v>0</v>
      </c>
      <c r="G26">
        <v>0</v>
      </c>
      <c r="H26">
        <v>0</v>
      </c>
      <c r="I26">
        <v>1</v>
      </c>
      <c r="J26">
        <v>0</v>
      </c>
      <c r="K26">
        <v>0</v>
      </c>
    </row>
    <row r="27" spans="1:12" x14ac:dyDescent="0.35">
      <c r="A27" t="s">
        <v>430</v>
      </c>
      <c r="B27">
        <v>0</v>
      </c>
      <c r="C27">
        <v>0</v>
      </c>
      <c r="D27">
        <v>1</v>
      </c>
      <c r="E27">
        <v>0</v>
      </c>
      <c r="F27">
        <v>0</v>
      </c>
      <c r="G27">
        <v>0</v>
      </c>
      <c r="H27">
        <v>0</v>
      </c>
      <c r="I27">
        <v>1</v>
      </c>
      <c r="J27">
        <v>0</v>
      </c>
      <c r="K27">
        <v>0</v>
      </c>
    </row>
    <row r="28" spans="1:12" x14ac:dyDescent="0.35">
      <c r="A28" t="s">
        <v>446</v>
      </c>
      <c r="B28">
        <v>1</v>
      </c>
      <c r="C28">
        <v>0</v>
      </c>
      <c r="D28">
        <v>0</v>
      </c>
      <c r="E28">
        <v>0</v>
      </c>
      <c r="F28">
        <v>0</v>
      </c>
      <c r="G28">
        <v>0</v>
      </c>
      <c r="H28">
        <v>0</v>
      </c>
      <c r="I28">
        <v>1</v>
      </c>
      <c r="J28">
        <v>0</v>
      </c>
      <c r="K28">
        <v>0</v>
      </c>
    </row>
    <row r="29" spans="1:12" x14ac:dyDescent="0.35">
      <c r="A29" t="s">
        <v>440</v>
      </c>
      <c r="B29">
        <v>1</v>
      </c>
      <c r="C29">
        <v>0</v>
      </c>
      <c r="D29">
        <v>0</v>
      </c>
      <c r="E29">
        <v>0</v>
      </c>
      <c r="F29">
        <v>0</v>
      </c>
      <c r="G29">
        <v>0</v>
      </c>
      <c r="H29">
        <v>0</v>
      </c>
      <c r="I29">
        <v>1</v>
      </c>
      <c r="J29">
        <v>0</v>
      </c>
      <c r="K29">
        <v>0</v>
      </c>
    </row>
    <row r="30" spans="1:12" x14ac:dyDescent="0.35">
      <c r="A30" t="s">
        <v>415</v>
      </c>
      <c r="B30">
        <v>0</v>
      </c>
      <c r="C30">
        <v>0</v>
      </c>
      <c r="D30">
        <v>0</v>
      </c>
      <c r="E30">
        <v>0</v>
      </c>
      <c r="F30">
        <v>1</v>
      </c>
      <c r="G30">
        <v>0</v>
      </c>
      <c r="H30">
        <v>0</v>
      </c>
      <c r="I30">
        <v>0</v>
      </c>
      <c r="J30">
        <v>0</v>
      </c>
      <c r="K30">
        <v>1</v>
      </c>
      <c r="L30" s="142"/>
    </row>
    <row r="31" spans="1:12" x14ac:dyDescent="0.35">
      <c r="A31" t="s">
        <v>470</v>
      </c>
      <c r="B31">
        <v>0</v>
      </c>
      <c r="C31">
        <v>0</v>
      </c>
      <c r="D31">
        <v>0</v>
      </c>
      <c r="E31">
        <v>1</v>
      </c>
      <c r="F31">
        <v>0</v>
      </c>
      <c r="G31">
        <v>0</v>
      </c>
      <c r="H31">
        <v>0</v>
      </c>
      <c r="I31">
        <v>0</v>
      </c>
      <c r="J31">
        <v>0</v>
      </c>
      <c r="K31">
        <v>1</v>
      </c>
    </row>
    <row r="32" spans="1:12" x14ac:dyDescent="0.35">
      <c r="A32" t="s">
        <v>471</v>
      </c>
      <c r="B32">
        <v>0</v>
      </c>
      <c r="C32">
        <v>0</v>
      </c>
      <c r="D32">
        <v>0</v>
      </c>
      <c r="E32">
        <v>1</v>
      </c>
      <c r="F32">
        <v>0</v>
      </c>
      <c r="G32">
        <v>0</v>
      </c>
      <c r="H32">
        <v>0</v>
      </c>
      <c r="I32">
        <v>0</v>
      </c>
      <c r="J32">
        <v>0</v>
      </c>
      <c r="K32">
        <v>1</v>
      </c>
    </row>
    <row r="33" spans="1:12" x14ac:dyDescent="0.35">
      <c r="A33" t="s">
        <v>6</v>
      </c>
      <c r="B33">
        <v>0</v>
      </c>
      <c r="C33">
        <v>0</v>
      </c>
      <c r="D33">
        <v>0</v>
      </c>
      <c r="E33">
        <v>0</v>
      </c>
      <c r="F33">
        <v>1</v>
      </c>
      <c r="G33">
        <v>0</v>
      </c>
      <c r="H33">
        <v>0</v>
      </c>
      <c r="I33">
        <v>0</v>
      </c>
      <c r="J33">
        <v>0</v>
      </c>
      <c r="K33">
        <v>1</v>
      </c>
    </row>
    <row r="34" spans="1:12" x14ac:dyDescent="0.35">
      <c r="A34" t="s">
        <v>454</v>
      </c>
      <c r="B34">
        <v>0</v>
      </c>
      <c r="C34">
        <v>0</v>
      </c>
      <c r="D34">
        <v>0</v>
      </c>
      <c r="E34">
        <v>1</v>
      </c>
      <c r="F34">
        <v>0</v>
      </c>
      <c r="G34">
        <v>0</v>
      </c>
      <c r="H34">
        <v>0</v>
      </c>
      <c r="I34">
        <v>0</v>
      </c>
      <c r="J34">
        <v>0</v>
      </c>
      <c r="K34">
        <v>1</v>
      </c>
    </row>
    <row r="35" spans="1:12" x14ac:dyDescent="0.35">
      <c r="A35" t="s">
        <v>474</v>
      </c>
      <c r="B35">
        <v>0</v>
      </c>
      <c r="C35">
        <v>0</v>
      </c>
      <c r="D35">
        <v>0</v>
      </c>
      <c r="E35">
        <v>0</v>
      </c>
      <c r="F35">
        <v>0</v>
      </c>
      <c r="G35">
        <v>0</v>
      </c>
      <c r="H35">
        <v>1</v>
      </c>
      <c r="I35">
        <v>0</v>
      </c>
      <c r="J35">
        <v>1</v>
      </c>
      <c r="K35">
        <v>0</v>
      </c>
      <c r="L35" s="142"/>
    </row>
    <row r="36" spans="1:12" x14ac:dyDescent="0.35">
      <c r="A36" t="s">
        <v>475</v>
      </c>
      <c r="B36">
        <v>1</v>
      </c>
      <c r="C36">
        <v>0</v>
      </c>
      <c r="D36">
        <v>0</v>
      </c>
      <c r="E36">
        <v>0</v>
      </c>
      <c r="F36">
        <v>0</v>
      </c>
      <c r="G36">
        <v>0</v>
      </c>
      <c r="H36">
        <v>0</v>
      </c>
      <c r="I36">
        <v>1</v>
      </c>
      <c r="J36">
        <v>0</v>
      </c>
      <c r="K36">
        <v>0</v>
      </c>
    </row>
    <row r="37" spans="1:12" x14ac:dyDescent="0.35">
      <c r="A37" t="s">
        <v>7</v>
      </c>
      <c r="B37">
        <v>0</v>
      </c>
      <c r="C37">
        <v>0</v>
      </c>
      <c r="D37">
        <v>0</v>
      </c>
      <c r="E37">
        <v>0</v>
      </c>
      <c r="F37">
        <v>0</v>
      </c>
      <c r="G37">
        <v>0</v>
      </c>
      <c r="H37">
        <v>1</v>
      </c>
      <c r="I37">
        <v>0</v>
      </c>
      <c r="J37">
        <v>1</v>
      </c>
      <c r="K37">
        <v>0</v>
      </c>
      <c r="L37" s="142"/>
    </row>
    <row r="38" spans="1:12" x14ac:dyDescent="0.35">
      <c r="A38" t="s">
        <v>426</v>
      </c>
      <c r="B38">
        <v>1</v>
      </c>
      <c r="C38">
        <v>0</v>
      </c>
      <c r="D38">
        <v>0</v>
      </c>
      <c r="E38">
        <v>0</v>
      </c>
      <c r="F38">
        <v>0</v>
      </c>
      <c r="G38">
        <v>0</v>
      </c>
      <c r="H38">
        <v>0</v>
      </c>
      <c r="I38">
        <v>1</v>
      </c>
      <c r="J38">
        <v>0</v>
      </c>
      <c r="K38">
        <v>0</v>
      </c>
    </row>
    <row r="39" spans="1:12" x14ac:dyDescent="0.35">
      <c r="A39" t="s">
        <v>420</v>
      </c>
      <c r="B39">
        <v>1</v>
      </c>
      <c r="C39">
        <v>0</v>
      </c>
      <c r="D39">
        <v>0</v>
      </c>
      <c r="E39">
        <v>0</v>
      </c>
      <c r="F39">
        <v>0</v>
      </c>
      <c r="G39">
        <v>0</v>
      </c>
      <c r="H39">
        <v>0</v>
      </c>
      <c r="I39">
        <v>1</v>
      </c>
      <c r="J39">
        <v>0</v>
      </c>
      <c r="K39">
        <v>0</v>
      </c>
    </row>
    <row r="40" spans="1:12" x14ac:dyDescent="0.35">
      <c r="A40" t="s">
        <v>452</v>
      </c>
      <c r="B40">
        <v>0</v>
      </c>
      <c r="C40">
        <v>0</v>
      </c>
      <c r="D40">
        <v>0</v>
      </c>
      <c r="E40">
        <v>0</v>
      </c>
      <c r="F40">
        <v>0</v>
      </c>
      <c r="G40">
        <v>0</v>
      </c>
      <c r="H40">
        <v>1</v>
      </c>
      <c r="I40">
        <v>0</v>
      </c>
      <c r="J40">
        <v>1</v>
      </c>
      <c r="K40">
        <v>0</v>
      </c>
      <c r="L40" s="142"/>
    </row>
    <row r="41" spans="1:12" x14ac:dyDescent="0.35">
      <c r="A41" t="s">
        <v>8</v>
      </c>
      <c r="B41">
        <v>0</v>
      </c>
      <c r="C41">
        <v>0</v>
      </c>
      <c r="D41">
        <v>1</v>
      </c>
      <c r="E41">
        <v>0</v>
      </c>
      <c r="F41">
        <v>0</v>
      </c>
      <c r="G41">
        <v>0</v>
      </c>
      <c r="H41">
        <v>0</v>
      </c>
      <c r="I41">
        <v>0</v>
      </c>
      <c r="J41">
        <v>0</v>
      </c>
      <c r="K41">
        <v>1</v>
      </c>
      <c r="L41" s="142"/>
    </row>
    <row r="42" spans="1:12" x14ac:dyDescent="0.35">
      <c r="A42" t="s">
        <v>443</v>
      </c>
      <c r="B42">
        <v>1</v>
      </c>
      <c r="C42">
        <v>0</v>
      </c>
      <c r="D42">
        <v>0</v>
      </c>
      <c r="E42">
        <v>0</v>
      </c>
      <c r="F42">
        <v>0</v>
      </c>
      <c r="G42">
        <v>0</v>
      </c>
      <c r="H42">
        <v>0</v>
      </c>
      <c r="I42">
        <v>1</v>
      </c>
      <c r="J42">
        <v>0</v>
      </c>
      <c r="K42">
        <v>0</v>
      </c>
    </row>
    <row r="43" spans="1:12" x14ac:dyDescent="0.35">
      <c r="A43" t="s">
        <v>10</v>
      </c>
      <c r="B43">
        <v>0</v>
      </c>
      <c r="C43">
        <v>0</v>
      </c>
      <c r="D43">
        <v>0</v>
      </c>
      <c r="E43">
        <v>0</v>
      </c>
      <c r="F43">
        <v>0</v>
      </c>
      <c r="G43">
        <v>0</v>
      </c>
      <c r="H43">
        <v>1</v>
      </c>
      <c r="I43">
        <v>0</v>
      </c>
      <c r="J43">
        <v>1</v>
      </c>
      <c r="K43">
        <v>0</v>
      </c>
    </row>
    <row r="44" spans="1:12" x14ac:dyDescent="0.35">
      <c r="A44" t="s">
        <v>461</v>
      </c>
      <c r="B44">
        <v>1</v>
      </c>
      <c r="C44">
        <v>0</v>
      </c>
      <c r="D44">
        <v>0</v>
      </c>
      <c r="E44">
        <v>0</v>
      </c>
      <c r="F44">
        <v>0</v>
      </c>
      <c r="G44">
        <v>0</v>
      </c>
      <c r="H44">
        <v>0</v>
      </c>
      <c r="I44">
        <v>1</v>
      </c>
      <c r="J44">
        <v>0</v>
      </c>
      <c r="K44">
        <v>0</v>
      </c>
    </row>
    <row r="45" spans="1:12" x14ac:dyDescent="0.35">
      <c r="A45" t="s">
        <v>11</v>
      </c>
      <c r="B45">
        <v>1</v>
      </c>
      <c r="C45">
        <v>0</v>
      </c>
      <c r="D45">
        <v>0</v>
      </c>
      <c r="E45">
        <v>0</v>
      </c>
      <c r="F45">
        <v>0</v>
      </c>
      <c r="G45">
        <v>0</v>
      </c>
      <c r="H45">
        <v>0</v>
      </c>
      <c r="I45">
        <v>1</v>
      </c>
      <c r="J45">
        <v>0</v>
      </c>
      <c r="K45">
        <v>0</v>
      </c>
    </row>
    <row r="46" spans="1:12" x14ac:dyDescent="0.35">
      <c r="A46" t="s">
        <v>455</v>
      </c>
      <c r="B46">
        <v>0</v>
      </c>
      <c r="C46">
        <v>0</v>
      </c>
      <c r="D46">
        <v>0</v>
      </c>
      <c r="E46">
        <v>1</v>
      </c>
      <c r="F46">
        <v>0</v>
      </c>
      <c r="G46">
        <v>0</v>
      </c>
      <c r="H46">
        <v>0</v>
      </c>
      <c r="I46">
        <v>0</v>
      </c>
      <c r="J46">
        <v>0</v>
      </c>
      <c r="K46">
        <v>1</v>
      </c>
    </row>
    <row r="47" spans="1:12" x14ac:dyDescent="0.35">
      <c r="A47" t="s">
        <v>434</v>
      </c>
      <c r="B47">
        <v>0</v>
      </c>
      <c r="C47">
        <v>0</v>
      </c>
      <c r="D47">
        <v>0</v>
      </c>
      <c r="E47">
        <v>1</v>
      </c>
      <c r="F47">
        <v>0</v>
      </c>
      <c r="G47">
        <v>0</v>
      </c>
      <c r="H47">
        <v>0</v>
      </c>
      <c r="I47">
        <v>0</v>
      </c>
      <c r="J47">
        <v>0</v>
      </c>
      <c r="K47">
        <v>1</v>
      </c>
    </row>
    <row r="48" spans="1:12" x14ac:dyDescent="0.35">
      <c r="A48" t="s">
        <v>490</v>
      </c>
      <c r="B48">
        <v>0</v>
      </c>
      <c r="C48">
        <v>1</v>
      </c>
      <c r="D48">
        <v>0</v>
      </c>
      <c r="E48">
        <v>0</v>
      </c>
      <c r="F48">
        <v>0</v>
      </c>
      <c r="G48">
        <v>0</v>
      </c>
      <c r="H48">
        <v>0</v>
      </c>
      <c r="I48">
        <v>1</v>
      </c>
      <c r="J48">
        <v>0</v>
      </c>
      <c r="K48">
        <v>0</v>
      </c>
    </row>
    <row r="49" spans="1:12" x14ac:dyDescent="0.35">
      <c r="A49" t="s">
        <v>437</v>
      </c>
      <c r="B49">
        <v>1</v>
      </c>
      <c r="C49">
        <v>0</v>
      </c>
      <c r="D49">
        <v>0</v>
      </c>
      <c r="E49">
        <v>0</v>
      </c>
      <c r="F49">
        <v>0</v>
      </c>
      <c r="G49">
        <v>0</v>
      </c>
      <c r="H49">
        <v>0</v>
      </c>
      <c r="I49">
        <v>1</v>
      </c>
      <c r="J49">
        <v>0</v>
      </c>
      <c r="K49">
        <v>0</v>
      </c>
      <c r="L49" s="142"/>
    </row>
    <row r="50" spans="1:12" x14ac:dyDescent="0.35">
      <c r="A50" t="s">
        <v>12</v>
      </c>
      <c r="B50">
        <v>0</v>
      </c>
      <c r="C50">
        <v>0</v>
      </c>
      <c r="D50">
        <v>0</v>
      </c>
      <c r="E50">
        <v>0</v>
      </c>
      <c r="F50">
        <v>0</v>
      </c>
      <c r="G50">
        <v>1</v>
      </c>
      <c r="H50">
        <v>0</v>
      </c>
      <c r="I50">
        <v>0</v>
      </c>
      <c r="J50">
        <v>0</v>
      </c>
      <c r="K50">
        <v>1</v>
      </c>
    </row>
    <row r="51" spans="1:12" x14ac:dyDescent="0.35">
      <c r="A51" t="s">
        <v>13</v>
      </c>
      <c r="B51">
        <v>0</v>
      </c>
      <c r="C51">
        <v>1</v>
      </c>
      <c r="D51">
        <v>0</v>
      </c>
      <c r="E51">
        <v>0</v>
      </c>
      <c r="F51">
        <v>0</v>
      </c>
      <c r="G51">
        <v>0</v>
      </c>
      <c r="H51">
        <v>0</v>
      </c>
      <c r="I51">
        <v>0</v>
      </c>
      <c r="J51">
        <v>0</v>
      </c>
      <c r="K51">
        <v>1</v>
      </c>
    </row>
    <row r="52" spans="1:12" x14ac:dyDescent="0.35">
      <c r="A52" t="s">
        <v>15</v>
      </c>
      <c r="B52">
        <v>0</v>
      </c>
      <c r="C52">
        <v>0</v>
      </c>
      <c r="D52">
        <v>0</v>
      </c>
      <c r="E52">
        <v>0</v>
      </c>
      <c r="F52">
        <v>1</v>
      </c>
      <c r="G52">
        <v>0</v>
      </c>
      <c r="H52">
        <v>0</v>
      </c>
      <c r="I52">
        <v>0</v>
      </c>
      <c r="J52">
        <v>0</v>
      </c>
      <c r="K52">
        <v>1</v>
      </c>
      <c r="L52" s="142"/>
    </row>
    <row r="53" spans="1:12" x14ac:dyDescent="0.35">
      <c r="A53" t="s">
        <v>486</v>
      </c>
      <c r="B53">
        <v>0</v>
      </c>
      <c r="C53">
        <v>0</v>
      </c>
      <c r="D53">
        <v>0</v>
      </c>
      <c r="E53">
        <v>0</v>
      </c>
      <c r="F53">
        <v>1</v>
      </c>
      <c r="G53">
        <v>0</v>
      </c>
      <c r="H53">
        <v>0</v>
      </c>
      <c r="I53">
        <v>0</v>
      </c>
      <c r="J53">
        <v>0</v>
      </c>
      <c r="K53">
        <v>1</v>
      </c>
      <c r="L53" s="142"/>
    </row>
    <row r="54" spans="1:12" x14ac:dyDescent="0.35">
      <c r="A54" t="s">
        <v>462</v>
      </c>
      <c r="B54">
        <v>1</v>
      </c>
      <c r="C54">
        <v>0</v>
      </c>
      <c r="D54">
        <v>0</v>
      </c>
      <c r="E54">
        <v>0</v>
      </c>
      <c r="F54">
        <v>0</v>
      </c>
      <c r="G54">
        <v>0</v>
      </c>
      <c r="H54">
        <v>0</v>
      </c>
      <c r="I54">
        <v>1</v>
      </c>
      <c r="J54">
        <v>0</v>
      </c>
      <c r="K54">
        <v>0</v>
      </c>
    </row>
    <row r="55" spans="1:12" x14ac:dyDescent="0.35">
      <c r="A55" t="s">
        <v>421</v>
      </c>
      <c r="B55">
        <v>1</v>
      </c>
      <c r="C55">
        <v>0</v>
      </c>
      <c r="D55">
        <v>0</v>
      </c>
      <c r="E55">
        <v>0</v>
      </c>
      <c r="F55">
        <v>0</v>
      </c>
      <c r="G55">
        <v>0</v>
      </c>
      <c r="H55">
        <v>0</v>
      </c>
      <c r="I55">
        <v>1</v>
      </c>
      <c r="J55">
        <v>0</v>
      </c>
      <c r="K55">
        <v>0</v>
      </c>
    </row>
    <row r="56" spans="1:12" x14ac:dyDescent="0.35">
      <c r="A56" t="s">
        <v>377</v>
      </c>
      <c r="B56">
        <v>1</v>
      </c>
      <c r="C56">
        <v>0</v>
      </c>
      <c r="D56">
        <v>0</v>
      </c>
      <c r="E56">
        <v>0</v>
      </c>
      <c r="F56">
        <v>0</v>
      </c>
      <c r="G56">
        <v>0</v>
      </c>
      <c r="H56">
        <v>0</v>
      </c>
      <c r="I56">
        <v>1</v>
      </c>
      <c r="J56">
        <v>0</v>
      </c>
      <c r="K56">
        <v>0</v>
      </c>
    </row>
    <row r="57" spans="1:12" x14ac:dyDescent="0.35">
      <c r="A57" t="s">
        <v>493</v>
      </c>
      <c r="B57">
        <v>0</v>
      </c>
      <c r="C57">
        <v>0</v>
      </c>
      <c r="D57">
        <v>0</v>
      </c>
      <c r="E57">
        <v>1</v>
      </c>
      <c r="F57">
        <v>0</v>
      </c>
      <c r="G57">
        <v>0</v>
      </c>
      <c r="H57">
        <v>0</v>
      </c>
      <c r="I57">
        <v>0</v>
      </c>
      <c r="J57">
        <v>0</v>
      </c>
      <c r="K57">
        <v>1</v>
      </c>
    </row>
    <row r="58" spans="1:12" x14ac:dyDescent="0.35">
      <c r="A58" t="s">
        <v>444</v>
      </c>
      <c r="B58">
        <v>1</v>
      </c>
      <c r="C58">
        <v>0</v>
      </c>
      <c r="D58">
        <v>0</v>
      </c>
      <c r="E58">
        <v>0</v>
      </c>
      <c r="F58">
        <v>0</v>
      </c>
      <c r="G58">
        <v>0</v>
      </c>
      <c r="H58">
        <v>0</v>
      </c>
      <c r="I58">
        <v>1</v>
      </c>
      <c r="J58">
        <v>0</v>
      </c>
      <c r="K58">
        <v>0</v>
      </c>
    </row>
    <row r="59" spans="1:12" x14ac:dyDescent="0.35">
      <c r="A59" t="s">
        <v>422</v>
      </c>
      <c r="B59">
        <v>0</v>
      </c>
      <c r="C59">
        <v>0</v>
      </c>
      <c r="D59">
        <v>0</v>
      </c>
      <c r="E59">
        <v>0</v>
      </c>
      <c r="F59">
        <v>1</v>
      </c>
      <c r="G59">
        <v>0</v>
      </c>
      <c r="H59">
        <v>0</v>
      </c>
      <c r="I59">
        <v>0</v>
      </c>
      <c r="J59">
        <v>0</v>
      </c>
      <c r="K59">
        <v>1</v>
      </c>
      <c r="L59" s="142"/>
    </row>
    <row r="60" spans="1:12" x14ac:dyDescent="0.35">
      <c r="A60" t="s">
        <v>417</v>
      </c>
      <c r="B60">
        <v>0</v>
      </c>
      <c r="C60">
        <v>0</v>
      </c>
      <c r="D60">
        <v>1</v>
      </c>
      <c r="E60">
        <v>0</v>
      </c>
      <c r="F60">
        <v>0</v>
      </c>
      <c r="G60">
        <v>0</v>
      </c>
      <c r="H60">
        <v>0</v>
      </c>
      <c r="I60">
        <v>0</v>
      </c>
      <c r="J60">
        <v>0</v>
      </c>
      <c r="K60">
        <v>1</v>
      </c>
      <c r="L60" s="142"/>
    </row>
    <row r="61" spans="1:12" x14ac:dyDescent="0.35">
      <c r="A61" t="s">
        <v>360</v>
      </c>
      <c r="B61">
        <v>0</v>
      </c>
      <c r="C61">
        <v>0</v>
      </c>
      <c r="D61">
        <v>0</v>
      </c>
      <c r="E61">
        <v>0</v>
      </c>
      <c r="F61">
        <v>0</v>
      </c>
      <c r="G61">
        <v>0</v>
      </c>
      <c r="H61">
        <v>1</v>
      </c>
      <c r="I61">
        <v>0</v>
      </c>
      <c r="J61">
        <v>0</v>
      </c>
      <c r="K61">
        <v>1</v>
      </c>
      <c r="L61" s="142"/>
    </row>
    <row r="62" spans="1:12" x14ac:dyDescent="0.35">
      <c r="A62" t="s">
        <v>439</v>
      </c>
      <c r="B62">
        <v>1</v>
      </c>
      <c r="C62">
        <v>0</v>
      </c>
      <c r="D62">
        <v>0</v>
      </c>
      <c r="E62">
        <v>0</v>
      </c>
      <c r="F62">
        <v>0</v>
      </c>
      <c r="G62">
        <v>0</v>
      </c>
      <c r="H62">
        <v>0</v>
      </c>
      <c r="I62">
        <v>1</v>
      </c>
      <c r="J62">
        <v>0</v>
      </c>
      <c r="K62">
        <v>0</v>
      </c>
    </row>
    <row r="63" spans="1:12" x14ac:dyDescent="0.35">
      <c r="A63" t="s">
        <v>413</v>
      </c>
      <c r="B63">
        <v>0</v>
      </c>
      <c r="C63">
        <v>0</v>
      </c>
      <c r="D63">
        <v>0</v>
      </c>
      <c r="E63">
        <v>0</v>
      </c>
      <c r="F63">
        <v>1</v>
      </c>
      <c r="G63">
        <v>0</v>
      </c>
      <c r="H63">
        <v>0</v>
      </c>
      <c r="I63">
        <v>1</v>
      </c>
      <c r="J63">
        <v>0</v>
      </c>
      <c r="K63">
        <v>0</v>
      </c>
      <c r="L63" s="142"/>
    </row>
    <row r="64" spans="1:12" x14ac:dyDescent="0.35">
      <c r="A64" t="s">
        <v>487</v>
      </c>
      <c r="B64">
        <v>0</v>
      </c>
      <c r="C64">
        <v>0</v>
      </c>
      <c r="D64">
        <v>1</v>
      </c>
      <c r="E64">
        <v>0</v>
      </c>
      <c r="F64">
        <v>0</v>
      </c>
      <c r="G64">
        <v>0</v>
      </c>
      <c r="H64">
        <v>0</v>
      </c>
      <c r="I64">
        <v>0</v>
      </c>
      <c r="J64">
        <v>0</v>
      </c>
      <c r="K64">
        <v>1</v>
      </c>
      <c r="L64" s="142"/>
    </row>
    <row r="65" spans="1:12" x14ac:dyDescent="0.35">
      <c r="A65" t="s">
        <v>449</v>
      </c>
      <c r="B65">
        <v>0</v>
      </c>
      <c r="C65">
        <v>0</v>
      </c>
      <c r="D65">
        <v>1</v>
      </c>
      <c r="E65">
        <v>0</v>
      </c>
      <c r="F65">
        <v>0</v>
      </c>
      <c r="G65">
        <v>0</v>
      </c>
      <c r="H65">
        <v>0</v>
      </c>
      <c r="I65">
        <v>1</v>
      </c>
      <c r="J65">
        <v>0</v>
      </c>
      <c r="K65">
        <v>0</v>
      </c>
    </row>
    <row r="66" spans="1:12" x14ac:dyDescent="0.35">
      <c r="A66" t="s">
        <v>495</v>
      </c>
      <c r="B66">
        <v>0</v>
      </c>
      <c r="C66">
        <v>0</v>
      </c>
      <c r="D66">
        <v>0</v>
      </c>
      <c r="E66">
        <v>0</v>
      </c>
      <c r="F66">
        <v>0</v>
      </c>
      <c r="G66">
        <v>0</v>
      </c>
      <c r="H66">
        <v>1</v>
      </c>
      <c r="I66">
        <v>0</v>
      </c>
      <c r="J66">
        <v>0</v>
      </c>
      <c r="K66">
        <v>1</v>
      </c>
      <c r="L66" s="142"/>
    </row>
    <row r="67" spans="1:12" x14ac:dyDescent="0.35">
      <c r="A67" t="s">
        <v>441</v>
      </c>
      <c r="B67">
        <v>0</v>
      </c>
      <c r="C67">
        <v>0</v>
      </c>
      <c r="D67">
        <v>0</v>
      </c>
      <c r="E67">
        <v>0</v>
      </c>
      <c r="F67">
        <v>0</v>
      </c>
      <c r="G67">
        <v>0</v>
      </c>
      <c r="H67">
        <v>1</v>
      </c>
      <c r="I67">
        <v>0</v>
      </c>
      <c r="J67">
        <v>1</v>
      </c>
      <c r="K67">
        <v>0</v>
      </c>
      <c r="L67" s="142"/>
    </row>
    <row r="68" spans="1:12" x14ac:dyDescent="0.35">
      <c r="A68" t="s">
        <v>438</v>
      </c>
      <c r="B68">
        <v>0</v>
      </c>
      <c r="C68">
        <v>0</v>
      </c>
      <c r="D68">
        <v>0</v>
      </c>
      <c r="E68">
        <v>0</v>
      </c>
      <c r="F68">
        <v>0</v>
      </c>
      <c r="G68">
        <v>0</v>
      </c>
      <c r="H68">
        <v>1</v>
      </c>
      <c r="I68">
        <v>0</v>
      </c>
      <c r="J68">
        <v>1</v>
      </c>
      <c r="K68">
        <v>0</v>
      </c>
      <c r="L68" s="142"/>
    </row>
    <row r="69" spans="1:12" x14ac:dyDescent="0.35">
      <c r="A69" t="s">
        <v>16</v>
      </c>
      <c r="B69">
        <v>0</v>
      </c>
      <c r="C69">
        <v>1</v>
      </c>
      <c r="D69">
        <v>0</v>
      </c>
      <c r="E69">
        <v>0</v>
      </c>
      <c r="F69">
        <v>0</v>
      </c>
      <c r="G69">
        <v>0</v>
      </c>
      <c r="H69">
        <v>0</v>
      </c>
      <c r="I69">
        <v>0</v>
      </c>
      <c r="J69">
        <v>0</v>
      </c>
      <c r="K69">
        <v>1</v>
      </c>
    </row>
    <row r="70" spans="1:12" x14ac:dyDescent="0.35">
      <c r="A70" t="s">
        <v>501</v>
      </c>
      <c r="B70">
        <v>0</v>
      </c>
      <c r="C70">
        <v>0</v>
      </c>
      <c r="D70">
        <v>0</v>
      </c>
      <c r="E70">
        <v>0</v>
      </c>
      <c r="F70">
        <v>0</v>
      </c>
      <c r="G70">
        <v>1</v>
      </c>
      <c r="H70">
        <v>0</v>
      </c>
      <c r="I70">
        <v>0</v>
      </c>
      <c r="J70">
        <v>0</v>
      </c>
      <c r="K70">
        <v>1</v>
      </c>
      <c r="L70" s="142"/>
    </row>
    <row r="71" spans="1:12" x14ac:dyDescent="0.35">
      <c r="A71" t="s">
        <v>423</v>
      </c>
      <c r="B71">
        <v>0</v>
      </c>
      <c r="C71">
        <v>0</v>
      </c>
      <c r="D71">
        <v>0</v>
      </c>
      <c r="E71">
        <v>0</v>
      </c>
      <c r="F71">
        <v>1</v>
      </c>
      <c r="G71">
        <v>0</v>
      </c>
      <c r="H71">
        <v>0</v>
      </c>
      <c r="I71">
        <v>1</v>
      </c>
      <c r="J71">
        <v>0</v>
      </c>
      <c r="K71">
        <v>0</v>
      </c>
    </row>
    <row r="72" spans="1:12" x14ac:dyDescent="0.35">
      <c r="A72" t="s">
        <v>431</v>
      </c>
      <c r="B72">
        <v>0</v>
      </c>
      <c r="C72">
        <v>0</v>
      </c>
      <c r="D72">
        <v>0</v>
      </c>
      <c r="E72">
        <v>1</v>
      </c>
      <c r="F72">
        <v>0</v>
      </c>
      <c r="G72">
        <v>0</v>
      </c>
      <c r="H72">
        <v>0</v>
      </c>
      <c r="I72">
        <v>0</v>
      </c>
      <c r="J72">
        <v>0</v>
      </c>
      <c r="K72">
        <v>1</v>
      </c>
    </row>
    <row r="73" spans="1:12" x14ac:dyDescent="0.35">
      <c r="A73" t="s">
        <v>451</v>
      </c>
      <c r="B73">
        <v>0</v>
      </c>
      <c r="C73">
        <v>0</v>
      </c>
      <c r="D73">
        <v>1</v>
      </c>
      <c r="E73">
        <v>0</v>
      </c>
      <c r="F73">
        <v>0</v>
      </c>
      <c r="G73">
        <v>0</v>
      </c>
      <c r="H73">
        <v>0</v>
      </c>
      <c r="I73">
        <v>0</v>
      </c>
      <c r="J73">
        <v>0</v>
      </c>
      <c r="K73">
        <v>1</v>
      </c>
      <c r="L73" s="142"/>
    </row>
    <row r="74" spans="1:12" x14ac:dyDescent="0.35">
      <c r="A74" t="s">
        <v>482</v>
      </c>
      <c r="B74">
        <v>0</v>
      </c>
      <c r="C74">
        <v>1</v>
      </c>
      <c r="D74">
        <v>0</v>
      </c>
      <c r="E74">
        <v>0</v>
      </c>
      <c r="F74">
        <v>0</v>
      </c>
      <c r="G74">
        <v>0</v>
      </c>
      <c r="H74">
        <v>0</v>
      </c>
      <c r="I74">
        <v>0</v>
      </c>
      <c r="J74">
        <v>0</v>
      </c>
      <c r="K74">
        <v>1</v>
      </c>
      <c r="L74" s="142"/>
    </row>
    <row r="75" spans="1:12" x14ac:dyDescent="0.35">
      <c r="A75" t="s">
        <v>424</v>
      </c>
      <c r="B75">
        <v>0</v>
      </c>
      <c r="C75">
        <v>0</v>
      </c>
      <c r="D75">
        <v>0</v>
      </c>
      <c r="E75">
        <v>0</v>
      </c>
      <c r="F75">
        <v>1</v>
      </c>
      <c r="G75">
        <v>0</v>
      </c>
      <c r="H75">
        <v>0</v>
      </c>
      <c r="I75">
        <v>0</v>
      </c>
      <c r="J75">
        <v>0</v>
      </c>
      <c r="K75">
        <v>1</v>
      </c>
    </row>
    <row r="76" spans="1:12" x14ac:dyDescent="0.35">
      <c r="A76" t="s">
        <v>457</v>
      </c>
      <c r="B76">
        <v>0</v>
      </c>
      <c r="C76">
        <v>0</v>
      </c>
      <c r="D76">
        <v>0</v>
      </c>
      <c r="E76">
        <v>0</v>
      </c>
      <c r="F76">
        <v>0</v>
      </c>
      <c r="G76">
        <v>0</v>
      </c>
      <c r="H76">
        <v>1</v>
      </c>
      <c r="I76">
        <v>0</v>
      </c>
      <c r="J76">
        <v>0</v>
      </c>
      <c r="K76">
        <v>1</v>
      </c>
      <c r="L76" s="142"/>
    </row>
    <row r="77" spans="1:12" x14ac:dyDescent="0.35">
      <c r="A77" t="s">
        <v>496</v>
      </c>
      <c r="B77">
        <v>0</v>
      </c>
      <c r="C77">
        <v>0</v>
      </c>
      <c r="D77">
        <v>0</v>
      </c>
      <c r="E77">
        <v>0</v>
      </c>
      <c r="F77">
        <v>0</v>
      </c>
      <c r="G77">
        <v>1</v>
      </c>
      <c r="H77">
        <v>0</v>
      </c>
      <c r="I77">
        <v>0</v>
      </c>
      <c r="J77">
        <v>1</v>
      </c>
      <c r="K77">
        <v>0</v>
      </c>
      <c r="L77" s="142"/>
    </row>
    <row r="78" spans="1:12" x14ac:dyDescent="0.35">
      <c r="A78" t="s">
        <v>18</v>
      </c>
      <c r="B78">
        <v>1</v>
      </c>
      <c r="C78">
        <v>0</v>
      </c>
      <c r="D78">
        <v>0</v>
      </c>
      <c r="E78">
        <v>0</v>
      </c>
      <c r="F78">
        <v>0</v>
      </c>
      <c r="G78">
        <v>0</v>
      </c>
      <c r="H78">
        <v>0</v>
      </c>
      <c r="I78">
        <v>1</v>
      </c>
      <c r="J78">
        <v>0</v>
      </c>
      <c r="K78">
        <v>0</v>
      </c>
    </row>
    <row r="79" spans="1:12" x14ac:dyDescent="0.35">
      <c r="A79" t="s">
        <v>499</v>
      </c>
      <c r="B79">
        <v>1</v>
      </c>
      <c r="C79">
        <v>0</v>
      </c>
      <c r="D79">
        <v>0</v>
      </c>
      <c r="E79">
        <v>0</v>
      </c>
      <c r="F79">
        <v>0</v>
      </c>
      <c r="G79">
        <v>0</v>
      </c>
      <c r="H79">
        <v>0</v>
      </c>
      <c r="I79">
        <v>1</v>
      </c>
      <c r="J79">
        <v>0</v>
      </c>
      <c r="K79">
        <v>0</v>
      </c>
    </row>
    <row r="80" spans="1:12" x14ac:dyDescent="0.35">
      <c r="A80" t="s">
        <v>435</v>
      </c>
      <c r="B80">
        <v>0</v>
      </c>
      <c r="C80">
        <v>0</v>
      </c>
      <c r="D80">
        <v>0</v>
      </c>
      <c r="E80">
        <v>1</v>
      </c>
      <c r="F80">
        <v>0</v>
      </c>
      <c r="G80">
        <v>0</v>
      </c>
      <c r="H80">
        <v>0</v>
      </c>
      <c r="I80">
        <v>0</v>
      </c>
      <c r="J80">
        <v>0</v>
      </c>
      <c r="K80">
        <v>1</v>
      </c>
    </row>
    <row r="81" spans="1:12" x14ac:dyDescent="0.35">
      <c r="A81" t="s">
        <v>488</v>
      </c>
      <c r="B81">
        <v>0</v>
      </c>
      <c r="C81">
        <v>0</v>
      </c>
      <c r="D81">
        <v>0</v>
      </c>
      <c r="E81">
        <v>0</v>
      </c>
      <c r="F81">
        <v>0</v>
      </c>
      <c r="G81">
        <v>0</v>
      </c>
      <c r="H81">
        <v>1</v>
      </c>
      <c r="I81">
        <v>0</v>
      </c>
      <c r="J81">
        <v>1</v>
      </c>
      <c r="K81">
        <v>0</v>
      </c>
      <c r="L81" s="142"/>
    </row>
    <row r="82" spans="1:12" x14ac:dyDescent="0.35">
      <c r="A82" t="s">
        <v>19</v>
      </c>
      <c r="B82">
        <v>0</v>
      </c>
      <c r="C82">
        <v>0</v>
      </c>
      <c r="D82">
        <v>0</v>
      </c>
      <c r="E82">
        <v>0</v>
      </c>
      <c r="F82">
        <v>0</v>
      </c>
      <c r="G82">
        <v>0</v>
      </c>
      <c r="H82">
        <v>1</v>
      </c>
      <c r="I82">
        <v>0</v>
      </c>
      <c r="J82">
        <v>0</v>
      </c>
      <c r="K82">
        <v>1</v>
      </c>
    </row>
    <row r="83" spans="1:12" x14ac:dyDescent="0.35">
      <c r="A83" t="s">
        <v>500</v>
      </c>
      <c r="B83">
        <v>1</v>
      </c>
      <c r="C83">
        <v>0</v>
      </c>
      <c r="D83">
        <v>0</v>
      </c>
      <c r="E83">
        <v>0</v>
      </c>
      <c r="F83">
        <v>0</v>
      </c>
      <c r="G83">
        <v>0</v>
      </c>
      <c r="H83">
        <v>0</v>
      </c>
      <c r="I83">
        <v>1</v>
      </c>
      <c r="J83">
        <v>0</v>
      </c>
      <c r="K83">
        <v>0</v>
      </c>
    </row>
    <row r="84" spans="1:12" x14ac:dyDescent="0.35">
      <c r="A84" t="s">
        <v>370</v>
      </c>
      <c r="B84">
        <v>1</v>
      </c>
      <c r="C84">
        <v>0</v>
      </c>
      <c r="D84">
        <v>0</v>
      </c>
      <c r="E84">
        <v>0</v>
      </c>
      <c r="F84">
        <v>0</v>
      </c>
      <c r="G84">
        <v>0</v>
      </c>
      <c r="H84">
        <v>0</v>
      </c>
      <c r="I84">
        <v>1</v>
      </c>
      <c r="J84">
        <v>0</v>
      </c>
      <c r="K84">
        <v>0</v>
      </c>
    </row>
    <row r="85" spans="1:12" x14ac:dyDescent="0.35">
      <c r="A85" t="s">
        <v>20</v>
      </c>
      <c r="B85">
        <v>0</v>
      </c>
      <c r="C85">
        <v>0</v>
      </c>
      <c r="D85">
        <v>0</v>
      </c>
      <c r="E85">
        <v>0</v>
      </c>
      <c r="F85">
        <v>0</v>
      </c>
      <c r="G85">
        <v>1</v>
      </c>
      <c r="H85">
        <v>0</v>
      </c>
      <c r="I85">
        <v>0</v>
      </c>
      <c r="J85">
        <v>0</v>
      </c>
      <c r="K85">
        <v>1</v>
      </c>
    </row>
    <row r="86" spans="1:12" x14ac:dyDescent="0.35">
      <c r="A86" t="s">
        <v>411</v>
      </c>
      <c r="B86">
        <v>0</v>
      </c>
      <c r="C86">
        <v>0</v>
      </c>
      <c r="D86">
        <v>0</v>
      </c>
      <c r="E86">
        <v>0</v>
      </c>
      <c r="F86">
        <v>1</v>
      </c>
      <c r="G86">
        <v>0</v>
      </c>
      <c r="H86">
        <v>0</v>
      </c>
      <c r="I86">
        <v>0</v>
      </c>
      <c r="J86">
        <v>0</v>
      </c>
      <c r="K86">
        <v>1</v>
      </c>
      <c r="L86" s="142"/>
    </row>
    <row r="87" spans="1:12" x14ac:dyDescent="0.35">
      <c r="A87" t="s">
        <v>453</v>
      </c>
      <c r="B87">
        <v>0</v>
      </c>
      <c r="C87">
        <v>0</v>
      </c>
      <c r="D87">
        <v>0</v>
      </c>
      <c r="E87">
        <v>1</v>
      </c>
      <c r="F87">
        <v>0</v>
      </c>
      <c r="G87">
        <v>0</v>
      </c>
      <c r="H87">
        <v>0</v>
      </c>
      <c r="I87">
        <v>0</v>
      </c>
      <c r="J87">
        <v>0</v>
      </c>
      <c r="K87">
        <v>1</v>
      </c>
    </row>
    <row r="88" spans="1:12" x14ac:dyDescent="0.35">
      <c r="A88" t="s">
        <v>21</v>
      </c>
      <c r="B88">
        <v>0</v>
      </c>
      <c r="C88">
        <v>1</v>
      </c>
      <c r="D88">
        <v>0</v>
      </c>
      <c r="E88">
        <v>0</v>
      </c>
      <c r="F88">
        <v>0</v>
      </c>
      <c r="G88">
        <v>0</v>
      </c>
      <c r="H88">
        <v>0</v>
      </c>
      <c r="I88">
        <v>0</v>
      </c>
      <c r="J88">
        <v>0</v>
      </c>
      <c r="K88">
        <v>1</v>
      </c>
      <c r="L88" s="142"/>
    </row>
    <row r="89" spans="1:12" x14ac:dyDescent="0.35">
      <c r="A89" t="s">
        <v>494</v>
      </c>
      <c r="B89">
        <v>0</v>
      </c>
      <c r="C89">
        <v>0</v>
      </c>
      <c r="D89">
        <v>0</v>
      </c>
      <c r="E89">
        <v>1</v>
      </c>
      <c r="F89">
        <v>0</v>
      </c>
      <c r="G89">
        <v>0</v>
      </c>
      <c r="H89">
        <v>0</v>
      </c>
      <c r="I89">
        <v>0</v>
      </c>
      <c r="J89">
        <v>0</v>
      </c>
      <c r="K89">
        <v>1</v>
      </c>
    </row>
    <row r="90" spans="1:12" x14ac:dyDescent="0.35">
      <c r="A90" t="s">
        <v>481</v>
      </c>
      <c r="B90">
        <v>0</v>
      </c>
      <c r="C90">
        <v>0</v>
      </c>
      <c r="D90">
        <v>0</v>
      </c>
      <c r="E90">
        <v>1</v>
      </c>
      <c r="F90">
        <v>0</v>
      </c>
      <c r="G90">
        <v>0</v>
      </c>
      <c r="H90">
        <v>0</v>
      </c>
      <c r="I90">
        <v>0</v>
      </c>
      <c r="J90">
        <v>0</v>
      </c>
      <c r="K90">
        <v>1</v>
      </c>
    </row>
    <row r="91" spans="1:12" x14ac:dyDescent="0.35">
      <c r="A91" t="s">
        <v>472</v>
      </c>
      <c r="B91">
        <v>0</v>
      </c>
      <c r="C91">
        <v>1</v>
      </c>
      <c r="D91">
        <v>0</v>
      </c>
      <c r="E91">
        <v>0</v>
      </c>
      <c r="F91">
        <v>0</v>
      </c>
      <c r="G91">
        <v>0</v>
      </c>
      <c r="H91">
        <v>0</v>
      </c>
      <c r="I91">
        <v>0</v>
      </c>
      <c r="J91">
        <v>0</v>
      </c>
      <c r="K91">
        <v>1</v>
      </c>
    </row>
    <row r="92" spans="1:12" x14ac:dyDescent="0.35">
      <c r="A92" t="s">
        <v>23</v>
      </c>
      <c r="B92">
        <v>1</v>
      </c>
      <c r="C92">
        <v>0</v>
      </c>
      <c r="D92">
        <v>0</v>
      </c>
      <c r="E92">
        <v>0</v>
      </c>
      <c r="F92">
        <v>0</v>
      </c>
      <c r="G92">
        <v>0</v>
      </c>
      <c r="H92">
        <v>0</v>
      </c>
      <c r="I92">
        <v>1</v>
      </c>
      <c r="J92">
        <v>0</v>
      </c>
      <c r="K92">
        <v>0</v>
      </c>
    </row>
    <row r="93" spans="1:12" x14ac:dyDescent="0.35">
      <c r="A93" t="s">
        <v>425</v>
      </c>
      <c r="B93">
        <v>1</v>
      </c>
      <c r="C93">
        <v>0</v>
      </c>
      <c r="D93">
        <v>0</v>
      </c>
      <c r="E93">
        <v>0</v>
      </c>
      <c r="F93">
        <v>0</v>
      </c>
      <c r="G93">
        <v>0</v>
      </c>
      <c r="H93">
        <v>0</v>
      </c>
      <c r="I93">
        <v>1</v>
      </c>
      <c r="J93">
        <v>0</v>
      </c>
      <c r="K93">
        <v>0</v>
      </c>
    </row>
    <row r="94" spans="1:12" x14ac:dyDescent="0.35">
      <c r="A94" t="s">
        <v>460</v>
      </c>
      <c r="B94">
        <v>1</v>
      </c>
      <c r="C94">
        <v>0</v>
      </c>
      <c r="D94">
        <v>0</v>
      </c>
      <c r="E94">
        <v>0</v>
      </c>
      <c r="F94">
        <v>0</v>
      </c>
      <c r="G94">
        <v>0</v>
      </c>
      <c r="H94">
        <v>0</v>
      </c>
      <c r="I94">
        <v>1</v>
      </c>
      <c r="J94">
        <v>0</v>
      </c>
      <c r="K94">
        <v>0</v>
      </c>
    </row>
    <row r="95" spans="1:12" x14ac:dyDescent="0.35">
      <c r="A95" t="s">
        <v>414</v>
      </c>
      <c r="B95">
        <v>0</v>
      </c>
      <c r="C95">
        <v>0</v>
      </c>
      <c r="D95">
        <v>1</v>
      </c>
      <c r="E95">
        <v>0</v>
      </c>
      <c r="F95">
        <v>0</v>
      </c>
      <c r="G95">
        <v>0</v>
      </c>
      <c r="H95">
        <v>0</v>
      </c>
      <c r="I95">
        <v>0</v>
      </c>
      <c r="J95">
        <v>0</v>
      </c>
      <c r="K95">
        <v>1</v>
      </c>
    </row>
    <row r="96" spans="1:12" x14ac:dyDescent="0.35">
      <c r="A96" t="s">
        <v>450</v>
      </c>
      <c r="B96">
        <v>0</v>
      </c>
      <c r="C96">
        <v>0</v>
      </c>
      <c r="D96">
        <v>1</v>
      </c>
      <c r="E96">
        <v>0</v>
      </c>
      <c r="F96">
        <v>0</v>
      </c>
      <c r="G96">
        <v>0</v>
      </c>
      <c r="H96">
        <v>0</v>
      </c>
      <c r="I96">
        <v>1</v>
      </c>
      <c r="J96">
        <v>0</v>
      </c>
      <c r="K96">
        <v>0</v>
      </c>
      <c r="L96" s="142"/>
    </row>
    <row r="97" spans="1:12" x14ac:dyDescent="0.35">
      <c r="A97" t="s">
        <v>477</v>
      </c>
      <c r="B97">
        <v>0</v>
      </c>
      <c r="C97">
        <v>0</v>
      </c>
      <c r="D97">
        <v>0</v>
      </c>
      <c r="E97">
        <v>0</v>
      </c>
      <c r="F97">
        <v>0</v>
      </c>
      <c r="G97">
        <v>0</v>
      </c>
      <c r="H97">
        <v>1</v>
      </c>
      <c r="I97">
        <v>0</v>
      </c>
      <c r="J97">
        <v>1</v>
      </c>
      <c r="K97">
        <v>0</v>
      </c>
      <c r="L97" s="142"/>
    </row>
    <row r="98" spans="1:12" x14ac:dyDescent="0.35">
      <c r="A98" t="s">
        <v>436</v>
      </c>
      <c r="B98">
        <v>0</v>
      </c>
      <c r="C98">
        <v>0</v>
      </c>
      <c r="D98">
        <v>1</v>
      </c>
      <c r="E98">
        <v>0</v>
      </c>
      <c r="F98">
        <v>0</v>
      </c>
      <c r="G98">
        <v>0</v>
      </c>
      <c r="H98">
        <v>0</v>
      </c>
      <c r="I98">
        <v>0</v>
      </c>
      <c r="J98">
        <v>0</v>
      </c>
      <c r="K98">
        <v>1</v>
      </c>
    </row>
    <row r="99" spans="1:12" x14ac:dyDescent="0.35">
      <c r="A99" t="s">
        <v>478</v>
      </c>
      <c r="B99">
        <v>0</v>
      </c>
      <c r="C99">
        <v>1</v>
      </c>
      <c r="D99">
        <v>0</v>
      </c>
      <c r="E99">
        <v>0</v>
      </c>
      <c r="F99">
        <v>0</v>
      </c>
      <c r="G99">
        <v>0</v>
      </c>
      <c r="H99">
        <v>0</v>
      </c>
      <c r="I99">
        <v>1</v>
      </c>
      <c r="J99">
        <v>0</v>
      </c>
      <c r="K99">
        <v>0</v>
      </c>
    </row>
    <row r="100" spans="1:12" x14ac:dyDescent="0.35">
      <c r="A100" t="s">
        <v>447</v>
      </c>
      <c r="B100">
        <v>1</v>
      </c>
      <c r="C100">
        <v>0</v>
      </c>
      <c r="D100">
        <v>0</v>
      </c>
      <c r="E100">
        <v>0</v>
      </c>
      <c r="F100">
        <v>0</v>
      </c>
      <c r="G100">
        <v>0</v>
      </c>
      <c r="H100">
        <v>0</v>
      </c>
      <c r="I100">
        <v>1</v>
      </c>
      <c r="J100">
        <v>0</v>
      </c>
      <c r="K100">
        <v>0</v>
      </c>
    </row>
    <row r="101" spans="1:12" x14ac:dyDescent="0.35">
      <c r="A101" t="s">
        <v>24</v>
      </c>
      <c r="B101">
        <v>1</v>
      </c>
      <c r="C101">
        <v>0</v>
      </c>
      <c r="D101">
        <v>0</v>
      </c>
      <c r="E101">
        <v>0</v>
      </c>
      <c r="F101">
        <v>0</v>
      </c>
      <c r="G101">
        <v>0</v>
      </c>
      <c r="H101">
        <v>0</v>
      </c>
      <c r="I101">
        <v>1</v>
      </c>
      <c r="J101">
        <v>0</v>
      </c>
      <c r="K101">
        <v>0</v>
      </c>
    </row>
    <row r="102" spans="1:12" x14ac:dyDescent="0.35">
      <c r="A102" t="s">
        <v>25</v>
      </c>
      <c r="B102">
        <v>0</v>
      </c>
      <c r="C102">
        <v>0</v>
      </c>
      <c r="D102">
        <v>0</v>
      </c>
      <c r="E102">
        <v>0</v>
      </c>
      <c r="F102">
        <v>0</v>
      </c>
      <c r="G102">
        <v>0</v>
      </c>
      <c r="H102">
        <v>1</v>
      </c>
      <c r="I102">
        <v>0</v>
      </c>
      <c r="J102">
        <v>0</v>
      </c>
      <c r="K102">
        <v>1</v>
      </c>
    </row>
    <row r="103" spans="1:12" x14ac:dyDescent="0.35">
      <c r="A103" t="s">
        <v>26</v>
      </c>
      <c r="B103">
        <v>1</v>
      </c>
      <c r="C103">
        <v>0</v>
      </c>
      <c r="D103">
        <v>0</v>
      </c>
      <c r="E103">
        <v>0</v>
      </c>
      <c r="F103">
        <v>0</v>
      </c>
      <c r="G103">
        <v>0</v>
      </c>
      <c r="H103">
        <v>0</v>
      </c>
      <c r="I103">
        <v>1</v>
      </c>
      <c r="J103">
        <v>0</v>
      </c>
      <c r="K103">
        <v>0</v>
      </c>
    </row>
    <row r="104" spans="1:12" x14ac:dyDescent="0.35">
      <c r="A104" t="s">
        <v>27</v>
      </c>
      <c r="B104">
        <v>0</v>
      </c>
      <c r="C104">
        <v>0</v>
      </c>
      <c r="D104">
        <v>0</v>
      </c>
      <c r="E104">
        <v>0</v>
      </c>
      <c r="F104">
        <v>0</v>
      </c>
      <c r="G104">
        <v>1</v>
      </c>
      <c r="H104">
        <v>0</v>
      </c>
      <c r="I104">
        <v>0</v>
      </c>
      <c r="J104">
        <v>0</v>
      </c>
      <c r="K104">
        <v>1</v>
      </c>
    </row>
    <row r="105" spans="1:12" x14ac:dyDescent="0.35">
      <c r="A105" t="s">
        <v>412</v>
      </c>
      <c r="B105">
        <v>0</v>
      </c>
      <c r="C105">
        <v>0</v>
      </c>
      <c r="D105">
        <v>0</v>
      </c>
      <c r="E105">
        <v>0</v>
      </c>
      <c r="F105">
        <v>0</v>
      </c>
      <c r="G105">
        <v>0</v>
      </c>
      <c r="H105">
        <v>1</v>
      </c>
      <c r="I105">
        <v>0</v>
      </c>
      <c r="J105">
        <v>0</v>
      </c>
      <c r="K105">
        <v>1</v>
      </c>
      <c r="L105" s="142"/>
    </row>
    <row r="106" spans="1:12" x14ac:dyDescent="0.35">
      <c r="A106" t="s">
        <v>418</v>
      </c>
      <c r="B106">
        <v>1</v>
      </c>
      <c r="C106">
        <v>0</v>
      </c>
      <c r="D106">
        <v>0</v>
      </c>
      <c r="E106">
        <v>0</v>
      </c>
      <c r="F106">
        <v>0</v>
      </c>
      <c r="G106">
        <v>0</v>
      </c>
      <c r="H106">
        <v>0</v>
      </c>
      <c r="I106">
        <v>1</v>
      </c>
      <c r="J106">
        <v>0</v>
      </c>
      <c r="K106">
        <v>0</v>
      </c>
    </row>
    <row r="107" spans="1:12" x14ac:dyDescent="0.35">
      <c r="A107" t="s">
        <v>479</v>
      </c>
      <c r="B107">
        <v>1</v>
      </c>
      <c r="C107">
        <v>0</v>
      </c>
      <c r="D107">
        <v>0</v>
      </c>
      <c r="E107">
        <v>0</v>
      </c>
      <c r="F107">
        <v>0</v>
      </c>
      <c r="G107">
        <v>0</v>
      </c>
      <c r="H107">
        <v>0</v>
      </c>
      <c r="I107">
        <v>1</v>
      </c>
      <c r="J107">
        <v>0</v>
      </c>
      <c r="K107">
        <v>0</v>
      </c>
    </row>
    <row r="108" spans="1:12" x14ac:dyDescent="0.35">
      <c r="A108" t="s">
        <v>432</v>
      </c>
      <c r="B108">
        <v>0</v>
      </c>
      <c r="C108">
        <v>1</v>
      </c>
      <c r="D108">
        <v>0</v>
      </c>
      <c r="E108">
        <v>0</v>
      </c>
      <c r="F108">
        <v>0</v>
      </c>
      <c r="G108">
        <v>0</v>
      </c>
      <c r="H108">
        <v>0</v>
      </c>
      <c r="I108">
        <v>1</v>
      </c>
      <c r="J108">
        <v>0</v>
      </c>
      <c r="K108">
        <v>0</v>
      </c>
    </row>
    <row r="109" spans="1:12" x14ac:dyDescent="0.35">
      <c r="A109" t="s">
        <v>416</v>
      </c>
      <c r="B109">
        <v>0</v>
      </c>
      <c r="C109">
        <v>0</v>
      </c>
      <c r="D109">
        <v>1</v>
      </c>
      <c r="E109">
        <v>0</v>
      </c>
      <c r="F109">
        <v>0</v>
      </c>
      <c r="G109">
        <v>0</v>
      </c>
      <c r="H109">
        <v>0</v>
      </c>
      <c r="I109">
        <v>0</v>
      </c>
      <c r="J109">
        <v>0</v>
      </c>
      <c r="K109">
        <v>1</v>
      </c>
      <c r="L109" s="142"/>
    </row>
    <row r="110" spans="1:12" x14ac:dyDescent="0.35">
      <c r="A110" t="s">
        <v>379</v>
      </c>
      <c r="B110">
        <v>0</v>
      </c>
      <c r="C110">
        <v>0</v>
      </c>
      <c r="D110">
        <v>0</v>
      </c>
      <c r="E110">
        <v>0</v>
      </c>
      <c r="F110">
        <v>0</v>
      </c>
      <c r="G110">
        <v>0</v>
      </c>
      <c r="H110">
        <v>1</v>
      </c>
      <c r="I110">
        <v>0</v>
      </c>
      <c r="J110">
        <v>1</v>
      </c>
      <c r="K110">
        <v>0</v>
      </c>
      <c r="L110" s="142"/>
    </row>
    <row r="111" spans="1:12" x14ac:dyDescent="0.35">
      <c r="A111" t="s">
        <v>28</v>
      </c>
      <c r="B111">
        <v>0</v>
      </c>
      <c r="C111">
        <v>1</v>
      </c>
      <c r="D111">
        <v>0</v>
      </c>
      <c r="E111">
        <v>0</v>
      </c>
      <c r="F111">
        <v>0</v>
      </c>
      <c r="G111">
        <v>0</v>
      </c>
      <c r="H111">
        <v>0</v>
      </c>
      <c r="I111">
        <v>0</v>
      </c>
      <c r="J111">
        <v>0</v>
      </c>
      <c r="K111">
        <v>1</v>
      </c>
    </row>
    <row r="112" spans="1:12" x14ac:dyDescent="0.35">
      <c r="A112" t="s">
        <v>489</v>
      </c>
      <c r="B112">
        <v>0</v>
      </c>
      <c r="C112">
        <v>1</v>
      </c>
      <c r="D112">
        <v>0</v>
      </c>
      <c r="E112">
        <v>0</v>
      </c>
      <c r="F112">
        <v>0</v>
      </c>
      <c r="G112">
        <v>0</v>
      </c>
      <c r="H112">
        <v>0</v>
      </c>
      <c r="I112">
        <v>0</v>
      </c>
      <c r="J112">
        <v>0</v>
      </c>
      <c r="K112">
        <v>1</v>
      </c>
      <c r="L112" s="142"/>
    </row>
    <row r="113" spans="1:12" x14ac:dyDescent="0.35">
      <c r="A113" t="s">
        <v>480</v>
      </c>
      <c r="B113">
        <v>0</v>
      </c>
      <c r="C113">
        <v>0</v>
      </c>
      <c r="D113">
        <v>0</v>
      </c>
      <c r="E113">
        <v>0</v>
      </c>
      <c r="F113">
        <v>1</v>
      </c>
      <c r="G113">
        <v>0</v>
      </c>
      <c r="H113">
        <v>0</v>
      </c>
      <c r="I113">
        <v>0</v>
      </c>
      <c r="J113">
        <v>0</v>
      </c>
      <c r="K113">
        <v>1</v>
      </c>
    </row>
    <row r="114" spans="1:12" x14ac:dyDescent="0.35">
      <c r="A114" t="s">
        <v>29</v>
      </c>
      <c r="B114">
        <v>0</v>
      </c>
      <c r="C114">
        <v>0</v>
      </c>
      <c r="D114">
        <v>1</v>
      </c>
      <c r="E114">
        <v>0</v>
      </c>
      <c r="F114">
        <v>0</v>
      </c>
      <c r="G114">
        <v>0</v>
      </c>
      <c r="H114">
        <v>0</v>
      </c>
      <c r="I114">
        <v>0</v>
      </c>
      <c r="J114">
        <v>0</v>
      </c>
      <c r="K114">
        <v>1</v>
      </c>
    </row>
    <row r="115" spans="1:12" x14ac:dyDescent="0.35">
      <c r="A115" t="s">
        <v>442</v>
      </c>
      <c r="B115">
        <v>0</v>
      </c>
      <c r="C115">
        <v>0</v>
      </c>
      <c r="D115">
        <v>0</v>
      </c>
      <c r="E115">
        <v>0</v>
      </c>
      <c r="F115">
        <v>0</v>
      </c>
      <c r="G115">
        <v>0</v>
      </c>
      <c r="H115">
        <v>1</v>
      </c>
      <c r="I115">
        <v>0</v>
      </c>
      <c r="J115">
        <v>1</v>
      </c>
      <c r="K115">
        <v>0</v>
      </c>
      <c r="L115" s="142"/>
    </row>
    <row r="116" spans="1:12" x14ac:dyDescent="0.35">
      <c r="A116" t="s">
        <v>459</v>
      </c>
      <c r="B116">
        <v>0</v>
      </c>
      <c r="C116">
        <v>0</v>
      </c>
      <c r="D116">
        <v>1</v>
      </c>
      <c r="E116">
        <v>0</v>
      </c>
      <c r="F116">
        <v>0</v>
      </c>
      <c r="G116">
        <v>0</v>
      </c>
      <c r="H116">
        <v>0</v>
      </c>
      <c r="I116">
        <v>0</v>
      </c>
      <c r="J116">
        <v>0</v>
      </c>
      <c r="K116">
        <v>1</v>
      </c>
      <c r="L116" s="142"/>
    </row>
    <row r="117" spans="1:12" x14ac:dyDescent="0.35">
      <c r="A117" t="s">
        <v>498</v>
      </c>
      <c r="B117">
        <v>0</v>
      </c>
      <c r="C117">
        <v>0</v>
      </c>
      <c r="D117">
        <v>0</v>
      </c>
      <c r="E117">
        <v>0</v>
      </c>
      <c r="F117">
        <v>1</v>
      </c>
      <c r="G117">
        <v>0</v>
      </c>
      <c r="H117">
        <v>0</v>
      </c>
      <c r="I117">
        <v>1</v>
      </c>
      <c r="J117">
        <v>0</v>
      </c>
      <c r="K117">
        <v>0</v>
      </c>
    </row>
    <row r="118" spans="1:12" x14ac:dyDescent="0.35">
      <c r="A118" t="s">
        <v>315</v>
      </c>
      <c r="B118">
        <v>1</v>
      </c>
      <c r="C118">
        <v>0</v>
      </c>
      <c r="D118">
        <v>1</v>
      </c>
      <c r="E118">
        <v>0</v>
      </c>
      <c r="F118">
        <v>0</v>
      </c>
      <c r="G118">
        <v>0</v>
      </c>
      <c r="H118">
        <v>0</v>
      </c>
      <c r="I118">
        <v>1</v>
      </c>
      <c r="J118">
        <v>0</v>
      </c>
      <c r="K118">
        <v>0</v>
      </c>
    </row>
    <row r="119" spans="1:12" x14ac:dyDescent="0.35">
      <c r="A119" t="s">
        <v>221</v>
      </c>
      <c r="B119">
        <v>1</v>
      </c>
      <c r="C119">
        <v>0</v>
      </c>
      <c r="D119">
        <v>0</v>
      </c>
      <c r="E119">
        <v>0</v>
      </c>
      <c r="F119">
        <v>0</v>
      </c>
      <c r="G119">
        <v>0</v>
      </c>
      <c r="H119">
        <v>0</v>
      </c>
      <c r="I119">
        <v>1</v>
      </c>
      <c r="J119">
        <v>0</v>
      </c>
      <c r="K119">
        <v>0</v>
      </c>
    </row>
    <row r="120" spans="1:12" x14ac:dyDescent="0.35">
      <c r="A120" t="s">
        <v>473</v>
      </c>
      <c r="B120">
        <v>0</v>
      </c>
      <c r="C120">
        <v>0</v>
      </c>
      <c r="D120">
        <v>0</v>
      </c>
      <c r="E120">
        <v>1</v>
      </c>
      <c r="F120">
        <v>0</v>
      </c>
      <c r="G120">
        <v>0</v>
      </c>
      <c r="H120">
        <v>0</v>
      </c>
      <c r="I120">
        <v>1</v>
      </c>
      <c r="J120">
        <v>0</v>
      </c>
      <c r="K120">
        <v>0</v>
      </c>
    </row>
    <row r="121" spans="1:12" x14ac:dyDescent="0.35">
      <c r="A121" t="s">
        <v>458</v>
      </c>
      <c r="B121">
        <v>0</v>
      </c>
      <c r="C121">
        <v>0</v>
      </c>
      <c r="D121">
        <v>0</v>
      </c>
      <c r="E121">
        <v>1</v>
      </c>
      <c r="F121">
        <v>0</v>
      </c>
      <c r="G121">
        <v>0</v>
      </c>
      <c r="H121">
        <v>0</v>
      </c>
      <c r="I121">
        <v>1</v>
      </c>
      <c r="J121">
        <v>0</v>
      </c>
      <c r="K121">
        <v>0</v>
      </c>
      <c r="L121" s="142"/>
    </row>
    <row r="122" spans="1:12" x14ac:dyDescent="0.35">
      <c r="A122" t="s">
        <v>445</v>
      </c>
      <c r="B122">
        <v>0</v>
      </c>
      <c r="C122">
        <v>1</v>
      </c>
      <c r="D122">
        <v>0</v>
      </c>
      <c r="E122">
        <v>0</v>
      </c>
      <c r="F122">
        <v>0</v>
      </c>
      <c r="G122">
        <v>0</v>
      </c>
      <c r="H122">
        <v>0</v>
      </c>
      <c r="I122">
        <v>0</v>
      </c>
      <c r="J122">
        <v>0</v>
      </c>
      <c r="K122">
        <v>1</v>
      </c>
    </row>
    <row r="123" spans="1:12" x14ac:dyDescent="0.35">
      <c r="A123" t="s">
        <v>30</v>
      </c>
      <c r="B123">
        <v>0</v>
      </c>
      <c r="C123">
        <v>0</v>
      </c>
      <c r="D123">
        <v>0</v>
      </c>
      <c r="E123">
        <v>0</v>
      </c>
      <c r="F123">
        <v>0</v>
      </c>
      <c r="G123">
        <v>0</v>
      </c>
      <c r="H123">
        <v>1</v>
      </c>
      <c r="I123">
        <v>0</v>
      </c>
      <c r="J123">
        <v>0</v>
      </c>
      <c r="K123">
        <v>1</v>
      </c>
    </row>
    <row r="124" spans="1:12" x14ac:dyDescent="0.3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93"/>
  <sheetViews>
    <sheetView workbookViewId="0">
      <selection activeCell="B7" sqref="B7"/>
    </sheetView>
  </sheetViews>
  <sheetFormatPr defaultRowHeight="14.5" x14ac:dyDescent="0.35"/>
  <sheetData>
    <row r="1" spans="1:4" x14ac:dyDescent="0.35">
      <c r="A1" s="68" t="s">
        <v>62</v>
      </c>
      <c r="B1" s="68" t="s">
        <v>36</v>
      </c>
      <c r="C1" s="68" t="s">
        <v>63</v>
      </c>
      <c r="D1" s="68" t="s">
        <v>64</v>
      </c>
    </row>
    <row r="2" spans="1:4" x14ac:dyDescent="0.35">
      <c r="A2">
        <v>1981</v>
      </c>
      <c r="B2" t="s">
        <v>2</v>
      </c>
      <c r="C2">
        <v>16842.650000000001</v>
      </c>
      <c r="D2">
        <v>1807.633333</v>
      </c>
    </row>
    <row r="3" spans="1:4" x14ac:dyDescent="0.35">
      <c r="A3">
        <v>1985</v>
      </c>
      <c r="B3" t="s">
        <v>2</v>
      </c>
      <c r="C3">
        <v>17464.02</v>
      </c>
      <c r="D3">
        <v>1807.633333</v>
      </c>
    </row>
    <row r="4" spans="1:4" x14ac:dyDescent="0.35">
      <c r="A4">
        <v>2003</v>
      </c>
      <c r="B4" t="s">
        <v>2</v>
      </c>
      <c r="C4">
        <v>25844.663359999999</v>
      </c>
      <c r="D4">
        <v>1847.05</v>
      </c>
    </row>
    <row r="5" spans="1:4" x14ac:dyDescent="0.35">
      <c r="A5">
        <v>2007</v>
      </c>
      <c r="B5" t="s">
        <v>2</v>
      </c>
      <c r="C5">
        <v>29297.606179999999</v>
      </c>
      <c r="D5">
        <v>1927.575</v>
      </c>
    </row>
    <row r="6" spans="1:4" x14ac:dyDescent="0.35">
      <c r="A6">
        <v>2008</v>
      </c>
      <c r="B6" t="s">
        <v>2</v>
      </c>
      <c r="C6">
        <v>30085.673760000001</v>
      </c>
      <c r="D6">
        <v>1893.8166670000001</v>
      </c>
    </row>
    <row r="7" spans="1:4" x14ac:dyDescent="0.35">
      <c r="A7">
        <v>2009</v>
      </c>
      <c r="B7" t="s">
        <v>2</v>
      </c>
      <c r="C7">
        <v>29551.258610000001</v>
      </c>
      <c r="D7" s="158">
        <v>1918.1833329999999</v>
      </c>
    </row>
    <row r="8" spans="1:4" x14ac:dyDescent="0.35">
      <c r="A8">
        <v>2010</v>
      </c>
      <c r="B8" t="s">
        <v>2</v>
      </c>
      <c r="C8">
        <v>30105.01065</v>
      </c>
      <c r="D8" s="158">
        <v>1908.541667</v>
      </c>
    </row>
    <row r="9" spans="1:4" x14ac:dyDescent="0.35">
      <c r="A9">
        <v>1985</v>
      </c>
      <c r="B9" t="s">
        <v>382</v>
      </c>
      <c r="C9">
        <v>15765.85304</v>
      </c>
      <c r="D9">
        <v>285.52999999999997</v>
      </c>
    </row>
    <row r="10" spans="1:4" x14ac:dyDescent="0.35">
      <c r="A10">
        <v>1987</v>
      </c>
      <c r="B10" t="s">
        <v>382</v>
      </c>
      <c r="C10">
        <v>16480.224399999999</v>
      </c>
      <c r="D10">
        <v>326.39999999999998</v>
      </c>
    </row>
    <row r="11" spans="1:4" x14ac:dyDescent="0.35">
      <c r="A11">
        <v>2000</v>
      </c>
      <c r="B11" t="s">
        <v>3</v>
      </c>
      <c r="C11">
        <v>538.07289730000002</v>
      </c>
      <c r="D11">
        <v>46.84</v>
      </c>
    </row>
    <row r="12" spans="1:4" x14ac:dyDescent="0.35">
      <c r="A12">
        <v>2011</v>
      </c>
      <c r="B12" t="s">
        <v>491</v>
      </c>
      <c r="C12">
        <v>20406.397150000001</v>
      </c>
      <c r="D12">
        <v>2035.458333</v>
      </c>
    </row>
    <row r="13" spans="1:4" x14ac:dyDescent="0.35">
      <c r="A13">
        <v>1980</v>
      </c>
      <c r="B13" t="s">
        <v>427</v>
      </c>
      <c r="C13">
        <v>3617.6491550000001</v>
      </c>
      <c r="D13">
        <v>9.8699999999999992</v>
      </c>
    </row>
    <row r="14" spans="1:4" x14ac:dyDescent="0.35">
      <c r="A14">
        <v>1971</v>
      </c>
      <c r="B14" t="s">
        <v>466</v>
      </c>
      <c r="C14">
        <v>11173.810600000001</v>
      </c>
      <c r="D14">
        <v>1340.083333</v>
      </c>
    </row>
    <row r="15" spans="1:4" x14ac:dyDescent="0.35">
      <c r="A15">
        <v>1973</v>
      </c>
      <c r="B15" t="s">
        <v>466</v>
      </c>
      <c r="C15">
        <v>12443.839169999999</v>
      </c>
      <c r="D15">
        <v>1391.9666669999999</v>
      </c>
    </row>
    <row r="16" spans="1:4" x14ac:dyDescent="0.35">
      <c r="A16">
        <v>1989</v>
      </c>
      <c r="B16" t="s">
        <v>5</v>
      </c>
      <c r="C16">
        <v>489.11</v>
      </c>
      <c r="D16">
        <v>12.87</v>
      </c>
    </row>
    <row r="17" spans="1:4" x14ac:dyDescent="0.35">
      <c r="A17">
        <v>1993</v>
      </c>
      <c r="B17" t="s">
        <v>5</v>
      </c>
      <c r="C17">
        <v>501.23</v>
      </c>
      <c r="D17">
        <v>30.61</v>
      </c>
    </row>
    <row r="18" spans="1:4" x14ac:dyDescent="0.35">
      <c r="A18">
        <v>1995</v>
      </c>
      <c r="B18" t="s">
        <v>5</v>
      </c>
      <c r="C18">
        <v>557.00671499999999</v>
      </c>
      <c r="D18">
        <v>41</v>
      </c>
    </row>
    <row r="19" spans="1:4" x14ac:dyDescent="0.35">
      <c r="A19">
        <v>1996</v>
      </c>
      <c r="B19" t="s">
        <v>5</v>
      </c>
      <c r="C19">
        <v>615.0112001</v>
      </c>
      <c r="D19">
        <v>47.57</v>
      </c>
    </row>
    <row r="20" spans="1:4" x14ac:dyDescent="0.35">
      <c r="A20">
        <v>1997</v>
      </c>
      <c r="B20" t="s">
        <v>5</v>
      </c>
      <c r="C20">
        <v>644.93008899999995</v>
      </c>
      <c r="D20">
        <v>57.52</v>
      </c>
    </row>
    <row r="21" spans="1:4" x14ac:dyDescent="0.35">
      <c r="A21">
        <v>2000</v>
      </c>
      <c r="B21" t="s">
        <v>5</v>
      </c>
      <c r="C21">
        <v>818.44971650000002</v>
      </c>
      <c r="D21">
        <v>95.36</v>
      </c>
    </row>
    <row r="22" spans="1:4" x14ac:dyDescent="0.35">
      <c r="A22">
        <v>2001</v>
      </c>
      <c r="B22" t="s">
        <v>5</v>
      </c>
      <c r="C22">
        <v>869.2805591</v>
      </c>
      <c r="D22">
        <v>116.81</v>
      </c>
    </row>
    <row r="23" spans="1:4" x14ac:dyDescent="0.35">
      <c r="A23">
        <v>2002</v>
      </c>
      <c r="B23" t="s">
        <v>5</v>
      </c>
      <c r="C23">
        <v>942.28688590000002</v>
      </c>
      <c r="D23">
        <v>131.54</v>
      </c>
    </row>
    <row r="24" spans="1:4" x14ac:dyDescent="0.35">
      <c r="A24">
        <v>2005</v>
      </c>
      <c r="B24" t="s">
        <v>5</v>
      </c>
      <c r="C24">
        <v>1178.9405340000001</v>
      </c>
      <c r="D24">
        <v>148.86000000000001</v>
      </c>
    </row>
    <row r="25" spans="1:4" x14ac:dyDescent="0.35">
      <c r="A25">
        <v>2007</v>
      </c>
      <c r="B25" t="s">
        <v>5</v>
      </c>
      <c r="C25">
        <v>1462.5103429999999</v>
      </c>
      <c r="D25">
        <v>176.02</v>
      </c>
    </row>
    <row r="26" spans="1:4" x14ac:dyDescent="0.35">
      <c r="A26">
        <v>2009</v>
      </c>
      <c r="B26" t="s">
        <v>5</v>
      </c>
      <c r="C26">
        <v>1732.3423640000001</v>
      </c>
      <c r="D26">
        <v>201.91</v>
      </c>
    </row>
    <row r="27" spans="1:4" x14ac:dyDescent="0.35">
      <c r="A27">
        <v>1984</v>
      </c>
      <c r="B27" t="s">
        <v>446</v>
      </c>
      <c r="C27">
        <v>4842.1251279999997</v>
      </c>
      <c r="D27">
        <v>396.92500000000001</v>
      </c>
    </row>
    <row r="28" spans="1:4" x14ac:dyDescent="0.35">
      <c r="A28">
        <v>1989</v>
      </c>
      <c r="B28" t="s">
        <v>446</v>
      </c>
      <c r="C28">
        <v>4842.1251279999997</v>
      </c>
      <c r="D28">
        <v>396.92500000000001</v>
      </c>
    </row>
    <row r="29" spans="1:4" x14ac:dyDescent="0.35">
      <c r="A29">
        <v>1993</v>
      </c>
      <c r="B29" t="s">
        <v>446</v>
      </c>
      <c r="C29">
        <v>4843.1251279999997</v>
      </c>
      <c r="D29">
        <v>397.0083333</v>
      </c>
    </row>
    <row r="30" spans="1:4" x14ac:dyDescent="0.35">
      <c r="A30">
        <v>1996</v>
      </c>
      <c r="B30" t="s">
        <v>446</v>
      </c>
      <c r="C30">
        <v>5678.3536180000001</v>
      </c>
      <c r="D30">
        <v>345.8666667</v>
      </c>
    </row>
    <row r="31" spans="1:4" x14ac:dyDescent="0.35">
      <c r="A31">
        <v>1991</v>
      </c>
      <c r="B31" t="s">
        <v>440</v>
      </c>
      <c r="C31">
        <v>19392.900000000001</v>
      </c>
      <c r="D31">
        <v>856.3</v>
      </c>
    </row>
    <row r="32" spans="1:4" x14ac:dyDescent="0.35">
      <c r="A32">
        <v>1988</v>
      </c>
      <c r="B32" t="s">
        <v>6</v>
      </c>
      <c r="C32">
        <v>1617.0922410000001</v>
      </c>
      <c r="D32">
        <v>21.13</v>
      </c>
    </row>
    <row r="33" spans="1:4" x14ac:dyDescent="0.35">
      <c r="A33">
        <v>1998</v>
      </c>
      <c r="B33" t="s">
        <v>6</v>
      </c>
      <c r="C33">
        <v>1881.115397</v>
      </c>
      <c r="D33" s="158">
        <v>55.32</v>
      </c>
    </row>
    <row r="34" spans="1:4" x14ac:dyDescent="0.35">
      <c r="A34">
        <v>2006</v>
      </c>
      <c r="B34" t="s">
        <v>6</v>
      </c>
      <c r="C34">
        <v>2166.2962349999998</v>
      </c>
      <c r="D34" s="158">
        <v>43.32</v>
      </c>
    </row>
    <row r="35" spans="1:4" x14ac:dyDescent="0.35">
      <c r="A35">
        <v>2012</v>
      </c>
      <c r="B35" t="s">
        <v>6</v>
      </c>
      <c r="C35">
        <v>2675.892973</v>
      </c>
      <c r="D35">
        <v>153.38</v>
      </c>
    </row>
    <row r="36" spans="1:4" x14ac:dyDescent="0.35">
      <c r="A36">
        <v>1995</v>
      </c>
      <c r="B36" t="s">
        <v>7</v>
      </c>
      <c r="C36" t="s">
        <v>94</v>
      </c>
      <c r="D36" t="s">
        <v>94</v>
      </c>
    </row>
    <row r="37" spans="1:4" x14ac:dyDescent="0.35">
      <c r="A37">
        <v>2002</v>
      </c>
      <c r="B37" t="s">
        <v>420</v>
      </c>
      <c r="C37">
        <v>18137.26081</v>
      </c>
      <c r="D37">
        <v>1617.96</v>
      </c>
    </row>
    <row r="38" spans="1:4" x14ac:dyDescent="0.35">
      <c r="A38">
        <v>2004</v>
      </c>
      <c r="B38" t="s">
        <v>420</v>
      </c>
      <c r="C38">
        <v>18496.490900000001</v>
      </c>
      <c r="D38">
        <v>1700.87</v>
      </c>
    </row>
    <row r="39" spans="1:4" x14ac:dyDescent="0.35">
      <c r="A39">
        <v>2006</v>
      </c>
      <c r="B39" t="s">
        <v>8</v>
      </c>
      <c r="C39" t="s">
        <v>94</v>
      </c>
      <c r="D39">
        <v>51.6</v>
      </c>
    </row>
    <row r="40" spans="1:4" x14ac:dyDescent="0.35">
      <c r="A40">
        <v>1985</v>
      </c>
      <c r="B40" t="s">
        <v>443</v>
      </c>
      <c r="C40">
        <v>14533.925160000001</v>
      </c>
      <c r="D40" s="158">
        <v>1132.05</v>
      </c>
    </row>
    <row r="41" spans="1:4" x14ac:dyDescent="0.35">
      <c r="A41">
        <v>1986</v>
      </c>
      <c r="B41" t="s">
        <v>443</v>
      </c>
      <c r="C41">
        <v>15082.56027</v>
      </c>
      <c r="D41">
        <v>1130.79</v>
      </c>
    </row>
    <row r="42" spans="1:4" x14ac:dyDescent="0.35">
      <c r="A42">
        <v>1989</v>
      </c>
      <c r="B42" t="s">
        <v>443</v>
      </c>
      <c r="C42">
        <v>16305.718339999999</v>
      </c>
      <c r="D42">
        <v>1544.59</v>
      </c>
    </row>
    <row r="43" spans="1:4" x14ac:dyDescent="0.35">
      <c r="A43">
        <v>1989</v>
      </c>
      <c r="B43" t="s">
        <v>10</v>
      </c>
      <c r="C43" t="s">
        <v>94</v>
      </c>
      <c r="D43">
        <v>17</v>
      </c>
    </row>
    <row r="44" spans="1:4" x14ac:dyDescent="0.35">
      <c r="A44">
        <v>1992</v>
      </c>
      <c r="B44" t="s">
        <v>10</v>
      </c>
      <c r="C44" t="s">
        <v>94</v>
      </c>
      <c r="D44">
        <v>28</v>
      </c>
    </row>
    <row r="45" spans="1:4" x14ac:dyDescent="0.35">
      <c r="A45">
        <v>1993</v>
      </c>
      <c r="B45" t="s">
        <v>10</v>
      </c>
      <c r="C45" t="s">
        <v>94</v>
      </c>
      <c r="D45">
        <v>19</v>
      </c>
    </row>
    <row r="46" spans="1:4" x14ac:dyDescent="0.35">
      <c r="A46">
        <v>1995</v>
      </c>
      <c r="B46" t="s">
        <v>10</v>
      </c>
      <c r="C46" t="s">
        <v>94</v>
      </c>
      <c r="D46">
        <v>27</v>
      </c>
    </row>
    <row r="47" spans="1:4" x14ac:dyDescent="0.35">
      <c r="A47">
        <v>1999</v>
      </c>
      <c r="B47" t="s">
        <v>10</v>
      </c>
      <c r="C47" t="s">
        <v>94</v>
      </c>
      <c r="D47">
        <v>22</v>
      </c>
    </row>
    <row r="48" spans="1:4" x14ac:dyDescent="0.35">
      <c r="A48">
        <v>1960</v>
      </c>
      <c r="B48" t="s">
        <v>11</v>
      </c>
      <c r="C48">
        <v>3069.2967159999998</v>
      </c>
      <c r="D48">
        <v>524.54999999999995</v>
      </c>
    </row>
    <row r="49" spans="1:4" x14ac:dyDescent="0.35">
      <c r="A49">
        <v>1964</v>
      </c>
      <c r="B49" t="s">
        <v>11</v>
      </c>
      <c r="C49">
        <v>3892.2033529999999</v>
      </c>
      <c r="D49">
        <v>649.58000000000004</v>
      </c>
    </row>
    <row r="50" spans="1:4" x14ac:dyDescent="0.35">
      <c r="A50">
        <v>1977</v>
      </c>
      <c r="B50" t="s">
        <v>11</v>
      </c>
      <c r="C50">
        <v>7743.6979940000001</v>
      </c>
      <c r="D50">
        <v>1092.3800000000001</v>
      </c>
    </row>
    <row r="51" spans="1:4" x14ac:dyDescent="0.35">
      <c r="A51">
        <v>2017</v>
      </c>
      <c r="B51" t="s">
        <v>11</v>
      </c>
      <c r="C51">
        <v>12659.26535</v>
      </c>
      <c r="D51">
        <v>1092.325</v>
      </c>
    </row>
    <row r="52" spans="1:4" x14ac:dyDescent="0.35">
      <c r="A52">
        <v>1983</v>
      </c>
      <c r="B52" t="s">
        <v>12</v>
      </c>
      <c r="C52">
        <v>329.92068819999997</v>
      </c>
      <c r="D52">
        <v>27.71</v>
      </c>
    </row>
    <row r="53" spans="1:4" x14ac:dyDescent="0.35">
      <c r="A53">
        <v>1990</v>
      </c>
      <c r="B53" t="s">
        <v>12</v>
      </c>
      <c r="C53">
        <v>376.56104579999999</v>
      </c>
      <c r="D53">
        <v>83.44</v>
      </c>
    </row>
    <row r="54" spans="1:4" x14ac:dyDescent="0.35">
      <c r="A54">
        <v>1993</v>
      </c>
      <c r="B54" t="s">
        <v>12</v>
      </c>
      <c r="C54">
        <v>386.91100729999999</v>
      </c>
      <c r="D54">
        <v>221.33</v>
      </c>
    </row>
    <row r="55" spans="1:4" x14ac:dyDescent="0.35">
      <c r="A55">
        <v>1994</v>
      </c>
      <c r="B55" t="s">
        <v>12</v>
      </c>
      <c r="C55">
        <v>397.59870039999998</v>
      </c>
      <c r="D55">
        <v>327.69</v>
      </c>
    </row>
    <row r="56" spans="1:4" x14ac:dyDescent="0.35">
      <c r="A56">
        <v>1995</v>
      </c>
      <c r="B56" t="s">
        <v>12</v>
      </c>
      <c r="C56">
        <v>413.48539729999999</v>
      </c>
      <c r="D56">
        <v>337.4</v>
      </c>
    </row>
    <row r="57" spans="1:4" x14ac:dyDescent="0.35">
      <c r="A57">
        <v>1999</v>
      </c>
      <c r="B57" t="s">
        <v>12</v>
      </c>
      <c r="C57">
        <v>480.5210361</v>
      </c>
      <c r="D57">
        <v>347.95</v>
      </c>
    </row>
    <row r="58" spans="1:4" x14ac:dyDescent="0.35">
      <c r="A58">
        <v>2005</v>
      </c>
      <c r="B58" t="s">
        <v>12</v>
      </c>
      <c r="C58">
        <v>584.41927369999996</v>
      </c>
      <c r="D58">
        <v>495.53</v>
      </c>
    </row>
    <row r="59" spans="1:4" x14ac:dyDescent="0.35">
      <c r="A59">
        <v>1995</v>
      </c>
      <c r="B59" t="s">
        <v>13</v>
      </c>
      <c r="C59">
        <v>1073.45598</v>
      </c>
      <c r="D59">
        <v>69.62</v>
      </c>
    </row>
    <row r="60" spans="1:4" x14ac:dyDescent="0.35">
      <c r="A60">
        <v>2000</v>
      </c>
      <c r="B60" t="s">
        <v>13</v>
      </c>
      <c r="C60">
        <v>1172.2687129999999</v>
      </c>
      <c r="D60">
        <v>35.11</v>
      </c>
    </row>
    <row r="61" spans="1:4" x14ac:dyDescent="0.35">
      <c r="A61">
        <v>2004</v>
      </c>
      <c r="B61" t="s">
        <v>13</v>
      </c>
      <c r="C61">
        <v>1301.66652</v>
      </c>
      <c r="D61">
        <v>51.23</v>
      </c>
    </row>
    <row r="62" spans="1:4" x14ac:dyDescent="0.35">
      <c r="A62">
        <v>2007</v>
      </c>
      <c r="B62" t="s">
        <v>13</v>
      </c>
      <c r="C62">
        <v>1410.286325</v>
      </c>
      <c r="D62">
        <v>79.83</v>
      </c>
    </row>
    <row r="63" spans="1:4" x14ac:dyDescent="0.35">
      <c r="A63">
        <v>2008</v>
      </c>
      <c r="B63" t="s">
        <v>13</v>
      </c>
      <c r="C63">
        <v>1466.322443</v>
      </c>
      <c r="D63">
        <v>97.85</v>
      </c>
    </row>
    <row r="64" spans="1:4" x14ac:dyDescent="0.35">
      <c r="A64">
        <v>1988</v>
      </c>
      <c r="B64" t="s">
        <v>15</v>
      </c>
      <c r="C64">
        <v>1437.1179500000001</v>
      </c>
      <c r="D64">
        <v>18.12</v>
      </c>
    </row>
    <row r="65" spans="1:4" x14ac:dyDescent="0.35">
      <c r="A65">
        <v>1998</v>
      </c>
      <c r="B65" t="s">
        <v>15</v>
      </c>
      <c r="C65">
        <v>1756.7431979999999</v>
      </c>
      <c r="D65">
        <v>72.180000000000007</v>
      </c>
    </row>
    <row r="66" spans="1:4" x14ac:dyDescent="0.35">
      <c r="A66">
        <v>2006</v>
      </c>
      <c r="B66" t="s">
        <v>15</v>
      </c>
      <c r="C66">
        <v>2597.6549129999999</v>
      </c>
      <c r="D66">
        <v>69.319999999999993</v>
      </c>
    </row>
    <row r="67" spans="1:4" x14ac:dyDescent="0.35">
      <c r="A67">
        <v>1982</v>
      </c>
      <c r="B67" t="s">
        <v>421</v>
      </c>
      <c r="C67">
        <v>8556.6869409999999</v>
      </c>
      <c r="D67">
        <v>272.12</v>
      </c>
    </row>
    <row r="68" spans="1:4" x14ac:dyDescent="0.35">
      <c r="A68">
        <v>1983</v>
      </c>
      <c r="B68" t="s">
        <v>421</v>
      </c>
      <c r="C68">
        <v>9134.9964049999999</v>
      </c>
      <c r="D68">
        <v>277.55</v>
      </c>
    </row>
    <row r="69" spans="1:4" x14ac:dyDescent="0.35">
      <c r="A69">
        <v>1984</v>
      </c>
      <c r="B69" t="s">
        <v>421</v>
      </c>
      <c r="C69">
        <v>8398.2101459999994</v>
      </c>
      <c r="D69">
        <v>283.75</v>
      </c>
    </row>
    <row r="70" spans="1:4" x14ac:dyDescent="0.35">
      <c r="A70">
        <v>1985</v>
      </c>
      <c r="B70" t="s">
        <v>421</v>
      </c>
      <c r="C70">
        <v>8357.3759389999996</v>
      </c>
      <c r="D70" s="158">
        <v>295.91000000000003</v>
      </c>
    </row>
    <row r="71" spans="1:4" x14ac:dyDescent="0.35">
      <c r="A71">
        <v>1986</v>
      </c>
      <c r="B71" t="s">
        <v>421</v>
      </c>
      <c r="C71">
        <v>9470.7494029999998</v>
      </c>
      <c r="D71">
        <v>320.16000000000003</v>
      </c>
    </row>
    <row r="72" spans="1:4" x14ac:dyDescent="0.35">
      <c r="A72">
        <v>1987</v>
      </c>
      <c r="B72" t="s">
        <v>421</v>
      </c>
      <c r="C72">
        <v>10148.67959</v>
      </c>
      <c r="D72">
        <v>347.73</v>
      </c>
    </row>
    <row r="73" spans="1:4" x14ac:dyDescent="0.35">
      <c r="A73">
        <v>1988</v>
      </c>
      <c r="B73" t="s">
        <v>421</v>
      </c>
      <c r="C73">
        <v>10449.08691</v>
      </c>
      <c r="D73">
        <v>368.38</v>
      </c>
    </row>
    <row r="74" spans="1:4" x14ac:dyDescent="0.35">
      <c r="A74">
        <v>1989</v>
      </c>
      <c r="B74" t="s">
        <v>421</v>
      </c>
      <c r="C74">
        <v>10329.765649999999</v>
      </c>
      <c r="D74">
        <v>384.22</v>
      </c>
    </row>
    <row r="75" spans="1:4" x14ac:dyDescent="0.35">
      <c r="A75">
        <v>1990</v>
      </c>
      <c r="B75" t="s">
        <v>421</v>
      </c>
      <c r="C75">
        <v>10612.74865</v>
      </c>
      <c r="D75">
        <v>394.88</v>
      </c>
    </row>
    <row r="76" spans="1:4" x14ac:dyDescent="0.35">
      <c r="A76">
        <v>1991</v>
      </c>
      <c r="B76" t="s">
        <v>421</v>
      </c>
      <c r="C76">
        <v>10717.42575</v>
      </c>
      <c r="D76">
        <v>416.6</v>
      </c>
    </row>
    <row r="77" spans="1:4" x14ac:dyDescent="0.35">
      <c r="A77">
        <v>1960</v>
      </c>
      <c r="B77" t="s">
        <v>377</v>
      </c>
      <c r="C77">
        <v>9167.465295</v>
      </c>
      <c r="D77" t="s">
        <v>94</v>
      </c>
    </row>
    <row r="78" spans="1:4" x14ac:dyDescent="0.35">
      <c r="A78">
        <v>2012</v>
      </c>
      <c r="B78" t="s">
        <v>444</v>
      </c>
      <c r="C78">
        <v>19144.62</v>
      </c>
      <c r="D78">
        <v>1210</v>
      </c>
    </row>
    <row r="79" spans="1:4" x14ac:dyDescent="0.35">
      <c r="A79">
        <v>2010</v>
      </c>
      <c r="B79" t="s">
        <v>422</v>
      </c>
      <c r="C79">
        <v>3067.9310150000001</v>
      </c>
      <c r="D79">
        <v>155.55000000000001</v>
      </c>
    </row>
    <row r="80" spans="1:4" x14ac:dyDescent="0.35">
      <c r="A80">
        <v>1994</v>
      </c>
      <c r="B80" t="s">
        <v>360</v>
      </c>
      <c r="C80">
        <v>819.17575690000001</v>
      </c>
      <c r="D80">
        <v>42.26</v>
      </c>
    </row>
    <row r="81" spans="1:4" x14ac:dyDescent="0.35">
      <c r="A81">
        <v>2005</v>
      </c>
      <c r="B81" t="s">
        <v>438</v>
      </c>
      <c r="C81" t="s">
        <v>94</v>
      </c>
      <c r="D81">
        <v>28.94</v>
      </c>
    </row>
    <row r="82" spans="1:4" x14ac:dyDescent="0.35">
      <c r="A82">
        <v>2007</v>
      </c>
      <c r="B82" t="s">
        <v>16</v>
      </c>
      <c r="C82">
        <v>3648.2418550000002</v>
      </c>
      <c r="D82">
        <v>236.71</v>
      </c>
    </row>
    <row r="83" spans="1:4" x14ac:dyDescent="0.35">
      <c r="A83">
        <v>1997</v>
      </c>
      <c r="B83" t="s">
        <v>18</v>
      </c>
      <c r="C83">
        <v>17971.82387</v>
      </c>
      <c r="D83">
        <v>1451.5</v>
      </c>
    </row>
    <row r="84" spans="1:4" x14ac:dyDescent="0.35">
      <c r="A84">
        <v>1983</v>
      </c>
      <c r="B84" t="s">
        <v>19</v>
      </c>
      <c r="C84">
        <v>925.37760249999997</v>
      </c>
      <c r="D84" t="s">
        <v>94</v>
      </c>
    </row>
    <row r="85" spans="1:4" x14ac:dyDescent="0.35">
      <c r="A85">
        <v>1995</v>
      </c>
      <c r="B85" t="s">
        <v>19</v>
      </c>
      <c r="C85">
        <v>994.50668370000005</v>
      </c>
      <c r="D85">
        <v>44.47</v>
      </c>
    </row>
    <row r="86" spans="1:4" x14ac:dyDescent="0.35">
      <c r="A86">
        <v>1998</v>
      </c>
      <c r="B86" t="s">
        <v>19</v>
      </c>
      <c r="C86">
        <v>1066.8555679999999</v>
      </c>
      <c r="D86">
        <v>85.2</v>
      </c>
    </row>
    <row r="87" spans="1:4" x14ac:dyDescent="0.35">
      <c r="A87">
        <v>2011</v>
      </c>
      <c r="B87" t="s">
        <v>19</v>
      </c>
      <c r="C87">
        <v>1894.4555700000001</v>
      </c>
      <c r="D87">
        <v>75.83</v>
      </c>
    </row>
    <row r="88" spans="1:4" x14ac:dyDescent="0.35">
      <c r="A88">
        <v>2013</v>
      </c>
      <c r="B88" t="s">
        <v>19</v>
      </c>
      <c r="C88">
        <v>2172.063807</v>
      </c>
      <c r="D88">
        <v>70.349999999999994</v>
      </c>
    </row>
    <row r="89" spans="1:4" x14ac:dyDescent="0.35">
      <c r="A89">
        <v>1991</v>
      </c>
      <c r="B89" t="s">
        <v>370</v>
      </c>
      <c r="C89">
        <v>18095.971750000001</v>
      </c>
      <c r="D89">
        <v>27.04</v>
      </c>
    </row>
    <row r="90" spans="1:4" x14ac:dyDescent="0.35">
      <c r="A90">
        <v>1995</v>
      </c>
      <c r="B90" t="s">
        <v>370</v>
      </c>
      <c r="C90">
        <v>19841.3593</v>
      </c>
      <c r="D90">
        <v>31.98</v>
      </c>
    </row>
    <row r="91" spans="1:4" x14ac:dyDescent="0.35">
      <c r="A91">
        <v>2002</v>
      </c>
      <c r="B91" t="s">
        <v>20</v>
      </c>
      <c r="C91">
        <v>787.8550444</v>
      </c>
      <c r="D91">
        <v>29.55</v>
      </c>
    </row>
    <row r="92" spans="1:4" x14ac:dyDescent="0.35">
      <c r="A92">
        <v>2017</v>
      </c>
      <c r="B92" t="s">
        <v>411</v>
      </c>
      <c r="C92">
        <v>3012.5448809999998</v>
      </c>
      <c r="D92">
        <v>376.35</v>
      </c>
    </row>
    <row r="93" spans="1:4" x14ac:dyDescent="0.35">
      <c r="A93">
        <v>1986</v>
      </c>
      <c r="B93" t="s">
        <v>21</v>
      </c>
      <c r="C93" t="s">
        <v>94</v>
      </c>
      <c r="D93" t="s">
        <v>94</v>
      </c>
    </row>
    <row r="94" spans="1:4" x14ac:dyDescent="0.35">
      <c r="A94">
        <v>1985</v>
      </c>
      <c r="B94" t="s">
        <v>472</v>
      </c>
      <c r="C94">
        <v>1105.8685190000001</v>
      </c>
      <c r="D94">
        <v>269.24</v>
      </c>
    </row>
    <row r="95" spans="1:4" x14ac:dyDescent="0.35">
      <c r="A95">
        <v>2006</v>
      </c>
      <c r="B95" t="s">
        <v>23</v>
      </c>
      <c r="C95">
        <v>5548.3588209999998</v>
      </c>
      <c r="D95">
        <v>312.74</v>
      </c>
    </row>
    <row r="96" spans="1:4" x14ac:dyDescent="0.35">
      <c r="A96">
        <v>1986</v>
      </c>
      <c r="B96" t="s">
        <v>425</v>
      </c>
      <c r="C96">
        <v>7294.8719659999997</v>
      </c>
      <c r="D96">
        <v>760.1</v>
      </c>
    </row>
    <row r="97" spans="1:4" x14ac:dyDescent="0.35">
      <c r="A97">
        <v>1996</v>
      </c>
      <c r="B97" t="s">
        <v>425</v>
      </c>
      <c r="C97">
        <v>10406.07497</v>
      </c>
      <c r="D97">
        <v>775.02499999999998</v>
      </c>
    </row>
    <row r="98" spans="1:4" x14ac:dyDescent="0.35">
      <c r="A98">
        <v>2005</v>
      </c>
      <c r="B98" t="s">
        <v>425</v>
      </c>
      <c r="C98">
        <v>12511.71221</v>
      </c>
      <c r="D98">
        <v>825.9916667</v>
      </c>
    </row>
    <row r="99" spans="1:4" x14ac:dyDescent="0.35">
      <c r="A99">
        <v>2010</v>
      </c>
      <c r="B99" t="s">
        <v>425</v>
      </c>
      <c r="C99">
        <v>13110.272999999999</v>
      </c>
      <c r="D99">
        <v>960.8666667</v>
      </c>
    </row>
    <row r="100" spans="1:4" x14ac:dyDescent="0.35">
      <c r="A100">
        <v>2013</v>
      </c>
      <c r="B100" t="s">
        <v>425</v>
      </c>
      <c r="C100">
        <v>11965.08555</v>
      </c>
      <c r="D100">
        <v>918.45</v>
      </c>
    </row>
    <row r="101" spans="1:4" x14ac:dyDescent="0.35">
      <c r="A101">
        <v>1985</v>
      </c>
      <c r="B101" t="s">
        <v>450</v>
      </c>
      <c r="C101">
        <v>1680</v>
      </c>
      <c r="D101">
        <v>44.5</v>
      </c>
    </row>
    <row r="102" spans="1:4" x14ac:dyDescent="0.35">
      <c r="A102">
        <v>1990</v>
      </c>
      <c r="B102" t="s">
        <v>450</v>
      </c>
      <c r="C102">
        <v>1710</v>
      </c>
      <c r="D102">
        <v>29.96</v>
      </c>
    </row>
    <row r="103" spans="1:4" x14ac:dyDescent="0.35">
      <c r="A103">
        <v>1991</v>
      </c>
      <c r="B103" t="s">
        <v>450</v>
      </c>
      <c r="C103">
        <v>1740</v>
      </c>
      <c r="D103">
        <v>9.83</v>
      </c>
    </row>
    <row r="104" spans="1:4" x14ac:dyDescent="0.35">
      <c r="A104">
        <v>1993</v>
      </c>
      <c r="B104" t="s">
        <v>450</v>
      </c>
      <c r="C104">
        <v>1770</v>
      </c>
      <c r="D104">
        <v>3.48</v>
      </c>
    </row>
    <row r="105" spans="1:4" x14ac:dyDescent="0.35">
      <c r="A105">
        <v>1994</v>
      </c>
      <c r="B105" t="s">
        <v>450</v>
      </c>
      <c r="C105">
        <v>1800</v>
      </c>
      <c r="D105">
        <v>5.55</v>
      </c>
    </row>
    <row r="106" spans="1:4" x14ac:dyDescent="0.35">
      <c r="A106">
        <v>1996</v>
      </c>
      <c r="B106" t="s">
        <v>450</v>
      </c>
      <c r="C106">
        <v>1836.5551760000001</v>
      </c>
      <c r="D106" s="158">
        <v>62.36</v>
      </c>
    </row>
    <row r="107" spans="1:4" x14ac:dyDescent="0.35">
      <c r="A107">
        <v>1998</v>
      </c>
      <c r="B107" t="s">
        <v>450</v>
      </c>
      <c r="C107">
        <v>1867.986572</v>
      </c>
      <c r="D107" s="158">
        <v>134.83000000000001</v>
      </c>
    </row>
    <row r="108" spans="1:4" x14ac:dyDescent="0.35">
      <c r="A108">
        <v>2000</v>
      </c>
      <c r="B108" t="s">
        <v>450</v>
      </c>
      <c r="C108">
        <v>1958.1173100000001</v>
      </c>
      <c r="D108" s="158">
        <v>377.8</v>
      </c>
    </row>
    <row r="109" spans="1:4" x14ac:dyDescent="0.35">
      <c r="A109">
        <v>2002</v>
      </c>
      <c r="B109" t="s">
        <v>450</v>
      </c>
      <c r="C109">
        <v>2337.5092770000001</v>
      </c>
      <c r="D109" s="158">
        <v>814</v>
      </c>
    </row>
    <row r="110" spans="1:4" x14ac:dyDescent="0.35">
      <c r="A110">
        <v>1984</v>
      </c>
      <c r="B110" t="s">
        <v>447</v>
      </c>
      <c r="C110">
        <v>4455.2138210000003</v>
      </c>
      <c r="D110" t="s">
        <v>94</v>
      </c>
    </row>
    <row r="111" spans="1:4" x14ac:dyDescent="0.35">
      <c r="A111">
        <v>1993</v>
      </c>
      <c r="B111" t="s">
        <v>447</v>
      </c>
      <c r="C111">
        <v>4456.2138210000003</v>
      </c>
      <c r="D111">
        <v>4763</v>
      </c>
    </row>
    <row r="112" spans="1:4" x14ac:dyDescent="0.35">
      <c r="A112">
        <v>2004</v>
      </c>
      <c r="B112" t="s">
        <v>24</v>
      </c>
      <c r="C112">
        <v>10169.178459999999</v>
      </c>
      <c r="D112">
        <v>996.05</v>
      </c>
    </row>
    <row r="113" spans="1:4" x14ac:dyDescent="0.35">
      <c r="A113">
        <v>2006</v>
      </c>
      <c r="B113" t="s">
        <v>24</v>
      </c>
      <c r="C113">
        <v>10461.59352</v>
      </c>
      <c r="D113">
        <v>1029.0666670000001</v>
      </c>
    </row>
    <row r="114" spans="1:4" x14ac:dyDescent="0.35">
      <c r="A114">
        <v>2008</v>
      </c>
      <c r="B114" t="s">
        <v>24</v>
      </c>
      <c r="C114">
        <v>11381.34726</v>
      </c>
      <c r="D114">
        <v>1040.675</v>
      </c>
    </row>
    <row r="115" spans="1:4" x14ac:dyDescent="0.35">
      <c r="A115">
        <v>2011</v>
      </c>
      <c r="B115" t="s">
        <v>25</v>
      </c>
      <c r="C115">
        <v>3903.2389509999998</v>
      </c>
      <c r="D115">
        <v>118.95</v>
      </c>
    </row>
    <row r="116" spans="1:4" x14ac:dyDescent="0.35">
      <c r="A116">
        <v>1997</v>
      </c>
      <c r="B116" t="s">
        <v>26</v>
      </c>
      <c r="C116">
        <v>12986.85563</v>
      </c>
      <c r="D116">
        <v>1078.508333</v>
      </c>
    </row>
    <row r="117" spans="1:4" x14ac:dyDescent="0.35">
      <c r="A117">
        <v>2001</v>
      </c>
      <c r="B117" t="s">
        <v>26</v>
      </c>
      <c r="C117">
        <v>15116.302030000001</v>
      </c>
      <c r="D117">
        <v>1045.73</v>
      </c>
    </row>
    <row r="118" spans="1:4" x14ac:dyDescent="0.35">
      <c r="A118">
        <v>2003</v>
      </c>
      <c r="B118" t="s">
        <v>27</v>
      </c>
      <c r="C118">
        <v>1523.6571309999999</v>
      </c>
      <c r="D118">
        <v>34.619999999999997</v>
      </c>
    </row>
    <row r="119" spans="1:4" x14ac:dyDescent="0.35">
      <c r="A119">
        <v>1990</v>
      </c>
      <c r="B119" t="s">
        <v>418</v>
      </c>
      <c r="C119">
        <v>16476.77</v>
      </c>
      <c r="D119">
        <v>1012.56</v>
      </c>
    </row>
    <row r="120" spans="1:4" x14ac:dyDescent="0.35">
      <c r="A120">
        <v>1997</v>
      </c>
      <c r="B120" t="s">
        <v>418</v>
      </c>
      <c r="C120">
        <v>16471.097519999999</v>
      </c>
      <c r="D120">
        <v>1190.67</v>
      </c>
    </row>
    <row r="121" spans="1:4" x14ac:dyDescent="0.35">
      <c r="A121">
        <v>2005</v>
      </c>
      <c r="B121" t="s">
        <v>418</v>
      </c>
      <c r="C121">
        <v>20349.749179999999</v>
      </c>
      <c r="D121">
        <v>1351.08</v>
      </c>
    </row>
    <row r="122" spans="1:4" x14ac:dyDescent="0.35">
      <c r="A122">
        <v>2006</v>
      </c>
      <c r="B122" t="s">
        <v>418</v>
      </c>
      <c r="C122">
        <v>20841.356749999999</v>
      </c>
      <c r="D122">
        <v>1400.39</v>
      </c>
    </row>
    <row r="123" spans="1:4" x14ac:dyDescent="0.35">
      <c r="A123">
        <v>2015</v>
      </c>
      <c r="B123" t="s">
        <v>418</v>
      </c>
      <c r="C123">
        <v>23733.290249999998</v>
      </c>
      <c r="D123">
        <v>1419.7</v>
      </c>
    </row>
    <row r="124" spans="1:4" x14ac:dyDescent="0.35">
      <c r="A124">
        <v>2001</v>
      </c>
      <c r="B124" t="s">
        <v>379</v>
      </c>
      <c r="C124">
        <v>430.31896970000003</v>
      </c>
      <c r="D124">
        <v>26.66</v>
      </c>
    </row>
    <row r="125" spans="1:4" x14ac:dyDescent="0.35">
      <c r="A125">
        <v>2006</v>
      </c>
      <c r="B125" t="s">
        <v>379</v>
      </c>
      <c r="C125">
        <v>510.41510010000002</v>
      </c>
      <c r="D125">
        <v>49.74</v>
      </c>
    </row>
    <row r="126" spans="1:4" x14ac:dyDescent="0.35">
      <c r="A126">
        <v>2014</v>
      </c>
      <c r="B126" t="s">
        <v>379</v>
      </c>
      <c r="C126">
        <v>571.46875</v>
      </c>
      <c r="D126">
        <v>83.92</v>
      </c>
    </row>
    <row r="127" spans="1:4" x14ac:dyDescent="0.35">
      <c r="A127">
        <v>1985</v>
      </c>
      <c r="B127" t="s">
        <v>28</v>
      </c>
      <c r="C127">
        <v>1025.461552</v>
      </c>
      <c r="D127">
        <v>689.19</v>
      </c>
    </row>
    <row r="128" spans="1:4" x14ac:dyDescent="0.35">
      <c r="A128">
        <v>1995</v>
      </c>
      <c r="B128" t="s">
        <v>28</v>
      </c>
      <c r="C128">
        <v>1946.319377</v>
      </c>
      <c r="D128">
        <v>427.05</v>
      </c>
    </row>
    <row r="129" spans="1:4" x14ac:dyDescent="0.35">
      <c r="A129">
        <v>1996</v>
      </c>
      <c r="B129" t="s">
        <v>28</v>
      </c>
      <c r="C129">
        <v>2017.5901429999999</v>
      </c>
      <c r="D129">
        <v>440.1</v>
      </c>
    </row>
    <row r="130" spans="1:4" x14ac:dyDescent="0.35">
      <c r="A130">
        <v>1998</v>
      </c>
      <c r="B130" t="s">
        <v>28</v>
      </c>
      <c r="C130">
        <v>1741.8719140000001</v>
      </c>
      <c r="D130">
        <v>500.87</v>
      </c>
    </row>
    <row r="131" spans="1:4" x14ac:dyDescent="0.35">
      <c r="A131">
        <v>2008</v>
      </c>
      <c r="B131" t="s">
        <v>28</v>
      </c>
      <c r="C131">
        <v>2572.8324269999998</v>
      </c>
      <c r="D131">
        <v>214.49</v>
      </c>
    </row>
    <row r="132" spans="1:4" x14ac:dyDescent="0.35">
      <c r="A132">
        <v>2013</v>
      </c>
      <c r="B132" t="s">
        <v>28</v>
      </c>
      <c r="C132">
        <v>2870.8489719999998</v>
      </c>
      <c r="D132">
        <v>291.14</v>
      </c>
    </row>
    <row r="133" spans="1:4" x14ac:dyDescent="0.35">
      <c r="A133">
        <v>2014</v>
      </c>
      <c r="B133" t="s">
        <v>480</v>
      </c>
      <c r="C133">
        <v>2614.779438</v>
      </c>
      <c r="D133">
        <v>63.27</v>
      </c>
    </row>
    <row r="134" spans="1:4" x14ac:dyDescent="0.35">
      <c r="A134">
        <v>1987</v>
      </c>
      <c r="B134" t="s">
        <v>29</v>
      </c>
      <c r="C134">
        <v>3276.8349680000001</v>
      </c>
      <c r="D134" t="s">
        <v>94</v>
      </c>
    </row>
    <row r="135" spans="1:4" x14ac:dyDescent="0.35">
      <c r="A135">
        <v>1988</v>
      </c>
      <c r="B135" t="s">
        <v>29</v>
      </c>
      <c r="C135">
        <v>3251.546871</v>
      </c>
      <c r="D135" t="s">
        <v>94</v>
      </c>
    </row>
    <row r="136" spans="1:4" x14ac:dyDescent="0.35">
      <c r="A136">
        <v>1998</v>
      </c>
      <c r="B136" t="s">
        <v>29</v>
      </c>
      <c r="C136">
        <v>4148.1993579999998</v>
      </c>
      <c r="D136" s="158">
        <v>519.67499999999995</v>
      </c>
    </row>
    <row r="137" spans="1:4" x14ac:dyDescent="0.35">
      <c r="A137">
        <v>2001</v>
      </c>
      <c r="B137" t="s">
        <v>29</v>
      </c>
      <c r="C137">
        <v>3855.3728919999999</v>
      </c>
      <c r="D137" s="158">
        <v>493.94166669999998</v>
      </c>
    </row>
    <row r="138" spans="1:4" x14ac:dyDescent="0.35">
      <c r="A138">
        <v>2006</v>
      </c>
      <c r="B138" t="s">
        <v>29</v>
      </c>
      <c r="C138">
        <v>4893.1039229999997</v>
      </c>
      <c r="D138" s="158">
        <v>759.28333329999998</v>
      </c>
    </row>
    <row r="139" spans="1:4" x14ac:dyDescent="0.35">
      <c r="A139">
        <v>2007</v>
      </c>
      <c r="B139" t="s">
        <v>29</v>
      </c>
      <c r="C139">
        <v>5087.8446649999996</v>
      </c>
      <c r="D139">
        <v>754.35833330000003</v>
      </c>
    </row>
    <row r="140" spans="1:4" x14ac:dyDescent="0.35">
      <c r="A140">
        <v>2017</v>
      </c>
      <c r="B140" t="s">
        <v>29</v>
      </c>
      <c r="C140">
        <v>6947.3575170000004</v>
      </c>
      <c r="D140">
        <v>1048.4083330000001</v>
      </c>
    </row>
    <row r="141" spans="1:4" x14ac:dyDescent="0.35">
      <c r="A141">
        <v>1986</v>
      </c>
      <c r="B141" t="s">
        <v>459</v>
      </c>
      <c r="C141" t="s">
        <v>94</v>
      </c>
      <c r="D141" t="s">
        <v>94</v>
      </c>
    </row>
    <row r="142" spans="1:4" x14ac:dyDescent="0.35">
      <c r="A142">
        <v>1991</v>
      </c>
      <c r="B142" t="s">
        <v>459</v>
      </c>
      <c r="C142">
        <v>971.63452150000001</v>
      </c>
      <c r="D142">
        <v>5.08</v>
      </c>
    </row>
    <row r="143" spans="1:4" x14ac:dyDescent="0.35">
      <c r="A143">
        <v>1997</v>
      </c>
      <c r="B143" t="s">
        <v>459</v>
      </c>
      <c r="C143">
        <v>543.8438721</v>
      </c>
      <c r="D143">
        <v>34.47</v>
      </c>
    </row>
    <row r="144" spans="1:4" x14ac:dyDescent="0.35">
      <c r="A144">
        <v>1998</v>
      </c>
      <c r="B144" t="s">
        <v>459</v>
      </c>
      <c r="C144">
        <v>557.91784670000004</v>
      </c>
      <c r="D144">
        <v>49.84</v>
      </c>
    </row>
    <row r="145" spans="1:4" x14ac:dyDescent="0.35">
      <c r="A145">
        <v>2000</v>
      </c>
      <c r="B145" t="s">
        <v>459</v>
      </c>
      <c r="C145">
        <v>570.54272460000004</v>
      </c>
      <c r="D145">
        <v>54.54</v>
      </c>
    </row>
    <row r="146" spans="1:4" x14ac:dyDescent="0.35">
      <c r="A146">
        <v>2002</v>
      </c>
      <c r="B146" t="s">
        <v>459</v>
      </c>
      <c r="C146">
        <v>679.80401610000001</v>
      </c>
      <c r="D146">
        <v>66.77</v>
      </c>
    </row>
    <row r="147" spans="1:4" x14ac:dyDescent="0.35">
      <c r="A147">
        <v>1958</v>
      </c>
      <c r="B147" t="s">
        <v>315</v>
      </c>
      <c r="C147" t="s">
        <v>94</v>
      </c>
      <c r="D147">
        <v>27.31</v>
      </c>
    </row>
    <row r="148" spans="1:4" x14ac:dyDescent="0.35">
      <c r="A148">
        <v>1972</v>
      </c>
      <c r="B148" t="s">
        <v>315</v>
      </c>
      <c r="C148" t="s">
        <v>94</v>
      </c>
      <c r="D148">
        <v>130.94</v>
      </c>
    </row>
    <row r="149" spans="1:4" x14ac:dyDescent="0.35">
      <c r="A149">
        <v>1982</v>
      </c>
      <c r="B149" t="s">
        <v>315</v>
      </c>
      <c r="C149">
        <v>13531.85261</v>
      </c>
      <c r="D149">
        <v>245.72</v>
      </c>
    </row>
    <row r="150" spans="1:4" x14ac:dyDescent="0.35">
      <c r="A150">
        <v>1984</v>
      </c>
      <c r="B150" t="s">
        <v>315</v>
      </c>
      <c r="C150">
        <v>14398.397360000001</v>
      </c>
      <c r="D150">
        <v>243.98</v>
      </c>
    </row>
    <row r="151" spans="1:4" x14ac:dyDescent="0.35">
      <c r="A151">
        <v>1999</v>
      </c>
      <c r="B151" t="s">
        <v>315</v>
      </c>
      <c r="C151">
        <v>23477.907670000001</v>
      </c>
      <c r="D151">
        <v>1423</v>
      </c>
    </row>
    <row r="152" spans="1:4" x14ac:dyDescent="0.35">
      <c r="A152">
        <v>2000</v>
      </c>
      <c r="B152" t="s">
        <v>315</v>
      </c>
      <c r="C152">
        <v>24477.315709999999</v>
      </c>
      <c r="D152">
        <v>1503.07</v>
      </c>
    </row>
    <row r="153" spans="1:4" x14ac:dyDescent="0.35">
      <c r="A153">
        <v>2001</v>
      </c>
      <c r="B153" t="s">
        <v>315</v>
      </c>
      <c r="C153">
        <v>25208.408510000001</v>
      </c>
      <c r="D153">
        <v>1486.61</v>
      </c>
    </row>
    <row r="154" spans="1:4" x14ac:dyDescent="0.35">
      <c r="A154">
        <v>1940</v>
      </c>
      <c r="B154" t="s">
        <v>221</v>
      </c>
      <c r="C154">
        <v>15113.74489</v>
      </c>
      <c r="D154">
        <v>528.53</v>
      </c>
    </row>
    <row r="155" spans="1:4" x14ac:dyDescent="0.35">
      <c r="A155">
        <v>1950</v>
      </c>
      <c r="B155" t="s">
        <v>221</v>
      </c>
      <c r="C155">
        <v>15635.363240000001</v>
      </c>
      <c r="D155">
        <v>810.53</v>
      </c>
    </row>
    <row r="156" spans="1:4" x14ac:dyDescent="0.35">
      <c r="A156">
        <v>1960</v>
      </c>
      <c r="B156" t="s">
        <v>221</v>
      </c>
      <c r="C156">
        <v>16156.981589999999</v>
      </c>
      <c r="D156">
        <v>1588.1</v>
      </c>
    </row>
    <row r="157" spans="1:4" x14ac:dyDescent="0.35">
      <c r="A157">
        <v>1965</v>
      </c>
      <c r="B157" t="s">
        <v>221</v>
      </c>
      <c r="C157">
        <v>16678.59994</v>
      </c>
      <c r="D157">
        <v>1863.3166670000001</v>
      </c>
    </row>
    <row r="158" spans="1:4" x14ac:dyDescent="0.35">
      <c r="A158">
        <v>1970</v>
      </c>
      <c r="B158" t="s">
        <v>221</v>
      </c>
      <c r="C158">
        <v>15553.42758</v>
      </c>
      <c r="D158">
        <v>1935.583333</v>
      </c>
    </row>
    <row r="159" spans="1:4" x14ac:dyDescent="0.35">
      <c r="A159">
        <v>1976</v>
      </c>
      <c r="B159" t="s">
        <v>221</v>
      </c>
      <c r="C159">
        <v>18108.120930000001</v>
      </c>
      <c r="D159">
        <v>1898.258333</v>
      </c>
    </row>
    <row r="160" spans="1:4" x14ac:dyDescent="0.35">
      <c r="A160">
        <v>1978</v>
      </c>
      <c r="B160" t="s">
        <v>221</v>
      </c>
      <c r="C160">
        <v>19296.74165</v>
      </c>
      <c r="D160">
        <v>1908</v>
      </c>
    </row>
    <row r="161" spans="1:4" x14ac:dyDescent="0.35">
      <c r="A161">
        <v>1979</v>
      </c>
      <c r="B161" t="s">
        <v>221</v>
      </c>
      <c r="C161">
        <v>19538.605950000001</v>
      </c>
      <c r="D161">
        <v>1876.7833330000001</v>
      </c>
    </row>
    <row r="162" spans="1:4" x14ac:dyDescent="0.35">
      <c r="A162">
        <v>1980</v>
      </c>
      <c r="B162" t="s">
        <v>221</v>
      </c>
      <c r="C162">
        <v>19291.597280000002</v>
      </c>
      <c r="D162">
        <v>1766.825</v>
      </c>
    </row>
    <row r="163" spans="1:4" x14ac:dyDescent="0.35">
      <c r="A163">
        <v>1981</v>
      </c>
      <c r="B163" t="s">
        <v>221</v>
      </c>
      <c r="C163">
        <v>19368.07476</v>
      </c>
      <c r="D163">
        <v>1730.4749999999999</v>
      </c>
    </row>
    <row r="164" spans="1:4" x14ac:dyDescent="0.35">
      <c r="A164">
        <v>1982</v>
      </c>
      <c r="B164" t="s">
        <v>221</v>
      </c>
      <c r="C164">
        <v>19465.135999999999</v>
      </c>
      <c r="D164">
        <v>1630.5</v>
      </c>
    </row>
    <row r="165" spans="1:4" x14ac:dyDescent="0.35">
      <c r="A165">
        <v>1983</v>
      </c>
      <c r="B165" t="s">
        <v>221</v>
      </c>
      <c r="C165">
        <v>20379.868750000001</v>
      </c>
      <c r="D165">
        <v>1579.75</v>
      </c>
    </row>
    <row r="166" spans="1:4" x14ac:dyDescent="0.35">
      <c r="A166">
        <v>1984</v>
      </c>
      <c r="B166" t="s">
        <v>221</v>
      </c>
      <c r="C166">
        <v>21267.073649999998</v>
      </c>
      <c r="D166">
        <v>1514.616667</v>
      </c>
    </row>
    <row r="167" spans="1:4" x14ac:dyDescent="0.35">
      <c r="A167">
        <v>1985</v>
      </c>
      <c r="B167" t="s">
        <v>221</v>
      </c>
      <c r="C167">
        <v>22170.84131</v>
      </c>
      <c r="D167">
        <v>1462.75</v>
      </c>
    </row>
    <row r="168" spans="1:4" x14ac:dyDescent="0.35">
      <c r="A168">
        <v>1986</v>
      </c>
      <c r="B168" t="s">
        <v>221</v>
      </c>
      <c r="C168">
        <v>22873.709869999999</v>
      </c>
      <c r="D168">
        <v>1435.5</v>
      </c>
    </row>
    <row r="169" spans="1:4" x14ac:dyDescent="0.35">
      <c r="A169">
        <v>1987</v>
      </c>
      <c r="B169" t="s">
        <v>221</v>
      </c>
      <c r="C169">
        <v>23439.863730000001</v>
      </c>
      <c r="D169">
        <v>1384.758333</v>
      </c>
    </row>
    <row r="170" spans="1:4" x14ac:dyDescent="0.35">
      <c r="A170">
        <v>1988</v>
      </c>
      <c r="B170" t="s">
        <v>221</v>
      </c>
      <c r="C170">
        <v>24198.198520000002</v>
      </c>
      <c r="D170">
        <v>1330.5</v>
      </c>
    </row>
    <row r="171" spans="1:4" x14ac:dyDescent="0.35">
      <c r="A171">
        <v>1989</v>
      </c>
      <c r="B171" t="s">
        <v>221</v>
      </c>
      <c r="C171">
        <v>24669.641670000001</v>
      </c>
      <c r="D171">
        <v>1269.241667</v>
      </c>
    </row>
    <row r="172" spans="1:4" x14ac:dyDescent="0.35">
      <c r="A172">
        <v>1990</v>
      </c>
      <c r="B172" t="s">
        <v>221</v>
      </c>
      <c r="C172">
        <v>24883.811160000001</v>
      </c>
      <c r="D172">
        <v>1325.5583329999999</v>
      </c>
    </row>
    <row r="173" spans="1:4" x14ac:dyDescent="0.35">
      <c r="A173">
        <v>1991</v>
      </c>
      <c r="B173" t="s">
        <v>221</v>
      </c>
      <c r="C173">
        <v>24597.83295</v>
      </c>
      <c r="D173">
        <v>1426.8916670000001</v>
      </c>
    </row>
    <row r="174" spans="1:4" x14ac:dyDescent="0.35">
      <c r="A174">
        <v>1992</v>
      </c>
      <c r="B174" t="s">
        <v>221</v>
      </c>
      <c r="C174">
        <v>25151.79477</v>
      </c>
      <c r="D174">
        <v>1422.6</v>
      </c>
    </row>
    <row r="175" spans="1:4" x14ac:dyDescent="0.35">
      <c r="A175">
        <v>1993</v>
      </c>
      <c r="B175" t="s">
        <v>221</v>
      </c>
      <c r="C175">
        <v>25687.022970000002</v>
      </c>
      <c r="D175">
        <v>1381.8166670000001</v>
      </c>
    </row>
    <row r="176" spans="1:4" x14ac:dyDescent="0.35">
      <c r="A176">
        <v>1994</v>
      </c>
      <c r="B176" t="s">
        <v>221</v>
      </c>
      <c r="C176">
        <v>26357.010590000002</v>
      </c>
      <c r="D176">
        <v>1346.7</v>
      </c>
    </row>
    <row r="177" spans="1:4" x14ac:dyDescent="0.35">
      <c r="A177">
        <v>1995</v>
      </c>
      <c r="B177" t="s">
        <v>221</v>
      </c>
      <c r="C177">
        <v>26813.478019999999</v>
      </c>
      <c r="D177">
        <v>1309.95</v>
      </c>
    </row>
    <row r="178" spans="1:4" x14ac:dyDescent="0.35">
      <c r="A178">
        <v>1996</v>
      </c>
      <c r="B178" t="s">
        <v>221</v>
      </c>
      <c r="C178">
        <v>27422.977930000001</v>
      </c>
      <c r="D178">
        <v>1310.075</v>
      </c>
    </row>
    <row r="179" spans="1:4" x14ac:dyDescent="0.35">
      <c r="A179">
        <v>1997</v>
      </c>
      <c r="B179" t="s">
        <v>221</v>
      </c>
      <c r="C179">
        <v>28115.055489999999</v>
      </c>
      <c r="D179">
        <v>1428.8416669999999</v>
      </c>
    </row>
    <row r="180" spans="1:4" x14ac:dyDescent="0.35">
      <c r="A180">
        <v>1998</v>
      </c>
      <c r="B180" t="s">
        <v>221</v>
      </c>
      <c r="C180">
        <v>29265.117839999999</v>
      </c>
      <c r="D180">
        <v>1483.883333</v>
      </c>
    </row>
    <row r="181" spans="1:4" x14ac:dyDescent="0.35">
      <c r="A181">
        <v>1999</v>
      </c>
      <c r="B181" t="s">
        <v>221</v>
      </c>
      <c r="C181">
        <v>30487.783589999999</v>
      </c>
      <c r="D181">
        <v>1452.116667</v>
      </c>
    </row>
    <row r="182" spans="1:4" x14ac:dyDescent="0.35">
      <c r="A182">
        <v>2000</v>
      </c>
      <c r="B182" t="s">
        <v>221</v>
      </c>
      <c r="C182">
        <v>31669.04076</v>
      </c>
      <c r="D182">
        <v>1404.675</v>
      </c>
    </row>
    <row r="183" spans="1:4" x14ac:dyDescent="0.35">
      <c r="A183">
        <v>2001</v>
      </c>
      <c r="B183" t="s">
        <v>221</v>
      </c>
      <c r="C183">
        <v>32133.66805</v>
      </c>
      <c r="D183">
        <v>1366.075</v>
      </c>
    </row>
    <row r="184" spans="1:4" x14ac:dyDescent="0.35">
      <c r="A184">
        <v>2002</v>
      </c>
      <c r="B184" t="s">
        <v>221</v>
      </c>
      <c r="C184">
        <v>32646.505450000001</v>
      </c>
      <c r="D184">
        <v>1344.741667</v>
      </c>
    </row>
    <row r="185" spans="1:4" x14ac:dyDescent="0.35">
      <c r="A185">
        <v>2003</v>
      </c>
      <c r="B185" t="s">
        <v>221</v>
      </c>
      <c r="C185">
        <v>33391.281190000002</v>
      </c>
      <c r="D185">
        <v>1314.8916670000001</v>
      </c>
    </row>
    <row r="186" spans="1:4" x14ac:dyDescent="0.35">
      <c r="A186">
        <v>2004</v>
      </c>
      <c r="B186" t="s">
        <v>221</v>
      </c>
      <c r="C186">
        <v>34330.928659999998</v>
      </c>
      <c r="D186">
        <v>1280.6083329999999</v>
      </c>
    </row>
    <row r="187" spans="1:4" x14ac:dyDescent="0.35">
      <c r="A187">
        <v>2005</v>
      </c>
      <c r="B187" t="s">
        <v>221</v>
      </c>
      <c r="C187">
        <v>35220.589139999996</v>
      </c>
      <c r="D187">
        <v>1238.583333</v>
      </c>
    </row>
    <row r="188" spans="1:4" x14ac:dyDescent="0.35">
      <c r="A188">
        <v>2006</v>
      </c>
      <c r="B188" t="s">
        <v>221</v>
      </c>
      <c r="C188">
        <v>35893.281669999997</v>
      </c>
      <c r="D188">
        <v>1199.883333</v>
      </c>
    </row>
    <row r="189" spans="1:4" x14ac:dyDescent="0.35">
      <c r="A189">
        <v>2007</v>
      </c>
      <c r="B189" t="s">
        <v>221</v>
      </c>
      <c r="C189">
        <v>36417.811650000003</v>
      </c>
      <c r="D189">
        <v>1236.083333</v>
      </c>
    </row>
    <row r="190" spans="1:4" x14ac:dyDescent="0.35">
      <c r="A190">
        <v>2008</v>
      </c>
      <c r="B190" t="s">
        <v>221</v>
      </c>
      <c r="C190">
        <v>36129.091099999998</v>
      </c>
      <c r="D190">
        <v>1343.083333</v>
      </c>
    </row>
    <row r="191" spans="1:4" x14ac:dyDescent="0.35">
      <c r="A191">
        <v>2009</v>
      </c>
      <c r="B191" t="s">
        <v>221</v>
      </c>
      <c r="C191">
        <v>35346.2039</v>
      </c>
      <c r="D191">
        <v>1501.125</v>
      </c>
    </row>
    <row r="192" spans="1:4" x14ac:dyDescent="0.35">
      <c r="A192">
        <v>2010</v>
      </c>
      <c r="B192" t="s">
        <v>221</v>
      </c>
      <c r="C192">
        <v>35722.274279999998</v>
      </c>
      <c r="D192">
        <v>1561.616667</v>
      </c>
    </row>
    <row r="193" spans="1:4" x14ac:dyDescent="0.35">
      <c r="A193">
        <v>2010</v>
      </c>
      <c r="B193" t="s">
        <v>30</v>
      </c>
      <c r="C193" t="s">
        <v>94</v>
      </c>
      <c r="D193">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79" activePane="bottomLeft" state="frozen"/>
      <selection activeCell="D1" sqref="D1"/>
      <selection pane="bottomLeft" activeCell="K108" sqref="K108"/>
    </sheetView>
  </sheetViews>
  <sheetFormatPr defaultRowHeight="14.5" x14ac:dyDescent="0.35"/>
  <cols>
    <col min="5" max="5" width="49.26953125" customWidth="1"/>
    <col min="6" max="6" width="10.26953125" customWidth="1"/>
    <col min="8" max="8" width="17" customWidth="1"/>
    <col min="9" max="9" width="9.453125" customWidth="1"/>
    <col min="10" max="10" width="15.54296875" customWidth="1"/>
    <col min="11" max="11" width="10.453125" customWidth="1"/>
  </cols>
  <sheetData>
    <row r="1" spans="1:21" ht="15" thickBot="1" x14ac:dyDescent="0.4">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1468</v>
      </c>
    </row>
    <row r="2" spans="1:21" x14ac:dyDescent="0.3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1469</v>
      </c>
    </row>
    <row r="3" spans="1:21" x14ac:dyDescent="0.3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3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3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3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3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3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3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3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3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3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3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3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3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3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3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3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3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3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3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3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3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3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3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3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3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3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3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3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3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3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3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3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3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3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3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3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3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3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3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3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3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3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3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3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3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3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3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3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3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3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3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3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3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3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3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3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3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3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3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3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3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3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3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3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3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3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3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3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3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3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3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3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 thickBot="1" x14ac:dyDescent="0.4">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 thickTop="1" x14ac:dyDescent="0.3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1470</v>
      </c>
    </row>
    <row r="77" spans="1:21" x14ac:dyDescent="0.3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3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3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3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3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3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3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3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3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3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3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3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3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3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3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3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3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3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3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3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3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3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3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3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3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3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3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3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35">
      <c r="A105">
        <v>104</v>
      </c>
      <c r="B105" t="s">
        <v>1464</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3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3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3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3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3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3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3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3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3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3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 thickBot="1" x14ac:dyDescent="0.4">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 thickTop="1" x14ac:dyDescent="0.3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4.5" x14ac:dyDescent="0.35"/>
  <cols>
    <col min="1" max="1" width="17.26953125" bestFit="1" customWidth="1"/>
    <col min="2" max="2" width="10.81640625" customWidth="1"/>
    <col min="3" max="3" width="12.7265625" customWidth="1"/>
    <col min="4" max="6" width="10.81640625" customWidth="1"/>
    <col min="7" max="7" width="11" bestFit="1" customWidth="1"/>
    <col min="8" max="8" width="12.7265625" bestFit="1" customWidth="1"/>
    <col min="9" max="11" width="12" bestFit="1" customWidth="1"/>
    <col min="12" max="13" width="11" bestFit="1" customWidth="1"/>
    <col min="18" max="18" width="9.81640625" customWidth="1"/>
  </cols>
  <sheetData>
    <row r="1" spans="1:22" x14ac:dyDescent="0.35">
      <c r="R1" s="68" t="s">
        <v>1463</v>
      </c>
    </row>
    <row r="2" spans="1:22" x14ac:dyDescent="0.35">
      <c r="R2" t="s">
        <v>141</v>
      </c>
      <c r="S2" t="s">
        <v>1459</v>
      </c>
      <c r="T2" t="s">
        <v>144</v>
      </c>
      <c r="U2" t="s">
        <v>1461</v>
      </c>
    </row>
    <row r="3" spans="1:22" x14ac:dyDescent="0.35">
      <c r="A3" s="66" t="s">
        <v>118</v>
      </c>
      <c r="R3">
        <v>10</v>
      </c>
      <c r="S3">
        <v>0.9</v>
      </c>
      <c r="T3">
        <f>(1+S3)^(1/R3)-1</f>
        <v>6.629005847852576E-2</v>
      </c>
      <c r="U3">
        <f>T3*100</f>
        <v>6.629005847852576</v>
      </c>
    </row>
    <row r="5" spans="1:22" x14ac:dyDescent="0.35">
      <c r="B5" t="s">
        <v>155</v>
      </c>
      <c r="D5" t="s">
        <v>156</v>
      </c>
      <c r="R5" s="68" t="s">
        <v>1462</v>
      </c>
    </row>
    <row r="6" spans="1:22" x14ac:dyDescent="0.35">
      <c r="K6" t="s">
        <v>1458</v>
      </c>
      <c r="R6" t="s">
        <v>141</v>
      </c>
      <c r="S6" t="s">
        <v>1459</v>
      </c>
      <c r="T6" t="s">
        <v>1460</v>
      </c>
      <c r="U6" t="s">
        <v>144</v>
      </c>
      <c r="V6" t="s">
        <v>1461</v>
      </c>
    </row>
    <row r="7" spans="1:22" x14ac:dyDescent="0.3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3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3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3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3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3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3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3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3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3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35">
      <c r="B17" t="s">
        <v>147</v>
      </c>
      <c r="C17">
        <v>5</v>
      </c>
      <c r="D17">
        <v>5</v>
      </c>
      <c r="E17" t="s">
        <v>140</v>
      </c>
      <c r="F17">
        <v>2008</v>
      </c>
      <c r="G17" t="s">
        <v>153</v>
      </c>
      <c r="H17">
        <v>0.52800000000000002</v>
      </c>
      <c r="I17">
        <v>0.01</v>
      </c>
      <c r="K17" s="65">
        <v>8.8490569773641781</v>
      </c>
      <c r="L17" s="65">
        <v>0.14247258766670709</v>
      </c>
      <c r="M17" s="65">
        <v>62.110593499327749</v>
      </c>
    </row>
    <row r="18" spans="2:13" x14ac:dyDescent="0.3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3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35">
      <c r="B20" t="s">
        <v>146</v>
      </c>
      <c r="C20">
        <v>3</v>
      </c>
      <c r="D20">
        <v>3</v>
      </c>
      <c r="E20" t="s">
        <v>142</v>
      </c>
      <c r="F20">
        <v>2004</v>
      </c>
      <c r="G20" t="s">
        <v>153</v>
      </c>
      <c r="H20">
        <v>0.157</v>
      </c>
      <c r="I20">
        <v>5.6000000000000001E-2</v>
      </c>
      <c r="K20" s="65">
        <v>4.9811001507905184</v>
      </c>
      <c r="L20" s="65">
        <v>1.6937313766765401</v>
      </c>
      <c r="M20" s="65">
        <v>2.940903273909051</v>
      </c>
    </row>
    <row r="21" spans="2:13" x14ac:dyDescent="0.35">
      <c r="B21" t="s">
        <v>147</v>
      </c>
      <c r="C21">
        <v>5</v>
      </c>
      <c r="D21">
        <v>5</v>
      </c>
      <c r="E21" t="s">
        <v>142</v>
      </c>
      <c r="F21">
        <v>2004</v>
      </c>
      <c r="G21" t="s">
        <v>153</v>
      </c>
      <c r="H21">
        <v>0.49199999999999999</v>
      </c>
      <c r="I21">
        <v>0.02</v>
      </c>
      <c r="K21" s="65">
        <v>8.3312525606173082</v>
      </c>
      <c r="L21" s="65">
        <v>0.29043231249495249</v>
      </c>
      <c r="M21" s="65">
        <v>28.685694401727758</v>
      </c>
    </row>
    <row r="22" spans="2:13" x14ac:dyDescent="0.3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3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35">
      <c r="B24" t="s">
        <v>146</v>
      </c>
      <c r="C24">
        <v>3</v>
      </c>
      <c r="D24">
        <v>3</v>
      </c>
      <c r="E24" t="s">
        <v>142</v>
      </c>
      <c r="F24">
        <v>2006</v>
      </c>
      <c r="G24" t="s">
        <v>153</v>
      </c>
      <c r="H24">
        <v>0.187</v>
      </c>
      <c r="I24">
        <v>4.2000000000000003E-2</v>
      </c>
      <c r="K24" s="65">
        <v>5.8807249810217446</v>
      </c>
      <c r="L24" s="65">
        <v>1.2488038329690849</v>
      </c>
      <c r="M24" s="65">
        <v>4.709086267808825</v>
      </c>
    </row>
    <row r="25" spans="2:13" x14ac:dyDescent="0.3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3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3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3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3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3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3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35">
      <c r="B32" t="s">
        <v>146</v>
      </c>
      <c r="C32">
        <v>3</v>
      </c>
      <c r="D32">
        <v>3</v>
      </c>
      <c r="E32" t="s">
        <v>140</v>
      </c>
      <c r="F32">
        <v>2004</v>
      </c>
      <c r="G32" t="s">
        <v>154</v>
      </c>
      <c r="H32">
        <v>0.35</v>
      </c>
      <c r="I32">
        <v>6.6000000000000003E-2</v>
      </c>
      <c r="K32" s="65">
        <v>10.52094495921161</v>
      </c>
      <c r="L32" s="65">
        <v>1.801082066001966</v>
      </c>
      <c r="M32" s="65">
        <v>5.8414578423769177</v>
      </c>
    </row>
    <row r="33" spans="2:13" x14ac:dyDescent="0.35">
      <c r="B33" t="s">
        <v>147</v>
      </c>
      <c r="C33">
        <v>5</v>
      </c>
      <c r="D33">
        <v>5</v>
      </c>
      <c r="E33" t="s">
        <v>140</v>
      </c>
      <c r="F33">
        <v>2004</v>
      </c>
      <c r="G33" t="s">
        <v>154</v>
      </c>
      <c r="H33">
        <v>0.53</v>
      </c>
      <c r="I33">
        <v>2.4E-2</v>
      </c>
      <c r="K33" s="65">
        <v>8.8775365880074055</v>
      </c>
      <c r="L33" s="65">
        <v>0.34157658537414087</v>
      </c>
      <c r="M33" s="65">
        <v>25.989886216244962</v>
      </c>
    </row>
    <row r="34" spans="2:13" x14ac:dyDescent="0.3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3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3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3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3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3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3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35">
      <c r="B41" t="s">
        <v>147</v>
      </c>
      <c r="C41">
        <v>5</v>
      </c>
      <c r="D41">
        <v>5</v>
      </c>
      <c r="E41" t="s">
        <v>140</v>
      </c>
      <c r="F41">
        <v>2008</v>
      </c>
      <c r="G41" t="s">
        <v>154</v>
      </c>
      <c r="H41">
        <v>0.502</v>
      </c>
      <c r="I41">
        <v>1.0999999999999999E-2</v>
      </c>
      <c r="K41" s="65">
        <v>8.476080955730648</v>
      </c>
      <c r="L41" s="65">
        <v>0.15888640353036451</v>
      </c>
      <c r="M41" s="65">
        <v>53.34679851388794</v>
      </c>
    </row>
    <row r="42" spans="2:13" x14ac:dyDescent="0.3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3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3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3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3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3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3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35">
      <c r="B49" t="s">
        <v>147</v>
      </c>
      <c r="C49">
        <v>5</v>
      </c>
      <c r="D49">
        <v>5</v>
      </c>
      <c r="E49" t="s">
        <v>142</v>
      </c>
      <c r="F49">
        <v>2006</v>
      </c>
      <c r="G49" t="s">
        <v>154</v>
      </c>
      <c r="H49">
        <v>0.37</v>
      </c>
      <c r="I49">
        <v>1.6E-2</v>
      </c>
      <c r="K49" s="65">
        <v>6.498652656427617</v>
      </c>
      <c r="L49" s="65">
        <v>0.2487559770077141</v>
      </c>
      <c r="M49" s="65">
        <v>26.12460908316622</v>
      </c>
    </row>
    <row r="50" spans="1:13" x14ac:dyDescent="0.3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3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3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3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3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3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35">
      <c r="A59" s="67" t="s">
        <v>127</v>
      </c>
    </row>
    <row r="60" spans="1:13" x14ac:dyDescent="0.35">
      <c r="C60" t="s">
        <v>1084</v>
      </c>
      <c r="D60" t="s">
        <v>1085</v>
      </c>
      <c r="E60" t="s">
        <v>141</v>
      </c>
      <c r="G60" t="s">
        <v>144</v>
      </c>
      <c r="H60" t="s">
        <v>143</v>
      </c>
      <c r="I60" t="s">
        <v>145</v>
      </c>
    </row>
    <row r="61" spans="1:13" x14ac:dyDescent="0.35">
      <c r="C61">
        <v>0.6</v>
      </c>
      <c r="D61">
        <v>-0.19500000000000001</v>
      </c>
      <c r="E61">
        <v>13</v>
      </c>
      <c r="G61" s="65">
        <v>4.6028263992595297</v>
      </c>
      <c r="H61" s="65">
        <v>4.7651309065708088E-2</v>
      </c>
      <c r="I61" s="65">
        <v>96.593912937680855</v>
      </c>
    </row>
    <row r="62" spans="1:13" x14ac:dyDescent="0.35">
      <c r="C62">
        <v>0.59199999999999997</v>
      </c>
      <c r="D62">
        <v>-0.20300000000000001</v>
      </c>
      <c r="E62">
        <v>13</v>
      </c>
      <c r="G62" s="65">
        <v>4.6028263992595297</v>
      </c>
      <c r="H62" s="65">
        <v>6.3394358584268798E-2</v>
      </c>
      <c r="I62" s="65">
        <v>72.606246076945297</v>
      </c>
    </row>
    <row r="63" spans="1:13" x14ac:dyDescent="0.35">
      <c r="C63">
        <v>0.59899999999999998</v>
      </c>
      <c r="D63">
        <v>-0.19600000000000001</v>
      </c>
      <c r="E63">
        <v>13</v>
      </c>
      <c r="G63" s="65">
        <v>4.6028263992595297</v>
      </c>
      <c r="H63" s="65">
        <v>7.2972386749453957E-2</v>
      </c>
      <c r="I63" s="65">
        <v>63.076275894100057</v>
      </c>
    </row>
    <row r="70" spans="1:11" x14ac:dyDescent="0.35">
      <c r="A70" s="67" t="s">
        <v>157</v>
      </c>
    </row>
    <row r="73" spans="1:11" x14ac:dyDescent="0.35">
      <c r="B73" t="s">
        <v>155</v>
      </c>
      <c r="D73" t="s">
        <v>166</v>
      </c>
    </row>
    <row r="75" spans="1:11" x14ac:dyDescent="0.35">
      <c r="C75" t="s">
        <v>141</v>
      </c>
      <c r="D75" t="s">
        <v>163</v>
      </c>
      <c r="E75" t="s">
        <v>138</v>
      </c>
      <c r="F75" s="64" t="s">
        <v>143</v>
      </c>
      <c r="I75" t="s">
        <v>144</v>
      </c>
      <c r="J75" t="s">
        <v>143</v>
      </c>
      <c r="K75" t="s">
        <v>145</v>
      </c>
    </row>
    <row r="76" spans="1:11" x14ac:dyDescent="0.35">
      <c r="B76" t="s">
        <v>162</v>
      </c>
      <c r="C76">
        <v>3</v>
      </c>
      <c r="D76" t="s">
        <v>164</v>
      </c>
      <c r="E76">
        <v>0.16400000000000001</v>
      </c>
      <c r="F76">
        <v>8.9999999999999993E-3</v>
      </c>
      <c r="I76" s="65">
        <v>5.1923910316380004</v>
      </c>
      <c r="J76" s="65">
        <v>0.27111440987535568</v>
      </c>
      <c r="K76" s="65">
        <v>19.15202896823223</v>
      </c>
    </row>
    <row r="77" spans="1:11" x14ac:dyDescent="0.35">
      <c r="B77" t="s">
        <v>158</v>
      </c>
      <c r="C77">
        <v>3</v>
      </c>
      <c r="D77" t="s">
        <v>164</v>
      </c>
      <c r="E77">
        <v>0.34899999999999998</v>
      </c>
      <c r="F77">
        <v>8.9999999999999993E-3</v>
      </c>
      <c r="I77" s="65">
        <v>5.8212247015734242</v>
      </c>
      <c r="J77" s="65">
        <v>0.37887040799973642</v>
      </c>
      <c r="K77" s="65">
        <v>15.36468559871658</v>
      </c>
    </row>
    <row r="78" spans="1:11" x14ac:dyDescent="0.35">
      <c r="B78" t="s">
        <v>159</v>
      </c>
      <c r="C78" s="63" t="s">
        <v>150</v>
      </c>
      <c r="D78" t="s">
        <v>164</v>
      </c>
      <c r="E78">
        <v>0.57599999999999996</v>
      </c>
      <c r="F78">
        <v>0.01</v>
      </c>
      <c r="I78" s="65">
        <v>10.770032048383911</v>
      </c>
      <c r="J78" s="65">
        <v>0.60727724810972428</v>
      </c>
      <c r="K78" s="65">
        <v>17.734950686705059</v>
      </c>
    </row>
    <row r="79" spans="1:11" x14ac:dyDescent="0.35">
      <c r="B79" t="s">
        <v>160</v>
      </c>
      <c r="C79" s="63" t="s">
        <v>150</v>
      </c>
      <c r="D79" t="s">
        <v>164</v>
      </c>
      <c r="E79">
        <v>0.82</v>
      </c>
      <c r="F79">
        <v>1.2999999999999999E-2</v>
      </c>
      <c r="I79" s="65">
        <v>11.53474794878948</v>
      </c>
      <c r="J79" s="65">
        <v>0.73525155919961593</v>
      </c>
      <c r="K79" s="65">
        <v>15.688165233333249</v>
      </c>
    </row>
    <row r="80" spans="1:11" x14ac:dyDescent="0.35">
      <c r="B80" t="s">
        <v>161</v>
      </c>
      <c r="C80">
        <v>3</v>
      </c>
      <c r="D80" t="s">
        <v>164</v>
      </c>
      <c r="E80">
        <v>1.296</v>
      </c>
      <c r="F80">
        <v>1.2999999999999999E-2</v>
      </c>
      <c r="I80" s="65">
        <v>13.85762466127971</v>
      </c>
      <c r="J80" s="65">
        <v>0.47272966591742821</v>
      </c>
      <c r="K80" s="65">
        <v>29.314057611311888</v>
      </c>
    </row>
    <row r="81" spans="2:11" x14ac:dyDescent="0.35">
      <c r="B81" t="s">
        <v>162</v>
      </c>
      <c r="C81">
        <v>3</v>
      </c>
      <c r="D81" t="s">
        <v>167</v>
      </c>
      <c r="E81">
        <v>0.13900000000000001</v>
      </c>
      <c r="F81">
        <v>0.01</v>
      </c>
      <c r="I81" s="65">
        <v>4.4338386024890264</v>
      </c>
      <c r="J81" s="65">
        <v>0.3056301978416418</v>
      </c>
      <c r="K81" s="65">
        <v>14.507200642478271</v>
      </c>
    </row>
    <row r="82" spans="2:11" x14ac:dyDescent="0.35">
      <c r="B82" t="s">
        <v>158</v>
      </c>
      <c r="C82">
        <v>3</v>
      </c>
      <c r="D82" t="s">
        <v>167</v>
      </c>
      <c r="E82">
        <v>0.313</v>
      </c>
      <c r="F82">
        <v>1.0999999999999999E-2</v>
      </c>
      <c r="I82" s="65">
        <v>5.4927707062356168</v>
      </c>
      <c r="J82" s="65">
        <v>0.44527620149460712</v>
      </c>
      <c r="K82" s="65">
        <v>12.33564849816511</v>
      </c>
    </row>
    <row r="83" spans="2:11" x14ac:dyDescent="0.35">
      <c r="B83" t="s">
        <v>159</v>
      </c>
      <c r="C83" s="63" t="s">
        <v>150</v>
      </c>
      <c r="D83" t="s">
        <v>167</v>
      </c>
      <c r="E83">
        <v>0.51900000000000002</v>
      </c>
      <c r="F83">
        <v>1.2E-2</v>
      </c>
      <c r="I83" s="65">
        <v>9.8180313063387601</v>
      </c>
      <c r="J83" s="65">
        <v>0.74117248335520292</v>
      </c>
      <c r="K83" s="65">
        <v>13.24662143674527</v>
      </c>
    </row>
    <row r="84" spans="2:11" x14ac:dyDescent="0.35">
      <c r="B84" t="s">
        <v>160</v>
      </c>
      <c r="C84" s="63" t="s">
        <v>150</v>
      </c>
      <c r="D84" t="s">
        <v>167</v>
      </c>
      <c r="E84">
        <v>0.71099999999999997</v>
      </c>
      <c r="F84">
        <v>1.7000000000000001E-2</v>
      </c>
      <c r="I84" s="65">
        <v>9.1787525116494351</v>
      </c>
      <c r="J84" s="65">
        <v>0.95296253016192489</v>
      </c>
      <c r="K84" s="65">
        <v>9.6318084091824741</v>
      </c>
    </row>
    <row r="85" spans="2:11" x14ac:dyDescent="0.35">
      <c r="B85" t="s">
        <v>161</v>
      </c>
      <c r="C85">
        <v>3</v>
      </c>
      <c r="D85" t="s">
        <v>167</v>
      </c>
      <c r="E85">
        <v>1.204</v>
      </c>
      <c r="F85">
        <v>1.9E-2</v>
      </c>
      <c r="I85" s="65">
        <v>14.29307988242752</v>
      </c>
      <c r="J85" s="65">
        <v>0.65057227571904097</v>
      </c>
      <c r="K85" s="65">
        <v>21.97001073651683</v>
      </c>
    </row>
    <row r="86" spans="2:11" x14ac:dyDescent="0.35">
      <c r="B86" t="s">
        <v>162</v>
      </c>
      <c r="C86">
        <v>3</v>
      </c>
      <c r="D86" t="s">
        <v>168</v>
      </c>
      <c r="E86">
        <v>0.19800000000000001</v>
      </c>
      <c r="F86">
        <v>0.02</v>
      </c>
      <c r="I86" s="65">
        <v>6.206787502577904</v>
      </c>
      <c r="J86" s="65">
        <v>0.59102274625808515</v>
      </c>
      <c r="K86" s="65">
        <v>10.50177432573391</v>
      </c>
    </row>
    <row r="87" spans="2:11" x14ac:dyDescent="0.35">
      <c r="B87" t="s">
        <v>158</v>
      </c>
      <c r="C87">
        <v>3</v>
      </c>
      <c r="D87" t="s">
        <v>168</v>
      </c>
      <c r="E87">
        <v>0.38400000000000001</v>
      </c>
      <c r="F87">
        <v>1.9E-2</v>
      </c>
      <c r="I87" s="65">
        <v>5.8509832027769706</v>
      </c>
      <c r="J87" s="65">
        <v>0.82069404275028812</v>
      </c>
      <c r="K87" s="65">
        <v>7.1293111659118562</v>
      </c>
    </row>
    <row r="88" spans="2:11" x14ac:dyDescent="0.35">
      <c r="B88" t="s">
        <v>159</v>
      </c>
      <c r="C88" s="63" t="s">
        <v>150</v>
      </c>
      <c r="D88" t="s">
        <v>168</v>
      </c>
      <c r="E88">
        <v>0.63900000000000001</v>
      </c>
      <c r="F88">
        <v>1.9E-2</v>
      </c>
      <c r="I88" s="65">
        <v>12.02678251204039</v>
      </c>
      <c r="J88" s="65">
        <v>1.199269365885826</v>
      </c>
      <c r="K88" s="65">
        <v>10.028424684355169</v>
      </c>
    </row>
    <row r="89" spans="2:11" x14ac:dyDescent="0.35">
      <c r="B89" t="s">
        <v>160</v>
      </c>
      <c r="C89" s="63" t="s">
        <v>150</v>
      </c>
      <c r="D89" t="s">
        <v>168</v>
      </c>
      <c r="E89">
        <v>0.93200000000000005</v>
      </c>
      <c r="F89">
        <v>2.3E-2</v>
      </c>
      <c r="I89" s="65">
        <v>13.71015785759864</v>
      </c>
      <c r="J89" s="65">
        <v>1.311794317342909</v>
      </c>
      <c r="K89" s="65">
        <v>10.45145391799616</v>
      </c>
    </row>
    <row r="90" spans="2:11" x14ac:dyDescent="0.35">
      <c r="B90" t="s">
        <v>161</v>
      </c>
      <c r="C90">
        <v>3</v>
      </c>
      <c r="D90" t="s">
        <v>168</v>
      </c>
      <c r="E90">
        <v>1.3859999999999999</v>
      </c>
      <c r="F90">
        <v>2.1999999999999999E-2</v>
      </c>
      <c r="I90" s="65">
        <v>13.28910230943492</v>
      </c>
      <c r="J90" s="65">
        <v>0.82662245182926697</v>
      </c>
      <c r="K90" s="65">
        <v>16.076386843869191</v>
      </c>
    </row>
    <row r="93" spans="2:11" x14ac:dyDescent="0.35">
      <c r="B93" t="s">
        <v>169</v>
      </c>
    </row>
    <row r="95" spans="2:11" x14ac:dyDescent="0.35">
      <c r="B95" s="68" t="s">
        <v>175</v>
      </c>
      <c r="C95" s="68" t="s">
        <v>141</v>
      </c>
      <c r="D95" s="68" t="s">
        <v>170</v>
      </c>
      <c r="E95" s="68" t="s">
        <v>178</v>
      </c>
      <c r="F95" s="68" t="s">
        <v>173</v>
      </c>
    </row>
    <row r="96" spans="2:11" x14ac:dyDescent="0.35">
      <c r="B96" t="s">
        <v>174</v>
      </c>
      <c r="C96">
        <v>0</v>
      </c>
      <c r="D96" t="s">
        <v>171</v>
      </c>
      <c r="E96" s="29">
        <v>0.39100000000000001</v>
      </c>
      <c r="F96" s="9">
        <v>46965</v>
      </c>
      <c r="H96" t="s">
        <v>179</v>
      </c>
      <c r="I96" s="9"/>
    </row>
    <row r="97" spans="1:12" x14ac:dyDescent="0.35">
      <c r="B97" t="s">
        <v>162</v>
      </c>
      <c r="C97">
        <v>5</v>
      </c>
      <c r="D97" t="s">
        <v>171</v>
      </c>
      <c r="E97" s="29">
        <v>0.14299999999999999</v>
      </c>
      <c r="F97" s="9">
        <v>46965</v>
      </c>
      <c r="H97" s="69">
        <f>C96*E96+C97*E97+C98*E98+C99*E99</f>
        <v>6.134999999999998</v>
      </c>
      <c r="I97" s="9"/>
    </row>
    <row r="98" spans="1:12" x14ac:dyDescent="0.35">
      <c r="B98" t="s">
        <v>159</v>
      </c>
      <c r="C98">
        <v>10</v>
      </c>
      <c r="D98" t="s">
        <v>171</v>
      </c>
      <c r="E98" s="29">
        <v>0.314</v>
      </c>
      <c r="F98" s="9">
        <v>46965</v>
      </c>
      <c r="G98" s="29"/>
      <c r="H98" s="29"/>
      <c r="I98" s="9"/>
    </row>
    <row r="99" spans="1:12" x14ac:dyDescent="0.35">
      <c r="B99" t="s">
        <v>176</v>
      </c>
      <c r="C99" s="63" t="s">
        <v>181</v>
      </c>
      <c r="D99" t="s">
        <v>171</v>
      </c>
      <c r="E99" s="29">
        <v>0.15199999999999991</v>
      </c>
      <c r="F99" s="9">
        <v>46965</v>
      </c>
      <c r="G99" s="29"/>
      <c r="H99" s="29"/>
      <c r="I99" s="9"/>
    </row>
    <row r="100" spans="1:12" x14ac:dyDescent="0.35">
      <c r="B100" t="s">
        <v>174</v>
      </c>
      <c r="C100">
        <v>0</v>
      </c>
      <c r="D100" t="s">
        <v>172</v>
      </c>
      <c r="E100">
        <v>0.32600000000000001</v>
      </c>
      <c r="F100" s="9">
        <v>99900</v>
      </c>
      <c r="G100" s="29"/>
      <c r="H100" s="29" t="s">
        <v>180</v>
      </c>
      <c r="I100" s="9"/>
    </row>
    <row r="101" spans="1:12" x14ac:dyDescent="0.35">
      <c r="B101" t="s">
        <v>162</v>
      </c>
      <c r="C101">
        <v>5</v>
      </c>
      <c r="D101" t="s">
        <v>172</v>
      </c>
      <c r="E101">
        <v>0.127</v>
      </c>
      <c r="F101" s="9">
        <v>99900</v>
      </c>
      <c r="G101" s="29"/>
      <c r="H101" s="69">
        <f>C100*E100+C101*E101+C102*E102+C103*E103</f>
        <v>7.0349999999999993</v>
      </c>
    </row>
    <row r="102" spans="1:12" x14ac:dyDescent="0.35">
      <c r="B102" t="s">
        <v>159</v>
      </c>
      <c r="C102">
        <v>10</v>
      </c>
      <c r="D102" t="s">
        <v>172</v>
      </c>
      <c r="E102">
        <v>0.36099999999999999</v>
      </c>
      <c r="F102" s="9">
        <v>99900</v>
      </c>
      <c r="I102" s="9"/>
    </row>
    <row r="103" spans="1:12" x14ac:dyDescent="0.35">
      <c r="B103" t="s">
        <v>176</v>
      </c>
      <c r="C103" s="63" t="s">
        <v>181</v>
      </c>
      <c r="D103" t="s">
        <v>172</v>
      </c>
      <c r="E103">
        <v>0.18599999999999994</v>
      </c>
      <c r="F103" s="9">
        <v>99900</v>
      </c>
      <c r="I103" s="9"/>
    </row>
    <row r="104" spans="1:12" x14ac:dyDescent="0.35">
      <c r="C104" s="63"/>
      <c r="I104" s="9"/>
    </row>
    <row r="105" spans="1:12" x14ac:dyDescent="0.35">
      <c r="C105" s="63"/>
      <c r="I105" s="9"/>
    </row>
    <row r="106" spans="1:12" x14ac:dyDescent="0.35">
      <c r="I106" s="9"/>
    </row>
    <row r="107" spans="1:12" x14ac:dyDescent="0.35">
      <c r="A107" s="67" t="s">
        <v>182</v>
      </c>
    </row>
    <row r="109" spans="1:12" x14ac:dyDescent="0.35">
      <c r="B109" t="s">
        <v>155</v>
      </c>
      <c r="D109" s="68" t="s">
        <v>185</v>
      </c>
    </row>
    <row r="111" spans="1:12" x14ac:dyDescent="0.35">
      <c r="C111" t="s">
        <v>141</v>
      </c>
      <c r="D111" t="s">
        <v>151</v>
      </c>
      <c r="E111" t="s">
        <v>139</v>
      </c>
      <c r="F111" t="s">
        <v>138</v>
      </c>
      <c r="G111" s="64" t="s">
        <v>186</v>
      </c>
      <c r="H111" t="s">
        <v>143</v>
      </c>
      <c r="J111" t="s">
        <v>144</v>
      </c>
      <c r="K111" t="s">
        <v>143</v>
      </c>
      <c r="L111" t="s">
        <v>145</v>
      </c>
    </row>
    <row r="112" spans="1:12" x14ac:dyDescent="0.3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3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3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3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35">
      <c r="B116" t="s">
        <v>162</v>
      </c>
      <c r="C116">
        <v>6</v>
      </c>
      <c r="D116">
        <v>1992</v>
      </c>
      <c r="E116" t="s">
        <v>140</v>
      </c>
      <c r="F116">
        <v>2.4E-2</v>
      </c>
      <c r="G116">
        <v>0.48</v>
      </c>
      <c r="H116" s="35">
        <f t="shared" si="0"/>
        <v>0.05</v>
      </c>
      <c r="J116" s="65">
        <v>0.39605768733643743</v>
      </c>
      <c r="K116" s="65">
        <v>0.81702520904407894</v>
      </c>
      <c r="L116" s="65">
        <v>0.484755773692498</v>
      </c>
    </row>
    <row r="117" spans="2:12" x14ac:dyDescent="0.3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3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3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3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3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3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3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3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3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3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3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35">
      <c r="D129" s="68" t="s">
        <v>187</v>
      </c>
      <c r="F129" t="s">
        <v>188</v>
      </c>
    </row>
    <row r="131" spans="2:13" x14ac:dyDescent="0.35">
      <c r="C131" t="s">
        <v>141</v>
      </c>
      <c r="D131" t="s">
        <v>151</v>
      </c>
      <c r="E131" t="s">
        <v>139</v>
      </c>
      <c r="F131" t="s">
        <v>189</v>
      </c>
      <c r="G131" t="s">
        <v>138</v>
      </c>
      <c r="H131" s="64" t="s">
        <v>186</v>
      </c>
      <c r="I131" t="s">
        <v>143</v>
      </c>
      <c r="K131" t="s">
        <v>144</v>
      </c>
      <c r="L131" t="s">
        <v>143</v>
      </c>
      <c r="M131" t="s">
        <v>145</v>
      </c>
    </row>
    <row r="132" spans="2:13" x14ac:dyDescent="0.3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3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3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3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3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3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3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3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3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3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3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3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3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3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3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3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3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3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3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3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3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3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3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3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3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3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3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3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3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3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3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3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35">
      <c r="B166" s="68" t="s">
        <v>192</v>
      </c>
    </row>
    <row r="168" spans="2:13" x14ac:dyDescent="0.35">
      <c r="C168" t="s">
        <v>193</v>
      </c>
      <c r="D168" t="s">
        <v>196</v>
      </c>
      <c r="E168" t="s">
        <v>194</v>
      </c>
      <c r="H168" s="68" t="s">
        <v>201</v>
      </c>
    </row>
    <row r="169" spans="2:13" x14ac:dyDescent="0.35">
      <c r="B169" t="s">
        <v>174</v>
      </c>
      <c r="C169">
        <v>0</v>
      </c>
      <c r="D169" t="s">
        <v>197</v>
      </c>
      <c r="E169">
        <v>0.26250000000000001</v>
      </c>
      <c r="H169" t="s">
        <v>197</v>
      </c>
    </row>
    <row r="170" spans="2:13" x14ac:dyDescent="0.35">
      <c r="B170" t="s">
        <v>162</v>
      </c>
      <c r="C170">
        <v>6</v>
      </c>
      <c r="D170" t="s">
        <v>197</v>
      </c>
      <c r="E170">
        <v>0.25</v>
      </c>
      <c r="H170" s="70">
        <f>C169*E169+C170*E170+C171*E171+C172*E172+C173*E173</f>
        <v>9.8249999999999993</v>
      </c>
    </row>
    <row r="171" spans="2:13" x14ac:dyDescent="0.35">
      <c r="B171" t="s">
        <v>158</v>
      </c>
      <c r="C171">
        <v>10</v>
      </c>
      <c r="D171" t="s">
        <v>197</v>
      </c>
      <c r="E171">
        <v>0.1125</v>
      </c>
    </row>
    <row r="172" spans="2:13" x14ac:dyDescent="0.35">
      <c r="B172" t="s">
        <v>159</v>
      </c>
      <c r="C172" s="63" t="s">
        <v>181</v>
      </c>
      <c r="D172" t="s">
        <v>197</v>
      </c>
      <c r="E172">
        <v>0.1125</v>
      </c>
    </row>
    <row r="173" spans="2:13" x14ac:dyDescent="0.35">
      <c r="B173" t="s">
        <v>176</v>
      </c>
      <c r="C173" s="63" t="s">
        <v>195</v>
      </c>
      <c r="D173" t="s">
        <v>197</v>
      </c>
      <c r="E173">
        <v>0.26250000000000001</v>
      </c>
    </row>
    <row r="174" spans="2:13" x14ac:dyDescent="0.35">
      <c r="B174" t="s">
        <v>174</v>
      </c>
      <c r="C174">
        <v>0</v>
      </c>
      <c r="D174" t="s">
        <v>198</v>
      </c>
      <c r="E174">
        <v>0.17</v>
      </c>
      <c r="H174" t="s">
        <v>198</v>
      </c>
    </row>
    <row r="175" spans="2:13" x14ac:dyDescent="0.35">
      <c r="B175" t="s">
        <v>162</v>
      </c>
      <c r="C175">
        <v>6</v>
      </c>
      <c r="D175" t="s">
        <v>198</v>
      </c>
      <c r="E175">
        <v>0.2</v>
      </c>
      <c r="H175" s="70">
        <f>C174*E174+C175*E175+C176*E176+C177*E177+C178*E178</f>
        <v>10.520000000000001</v>
      </c>
    </row>
    <row r="176" spans="2:13" x14ac:dyDescent="0.35">
      <c r="B176" t="s">
        <v>158</v>
      </c>
      <c r="C176">
        <v>10</v>
      </c>
      <c r="D176" t="s">
        <v>198</v>
      </c>
      <c r="E176">
        <v>0.23</v>
      </c>
    </row>
    <row r="177" spans="1:10" x14ac:dyDescent="0.35">
      <c r="B177" t="s">
        <v>159</v>
      </c>
      <c r="C177" s="63" t="s">
        <v>181</v>
      </c>
      <c r="D177" t="s">
        <v>198</v>
      </c>
      <c r="E177">
        <v>0.23</v>
      </c>
    </row>
    <row r="178" spans="1:10" x14ac:dyDescent="0.35">
      <c r="B178" t="s">
        <v>176</v>
      </c>
      <c r="C178" s="63" t="s">
        <v>195</v>
      </c>
      <c r="D178" t="s">
        <v>198</v>
      </c>
      <c r="E178">
        <v>0.17</v>
      </c>
    </row>
    <row r="179" spans="1:10" x14ac:dyDescent="0.35">
      <c r="B179" t="s">
        <v>174</v>
      </c>
      <c r="C179">
        <v>0</v>
      </c>
      <c r="D179" t="s">
        <v>199</v>
      </c>
      <c r="E179">
        <v>0.1925</v>
      </c>
      <c r="H179" t="s">
        <v>199</v>
      </c>
    </row>
    <row r="180" spans="1:10" x14ac:dyDescent="0.35">
      <c r="B180" t="s">
        <v>162</v>
      </c>
      <c r="C180">
        <v>6</v>
      </c>
      <c r="D180" t="s">
        <v>199</v>
      </c>
      <c r="E180">
        <v>0.28999999999999998</v>
      </c>
      <c r="H180" s="70">
        <f>C179*E179+C180*E180+C181*E181+C182*E182+C183*E183</f>
        <v>9.8450000000000006</v>
      </c>
    </row>
    <row r="181" spans="1:10" x14ac:dyDescent="0.35">
      <c r="B181" t="s">
        <v>158</v>
      </c>
      <c r="C181">
        <v>10</v>
      </c>
      <c r="D181" t="s">
        <v>199</v>
      </c>
      <c r="E181">
        <v>0.16250000000000001</v>
      </c>
    </row>
    <row r="182" spans="1:10" x14ac:dyDescent="0.35">
      <c r="B182" t="s">
        <v>159</v>
      </c>
      <c r="C182" s="63" t="s">
        <v>181</v>
      </c>
      <c r="D182" t="s">
        <v>199</v>
      </c>
      <c r="E182">
        <v>0.16250000000000001</v>
      </c>
    </row>
    <row r="183" spans="1:10" x14ac:dyDescent="0.35">
      <c r="B183" t="s">
        <v>176</v>
      </c>
      <c r="C183" s="63" t="s">
        <v>195</v>
      </c>
      <c r="D183" t="s">
        <v>199</v>
      </c>
      <c r="E183">
        <v>0.1925</v>
      </c>
    </row>
    <row r="184" spans="1:10" x14ac:dyDescent="0.35">
      <c r="B184" t="s">
        <v>174</v>
      </c>
      <c r="C184">
        <v>0</v>
      </c>
      <c r="D184" t="s">
        <v>200</v>
      </c>
      <c r="E184">
        <v>0.12</v>
      </c>
      <c r="H184" t="s">
        <v>200</v>
      </c>
      <c r="J184" s="69"/>
    </row>
    <row r="185" spans="1:10" x14ac:dyDescent="0.35">
      <c r="B185" t="s">
        <v>162</v>
      </c>
      <c r="C185">
        <v>6</v>
      </c>
      <c r="D185" t="s">
        <v>200</v>
      </c>
      <c r="E185">
        <v>0.23</v>
      </c>
      <c r="H185" s="70">
        <f>C184*E184+C185*E185+C186*E186+C187*E187+C188*E188</f>
        <v>10.525</v>
      </c>
    </row>
    <row r="186" spans="1:10" x14ac:dyDescent="0.35">
      <c r="B186" t="s">
        <v>158</v>
      </c>
      <c r="C186">
        <v>10</v>
      </c>
      <c r="D186" t="s">
        <v>200</v>
      </c>
      <c r="E186">
        <v>0.26500000000000001</v>
      </c>
    </row>
    <row r="187" spans="1:10" x14ac:dyDescent="0.35">
      <c r="B187" t="s">
        <v>159</v>
      </c>
      <c r="C187" s="63" t="s">
        <v>181</v>
      </c>
      <c r="D187" t="s">
        <v>200</v>
      </c>
      <c r="E187">
        <v>0.26500000000000001</v>
      </c>
    </row>
    <row r="188" spans="1:10" x14ac:dyDescent="0.35">
      <c r="B188" t="s">
        <v>176</v>
      </c>
      <c r="C188" s="63" t="s">
        <v>195</v>
      </c>
      <c r="D188" t="s">
        <v>200</v>
      </c>
      <c r="E188">
        <v>0.12</v>
      </c>
    </row>
    <row r="192" spans="1:10" x14ac:dyDescent="0.35">
      <c r="A192" s="67" t="s">
        <v>203</v>
      </c>
      <c r="C192" t="s">
        <v>207</v>
      </c>
    </row>
    <row r="194" spans="2:9" x14ac:dyDescent="0.35">
      <c r="C194" t="s">
        <v>193</v>
      </c>
      <c r="D194" t="s">
        <v>138</v>
      </c>
      <c r="E194" s="64" t="s">
        <v>143</v>
      </c>
      <c r="G194" t="s">
        <v>144</v>
      </c>
      <c r="H194" t="s">
        <v>143</v>
      </c>
      <c r="I194" t="s">
        <v>145</v>
      </c>
    </row>
    <row r="195" spans="2:9" x14ac:dyDescent="0.35">
      <c r="B195" t="s">
        <v>205</v>
      </c>
      <c r="C195">
        <v>5</v>
      </c>
      <c r="D195">
        <v>0.498</v>
      </c>
      <c r="E195">
        <v>2.9000000000000001E-2</v>
      </c>
      <c r="G195" s="65">
        <v>8.4182424365889972</v>
      </c>
      <c r="H195" s="65">
        <v>0.41977690663031803</v>
      </c>
      <c r="I195" s="65">
        <v>20.054086596056209</v>
      </c>
    </row>
    <row r="196" spans="2:9" x14ac:dyDescent="0.35">
      <c r="B196" t="s">
        <v>204</v>
      </c>
      <c r="C196">
        <v>3</v>
      </c>
      <c r="D196">
        <v>0.25600000000000001</v>
      </c>
      <c r="E196">
        <v>2.7E-2</v>
      </c>
      <c r="G196" s="65">
        <v>7.8938142421918212</v>
      </c>
      <c r="H196" s="65">
        <v>0.77312446511124699</v>
      </c>
      <c r="I196" s="65">
        <v>10.2102760919045</v>
      </c>
    </row>
    <row r="197" spans="2:9" x14ac:dyDescent="0.35">
      <c r="B197" t="s">
        <v>158</v>
      </c>
      <c r="C197">
        <v>3</v>
      </c>
      <c r="D197">
        <v>0.254</v>
      </c>
      <c r="E197">
        <v>6.2E-2</v>
      </c>
      <c r="G197" s="65">
        <v>7.8365153390935971</v>
      </c>
      <c r="H197" s="65">
        <v>1.7772099816650191</v>
      </c>
      <c r="I197" s="65">
        <v>4.4094481912327446</v>
      </c>
    </row>
    <row r="198" spans="2:9" x14ac:dyDescent="0.35">
      <c r="B198" t="s">
        <v>205</v>
      </c>
      <c r="C198">
        <v>5</v>
      </c>
      <c r="D198">
        <v>0.497</v>
      </c>
      <c r="E198">
        <v>2.9000000000000001E-2</v>
      </c>
      <c r="G198" s="65">
        <v>8.4037635041231731</v>
      </c>
      <c r="H198" s="65">
        <v>0.42000122132526019</v>
      </c>
      <c r="I198" s="65">
        <v>20.008902539869219</v>
      </c>
    </row>
    <row r="199" spans="2:9" x14ac:dyDescent="0.35">
      <c r="B199" t="s">
        <v>204</v>
      </c>
      <c r="C199">
        <v>3</v>
      </c>
      <c r="D199">
        <v>0.245</v>
      </c>
      <c r="E199">
        <v>2.7E-2</v>
      </c>
      <c r="G199" s="65">
        <v>7.5779135902474204</v>
      </c>
      <c r="H199" s="65">
        <v>0.77767166450781244</v>
      </c>
      <c r="I199" s="65">
        <v>9.7443611952140152</v>
      </c>
    </row>
    <row r="200" spans="2:9" x14ac:dyDescent="0.35">
      <c r="B200" t="s">
        <v>158</v>
      </c>
      <c r="C200">
        <v>3</v>
      </c>
      <c r="D200">
        <v>0.27</v>
      </c>
      <c r="E200">
        <v>6.3E-2</v>
      </c>
      <c r="G200" s="65">
        <v>8.2932132831999397</v>
      </c>
      <c r="H200" s="65">
        <v>1.7906751802733849</v>
      </c>
      <c r="I200" s="65">
        <v>4.6313331276160339</v>
      </c>
    </row>
    <row r="201" spans="2:9" x14ac:dyDescent="0.35">
      <c r="B201" t="s">
        <v>205</v>
      </c>
      <c r="C201">
        <v>5</v>
      </c>
      <c r="D201">
        <v>0.47099999999999997</v>
      </c>
      <c r="E201">
        <v>2.8000000000000001E-2</v>
      </c>
      <c r="G201" s="65">
        <v>8.0245670900269026</v>
      </c>
      <c r="H201" s="65">
        <v>0.41124240360581282</v>
      </c>
      <c r="I201" s="65">
        <v>19.51298557655225</v>
      </c>
    </row>
    <row r="202" spans="2:9" x14ac:dyDescent="0.35">
      <c r="B202" t="s">
        <v>204</v>
      </c>
      <c r="C202">
        <v>3</v>
      </c>
      <c r="D202">
        <v>0.216</v>
      </c>
      <c r="E202">
        <v>2.8000000000000001E-2</v>
      </c>
      <c r="G202" s="65">
        <v>6.7360659488777896</v>
      </c>
      <c r="H202" s="65">
        <v>0.81924612022164967</v>
      </c>
      <c r="I202" s="65">
        <v>8.2222738473943888</v>
      </c>
    </row>
    <row r="203" spans="2:9" x14ac:dyDescent="0.35">
      <c r="B203" t="s">
        <v>158</v>
      </c>
      <c r="C203">
        <v>3</v>
      </c>
      <c r="D203">
        <v>0.24199999999999999</v>
      </c>
      <c r="E203">
        <v>6.3E-2</v>
      </c>
      <c r="G203" s="65">
        <v>7.4914361304784016</v>
      </c>
      <c r="H203" s="65">
        <v>1.817488050515335</v>
      </c>
      <c r="I203" s="65">
        <v>4.1218626600346902</v>
      </c>
    </row>
    <row r="204" spans="2:9" x14ac:dyDescent="0.35">
      <c r="B204" t="s">
        <v>205</v>
      </c>
      <c r="C204">
        <v>5</v>
      </c>
      <c r="D204">
        <v>0.42</v>
      </c>
      <c r="E204">
        <v>0.03</v>
      </c>
      <c r="G204" s="65">
        <v>7.264909054577684</v>
      </c>
      <c r="H204" s="65">
        <v>0.45323201008976488</v>
      </c>
      <c r="I204" s="65">
        <v>16.02911730161961</v>
      </c>
    </row>
    <row r="205" spans="2:9" x14ac:dyDescent="0.35">
      <c r="B205" t="s">
        <v>204</v>
      </c>
      <c r="C205">
        <v>3</v>
      </c>
      <c r="D205">
        <v>0.20899999999999999</v>
      </c>
      <c r="E205">
        <v>2.9000000000000001E-2</v>
      </c>
      <c r="G205" s="65">
        <v>6.5308601525300158</v>
      </c>
      <c r="H205" s="65">
        <v>0.8517769353248883</v>
      </c>
      <c r="I205" s="65">
        <v>7.6673362258147879</v>
      </c>
    </row>
    <row r="206" spans="2:9" x14ac:dyDescent="0.35">
      <c r="B206" t="s">
        <v>158</v>
      </c>
      <c r="C206">
        <v>3</v>
      </c>
      <c r="D206">
        <v>0.23400000000000001</v>
      </c>
      <c r="E206">
        <v>6.4000000000000001E-2</v>
      </c>
      <c r="G206" s="65">
        <v>7.2601466882732391</v>
      </c>
      <c r="H206" s="65">
        <v>1.8543083165989971</v>
      </c>
      <c r="I206" s="65">
        <v>3.915285620672369</v>
      </c>
    </row>
    <row r="209" spans="2:9" x14ac:dyDescent="0.35">
      <c r="C209" t="s">
        <v>208</v>
      </c>
    </row>
    <row r="211" spans="2:9" x14ac:dyDescent="0.35">
      <c r="C211" t="s">
        <v>193</v>
      </c>
      <c r="D211" t="s">
        <v>138</v>
      </c>
      <c r="E211" s="64" t="s">
        <v>143</v>
      </c>
      <c r="G211" t="s">
        <v>144</v>
      </c>
      <c r="H211" t="s">
        <v>143</v>
      </c>
      <c r="I211" t="s">
        <v>145</v>
      </c>
    </row>
    <row r="212" spans="2:9" x14ac:dyDescent="0.35">
      <c r="B212" t="s">
        <v>205</v>
      </c>
      <c r="C212">
        <v>5</v>
      </c>
      <c r="D212">
        <v>0.42</v>
      </c>
      <c r="E212">
        <v>0.03</v>
      </c>
      <c r="G212" s="65">
        <v>7.264909054577684</v>
      </c>
      <c r="H212" s="65">
        <v>0.45323201008976488</v>
      </c>
      <c r="I212" s="65">
        <v>16.02911730161961</v>
      </c>
    </row>
    <row r="213" spans="2:9" x14ac:dyDescent="0.35">
      <c r="B213" t="s">
        <v>204</v>
      </c>
      <c r="C213">
        <v>3</v>
      </c>
      <c r="D213">
        <v>0.20899999999999999</v>
      </c>
      <c r="E213">
        <v>2.9000000000000001E-2</v>
      </c>
      <c r="G213" s="65">
        <v>6.5308601525300158</v>
      </c>
      <c r="H213" s="65">
        <v>0.8517769353248883</v>
      </c>
      <c r="I213" s="65">
        <v>7.6673362258147879</v>
      </c>
    </row>
    <row r="214" spans="2:9" x14ac:dyDescent="0.35">
      <c r="B214" t="s">
        <v>158</v>
      </c>
      <c r="C214">
        <v>3</v>
      </c>
      <c r="D214">
        <v>0.23400000000000001</v>
      </c>
      <c r="E214">
        <v>6.4000000000000001E-2</v>
      </c>
      <c r="G214" s="65">
        <v>7.2601466882732391</v>
      </c>
      <c r="H214" s="65">
        <v>1.8543083165989971</v>
      </c>
      <c r="I214" s="65">
        <v>3.915285620672369</v>
      </c>
    </row>
    <row r="215" spans="2:9" x14ac:dyDescent="0.35">
      <c r="B215" t="s">
        <v>205</v>
      </c>
      <c r="C215">
        <v>5</v>
      </c>
      <c r="D215">
        <v>0.379</v>
      </c>
      <c r="E215">
        <v>0.17699999999999999</v>
      </c>
      <c r="G215" s="65">
        <v>6.6382116493849166</v>
      </c>
      <c r="H215" s="65">
        <v>2.73748563624962</v>
      </c>
      <c r="I215" s="65">
        <v>2.424930221178923</v>
      </c>
    </row>
    <row r="216" spans="2:9" x14ac:dyDescent="0.35">
      <c r="B216" t="s">
        <v>204</v>
      </c>
      <c r="C216">
        <v>3</v>
      </c>
      <c r="D216">
        <v>0.28799999999999998</v>
      </c>
      <c r="E216">
        <v>0.121</v>
      </c>
      <c r="G216" s="65">
        <v>8.8024365082959513</v>
      </c>
      <c r="H216" s="65">
        <v>3.4071156359999502</v>
      </c>
      <c r="I216" s="65">
        <v>2.5835449831195811</v>
      </c>
    </row>
    <row r="217" spans="2:9" x14ac:dyDescent="0.35">
      <c r="B217" t="s">
        <v>158</v>
      </c>
      <c r="C217">
        <v>3</v>
      </c>
      <c r="D217">
        <v>0.192</v>
      </c>
      <c r="E217">
        <v>8.6999999999999994E-2</v>
      </c>
      <c r="G217" s="65">
        <v>6.0291838476180803</v>
      </c>
      <c r="H217" s="65">
        <v>2.5795690701182248</v>
      </c>
      <c r="I217" s="65">
        <v>2.3372833538207041</v>
      </c>
    </row>
    <row r="218" spans="2:9" x14ac:dyDescent="0.35">
      <c r="B218" t="s">
        <v>205</v>
      </c>
      <c r="C218">
        <v>5</v>
      </c>
      <c r="D218">
        <v>0.36199999999999999</v>
      </c>
      <c r="E218">
        <v>0.16700000000000001</v>
      </c>
      <c r="G218" s="65">
        <v>6.3739831279421733</v>
      </c>
      <c r="H218" s="65">
        <v>2.608583727219727</v>
      </c>
      <c r="I218" s="65">
        <v>2.4434650348507971</v>
      </c>
    </row>
    <row r="219" spans="2:9" x14ac:dyDescent="0.35">
      <c r="B219" t="s">
        <v>204</v>
      </c>
      <c r="C219">
        <v>3</v>
      </c>
      <c r="D219">
        <v>0.30099999999999999</v>
      </c>
      <c r="E219">
        <v>0.124</v>
      </c>
      <c r="G219" s="65">
        <v>9.1672655665788518</v>
      </c>
      <c r="H219" s="65">
        <v>3.4682912965041699</v>
      </c>
      <c r="I219" s="65">
        <v>2.6431648275388251</v>
      </c>
    </row>
    <row r="220" spans="2:9" x14ac:dyDescent="0.35">
      <c r="B220" t="s">
        <v>158</v>
      </c>
      <c r="C220">
        <v>3</v>
      </c>
      <c r="D220">
        <v>0.19</v>
      </c>
      <c r="E220">
        <v>8.8999999999999996E-2</v>
      </c>
      <c r="G220" s="65">
        <v>5.9698502124814867</v>
      </c>
      <c r="H220" s="65">
        <v>2.6418253974540198</v>
      </c>
      <c r="I220" s="65">
        <v>2.25974442453114</v>
      </c>
    </row>
    <row r="221" spans="2:9" x14ac:dyDescent="0.35">
      <c r="B221" t="s">
        <v>205</v>
      </c>
      <c r="C221">
        <v>5</v>
      </c>
      <c r="D221">
        <v>0.373</v>
      </c>
      <c r="E221">
        <v>0.17699999999999999</v>
      </c>
      <c r="G221" s="65">
        <v>6.5452536016274987</v>
      </c>
      <c r="H221" s="65">
        <v>2.7470516951912698</v>
      </c>
      <c r="I221" s="65">
        <v>2.3826466801061681</v>
      </c>
    </row>
    <row r="222" spans="2:9" x14ac:dyDescent="0.35">
      <c r="B222" t="s">
        <v>204</v>
      </c>
      <c r="C222">
        <v>3</v>
      </c>
      <c r="D222">
        <v>0.28699999999999998</v>
      </c>
      <c r="E222">
        <v>0.122</v>
      </c>
      <c r="G222" s="65">
        <v>8.7742712374262446</v>
      </c>
      <c r="H222" s="65">
        <v>3.437052859613055</v>
      </c>
      <c r="I222" s="65">
        <v>2.5528473363118591</v>
      </c>
    </row>
    <row r="223" spans="2:9" x14ac:dyDescent="0.35">
      <c r="B223" t="s">
        <v>158</v>
      </c>
      <c r="C223">
        <v>3</v>
      </c>
      <c r="D223">
        <v>0.19700000000000001</v>
      </c>
      <c r="E223">
        <v>8.7999999999999995E-2</v>
      </c>
      <c r="G223" s="65">
        <v>6.1772281390967132</v>
      </c>
      <c r="H223" s="65">
        <v>2.601948225073937</v>
      </c>
      <c r="I223" s="65">
        <v>2.3740780387439031</v>
      </c>
    </row>
    <row r="227" spans="1:12" x14ac:dyDescent="0.35">
      <c r="A227" s="67" t="s">
        <v>209</v>
      </c>
    </row>
    <row r="228" spans="1:12" x14ac:dyDescent="0.35">
      <c r="C228" t="s">
        <v>185</v>
      </c>
    </row>
    <row r="230" spans="1:12" x14ac:dyDescent="0.35">
      <c r="C230" t="s">
        <v>141</v>
      </c>
      <c r="D230" t="s">
        <v>215</v>
      </c>
      <c r="E230" t="s">
        <v>217</v>
      </c>
      <c r="F230" t="s">
        <v>138</v>
      </c>
      <c r="G230" s="64" t="s">
        <v>143</v>
      </c>
      <c r="J230" t="s">
        <v>144</v>
      </c>
      <c r="K230" t="s">
        <v>143</v>
      </c>
      <c r="L230" t="s">
        <v>145</v>
      </c>
    </row>
    <row r="231" spans="1:12" x14ac:dyDescent="0.35">
      <c r="B231" t="s">
        <v>210</v>
      </c>
      <c r="C231">
        <v>0</v>
      </c>
      <c r="D231" t="s">
        <v>216</v>
      </c>
      <c r="E231">
        <v>1</v>
      </c>
      <c r="F231">
        <v>-0.1295</v>
      </c>
      <c r="G231">
        <v>0.2034</v>
      </c>
      <c r="I231" t="s">
        <v>37</v>
      </c>
      <c r="J231" s="65">
        <v>1.5842461862563659</v>
      </c>
      <c r="K231" s="65">
        <v>4.4438278368802804</v>
      </c>
      <c r="L231" s="65">
        <v>0.3565048522151032</v>
      </c>
    </row>
    <row r="232" spans="1:12" x14ac:dyDescent="0.3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3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35">
      <c r="B234" t="s">
        <v>211</v>
      </c>
      <c r="C234">
        <v>4</v>
      </c>
      <c r="D234" t="s">
        <v>216</v>
      </c>
      <c r="E234">
        <v>1</v>
      </c>
      <c r="F234">
        <v>0.183</v>
      </c>
      <c r="G234">
        <v>0.215</v>
      </c>
      <c r="I234" t="s">
        <v>212</v>
      </c>
      <c r="J234" s="65">
        <v>4.5673010915691981</v>
      </c>
      <c r="K234" s="65">
        <v>6.2696655529493164</v>
      </c>
      <c r="L234" s="65">
        <v>0.72847603321052612</v>
      </c>
    </row>
    <row r="235" spans="1:12" x14ac:dyDescent="0.35">
      <c r="B235" t="s">
        <v>212</v>
      </c>
      <c r="C235">
        <v>5</v>
      </c>
      <c r="D235" t="s">
        <v>216</v>
      </c>
      <c r="E235">
        <v>1</v>
      </c>
      <c r="F235">
        <v>0.43319999999999997</v>
      </c>
      <c r="G235">
        <v>0.307</v>
      </c>
      <c r="I235" t="s">
        <v>37</v>
      </c>
      <c r="J235" s="65">
        <v>1.1607883405032831</v>
      </c>
      <c r="K235" s="65">
        <v>4.1916956119114168</v>
      </c>
      <c r="L235" s="65">
        <v>0.27692572361521312</v>
      </c>
    </row>
    <row r="236" spans="1:12" x14ac:dyDescent="0.3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3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35">
      <c r="B238" t="s">
        <v>38</v>
      </c>
      <c r="C238">
        <v>6</v>
      </c>
      <c r="D238" t="s">
        <v>216</v>
      </c>
      <c r="E238">
        <v>2</v>
      </c>
      <c r="F238">
        <v>0.11609999999999999</v>
      </c>
      <c r="G238">
        <v>0.1875</v>
      </c>
      <c r="I238" t="s">
        <v>212</v>
      </c>
      <c r="J238" s="65">
        <v>10.99528104162324</v>
      </c>
      <c r="K238" s="65">
        <v>3.8798791877961039</v>
      </c>
      <c r="L238" s="65">
        <v>2.8339235603541861</v>
      </c>
    </row>
    <row r="239" spans="1:12" x14ac:dyDescent="0.35">
      <c r="B239" t="s">
        <v>211</v>
      </c>
      <c r="C239">
        <v>4</v>
      </c>
      <c r="D239" t="s">
        <v>216</v>
      </c>
      <c r="E239">
        <v>2</v>
      </c>
      <c r="F239">
        <v>0.52880000000000005</v>
      </c>
      <c r="G239">
        <v>0.1885</v>
      </c>
      <c r="I239" t="s">
        <v>37</v>
      </c>
      <c r="J239" s="65">
        <v>1.3938506841181251</v>
      </c>
      <c r="K239" s="65">
        <v>4.4835081139046222</v>
      </c>
      <c r="L239" s="65">
        <v>0.31088394371260342</v>
      </c>
    </row>
    <row r="240" spans="1:12" x14ac:dyDescent="0.35">
      <c r="B240" t="s">
        <v>212</v>
      </c>
      <c r="C240">
        <v>5</v>
      </c>
      <c r="D240" t="s">
        <v>216</v>
      </c>
      <c r="E240">
        <v>2</v>
      </c>
      <c r="F240">
        <v>1.2135</v>
      </c>
      <c r="G240">
        <v>0.22620000000000001</v>
      </c>
      <c r="I240" t="s">
        <v>38</v>
      </c>
      <c r="J240" s="65">
        <v>1.396960877242837</v>
      </c>
      <c r="K240" s="65">
        <v>4.514734113261162</v>
      </c>
      <c r="L240" s="65">
        <v>0.30942262427803507</v>
      </c>
    </row>
    <row r="241" spans="1:12" x14ac:dyDescent="0.35">
      <c r="B241" t="s">
        <v>210</v>
      </c>
      <c r="C241">
        <v>0</v>
      </c>
      <c r="D241" t="s">
        <v>218</v>
      </c>
      <c r="E241">
        <v>1</v>
      </c>
      <c r="F241">
        <v>-0.1411</v>
      </c>
      <c r="G241">
        <v>0.20330000000000001</v>
      </c>
      <c r="I241" t="s">
        <v>211</v>
      </c>
      <c r="J241" s="65">
        <v>3.1982685342211381</v>
      </c>
      <c r="K241" s="65">
        <v>6.7795573104180562</v>
      </c>
      <c r="L241" s="65">
        <v>0.47175182505005181</v>
      </c>
    </row>
    <row r="242" spans="1:12" x14ac:dyDescent="0.35">
      <c r="B242" t="s">
        <v>37</v>
      </c>
      <c r="C242">
        <v>6</v>
      </c>
      <c r="D242" t="s">
        <v>218</v>
      </c>
      <c r="E242">
        <v>1</v>
      </c>
      <c r="F242">
        <v>-5.45E-2</v>
      </c>
      <c r="G242">
        <v>0.2044</v>
      </c>
      <c r="I242" t="s">
        <v>212</v>
      </c>
      <c r="J242" s="65">
        <v>4.3893788765642316</v>
      </c>
      <c r="K242" s="65">
        <v>6.3227297392078068</v>
      </c>
      <c r="L242" s="65">
        <v>0.69422212519148252</v>
      </c>
    </row>
    <row r="243" spans="1:12" x14ac:dyDescent="0.3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35">
      <c r="B244" t="s">
        <v>211</v>
      </c>
      <c r="C244">
        <v>4</v>
      </c>
      <c r="D244" t="s">
        <v>218</v>
      </c>
      <c r="E244">
        <v>1</v>
      </c>
      <c r="F244">
        <v>0.16650000000000001</v>
      </c>
      <c r="G244">
        <v>0.2152</v>
      </c>
      <c r="I244" t="s">
        <v>38</v>
      </c>
      <c r="J244" s="65">
        <v>3.1368104442244031</v>
      </c>
      <c r="K244" s="65">
        <v>3.7829718025246679</v>
      </c>
      <c r="L244" s="65">
        <v>0.82919212935474906</v>
      </c>
    </row>
    <row r="245" spans="1:12" x14ac:dyDescent="0.3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3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35">
      <c r="B247" t="s">
        <v>37</v>
      </c>
      <c r="C247">
        <v>6</v>
      </c>
      <c r="D247" t="s">
        <v>218</v>
      </c>
      <c r="E247">
        <v>2</v>
      </c>
      <c r="F247">
        <v>-6.6900000000000001E-2</v>
      </c>
      <c r="G247">
        <v>0.18720000000000001</v>
      </c>
    </row>
    <row r="248" spans="1:12" x14ac:dyDescent="0.35">
      <c r="B248" t="s">
        <v>38</v>
      </c>
      <c r="C248">
        <v>6</v>
      </c>
      <c r="D248" t="s">
        <v>218</v>
      </c>
      <c r="E248">
        <v>2</v>
      </c>
      <c r="F248">
        <v>0.13669999999999999</v>
      </c>
      <c r="G248">
        <v>0.18740000000000001</v>
      </c>
    </row>
    <row r="249" spans="1:12" x14ac:dyDescent="0.35">
      <c r="B249" t="s">
        <v>211</v>
      </c>
      <c r="C249">
        <v>4</v>
      </c>
      <c r="D249" t="s">
        <v>218</v>
      </c>
      <c r="E249">
        <v>2</v>
      </c>
      <c r="F249">
        <v>0.55030000000000001</v>
      </c>
      <c r="G249">
        <v>0.1885</v>
      </c>
    </row>
    <row r="250" spans="1:12" x14ac:dyDescent="0.35">
      <c r="B250" t="s">
        <v>212</v>
      </c>
      <c r="C250">
        <v>5</v>
      </c>
      <c r="D250" t="s">
        <v>218</v>
      </c>
      <c r="E250">
        <v>2</v>
      </c>
      <c r="F250">
        <v>1.2347999999999999</v>
      </c>
      <c r="G250">
        <v>0.2263</v>
      </c>
    </row>
    <row r="253" spans="1:12" x14ac:dyDescent="0.35">
      <c r="A253" s="67" t="s">
        <v>224</v>
      </c>
    </row>
    <row r="254" spans="1:12" x14ac:dyDescent="0.35">
      <c r="C254" t="s">
        <v>225</v>
      </c>
    </row>
    <row r="256" spans="1:12" x14ac:dyDescent="0.35">
      <c r="D256" t="s">
        <v>227</v>
      </c>
      <c r="E256" t="s">
        <v>228</v>
      </c>
      <c r="F256" t="s">
        <v>229</v>
      </c>
      <c r="G256" t="s">
        <v>230</v>
      </c>
      <c r="H256" t="s">
        <v>231</v>
      </c>
      <c r="J256" t="s">
        <v>232</v>
      </c>
      <c r="K256" t="s">
        <v>233</v>
      </c>
    </row>
    <row r="257" spans="1:16" x14ac:dyDescent="0.35">
      <c r="C257" t="s">
        <v>226</v>
      </c>
      <c r="D257">
        <v>22.08</v>
      </c>
      <c r="E257">
        <v>21.7</v>
      </c>
      <c r="F257">
        <v>12.7</v>
      </c>
      <c r="G257">
        <v>15.3</v>
      </c>
      <c r="H257">
        <f>AVERAGE(D257:G257)/100</f>
        <v>0.17945</v>
      </c>
      <c r="J257">
        <v>0</v>
      </c>
      <c r="K257">
        <f>H257*J257</f>
        <v>0</v>
      </c>
    </row>
    <row r="258" spans="1:16" x14ac:dyDescent="0.35">
      <c r="C258" t="s">
        <v>37</v>
      </c>
      <c r="D258">
        <v>49.66</v>
      </c>
      <c r="E258">
        <v>52.1</v>
      </c>
      <c r="F258">
        <v>69.2</v>
      </c>
      <c r="G258">
        <v>67.2</v>
      </c>
      <c r="H258">
        <f>AVERAGE(D258:G258)/100</f>
        <v>0.59539999999999993</v>
      </c>
      <c r="J258">
        <v>7</v>
      </c>
      <c r="K258">
        <f t="shared" ref="K258:K260" si="2">H258*J258</f>
        <v>4.1677999999999997</v>
      </c>
    </row>
    <row r="259" spans="1:16" x14ac:dyDescent="0.35">
      <c r="C259" t="s">
        <v>38</v>
      </c>
      <c r="D259">
        <v>20.440000000000001</v>
      </c>
      <c r="E259">
        <v>22.4</v>
      </c>
      <c r="F259">
        <v>15.9</v>
      </c>
      <c r="G259">
        <v>16.61</v>
      </c>
      <c r="H259">
        <f>AVERAGE(D259:G259)/100</f>
        <v>0.18837499999999999</v>
      </c>
      <c r="J259">
        <v>12</v>
      </c>
      <c r="K259">
        <f t="shared" si="2"/>
        <v>2.2605</v>
      </c>
    </row>
    <row r="260" spans="1:16" x14ac:dyDescent="0.35">
      <c r="C260" t="s">
        <v>39</v>
      </c>
      <c r="D260">
        <v>7.82</v>
      </c>
      <c r="E260">
        <v>3.8</v>
      </c>
      <c r="F260">
        <v>2.2999999999999998</v>
      </c>
      <c r="G260">
        <v>0.88</v>
      </c>
      <c r="H260">
        <f>AVERAGE(D260:G260)/100</f>
        <v>3.7000000000000005E-2</v>
      </c>
      <c r="J260">
        <v>16</v>
      </c>
      <c r="K260">
        <f t="shared" si="2"/>
        <v>0.59200000000000008</v>
      </c>
    </row>
    <row r="261" spans="1:16" x14ac:dyDescent="0.35">
      <c r="H261" s="72">
        <f>SUM(H257:H260)</f>
        <v>1.0002249999999999</v>
      </c>
      <c r="J261" t="s">
        <v>234</v>
      </c>
      <c r="K261">
        <f>SUM(K257:K260)</f>
        <v>7.0203000000000007</v>
      </c>
    </row>
    <row r="264" spans="1:16" x14ac:dyDescent="0.35">
      <c r="A264" s="67" t="s">
        <v>235</v>
      </c>
    </row>
    <row r="266" spans="1:16" x14ac:dyDescent="0.35">
      <c r="C266" t="s">
        <v>236</v>
      </c>
    </row>
    <row r="268" spans="1:16" x14ac:dyDescent="0.35">
      <c r="C268" t="s">
        <v>243</v>
      </c>
      <c r="D268" t="s">
        <v>245</v>
      </c>
      <c r="E268" t="s">
        <v>193</v>
      </c>
      <c r="F268" t="s">
        <v>244</v>
      </c>
      <c r="G268" t="s">
        <v>138</v>
      </c>
      <c r="H268" s="64" t="s">
        <v>143</v>
      </c>
      <c r="J268" t="s">
        <v>144</v>
      </c>
      <c r="K268" t="s">
        <v>143</v>
      </c>
      <c r="L268" t="s">
        <v>145</v>
      </c>
    </row>
    <row r="269" spans="1:16" x14ac:dyDescent="0.35">
      <c r="B269" t="s">
        <v>237</v>
      </c>
      <c r="C269">
        <v>0</v>
      </c>
      <c r="D269">
        <v>0.7</v>
      </c>
      <c r="E269">
        <f>D269</f>
        <v>0.7</v>
      </c>
      <c r="F269" t="s">
        <v>140</v>
      </c>
      <c r="G269">
        <v>1.0999999999999999E-2</v>
      </c>
      <c r="H269">
        <v>0.03</v>
      </c>
      <c r="J269" s="65" t="s">
        <v>83</v>
      </c>
      <c r="K269" s="65" t="s">
        <v>83</v>
      </c>
      <c r="L269" s="65" t="s">
        <v>83</v>
      </c>
      <c r="N269" s="65" t="s">
        <v>219</v>
      </c>
    </row>
    <row r="270" spans="1:16" x14ac:dyDescent="0.3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3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3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3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3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3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3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3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3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3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3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3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3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35">
      <c r="N283" s="65">
        <v>3.1640378314807589</v>
      </c>
      <c r="O283" s="65">
        <v>0.20102111814396101</v>
      </c>
      <c r="P283" s="65">
        <v>15.7398280374445</v>
      </c>
    </row>
    <row r="284" spans="2:16" x14ac:dyDescent="0.35">
      <c r="C284" t="s">
        <v>246</v>
      </c>
      <c r="N284" s="65">
        <v>4.3648409248163267</v>
      </c>
      <c r="O284" s="65">
        <v>0.1361576528699496</v>
      </c>
      <c r="P284" s="65">
        <v>32.057257398417313</v>
      </c>
    </row>
    <row r="285" spans="2:16" x14ac:dyDescent="0.35">
      <c r="N285" s="65">
        <v>4.6836822714674931</v>
      </c>
      <c r="O285" s="65">
        <v>0.1511023127474993</v>
      </c>
      <c r="P285" s="65">
        <v>30.996760978067869</v>
      </c>
    </row>
    <row r="286" spans="2:16" x14ac:dyDescent="0.3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3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3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3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3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3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3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3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35">
      <c r="B294" t="s">
        <v>237</v>
      </c>
      <c r="C294">
        <v>0</v>
      </c>
      <c r="D294">
        <v>0.7</v>
      </c>
      <c r="E294">
        <f>D294</f>
        <v>0.7</v>
      </c>
      <c r="F294" t="s">
        <v>142</v>
      </c>
      <c r="G294">
        <v>0.33400000000000002</v>
      </c>
      <c r="H294">
        <v>0.13</v>
      </c>
      <c r="J294" s="65" t="s">
        <v>83</v>
      </c>
      <c r="K294" s="65" t="s">
        <v>83</v>
      </c>
      <c r="L294" s="65" t="s">
        <v>83</v>
      </c>
    </row>
    <row r="295" spans="1:16" x14ac:dyDescent="0.3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3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3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3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3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3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35">
      <c r="A303" s="67" t="s">
        <v>249</v>
      </c>
    </row>
    <row r="304" spans="1:16" x14ac:dyDescent="0.35">
      <c r="G304" t="s">
        <v>256</v>
      </c>
    </row>
    <row r="305" spans="1:12" x14ac:dyDescent="0.35">
      <c r="C305" t="s">
        <v>250</v>
      </c>
      <c r="D305" t="s">
        <v>251</v>
      </c>
      <c r="H305" t="s">
        <v>252</v>
      </c>
      <c r="I305" t="s">
        <v>253</v>
      </c>
      <c r="J305" t="s">
        <v>260</v>
      </c>
      <c r="K305" t="s">
        <v>259</v>
      </c>
    </row>
    <row r="306" spans="1:12" x14ac:dyDescent="0.35">
      <c r="C306" t="s">
        <v>254</v>
      </c>
      <c r="D306" t="s">
        <v>252</v>
      </c>
      <c r="E306">
        <v>9065</v>
      </c>
      <c r="G306" t="s">
        <v>174</v>
      </c>
      <c r="H306">
        <v>1</v>
      </c>
      <c r="I306">
        <v>1</v>
      </c>
      <c r="J306">
        <f>H306-H307</f>
        <v>0.10999999999999999</v>
      </c>
      <c r="K306">
        <f>I306-I307</f>
        <v>0.26</v>
      </c>
    </row>
    <row r="307" spans="1:12" x14ac:dyDescent="0.35">
      <c r="C307" t="s">
        <v>255</v>
      </c>
      <c r="D307" t="s">
        <v>252</v>
      </c>
      <c r="E307">
        <v>55135</v>
      </c>
      <c r="G307" t="s">
        <v>257</v>
      </c>
      <c r="H307">
        <v>0.89</v>
      </c>
      <c r="I307">
        <v>0.74</v>
      </c>
      <c r="J307">
        <f t="shared" ref="J307:J308" si="7">H307-H308</f>
        <v>0.52</v>
      </c>
      <c r="K307">
        <f t="shared" ref="K307:K308" si="8">I307-I308</f>
        <v>0.47</v>
      </c>
    </row>
    <row r="308" spans="1:12" x14ac:dyDescent="0.35">
      <c r="C308" t="s">
        <v>254</v>
      </c>
      <c r="D308" t="s">
        <v>253</v>
      </c>
      <c r="E308">
        <v>3135</v>
      </c>
      <c r="G308" t="s">
        <v>258</v>
      </c>
      <c r="H308">
        <v>0.37</v>
      </c>
      <c r="I308">
        <v>0.27</v>
      </c>
      <c r="J308">
        <f t="shared" si="7"/>
        <v>0.31</v>
      </c>
      <c r="K308">
        <f t="shared" si="8"/>
        <v>0.24700000000000003</v>
      </c>
    </row>
    <row r="309" spans="1:12" x14ac:dyDescent="0.35">
      <c r="C309" t="s">
        <v>255</v>
      </c>
      <c r="D309" t="s">
        <v>253</v>
      </c>
      <c r="E309">
        <v>24826</v>
      </c>
      <c r="G309" t="s">
        <v>176</v>
      </c>
      <c r="H309">
        <v>0.06</v>
      </c>
      <c r="I309">
        <v>2.3E-2</v>
      </c>
      <c r="J309">
        <f>H309-H310</f>
        <v>0.06</v>
      </c>
      <c r="K309">
        <f>I309-I310</f>
        <v>2.3E-2</v>
      </c>
    </row>
    <row r="310" spans="1:12" x14ac:dyDescent="0.35">
      <c r="J310">
        <f>SUM(J306:J309)</f>
        <v>1</v>
      </c>
      <c r="K310">
        <f>SUM(K306:K309)</f>
        <v>1</v>
      </c>
    </row>
    <row r="312" spans="1:12" x14ac:dyDescent="0.35">
      <c r="A312" s="67" t="s">
        <v>261</v>
      </c>
    </row>
    <row r="315" spans="1:12" x14ac:dyDescent="0.35">
      <c r="C315" s="68" t="s">
        <v>263</v>
      </c>
    </row>
    <row r="317" spans="1:12" x14ac:dyDescent="0.35">
      <c r="D317" t="s">
        <v>193</v>
      </c>
      <c r="E317" t="s">
        <v>36</v>
      </c>
      <c r="F317" t="s">
        <v>151</v>
      </c>
      <c r="G317" t="s">
        <v>138</v>
      </c>
      <c r="H317" s="64" t="s">
        <v>143</v>
      </c>
      <c r="J317" t="s">
        <v>144</v>
      </c>
      <c r="K317" t="s">
        <v>143</v>
      </c>
      <c r="L317" t="s">
        <v>145</v>
      </c>
    </row>
    <row r="318" spans="1:12" x14ac:dyDescent="0.35">
      <c r="C318" t="s">
        <v>37</v>
      </c>
      <c r="D318">
        <v>5</v>
      </c>
      <c r="E318" t="s">
        <v>6</v>
      </c>
      <c r="F318">
        <v>1988</v>
      </c>
      <c r="G318">
        <v>2.7E-2</v>
      </c>
      <c r="H318">
        <v>4.7E-2</v>
      </c>
      <c r="J318" s="65">
        <v>0.53426072862545748</v>
      </c>
      <c r="K318" s="65">
        <v>0.92017726470212213</v>
      </c>
      <c r="L318" s="65">
        <v>0.58060631263086815</v>
      </c>
    </row>
    <row r="319" spans="1:12" x14ac:dyDescent="0.35">
      <c r="C319" t="s">
        <v>38</v>
      </c>
      <c r="D319">
        <v>6</v>
      </c>
      <c r="E319" t="s">
        <v>6</v>
      </c>
      <c r="F319">
        <v>1988</v>
      </c>
      <c r="G319">
        <v>0.43</v>
      </c>
      <c r="H319">
        <v>0.10100000000000001</v>
      </c>
      <c r="J319" s="65">
        <v>5.8058332763509357</v>
      </c>
      <c r="K319" s="65">
        <v>1.4001887411061369</v>
      </c>
      <c r="L319" s="65">
        <v>4.1464647628607407</v>
      </c>
    </row>
    <row r="320" spans="1:12" x14ac:dyDescent="0.35">
      <c r="C320" t="s">
        <v>211</v>
      </c>
      <c r="D320">
        <v>5</v>
      </c>
      <c r="E320" t="s">
        <v>6</v>
      </c>
      <c r="F320">
        <v>1988</v>
      </c>
      <c r="G320">
        <v>0.63400000000000001</v>
      </c>
      <c r="H320">
        <v>4.2000000000000003E-2</v>
      </c>
      <c r="J320" s="65">
        <v>3.782779413590132</v>
      </c>
      <c r="K320" s="65">
        <v>1.8857545210574489</v>
      </c>
      <c r="L320" s="65">
        <v>2.005976584624023</v>
      </c>
    </row>
    <row r="321" spans="3:12" x14ac:dyDescent="0.35">
      <c r="C321" t="s">
        <v>37</v>
      </c>
      <c r="D321">
        <v>5</v>
      </c>
      <c r="E321" t="s">
        <v>6</v>
      </c>
      <c r="F321">
        <v>1998</v>
      </c>
      <c r="G321">
        <v>0.153</v>
      </c>
      <c r="H321">
        <v>0.04</v>
      </c>
      <c r="J321" s="65">
        <v>2.8882691843426622</v>
      </c>
      <c r="K321" s="65">
        <v>0.71388217994340097</v>
      </c>
      <c r="L321" s="65">
        <v>4.0458625603620666</v>
      </c>
    </row>
    <row r="322" spans="3:12" x14ac:dyDescent="0.35">
      <c r="C322" t="s">
        <v>38</v>
      </c>
      <c r="D322">
        <v>6</v>
      </c>
      <c r="E322" t="s">
        <v>6</v>
      </c>
      <c r="F322">
        <v>1998</v>
      </c>
      <c r="G322">
        <v>0.501</v>
      </c>
      <c r="H322">
        <v>9.8000000000000004E-2</v>
      </c>
      <c r="J322" s="65">
        <v>5.1029684358929073</v>
      </c>
      <c r="K322" s="65">
        <v>1.3754993500905861</v>
      </c>
      <c r="L322" s="65">
        <v>3.7099024696426368</v>
      </c>
    </row>
    <row r="323" spans="3:12" x14ac:dyDescent="0.35">
      <c r="C323" t="s">
        <v>211</v>
      </c>
      <c r="D323">
        <v>5</v>
      </c>
      <c r="E323" t="s">
        <v>6</v>
      </c>
      <c r="F323">
        <v>1998</v>
      </c>
      <c r="G323">
        <v>0.64</v>
      </c>
      <c r="H323">
        <v>3.9E-2</v>
      </c>
      <c r="J323" s="65">
        <v>2.637187966687971</v>
      </c>
      <c r="K323" s="65">
        <v>1.9009076839990171</v>
      </c>
      <c r="L323" s="65">
        <v>1.3873308992786071</v>
      </c>
    </row>
    <row r="324" spans="3:12" x14ac:dyDescent="0.35">
      <c r="C324" t="s">
        <v>37</v>
      </c>
      <c r="D324">
        <v>5</v>
      </c>
      <c r="E324" t="s">
        <v>6</v>
      </c>
      <c r="F324">
        <v>2006</v>
      </c>
      <c r="G324">
        <v>7.0000000000000007E-2</v>
      </c>
      <c r="H324">
        <v>4.1000000000000002E-2</v>
      </c>
      <c r="J324" s="65">
        <v>1.362369791050599</v>
      </c>
      <c r="K324" s="65">
        <v>0.77679573110898581</v>
      </c>
      <c r="L324" s="65">
        <v>1.7538327471311199</v>
      </c>
    </row>
    <row r="325" spans="3:12" x14ac:dyDescent="0.35">
      <c r="C325" t="s">
        <v>38</v>
      </c>
      <c r="D325">
        <v>6</v>
      </c>
      <c r="E325" t="s">
        <v>6</v>
      </c>
      <c r="F325">
        <v>2006</v>
      </c>
      <c r="G325">
        <v>0.38</v>
      </c>
      <c r="H325">
        <v>0.127</v>
      </c>
      <c r="J325" s="65">
        <v>4.6032590966232689</v>
      </c>
      <c r="K325" s="65">
        <v>1.776047716442867</v>
      </c>
      <c r="L325" s="65">
        <v>2.5918555306852031</v>
      </c>
    </row>
    <row r="326" spans="3:12" x14ac:dyDescent="0.35">
      <c r="C326" t="s">
        <v>211</v>
      </c>
      <c r="D326">
        <v>5</v>
      </c>
      <c r="E326" t="s">
        <v>6</v>
      </c>
      <c r="F326">
        <v>2006</v>
      </c>
      <c r="G326">
        <v>0.72299999999999998</v>
      </c>
      <c r="H326">
        <v>3.9E-2</v>
      </c>
      <c r="J326" s="65">
        <v>6.0755280859349448</v>
      </c>
      <c r="K326" s="65">
        <v>2.098657368067578</v>
      </c>
      <c r="L326" s="65">
        <v>2.8949595004777868</v>
      </c>
    </row>
    <row r="327" spans="3:12" x14ac:dyDescent="0.35">
      <c r="C327" t="s">
        <v>37</v>
      </c>
      <c r="D327">
        <v>5</v>
      </c>
      <c r="E327" t="s">
        <v>15</v>
      </c>
      <c r="F327">
        <v>1987</v>
      </c>
      <c r="G327">
        <v>0.107</v>
      </c>
      <c r="H327">
        <v>6.0999999999999999E-2</v>
      </c>
      <c r="J327" s="65">
        <v>2.0538807778703432</v>
      </c>
      <c r="K327" s="65">
        <v>1.1247130492231421</v>
      </c>
      <c r="L327" s="65">
        <v>1.826137590640557</v>
      </c>
    </row>
    <row r="328" spans="3:12" x14ac:dyDescent="0.35">
      <c r="C328" t="s">
        <v>38</v>
      </c>
      <c r="D328">
        <v>6</v>
      </c>
      <c r="E328" t="s">
        <v>15</v>
      </c>
      <c r="F328">
        <v>1987</v>
      </c>
      <c r="G328">
        <v>0.68200000000000005</v>
      </c>
      <c r="H328">
        <v>8.2000000000000003E-2</v>
      </c>
      <c r="J328" s="65">
        <v>7.8648870451029076</v>
      </c>
      <c r="K328" s="65">
        <v>1.1665477132317481</v>
      </c>
      <c r="L328" s="65">
        <v>6.7420191698069534</v>
      </c>
    </row>
    <row r="329" spans="3:12" x14ac:dyDescent="0.35">
      <c r="C329" t="s">
        <v>211</v>
      </c>
      <c r="D329">
        <v>5</v>
      </c>
      <c r="E329" t="s">
        <v>15</v>
      </c>
      <c r="F329">
        <v>1987</v>
      </c>
      <c r="G329">
        <v>1.274</v>
      </c>
      <c r="H329">
        <v>0.13200000000000001</v>
      </c>
      <c r="J329" s="65">
        <v>9.745977902720405</v>
      </c>
      <c r="K329" s="65">
        <v>2.1424768034975972</v>
      </c>
      <c r="L329" s="65">
        <v>4.5489304186678146</v>
      </c>
    </row>
    <row r="330" spans="3:12" x14ac:dyDescent="0.35">
      <c r="C330" t="s">
        <v>37</v>
      </c>
      <c r="D330">
        <v>5</v>
      </c>
      <c r="E330" t="s">
        <v>15</v>
      </c>
      <c r="F330">
        <v>2001</v>
      </c>
      <c r="G330">
        <v>0.253</v>
      </c>
      <c r="H330">
        <v>5.8000000000000003E-2</v>
      </c>
      <c r="J330" s="65">
        <v>4.6140978438483859</v>
      </c>
      <c r="K330" s="65">
        <v>0.96849444133171692</v>
      </c>
      <c r="L330" s="65">
        <v>4.7641965167129143</v>
      </c>
    </row>
    <row r="331" spans="3:12" x14ac:dyDescent="0.35">
      <c r="C331" t="s">
        <v>38</v>
      </c>
      <c r="D331">
        <v>6</v>
      </c>
      <c r="E331" t="s">
        <v>15</v>
      </c>
      <c r="F331">
        <v>2001</v>
      </c>
      <c r="G331">
        <v>0.71</v>
      </c>
      <c r="H331">
        <v>6.5000000000000002E-2</v>
      </c>
      <c r="J331" s="65">
        <v>6.4739236902311426</v>
      </c>
      <c r="K331" s="65">
        <v>1.0610228402200219</v>
      </c>
      <c r="L331" s="65">
        <v>6.1015874916402906</v>
      </c>
    </row>
    <row r="332" spans="3:12" x14ac:dyDescent="0.35">
      <c r="C332" t="s">
        <v>211</v>
      </c>
      <c r="D332">
        <v>5</v>
      </c>
      <c r="E332" t="s">
        <v>15</v>
      </c>
      <c r="F332">
        <v>2001</v>
      </c>
      <c r="G332">
        <v>1.2130000000000001</v>
      </c>
      <c r="H332">
        <v>0.13200000000000001</v>
      </c>
      <c r="J332" s="65">
        <v>8.490521329106592</v>
      </c>
      <c r="K332" s="65">
        <v>2.1241331238946599</v>
      </c>
      <c r="L332" s="65">
        <v>3.9971700613278771</v>
      </c>
    </row>
    <row r="333" spans="3:12" x14ac:dyDescent="0.35">
      <c r="C333" t="s">
        <v>37</v>
      </c>
      <c r="D333">
        <v>5</v>
      </c>
      <c r="E333" t="s">
        <v>15</v>
      </c>
      <c r="F333">
        <v>2006</v>
      </c>
      <c r="G333">
        <v>0.157</v>
      </c>
      <c r="H333">
        <v>2.8000000000000001E-2</v>
      </c>
      <c r="J333" s="65">
        <v>2.9595585437330869</v>
      </c>
      <c r="K333" s="65">
        <v>0.49833494195756728</v>
      </c>
      <c r="L333" s="65">
        <v>5.938894294883883</v>
      </c>
    </row>
    <row r="334" spans="3:12" x14ac:dyDescent="0.35">
      <c r="C334" t="s">
        <v>38</v>
      </c>
      <c r="D334">
        <v>6</v>
      </c>
      <c r="E334" t="s">
        <v>15</v>
      </c>
      <c r="F334">
        <v>2006</v>
      </c>
      <c r="G334">
        <v>0.57299999999999995</v>
      </c>
      <c r="H334">
        <v>3.2000000000000001E-2</v>
      </c>
      <c r="J334" s="65">
        <v>5.9686029727814338</v>
      </c>
      <c r="K334" s="65">
        <v>0.53034920017535458</v>
      </c>
      <c r="L334" s="65">
        <v>11.25410007370234</v>
      </c>
    </row>
    <row r="335" spans="3:12" x14ac:dyDescent="0.35">
      <c r="C335" t="s">
        <v>211</v>
      </c>
      <c r="D335">
        <v>5</v>
      </c>
      <c r="E335" t="s">
        <v>15</v>
      </c>
      <c r="F335">
        <v>2006</v>
      </c>
      <c r="G335">
        <v>1.0880000000000001</v>
      </c>
      <c r="H335">
        <v>3.5999999999999997E-2</v>
      </c>
      <c r="J335" s="65">
        <v>8.6632090658934189</v>
      </c>
      <c r="K335" s="65">
        <v>0.69094564182285734</v>
      </c>
      <c r="L335" s="65">
        <v>12.538191923518159</v>
      </c>
    </row>
    <row r="338" spans="2:19" x14ac:dyDescent="0.35">
      <c r="B338" s="68" t="s">
        <v>276</v>
      </c>
    </row>
    <row r="340" spans="2:19" x14ac:dyDescent="0.35">
      <c r="B340" s="22"/>
      <c r="C340" s="76" t="s">
        <v>277</v>
      </c>
      <c r="D340" t="s">
        <v>6</v>
      </c>
      <c r="E340" t="s">
        <v>6</v>
      </c>
      <c r="F340" t="s">
        <v>6</v>
      </c>
      <c r="G340" t="s">
        <v>15</v>
      </c>
      <c r="H340" t="s">
        <v>15</v>
      </c>
      <c r="I340" t="s">
        <v>15</v>
      </c>
      <c r="J340" t="s">
        <v>29</v>
      </c>
      <c r="K340" t="s">
        <v>29</v>
      </c>
      <c r="L340" t="s">
        <v>29</v>
      </c>
      <c r="N340" t="s">
        <v>281</v>
      </c>
    </row>
    <row r="341" spans="2:19" x14ac:dyDescent="0.3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3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3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3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3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3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3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3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3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3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3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3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3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 thickBot="1" x14ac:dyDescent="0.4">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35">
      <c r="B355" s="22" t="s">
        <v>155</v>
      </c>
      <c r="C355" s="76" t="s">
        <v>283</v>
      </c>
      <c r="D355">
        <v>63.23</v>
      </c>
      <c r="E355">
        <v>55.19</v>
      </c>
      <c r="F355">
        <v>43.89</v>
      </c>
      <c r="G355">
        <v>66.709999999999994</v>
      </c>
      <c r="H355">
        <v>49</v>
      </c>
      <c r="I355">
        <v>35.07</v>
      </c>
      <c r="J355">
        <v>22.37</v>
      </c>
      <c r="K355">
        <v>19.43</v>
      </c>
      <c r="L355">
        <v>27.93</v>
      </c>
    </row>
    <row r="356" spans="2:21" x14ac:dyDescent="0.3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35">
      <c r="B357" s="22"/>
      <c r="C357" s="76"/>
    </row>
    <row r="359" spans="2:21" x14ac:dyDescent="0.35">
      <c r="B359" s="68" t="s">
        <v>291</v>
      </c>
    </row>
    <row r="361" spans="2:21" x14ac:dyDescent="0.35">
      <c r="B361" t="s">
        <v>290</v>
      </c>
      <c r="D361">
        <v>1988</v>
      </c>
      <c r="I361">
        <v>1998</v>
      </c>
      <c r="N361">
        <v>2006</v>
      </c>
    </row>
    <row r="362" spans="2:21" x14ac:dyDescent="0.3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3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3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3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3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3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3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3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3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3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35">
      <c r="B372" t="s">
        <v>292</v>
      </c>
      <c r="T372">
        <v>0.43074865236748022</v>
      </c>
      <c r="U372">
        <v>0.56925134763251983</v>
      </c>
    </row>
    <row r="373" spans="2:21" x14ac:dyDescent="0.35">
      <c r="D373">
        <v>1987</v>
      </c>
      <c r="I373">
        <v>2001</v>
      </c>
      <c r="N373">
        <v>2006</v>
      </c>
      <c r="T373">
        <v>0.4185962674287485</v>
      </c>
      <c r="U373">
        <v>0.58140373257125155</v>
      </c>
    </row>
    <row r="374" spans="2:21" x14ac:dyDescent="0.3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3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3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3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3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3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3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3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3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3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35">
      <c r="B385" t="s">
        <v>293</v>
      </c>
      <c r="D385">
        <v>1988</v>
      </c>
      <c r="I385">
        <v>1994</v>
      </c>
      <c r="N385">
        <v>2002</v>
      </c>
    </row>
    <row r="386" spans="1:18" x14ac:dyDescent="0.3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3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3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3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3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3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3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3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3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35">
      <c r="A397" s="67" t="s">
        <v>306</v>
      </c>
    </row>
    <row r="398" spans="1:18" x14ac:dyDescent="0.35">
      <c r="D398" t="s">
        <v>193</v>
      </c>
      <c r="E398" t="s">
        <v>301</v>
      </c>
      <c r="F398" t="s">
        <v>138</v>
      </c>
      <c r="G398" s="64" t="s">
        <v>143</v>
      </c>
      <c r="I398" t="s">
        <v>144</v>
      </c>
      <c r="J398" t="s">
        <v>143</v>
      </c>
      <c r="K398" t="s">
        <v>145</v>
      </c>
    </row>
    <row r="399" spans="1:18" x14ac:dyDescent="0.35">
      <c r="C399" t="s">
        <v>241</v>
      </c>
      <c r="D399">
        <v>4</v>
      </c>
      <c r="E399" t="s">
        <v>302</v>
      </c>
      <c r="F399">
        <v>0.36</v>
      </c>
      <c r="G399">
        <v>8.9999999999999993E-3</v>
      </c>
      <c r="I399" s="65">
        <v>7.9902948865804291</v>
      </c>
      <c r="J399" s="65">
        <v>0.17866041433441621</v>
      </c>
      <c r="K399" s="65">
        <v>44.723364805503103</v>
      </c>
    </row>
    <row r="400" spans="1:18" x14ac:dyDescent="0.35">
      <c r="C400" t="s">
        <v>300</v>
      </c>
      <c r="D400">
        <v>2</v>
      </c>
      <c r="E400" t="s">
        <v>302</v>
      </c>
      <c r="F400">
        <v>0.68</v>
      </c>
      <c r="G400">
        <v>1.2999999999999999E-2</v>
      </c>
      <c r="I400" s="65">
        <v>14.89125293076059</v>
      </c>
      <c r="J400" s="65">
        <v>0.68810235320397528</v>
      </c>
      <c r="K400" s="65">
        <v>21.641043460210859</v>
      </c>
    </row>
    <row r="401" spans="3:11" x14ac:dyDescent="0.35">
      <c r="C401" t="s">
        <v>241</v>
      </c>
      <c r="D401" s="81">
        <v>4</v>
      </c>
      <c r="E401" s="81" t="s">
        <v>302</v>
      </c>
      <c r="F401">
        <v>0.37</v>
      </c>
      <c r="G401">
        <v>6.0000000000000001E-3</v>
      </c>
      <c r="I401" s="65">
        <v>8.1882614275672125</v>
      </c>
      <c r="J401" s="65">
        <v>0.11845430083310279</v>
      </c>
      <c r="K401" s="65">
        <v>69.125910751895248</v>
      </c>
    </row>
    <row r="402" spans="3:11" x14ac:dyDescent="0.35">
      <c r="C402" t="s">
        <v>300</v>
      </c>
      <c r="D402" s="81">
        <v>2</v>
      </c>
      <c r="E402" s="81" t="s">
        <v>302</v>
      </c>
      <c r="F402">
        <v>0.69</v>
      </c>
      <c r="G402">
        <v>8.9999999999999993E-3</v>
      </c>
      <c r="I402" s="65">
        <v>14.891252930760571</v>
      </c>
      <c r="J402" s="65">
        <v>0.4707344358456359</v>
      </c>
      <c r="K402" s="65">
        <v>31.63408452158307</v>
      </c>
    </row>
    <row r="403" spans="3:11" x14ac:dyDescent="0.35">
      <c r="C403" t="s">
        <v>241</v>
      </c>
      <c r="D403">
        <v>4</v>
      </c>
      <c r="E403" t="s">
        <v>302</v>
      </c>
      <c r="F403">
        <v>0.36</v>
      </c>
      <c r="G403">
        <v>6.0000000000000001E-3</v>
      </c>
      <c r="I403" s="65">
        <v>7.9902948865804291</v>
      </c>
      <c r="J403" s="65">
        <v>0.1191069428896108</v>
      </c>
      <c r="K403" s="65">
        <v>67.085047208254636</v>
      </c>
    </row>
    <row r="404" spans="3:11" x14ac:dyDescent="0.35">
      <c r="C404" t="s">
        <v>300</v>
      </c>
      <c r="D404">
        <v>2</v>
      </c>
      <c r="E404" t="s">
        <v>302</v>
      </c>
      <c r="F404">
        <v>0.68</v>
      </c>
      <c r="G404">
        <v>8.9999999999999993E-3</v>
      </c>
      <c r="I404" s="65">
        <v>14.89125293076059</v>
      </c>
      <c r="J404" s="65">
        <v>0.47073443584563579</v>
      </c>
      <c r="K404" s="65">
        <v>31.634084521583119</v>
      </c>
    </row>
    <row r="405" spans="3:11" x14ac:dyDescent="0.35">
      <c r="C405" t="s">
        <v>241</v>
      </c>
      <c r="D405" s="81">
        <v>4</v>
      </c>
      <c r="E405" s="81" t="s">
        <v>302</v>
      </c>
      <c r="F405">
        <v>0.36</v>
      </c>
      <c r="G405">
        <v>6.0000000000000001E-3</v>
      </c>
      <c r="I405" s="65">
        <v>7.9902948865804291</v>
      </c>
      <c r="J405" s="65">
        <v>0.1191069428896108</v>
      </c>
      <c r="K405" s="65">
        <v>67.085047208254636</v>
      </c>
    </row>
    <row r="406" spans="3:11" x14ac:dyDescent="0.35">
      <c r="C406" t="s">
        <v>300</v>
      </c>
      <c r="D406" s="81">
        <v>2</v>
      </c>
      <c r="E406" s="81" t="s">
        <v>302</v>
      </c>
      <c r="F406">
        <v>0.67</v>
      </c>
      <c r="G406">
        <v>8.9999999999999993E-3</v>
      </c>
      <c r="I406" s="65">
        <v>14.45523142259597</v>
      </c>
      <c r="J406" s="65">
        <v>0.47252771638084001</v>
      </c>
      <c r="K406" s="65">
        <v>30.591287921290071</v>
      </c>
    </row>
    <row r="407" spans="3:11" x14ac:dyDescent="0.35">
      <c r="C407" t="s">
        <v>241</v>
      </c>
      <c r="D407">
        <v>4</v>
      </c>
      <c r="E407" s="81" t="s">
        <v>303</v>
      </c>
      <c r="F407">
        <v>0.39</v>
      </c>
      <c r="G407">
        <v>1.4E-2</v>
      </c>
      <c r="I407" s="65">
        <v>8.5809657470018905</v>
      </c>
      <c r="J407" s="65">
        <v>0.27340530943489683</v>
      </c>
      <c r="K407" s="65">
        <v>31.3855124640335</v>
      </c>
    </row>
    <row r="408" spans="3:11" x14ac:dyDescent="0.35">
      <c r="C408" t="s">
        <v>300</v>
      </c>
      <c r="D408">
        <v>2</v>
      </c>
      <c r="E408" s="81" t="s">
        <v>303</v>
      </c>
      <c r="F408">
        <v>0.7</v>
      </c>
      <c r="G408">
        <v>1.7000000000000001E-2</v>
      </c>
      <c r="I408" s="65">
        <v>14.45523142259597</v>
      </c>
      <c r="J408" s="65">
        <v>0.9620667955417489</v>
      </c>
      <c r="K408" s="65">
        <v>15.02518483080595</v>
      </c>
    </row>
    <row r="409" spans="3:11" x14ac:dyDescent="0.35">
      <c r="C409" t="s">
        <v>241</v>
      </c>
      <c r="D409" s="81">
        <v>4</v>
      </c>
      <c r="E409" s="81" t="s">
        <v>303</v>
      </c>
      <c r="F409">
        <v>0.34</v>
      </c>
      <c r="G409">
        <v>5.1999999999999998E-2</v>
      </c>
      <c r="I409" s="65">
        <v>7.59106330355801</v>
      </c>
      <c r="J409" s="65">
        <v>1.043793897721085</v>
      </c>
      <c r="K409" s="65">
        <v>7.2725691538641639</v>
      </c>
    </row>
    <row r="410" spans="3:11" x14ac:dyDescent="0.35">
      <c r="C410" t="s">
        <v>300</v>
      </c>
      <c r="D410" s="81">
        <v>2</v>
      </c>
      <c r="E410" s="81" t="s">
        <v>303</v>
      </c>
      <c r="F410">
        <v>0.68</v>
      </c>
      <c r="G410">
        <v>3.7999999999999999E-2</v>
      </c>
      <c r="I410" s="65">
        <v>15.75836902790226</v>
      </c>
      <c r="J410" s="65">
        <v>2.781870947788422</v>
      </c>
      <c r="K410" s="65">
        <v>5.6646657316832449</v>
      </c>
    </row>
    <row r="411" spans="3:11" x14ac:dyDescent="0.35">
      <c r="C411" t="s">
        <v>241</v>
      </c>
      <c r="D411">
        <v>4</v>
      </c>
      <c r="E411" s="81" t="s">
        <v>304</v>
      </c>
      <c r="F411">
        <v>0.36</v>
      </c>
      <c r="G411">
        <v>8.9999999999999993E-3</v>
      </c>
      <c r="I411" s="65">
        <v>7.9902948865804291</v>
      </c>
      <c r="J411" s="65">
        <v>0.17866041433441621</v>
      </c>
      <c r="K411" s="65">
        <v>44.723364805503103</v>
      </c>
    </row>
    <row r="412" spans="3:11" x14ac:dyDescent="0.35">
      <c r="C412" t="s">
        <v>300</v>
      </c>
      <c r="D412">
        <v>2</v>
      </c>
      <c r="E412" s="81" t="s">
        <v>304</v>
      </c>
      <c r="F412">
        <v>0.68</v>
      </c>
      <c r="G412">
        <v>1.2999999999999999E-2</v>
      </c>
      <c r="I412" s="65">
        <v>14.89125293076059</v>
      </c>
      <c r="J412" s="65">
        <v>0.68810235320397528</v>
      </c>
      <c r="K412" s="65">
        <v>21.641043460210859</v>
      </c>
    </row>
    <row r="413" spans="3:11" x14ac:dyDescent="0.35">
      <c r="C413" t="s">
        <v>241</v>
      </c>
      <c r="D413" s="81">
        <v>4</v>
      </c>
      <c r="E413" s="81" t="s">
        <v>305</v>
      </c>
      <c r="F413">
        <v>0.37</v>
      </c>
      <c r="G413">
        <v>8.0000000000000002E-3</v>
      </c>
      <c r="I413" s="65">
        <v>8.1882614275672125</v>
      </c>
      <c r="J413" s="65">
        <v>0.15793906777747041</v>
      </c>
      <c r="K413" s="65">
        <v>51.844433063921443</v>
      </c>
    </row>
    <row r="414" spans="3:11" x14ac:dyDescent="0.35">
      <c r="C414" t="s">
        <v>300</v>
      </c>
      <c r="D414" s="81">
        <v>2</v>
      </c>
      <c r="E414" s="81" t="s">
        <v>305</v>
      </c>
      <c r="F414">
        <v>0.69</v>
      </c>
      <c r="G414">
        <v>1.2E-2</v>
      </c>
      <c r="I414" s="65">
        <v>14.891252930760571</v>
      </c>
      <c r="J414" s="65">
        <v>0.62764591446084783</v>
      </c>
      <c r="K414" s="65">
        <v>23.725563391187301</v>
      </c>
    </row>
    <row r="417" spans="1:20" x14ac:dyDescent="0.35">
      <c r="A417" s="67" t="s">
        <v>320</v>
      </c>
    </row>
    <row r="418" spans="1:20" x14ac:dyDescent="0.35">
      <c r="A418" s="68"/>
      <c r="C418" s="68" t="s">
        <v>321</v>
      </c>
    </row>
    <row r="419" spans="1:20" x14ac:dyDescent="0.35">
      <c r="D419" t="s">
        <v>193</v>
      </c>
      <c r="E419" t="s">
        <v>322</v>
      </c>
    </row>
    <row r="420" spans="1:20" x14ac:dyDescent="0.35">
      <c r="C420" t="s">
        <v>323</v>
      </c>
      <c r="D420">
        <v>0</v>
      </c>
      <c r="E420">
        <v>0</v>
      </c>
    </row>
    <row r="421" spans="1:20" x14ac:dyDescent="0.35">
      <c r="C421" s="81" t="s">
        <v>162</v>
      </c>
      <c r="D421">
        <v>6</v>
      </c>
      <c r="E421">
        <v>6</v>
      </c>
    </row>
    <row r="422" spans="1:20" x14ac:dyDescent="0.35">
      <c r="C422" t="s">
        <v>324</v>
      </c>
      <c r="D422">
        <v>3</v>
      </c>
      <c r="E422">
        <v>9</v>
      </c>
      <c r="R422" s="62"/>
      <c r="S422" s="62"/>
      <c r="T422" s="62"/>
    </row>
    <row r="423" spans="1:20" x14ac:dyDescent="0.35">
      <c r="C423" t="s">
        <v>325</v>
      </c>
      <c r="D423">
        <v>3</v>
      </c>
      <c r="E423">
        <v>12</v>
      </c>
      <c r="R423" s="62"/>
      <c r="S423" s="62"/>
      <c r="T423" s="62"/>
    </row>
    <row r="424" spans="1:20" x14ac:dyDescent="0.35">
      <c r="C424" t="s">
        <v>326</v>
      </c>
      <c r="D424">
        <v>3</v>
      </c>
      <c r="E424">
        <v>12</v>
      </c>
      <c r="R424" s="62"/>
      <c r="S424" s="62"/>
      <c r="T424" s="62"/>
    </row>
    <row r="425" spans="1:20" x14ac:dyDescent="0.35">
      <c r="C425" t="s">
        <v>327</v>
      </c>
      <c r="D425">
        <v>2</v>
      </c>
      <c r="E425">
        <v>14</v>
      </c>
      <c r="R425" s="62"/>
      <c r="S425" s="62"/>
      <c r="T425" s="62"/>
    </row>
    <row r="426" spans="1:20" x14ac:dyDescent="0.35">
      <c r="C426" t="s">
        <v>328</v>
      </c>
      <c r="D426">
        <v>4</v>
      </c>
      <c r="E426">
        <v>16</v>
      </c>
      <c r="R426" s="62"/>
      <c r="S426" s="62"/>
      <c r="T426" s="62"/>
    </row>
    <row r="427" spans="1:20" x14ac:dyDescent="0.35">
      <c r="C427" t="s">
        <v>329</v>
      </c>
      <c r="D427">
        <v>4</v>
      </c>
      <c r="E427">
        <v>16</v>
      </c>
      <c r="R427" s="62"/>
      <c r="S427" s="62"/>
      <c r="T427" s="62"/>
    </row>
    <row r="428" spans="1:20" x14ac:dyDescent="0.35">
      <c r="R428" s="62"/>
      <c r="S428" s="62"/>
      <c r="T428" s="62"/>
    </row>
    <row r="429" spans="1:20" x14ac:dyDescent="0.35">
      <c r="D429" t="s">
        <v>193</v>
      </c>
      <c r="E429" t="s">
        <v>322</v>
      </c>
      <c r="F429" t="s">
        <v>333</v>
      </c>
      <c r="G429" t="s">
        <v>138</v>
      </c>
      <c r="H429" t="s">
        <v>143</v>
      </c>
      <c r="J429" t="s">
        <v>144</v>
      </c>
      <c r="K429" t="s">
        <v>143</v>
      </c>
      <c r="L429" t="s">
        <v>145</v>
      </c>
    </row>
    <row r="430" spans="1:20" x14ac:dyDescent="0.3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35">
      <c r="C431" s="73" t="s">
        <v>330</v>
      </c>
      <c r="D431">
        <v>3</v>
      </c>
      <c r="E431">
        <v>9</v>
      </c>
      <c r="F431" s="62" t="s">
        <v>171</v>
      </c>
      <c r="G431">
        <v>7.1999999999999995E-2</v>
      </c>
      <c r="H431">
        <v>0.03</v>
      </c>
      <c r="J431" s="65">
        <v>1.2184273858862</v>
      </c>
      <c r="K431" s="65">
        <v>1.31316747221383</v>
      </c>
      <c r="L431" s="65">
        <v>0.92785376706909273</v>
      </c>
    </row>
    <row r="432" spans="1:20" x14ac:dyDescent="0.35">
      <c r="B432" s="68"/>
      <c r="C432" s="73" t="s">
        <v>331</v>
      </c>
      <c r="D432">
        <v>3</v>
      </c>
      <c r="E432">
        <v>12</v>
      </c>
      <c r="F432" s="62" t="s">
        <v>171</v>
      </c>
      <c r="G432">
        <v>0.217</v>
      </c>
      <c r="H432">
        <v>2.1000000000000001E-2</v>
      </c>
      <c r="J432" s="65">
        <v>4.6168956617874226</v>
      </c>
      <c r="K432" s="65">
        <v>1.1152942840532909</v>
      </c>
      <c r="L432" s="65">
        <v>4.1396210200309964</v>
      </c>
    </row>
    <row r="433" spans="1:20" x14ac:dyDescent="0.3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35">
      <c r="C434" s="73" t="s">
        <v>39</v>
      </c>
      <c r="D434">
        <v>4</v>
      </c>
      <c r="E434">
        <v>16</v>
      </c>
      <c r="F434" s="62" t="s">
        <v>171</v>
      </c>
      <c r="G434">
        <v>0.56499999999999995</v>
      </c>
      <c r="H434">
        <v>2.4E-2</v>
      </c>
      <c r="J434" s="65">
        <v>7.36957776560212</v>
      </c>
      <c r="K434" s="65">
        <v>1.030069312649682</v>
      </c>
      <c r="L434" s="65">
        <v>7.1544484192477391</v>
      </c>
    </row>
    <row r="435" spans="1:20" x14ac:dyDescent="0.3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3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35">
      <c r="C437" s="73" t="s">
        <v>331</v>
      </c>
      <c r="D437">
        <v>3</v>
      </c>
      <c r="E437">
        <v>12</v>
      </c>
      <c r="F437" s="62" t="s">
        <v>334</v>
      </c>
      <c r="G437">
        <v>0.10199999999999999</v>
      </c>
      <c r="H437">
        <v>5.5E-2</v>
      </c>
      <c r="J437" s="65">
        <v>2.376412617299128</v>
      </c>
      <c r="K437" s="65">
        <v>2.8063131436241009</v>
      </c>
      <c r="L437" s="65">
        <v>0.84680949547569218</v>
      </c>
    </row>
    <row r="438" spans="1:20" x14ac:dyDescent="0.35">
      <c r="C438" s="73" t="s">
        <v>332</v>
      </c>
      <c r="D438">
        <v>3</v>
      </c>
      <c r="E438">
        <v>12</v>
      </c>
      <c r="F438" s="62" t="s">
        <v>334</v>
      </c>
      <c r="G438">
        <v>0.1</v>
      </c>
      <c r="H438">
        <v>0.113</v>
      </c>
      <c r="J438" s="65">
        <v>-6.6711160559762561E-2</v>
      </c>
      <c r="K438" s="65">
        <v>4.1947342421410339</v>
      </c>
      <c r="L438" s="65">
        <v>-1.5903548761103999E-2</v>
      </c>
    </row>
    <row r="439" spans="1:20" x14ac:dyDescent="0.35">
      <c r="C439" s="73" t="s">
        <v>39</v>
      </c>
      <c r="D439">
        <v>4</v>
      </c>
      <c r="E439">
        <v>16</v>
      </c>
      <c r="F439" s="62" t="s">
        <v>334</v>
      </c>
      <c r="G439">
        <v>0.26700000000000002</v>
      </c>
      <c r="H439">
        <v>7.3999999999999996E-2</v>
      </c>
      <c r="J439" s="65">
        <v>3.9364104664247002</v>
      </c>
      <c r="K439" s="65">
        <v>3.0075219141573908</v>
      </c>
      <c r="L439" s="65">
        <v>1.3088551235137229</v>
      </c>
    </row>
    <row r="440" spans="1:20" x14ac:dyDescent="0.35">
      <c r="S440" s="62"/>
      <c r="T440" s="62"/>
    </row>
    <row r="442" spans="1:20" x14ac:dyDescent="0.35">
      <c r="A442" s="67" t="s">
        <v>357</v>
      </c>
    </row>
    <row r="443" spans="1:20" x14ac:dyDescent="0.35">
      <c r="C443" s="62" t="s">
        <v>207</v>
      </c>
    </row>
    <row r="444" spans="1:20" x14ac:dyDescent="0.35">
      <c r="C444" s="62"/>
      <c r="F444" t="s">
        <v>251</v>
      </c>
      <c r="G444" t="s">
        <v>138</v>
      </c>
      <c r="H444" t="s">
        <v>143</v>
      </c>
      <c r="J444" t="s">
        <v>144</v>
      </c>
      <c r="K444" t="s">
        <v>143</v>
      </c>
      <c r="L444" t="s">
        <v>145</v>
      </c>
    </row>
    <row r="445" spans="1:20" x14ac:dyDescent="0.35">
      <c r="C445" s="62" t="s">
        <v>358</v>
      </c>
      <c r="D445">
        <v>3</v>
      </c>
      <c r="E445">
        <v>3</v>
      </c>
      <c r="F445" t="s">
        <v>252</v>
      </c>
      <c r="G445" s="62">
        <v>0.21</v>
      </c>
      <c r="H445" s="62">
        <v>0.02</v>
      </c>
      <c r="I445" s="62"/>
      <c r="J445" s="65">
        <v>6.56022367666107</v>
      </c>
      <c r="K445" s="65">
        <v>0.58710867039482684</v>
      </c>
      <c r="L445" s="65">
        <v>11.17378094969942</v>
      </c>
    </row>
    <row r="446" spans="1:20" x14ac:dyDescent="0.35">
      <c r="C446" s="62" t="s">
        <v>358</v>
      </c>
      <c r="D446">
        <v>3</v>
      </c>
      <c r="E446">
        <v>3</v>
      </c>
      <c r="F446" t="s">
        <v>253</v>
      </c>
      <c r="G446">
        <v>0.36</v>
      </c>
      <c r="H446" s="62">
        <v>0.02</v>
      </c>
      <c r="J446" s="65">
        <v>10.79316513508928</v>
      </c>
      <c r="K446" s="65">
        <v>0.54310375066220229</v>
      </c>
      <c r="L446" s="65">
        <v>19.873118390232541</v>
      </c>
    </row>
    <row r="447" spans="1:20" x14ac:dyDescent="0.35">
      <c r="C447" s="62" t="s">
        <v>358</v>
      </c>
      <c r="D447">
        <v>3</v>
      </c>
      <c r="E447">
        <v>3</v>
      </c>
      <c r="F447" t="s">
        <v>252</v>
      </c>
      <c r="G447">
        <v>0.27</v>
      </c>
      <c r="H447" s="62">
        <v>0.02</v>
      </c>
      <c r="J447" s="65">
        <v>8.2932132831999397</v>
      </c>
      <c r="K447" s="65">
        <v>0.56846831119789987</v>
      </c>
      <c r="L447" s="65">
        <v>14.58869935199051</v>
      </c>
    </row>
    <row r="448" spans="1:20" x14ac:dyDescent="0.35">
      <c r="C448" s="62" t="s">
        <v>358</v>
      </c>
      <c r="D448">
        <v>3</v>
      </c>
      <c r="E448">
        <v>3</v>
      </c>
      <c r="F448" t="s">
        <v>253</v>
      </c>
      <c r="G448">
        <v>0.36</v>
      </c>
      <c r="H448" s="62">
        <v>0.03</v>
      </c>
      <c r="J448" s="65">
        <v>10.79316513508928</v>
      </c>
      <c r="K448" s="65">
        <v>0.81465562599330343</v>
      </c>
      <c r="L448" s="65">
        <v>13.24874559348836</v>
      </c>
    </row>
    <row r="449" spans="3:12" x14ac:dyDescent="0.35">
      <c r="C449" s="62" t="s">
        <v>358</v>
      </c>
      <c r="D449">
        <v>3</v>
      </c>
      <c r="E449">
        <v>3</v>
      </c>
      <c r="F449" t="s">
        <v>252</v>
      </c>
      <c r="G449">
        <v>0.28000000000000003</v>
      </c>
      <c r="H449" s="62">
        <v>0.04</v>
      </c>
      <c r="J449" s="65">
        <v>8.576704663796253</v>
      </c>
      <c r="K449" s="65">
        <v>1.131007340247878</v>
      </c>
      <c r="L449" s="65">
        <v>7.5832440326307129</v>
      </c>
    </row>
    <row r="450" spans="3:12" x14ac:dyDescent="0.35">
      <c r="C450" s="62" t="s">
        <v>358</v>
      </c>
      <c r="D450">
        <v>3</v>
      </c>
      <c r="E450">
        <v>3</v>
      </c>
      <c r="F450" t="s">
        <v>253</v>
      </c>
      <c r="G450">
        <v>0.36</v>
      </c>
      <c r="H450" s="62">
        <v>0.03</v>
      </c>
      <c r="J450" s="65">
        <v>10.79316513508928</v>
      </c>
      <c r="K450" s="65">
        <v>0.81465562599330343</v>
      </c>
      <c r="L450" s="65">
        <v>13.24874559348836</v>
      </c>
    </row>
    <row r="451" spans="3:12" x14ac:dyDescent="0.35">
      <c r="C451" s="62" t="s">
        <v>358</v>
      </c>
      <c r="D451">
        <v>3</v>
      </c>
      <c r="E451">
        <v>3</v>
      </c>
      <c r="F451" t="s">
        <v>252</v>
      </c>
      <c r="G451">
        <v>0.27</v>
      </c>
      <c r="H451" s="62">
        <v>0.04</v>
      </c>
      <c r="J451" s="65">
        <v>8.2932132831999397</v>
      </c>
      <c r="K451" s="65">
        <v>1.1369366223958</v>
      </c>
      <c r="L451" s="65">
        <v>7.2943496759952531</v>
      </c>
    </row>
    <row r="452" spans="3:12" x14ac:dyDescent="0.35">
      <c r="C452" s="62" t="s">
        <v>358</v>
      </c>
      <c r="D452">
        <v>3</v>
      </c>
      <c r="E452">
        <v>3</v>
      </c>
      <c r="F452" t="s">
        <v>253</v>
      </c>
      <c r="G452">
        <v>0.34</v>
      </c>
      <c r="H452" s="62">
        <v>0.03</v>
      </c>
      <c r="J452" s="65">
        <v>10.247377144973321</v>
      </c>
      <c r="K452" s="65">
        <v>0.82274162048487554</v>
      </c>
      <c r="L452" s="65">
        <v>12.45515832654014</v>
      </c>
    </row>
    <row r="453" spans="3:12" x14ac:dyDescent="0.35">
      <c r="C453" s="62" t="s">
        <v>358</v>
      </c>
      <c r="D453">
        <v>3</v>
      </c>
      <c r="E453">
        <v>3</v>
      </c>
      <c r="F453" t="s">
        <v>252</v>
      </c>
      <c r="G453">
        <v>0.24</v>
      </c>
      <c r="H453" s="62">
        <v>0.03</v>
      </c>
      <c r="J453" s="65">
        <v>7.4337070988966358</v>
      </c>
      <c r="K453" s="65">
        <v>0.8664008637007794</v>
      </c>
      <c r="L453" s="65">
        <v>8.5799857898848355</v>
      </c>
    </row>
    <row r="454" spans="3:12" x14ac:dyDescent="0.35">
      <c r="C454" s="62" t="s">
        <v>358</v>
      </c>
      <c r="D454">
        <v>3</v>
      </c>
      <c r="E454">
        <v>3</v>
      </c>
      <c r="F454" t="s">
        <v>253</v>
      </c>
      <c r="G454">
        <v>0.36</v>
      </c>
      <c r="H454" s="62">
        <v>0.03</v>
      </c>
      <c r="J454" s="65">
        <v>10.79316513508928</v>
      </c>
      <c r="K454" s="65">
        <v>0.81465562599330343</v>
      </c>
      <c r="L454" s="65">
        <v>13.24874559348836</v>
      </c>
    </row>
    <row r="455" spans="3:12" x14ac:dyDescent="0.35">
      <c r="C455" s="62" t="s">
        <v>358</v>
      </c>
      <c r="D455">
        <v>3</v>
      </c>
      <c r="E455">
        <v>3</v>
      </c>
      <c r="F455" t="s">
        <v>252</v>
      </c>
      <c r="G455">
        <v>0.25</v>
      </c>
      <c r="H455" s="62">
        <v>0.03</v>
      </c>
      <c r="J455" s="65">
        <v>7.7217345015941907</v>
      </c>
      <c r="K455" s="65">
        <v>0.86177387601275335</v>
      </c>
      <c r="L455" s="65">
        <v>8.9602791596805353</v>
      </c>
    </row>
    <row r="456" spans="3:12" x14ac:dyDescent="0.35">
      <c r="C456" s="62" t="s">
        <v>358</v>
      </c>
      <c r="D456">
        <v>3</v>
      </c>
      <c r="E456">
        <v>3</v>
      </c>
      <c r="F456" t="s">
        <v>253</v>
      </c>
      <c r="G456">
        <v>0.42</v>
      </c>
      <c r="H456" s="62">
        <v>0.03</v>
      </c>
      <c r="J456" s="65">
        <v>12.399086461422669</v>
      </c>
      <c r="K456" s="65">
        <v>0.79154286240438487</v>
      </c>
      <c r="L456" s="65">
        <v>15.66445362637633</v>
      </c>
    </row>
    <row r="457" spans="3:12" x14ac:dyDescent="0.35">
      <c r="C457" s="62" t="s">
        <v>358</v>
      </c>
      <c r="D457">
        <v>3</v>
      </c>
      <c r="E457">
        <v>3</v>
      </c>
      <c r="F457" t="s">
        <v>252</v>
      </c>
      <c r="G457">
        <v>0.23</v>
      </c>
      <c r="H457" s="62">
        <v>0.03</v>
      </c>
      <c r="J457" s="65">
        <v>7.1441269690773126</v>
      </c>
      <c r="K457" s="65">
        <v>0.87109046316323002</v>
      </c>
      <c r="L457" s="65">
        <v>8.2013605603424047</v>
      </c>
    </row>
    <row r="458" spans="3:12" x14ac:dyDescent="0.35">
      <c r="C458" s="62" t="s">
        <v>358</v>
      </c>
      <c r="D458">
        <v>3</v>
      </c>
      <c r="E458">
        <v>3</v>
      </c>
      <c r="F458" t="s">
        <v>253</v>
      </c>
      <c r="G458">
        <v>0.41</v>
      </c>
      <c r="H458" s="62">
        <v>0.03</v>
      </c>
      <c r="J458" s="65">
        <v>12.13461704540997</v>
      </c>
      <c r="K458" s="65">
        <v>0.79528097195326231</v>
      </c>
      <c r="L458" s="65">
        <v>15.25827660079249</v>
      </c>
    </row>
    <row r="459" spans="3:12" x14ac:dyDescent="0.35">
      <c r="C459" s="62" t="s">
        <v>358</v>
      </c>
      <c r="D459">
        <v>3</v>
      </c>
      <c r="E459">
        <v>3</v>
      </c>
      <c r="F459" t="s">
        <v>252</v>
      </c>
      <c r="G459">
        <v>0.21</v>
      </c>
      <c r="H459" s="62">
        <v>0.03</v>
      </c>
      <c r="J459" s="65">
        <v>6.56022367666107</v>
      </c>
      <c r="K459" s="65">
        <v>0.88066300559224031</v>
      </c>
      <c r="L459" s="65">
        <v>7.4491872997996103</v>
      </c>
    </row>
    <row r="460" spans="3:12" x14ac:dyDescent="0.35">
      <c r="C460" s="62" t="s">
        <v>358</v>
      </c>
      <c r="D460">
        <v>3</v>
      </c>
      <c r="E460">
        <v>3</v>
      </c>
      <c r="F460" t="s">
        <v>253</v>
      </c>
      <c r="G460">
        <v>0.37</v>
      </c>
      <c r="H460" s="62">
        <v>0.03</v>
      </c>
      <c r="J460" s="65">
        <v>11.064054147667219</v>
      </c>
      <c r="K460" s="65">
        <v>0.81068652662530805</v>
      </c>
      <c r="L460" s="65">
        <v>13.647758762840439</v>
      </c>
    </row>
    <row r="461" spans="3:12" x14ac:dyDescent="0.35">
      <c r="C461" s="62" t="s">
        <v>358</v>
      </c>
      <c r="D461">
        <v>3</v>
      </c>
      <c r="E461">
        <v>3</v>
      </c>
      <c r="F461" t="s">
        <v>252</v>
      </c>
      <c r="G461">
        <v>0.25</v>
      </c>
      <c r="H461" s="62">
        <v>0.03</v>
      </c>
      <c r="J461" s="65">
        <v>7.7217345015941907</v>
      </c>
      <c r="K461" s="65">
        <v>0.86177387601275335</v>
      </c>
      <c r="L461" s="65">
        <v>8.9602791596805353</v>
      </c>
    </row>
    <row r="462" spans="3:12" x14ac:dyDescent="0.35">
      <c r="C462" s="62" t="s">
        <v>358</v>
      </c>
      <c r="D462">
        <v>3</v>
      </c>
      <c r="E462">
        <v>3</v>
      </c>
      <c r="F462" t="s">
        <v>253</v>
      </c>
      <c r="G462">
        <v>0.32</v>
      </c>
      <c r="H462" s="62">
        <v>0.03</v>
      </c>
      <c r="J462" s="65">
        <v>9.6961310486523686</v>
      </c>
      <c r="K462" s="65">
        <v>0.83103129582312396</v>
      </c>
      <c r="L462" s="65">
        <v>11.66758832956886</v>
      </c>
    </row>
    <row r="463" spans="3:12" x14ac:dyDescent="0.35">
      <c r="C463" s="62" t="s">
        <v>358</v>
      </c>
      <c r="D463">
        <v>3</v>
      </c>
      <c r="E463">
        <v>3</v>
      </c>
      <c r="F463" t="s">
        <v>252</v>
      </c>
      <c r="G463">
        <v>0.21</v>
      </c>
      <c r="H463" s="62">
        <v>0.03</v>
      </c>
      <c r="J463" s="65">
        <v>6.56022367666107</v>
      </c>
      <c r="K463" s="65">
        <v>0.88066300559224031</v>
      </c>
      <c r="L463" s="65">
        <v>7.4491872997996103</v>
      </c>
    </row>
    <row r="464" spans="3:12" x14ac:dyDescent="0.35">
      <c r="C464" s="62" t="s">
        <v>358</v>
      </c>
      <c r="D464">
        <v>3</v>
      </c>
      <c r="E464">
        <v>3</v>
      </c>
      <c r="F464" t="s">
        <v>253</v>
      </c>
      <c r="G464">
        <v>0.33</v>
      </c>
      <c r="H464" s="62">
        <v>0.03</v>
      </c>
      <c r="J464" s="65">
        <v>9.9724448886266757</v>
      </c>
      <c r="K464" s="65">
        <v>0.82686048788441091</v>
      </c>
      <c r="L464" s="65">
        <v>12.060613652179679</v>
      </c>
    </row>
    <row r="465" spans="1:15" x14ac:dyDescent="0.35">
      <c r="C465" s="62" t="s">
        <v>358</v>
      </c>
      <c r="D465">
        <v>3</v>
      </c>
      <c r="E465">
        <v>3</v>
      </c>
      <c r="F465" t="s">
        <v>252</v>
      </c>
      <c r="G465">
        <v>0.21</v>
      </c>
      <c r="H465" s="62">
        <v>0.04</v>
      </c>
      <c r="J465" s="65">
        <v>6.56022367666107</v>
      </c>
      <c r="K465" s="65">
        <v>1.1742173407896539</v>
      </c>
      <c r="L465" s="65">
        <v>5.5868904748497084</v>
      </c>
    </row>
    <row r="466" spans="1:15" x14ac:dyDescent="0.35">
      <c r="C466" s="62" t="s">
        <v>358</v>
      </c>
      <c r="D466">
        <v>3</v>
      </c>
      <c r="E466">
        <v>3</v>
      </c>
      <c r="F466" t="s">
        <v>253</v>
      </c>
      <c r="G466">
        <v>0.25</v>
      </c>
      <c r="H466" s="62">
        <v>0.03</v>
      </c>
      <c r="J466" s="65">
        <v>7.7217345015941907</v>
      </c>
      <c r="K466" s="65">
        <v>0.86177387601275335</v>
      </c>
      <c r="L466" s="65">
        <v>8.9602791596805353</v>
      </c>
    </row>
    <row r="467" spans="1:15" x14ac:dyDescent="0.35">
      <c r="C467" s="62" t="s">
        <v>358</v>
      </c>
      <c r="D467">
        <v>3</v>
      </c>
      <c r="E467">
        <v>3</v>
      </c>
      <c r="F467" t="s">
        <v>252</v>
      </c>
      <c r="G467">
        <v>0.15</v>
      </c>
      <c r="H467" s="62">
        <v>0.04</v>
      </c>
      <c r="J467" s="65">
        <v>4.7689553171647248</v>
      </c>
      <c r="K467" s="65">
        <v>1.2147125254164031</v>
      </c>
      <c r="L467" s="65">
        <v>3.9259950131245498</v>
      </c>
    </row>
    <row r="468" spans="1:15" x14ac:dyDescent="0.35">
      <c r="C468" s="62" t="s">
        <v>358</v>
      </c>
      <c r="D468">
        <v>3</v>
      </c>
      <c r="E468">
        <v>3</v>
      </c>
      <c r="F468" t="s">
        <v>253</v>
      </c>
      <c r="G468">
        <v>0.21</v>
      </c>
      <c r="H468" s="62">
        <v>0.03</v>
      </c>
      <c r="J468" s="65">
        <v>6.56022367666107</v>
      </c>
      <c r="K468" s="65">
        <v>0.88066300559224031</v>
      </c>
      <c r="L468" s="65">
        <v>7.4491872997996103</v>
      </c>
    </row>
    <row r="471" spans="1:15" x14ac:dyDescent="0.35">
      <c r="A471" s="67" t="s">
        <v>359</v>
      </c>
      <c r="C471" s="62"/>
    </row>
    <row r="472" spans="1:15" x14ac:dyDescent="0.35">
      <c r="C472" s="62"/>
      <c r="D472" t="s">
        <v>1465</v>
      </c>
      <c r="E472" t="s">
        <v>193</v>
      </c>
      <c r="F472" t="s">
        <v>364</v>
      </c>
      <c r="G472" t="s">
        <v>365</v>
      </c>
      <c r="H472" t="s">
        <v>251</v>
      </c>
      <c r="I472" t="s">
        <v>138</v>
      </c>
      <c r="J472" t="s">
        <v>206</v>
      </c>
      <c r="K472" t="s">
        <v>143</v>
      </c>
      <c r="M472" t="s">
        <v>144</v>
      </c>
      <c r="N472" t="s">
        <v>143</v>
      </c>
      <c r="O472" t="s">
        <v>206</v>
      </c>
    </row>
    <row r="473" spans="1:15" x14ac:dyDescent="0.3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3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3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3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3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3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3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3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3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3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3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3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3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3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3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3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3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3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35">
      <c r="A493" s="67" t="s">
        <v>369</v>
      </c>
      <c r="C493" t="s">
        <v>371</v>
      </c>
      <c r="D493" t="s">
        <v>372</v>
      </c>
      <c r="E493" t="s">
        <v>373</v>
      </c>
      <c r="F493" t="s">
        <v>374</v>
      </c>
      <c r="G493" t="s">
        <v>206</v>
      </c>
      <c r="H493" t="s">
        <v>138</v>
      </c>
      <c r="I493" t="s">
        <v>143</v>
      </c>
      <c r="K493" t="s">
        <v>144</v>
      </c>
      <c r="L493" t="s">
        <v>143</v>
      </c>
      <c r="M493" t="s">
        <v>206</v>
      </c>
    </row>
    <row r="494" spans="1:15" x14ac:dyDescent="0.3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3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3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3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3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3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35">
      <c r="A503" s="67" t="s">
        <v>386</v>
      </c>
    </row>
    <row r="505" spans="1:13" x14ac:dyDescent="0.35">
      <c r="C505" t="s">
        <v>193</v>
      </c>
      <c r="D505" t="s">
        <v>333</v>
      </c>
      <c r="E505" t="s">
        <v>138</v>
      </c>
      <c r="F505" t="s">
        <v>143</v>
      </c>
      <c r="H505" t="s">
        <v>144</v>
      </c>
      <c r="I505" t="s">
        <v>143</v>
      </c>
      <c r="J505" t="s">
        <v>145</v>
      </c>
    </row>
    <row r="506" spans="1:13" x14ac:dyDescent="0.3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35">
      <c r="B507" s="73" t="s">
        <v>387</v>
      </c>
      <c r="C507">
        <v>3</v>
      </c>
      <c r="D507" s="62" t="s">
        <v>171</v>
      </c>
      <c r="E507">
        <v>9.4E-2</v>
      </c>
      <c r="F507">
        <v>1.6E-2</v>
      </c>
      <c r="H507" s="65">
        <v>3.0399819644272301</v>
      </c>
      <c r="I507" s="65">
        <v>0.50232776094784748</v>
      </c>
      <c r="J507" s="65">
        <v>6.0517896894470971</v>
      </c>
    </row>
    <row r="508" spans="1:13" x14ac:dyDescent="0.35">
      <c r="B508" s="73" t="s">
        <v>39</v>
      </c>
      <c r="C508">
        <v>6</v>
      </c>
      <c r="D508" s="62" t="s">
        <v>171</v>
      </c>
      <c r="E508">
        <v>0.29799999999999999</v>
      </c>
      <c r="F508">
        <v>1.6E-2</v>
      </c>
      <c r="H508" s="65">
        <v>4.4429464893505077</v>
      </c>
      <c r="I508" s="65">
        <v>0.21457205236641089</v>
      </c>
      <c r="J508" s="65">
        <v>20.70608189813823</v>
      </c>
    </row>
    <row r="509" spans="1:13" x14ac:dyDescent="0.35">
      <c r="B509" s="73" t="s">
        <v>388</v>
      </c>
      <c r="C509">
        <v>3</v>
      </c>
      <c r="D509" s="62" t="s">
        <v>389</v>
      </c>
      <c r="E509">
        <v>0.16600000000000001</v>
      </c>
      <c r="F509">
        <v>1.7999999999999999E-2</v>
      </c>
      <c r="H509" s="65">
        <v>5.2526042050797814</v>
      </c>
      <c r="I509" s="65">
        <v>0.54160859796782046</v>
      </c>
      <c r="J509" s="65">
        <v>9.698155134147008</v>
      </c>
    </row>
    <row r="510" spans="1:13" x14ac:dyDescent="0.35">
      <c r="B510" s="73" t="s">
        <v>387</v>
      </c>
      <c r="C510">
        <v>3</v>
      </c>
      <c r="D510" s="62" t="s">
        <v>389</v>
      </c>
      <c r="E510">
        <v>7.6999999999999999E-2</v>
      </c>
      <c r="F510">
        <v>1.6E-2</v>
      </c>
      <c r="H510" s="65">
        <v>2.503470039176614</v>
      </c>
      <c r="I510" s="65">
        <v>0.50759997543386748</v>
      </c>
      <c r="J510" s="65">
        <v>4.9319743111429251</v>
      </c>
    </row>
    <row r="511" spans="1:13" x14ac:dyDescent="0.35">
      <c r="B511" s="73" t="s">
        <v>39</v>
      </c>
      <c r="C511">
        <v>6</v>
      </c>
      <c r="D511" s="62" t="s">
        <v>389</v>
      </c>
      <c r="E511">
        <v>0.249</v>
      </c>
      <c r="F511">
        <v>1.6E-2</v>
      </c>
      <c r="H511" s="65">
        <v>3.775238396309422</v>
      </c>
      <c r="I511" s="65">
        <v>0.22156442678688951</v>
      </c>
      <c r="J511" s="65">
        <v>17.039009605727969</v>
      </c>
    </row>
    <row r="512" spans="1:13" x14ac:dyDescent="0.35">
      <c r="B512" s="73" t="s">
        <v>388</v>
      </c>
      <c r="C512">
        <v>3</v>
      </c>
      <c r="D512" s="62" t="s">
        <v>390</v>
      </c>
      <c r="E512">
        <v>0.315</v>
      </c>
      <c r="F512">
        <v>5.2999999999999999E-2</v>
      </c>
      <c r="H512" s="65">
        <v>9.5574505834125745</v>
      </c>
      <c r="I512" s="65">
        <v>1.471874494530004</v>
      </c>
      <c r="J512" s="65">
        <v>6.4933869150741952</v>
      </c>
    </row>
    <row r="513" spans="1:10" x14ac:dyDescent="0.35">
      <c r="B513" s="73" t="s">
        <v>387</v>
      </c>
      <c r="C513">
        <v>3</v>
      </c>
      <c r="D513" s="62" t="s">
        <v>390</v>
      </c>
      <c r="E513">
        <v>0.17</v>
      </c>
      <c r="F513">
        <v>3.5000000000000003E-2</v>
      </c>
      <c r="H513" s="65">
        <v>5.3728243029631084</v>
      </c>
      <c r="I513" s="65">
        <v>1.050726168263165</v>
      </c>
      <c r="J513" s="65">
        <v>5.1134391292874239</v>
      </c>
    </row>
    <row r="514" spans="1:10" x14ac:dyDescent="0.35">
      <c r="B514" s="73" t="s">
        <v>39</v>
      </c>
      <c r="C514">
        <v>6</v>
      </c>
      <c r="D514" s="62" t="s">
        <v>390</v>
      </c>
      <c r="E514">
        <v>0.39300000000000002</v>
      </c>
      <c r="F514">
        <v>2.9000000000000001E-2</v>
      </c>
      <c r="H514" s="65">
        <v>5.6797683750887007</v>
      </c>
      <c r="I514" s="65">
        <v>0.36668022049265042</v>
      </c>
      <c r="J514" s="65">
        <v>15.489704809977731</v>
      </c>
    </row>
    <row r="515" spans="1:10" x14ac:dyDescent="0.35">
      <c r="B515" s="73" t="s">
        <v>388</v>
      </c>
      <c r="C515">
        <v>3</v>
      </c>
      <c r="D515" s="62" t="s">
        <v>391</v>
      </c>
      <c r="E515">
        <v>0.28899999999999998</v>
      </c>
      <c r="F515">
        <v>0.01</v>
      </c>
      <c r="H515" s="65">
        <v>8.8305872046383183</v>
      </c>
      <c r="I515" s="65">
        <v>0.2814341536194423</v>
      </c>
      <c r="J515" s="65">
        <v>31.37709866080829</v>
      </c>
    </row>
    <row r="516" spans="1:10" x14ac:dyDescent="0.35">
      <c r="B516" s="73" t="s">
        <v>387</v>
      </c>
      <c r="C516">
        <v>3</v>
      </c>
      <c r="D516" s="62" t="s">
        <v>391</v>
      </c>
      <c r="E516">
        <v>0.16600000000000001</v>
      </c>
      <c r="F516">
        <v>6.8000000000000005E-2</v>
      </c>
      <c r="H516" s="65">
        <v>5.2526042050797814</v>
      </c>
      <c r="I516" s="65">
        <v>2.046076925656211</v>
      </c>
      <c r="J516" s="65">
        <v>2.56715871198009</v>
      </c>
    </row>
    <row r="517" spans="1:10" x14ac:dyDescent="0.35">
      <c r="B517" s="73" t="s">
        <v>39</v>
      </c>
      <c r="C517">
        <v>6</v>
      </c>
      <c r="D517" s="62" t="s">
        <v>391</v>
      </c>
      <c r="E517">
        <v>0.373</v>
      </c>
      <c r="F517">
        <v>6.3E-2</v>
      </c>
      <c r="H517" s="65">
        <v>5.4253592348699966</v>
      </c>
      <c r="I517" s="65">
        <v>0.8062390910168501</v>
      </c>
      <c r="J517" s="65">
        <v>6.7292187830131018</v>
      </c>
    </row>
    <row r="518" spans="1:10" x14ac:dyDescent="0.35">
      <c r="B518" s="73" t="s">
        <v>388</v>
      </c>
      <c r="C518">
        <v>3</v>
      </c>
      <c r="D518" s="62" t="s">
        <v>392</v>
      </c>
      <c r="E518">
        <v>0.221</v>
      </c>
      <c r="F518">
        <v>0.01</v>
      </c>
      <c r="H518" s="65">
        <v>6.8821598431665576</v>
      </c>
      <c r="I518" s="65">
        <v>0.29178858816043279</v>
      </c>
      <c r="J518" s="65">
        <v>23.586117217793898</v>
      </c>
    </row>
    <row r="519" spans="1:10" x14ac:dyDescent="0.35">
      <c r="B519" s="73" t="s">
        <v>387</v>
      </c>
      <c r="C519">
        <v>3</v>
      </c>
      <c r="D519" s="62" t="s">
        <v>392</v>
      </c>
      <c r="E519">
        <v>0.155</v>
      </c>
      <c r="F519">
        <v>0.13700000000000001</v>
      </c>
      <c r="H519" s="65">
        <v>4.9205748562267893</v>
      </c>
      <c r="I519" s="65">
        <v>4.1483748211552864</v>
      </c>
      <c r="J519" s="65">
        <v>1.1861451938078369</v>
      </c>
    </row>
    <row r="520" spans="1:10" x14ac:dyDescent="0.35">
      <c r="B520" s="73" t="s">
        <v>39</v>
      </c>
      <c r="C520">
        <v>6</v>
      </c>
      <c r="D520" s="62" t="s">
        <v>392</v>
      </c>
      <c r="E520">
        <v>0.33100000000000002</v>
      </c>
      <c r="F520">
        <v>0.153</v>
      </c>
      <c r="H520" s="65">
        <v>4.8808848170151631</v>
      </c>
      <c r="I520" s="65">
        <v>2.0093633079142652</v>
      </c>
      <c r="J520" s="65">
        <v>2.4290703417300681</v>
      </c>
    </row>
    <row r="523" spans="1:10" x14ac:dyDescent="0.35">
      <c r="A523" s="67" t="s">
        <v>394</v>
      </c>
      <c r="C523" t="s">
        <v>395</v>
      </c>
    </row>
    <row r="525" spans="1:10" x14ac:dyDescent="0.35">
      <c r="A525" t="s">
        <v>397</v>
      </c>
      <c r="B525" t="s">
        <v>193</v>
      </c>
      <c r="C525" t="s">
        <v>322</v>
      </c>
    </row>
    <row r="526" spans="1:10" x14ac:dyDescent="0.35">
      <c r="A526" t="s">
        <v>396</v>
      </c>
      <c r="B526">
        <v>4</v>
      </c>
      <c r="C526">
        <v>4</v>
      </c>
    </row>
    <row r="527" spans="1:10" x14ac:dyDescent="0.35">
      <c r="A527" t="s">
        <v>398</v>
      </c>
      <c r="B527">
        <v>6</v>
      </c>
      <c r="C527">
        <v>10</v>
      </c>
    </row>
    <row r="528" spans="1:10" x14ac:dyDescent="0.35">
      <c r="A528" t="s">
        <v>399</v>
      </c>
      <c r="B528">
        <v>2</v>
      </c>
      <c r="C528">
        <v>12</v>
      </c>
    </row>
    <row r="529" spans="1:11" x14ac:dyDescent="0.35">
      <c r="A529" t="s">
        <v>400</v>
      </c>
      <c r="B529">
        <v>2</v>
      </c>
      <c r="C529">
        <v>14</v>
      </c>
    </row>
    <row r="530" spans="1:11" x14ac:dyDescent="0.35">
      <c r="A530" t="s">
        <v>241</v>
      </c>
      <c r="B530">
        <v>4</v>
      </c>
      <c r="C530">
        <v>16</v>
      </c>
    </row>
    <row r="531" spans="1:11" x14ac:dyDescent="0.35">
      <c r="A531" t="s">
        <v>401</v>
      </c>
      <c r="B531">
        <v>2</v>
      </c>
      <c r="C531">
        <v>18</v>
      </c>
    </row>
    <row r="532" spans="1:11" x14ac:dyDescent="0.35">
      <c r="A532" t="s">
        <v>402</v>
      </c>
      <c r="B532">
        <v>2</v>
      </c>
      <c r="C532">
        <v>18</v>
      </c>
    </row>
    <row r="533" spans="1:11" x14ac:dyDescent="0.35">
      <c r="A533" t="s">
        <v>403</v>
      </c>
      <c r="B533">
        <v>4</v>
      </c>
      <c r="C533">
        <v>22</v>
      </c>
    </row>
    <row r="536" spans="1:11" x14ac:dyDescent="0.35">
      <c r="D536" t="s">
        <v>410</v>
      </c>
    </row>
    <row r="538" spans="1:11" x14ac:dyDescent="0.35">
      <c r="B538" t="s">
        <v>409</v>
      </c>
      <c r="C538" t="s">
        <v>193</v>
      </c>
      <c r="D538" t="s">
        <v>322</v>
      </c>
      <c r="E538" t="s">
        <v>333</v>
      </c>
      <c r="F538" t="s">
        <v>138</v>
      </c>
      <c r="G538" t="s">
        <v>143</v>
      </c>
      <c r="I538" t="s">
        <v>144</v>
      </c>
      <c r="J538" t="s">
        <v>143</v>
      </c>
      <c r="K538" t="s">
        <v>145</v>
      </c>
    </row>
    <row r="539" spans="1:11" x14ac:dyDescent="0.35">
      <c r="B539" t="s">
        <v>159</v>
      </c>
      <c r="C539">
        <v>2</v>
      </c>
      <c r="D539">
        <v>2</v>
      </c>
      <c r="E539" t="s">
        <v>171</v>
      </c>
      <c r="F539">
        <v>6.7699999999999996E-2</v>
      </c>
      <c r="G539">
        <v>1.2E-2</v>
      </c>
      <c r="I539" s="65">
        <v>3.329569823937617</v>
      </c>
      <c r="J539" s="65">
        <v>0.58066630977205735</v>
      </c>
      <c r="K539" s="65">
        <v>5.7340502934372957</v>
      </c>
    </row>
    <row r="540" spans="1:11" x14ac:dyDescent="0.35">
      <c r="B540" t="s">
        <v>404</v>
      </c>
      <c r="C540">
        <v>2</v>
      </c>
      <c r="D540">
        <v>4</v>
      </c>
      <c r="E540" t="s">
        <v>171</v>
      </c>
      <c r="F540">
        <v>5.9400000000000001E-2</v>
      </c>
      <c r="G540">
        <v>1.7000000000000001E-2</v>
      </c>
      <c r="I540" s="65">
        <v>1.453022975882035</v>
      </c>
      <c r="J540" s="65">
        <v>0.40699957301066519</v>
      </c>
      <c r="K540" s="65">
        <v>3.5700847672485372</v>
      </c>
    </row>
    <row r="541" spans="1:11" x14ac:dyDescent="0.35">
      <c r="B541" t="s">
        <v>405</v>
      </c>
      <c r="C541">
        <v>2</v>
      </c>
      <c r="D541">
        <v>6</v>
      </c>
      <c r="E541" t="s">
        <v>171</v>
      </c>
      <c r="F541">
        <v>0.22059999999999999</v>
      </c>
      <c r="G541">
        <v>1.4999999999999999E-2</v>
      </c>
      <c r="I541" s="65">
        <v>3.3781829134533981</v>
      </c>
      <c r="J541" s="65">
        <v>0.21173640609833971</v>
      </c>
      <c r="K541" s="65">
        <v>15.954662571746971</v>
      </c>
    </row>
    <row r="542" spans="1:11" x14ac:dyDescent="0.35">
      <c r="B542" t="s">
        <v>406</v>
      </c>
      <c r="C542">
        <v>4</v>
      </c>
      <c r="D542">
        <v>8</v>
      </c>
      <c r="E542" t="s">
        <v>171</v>
      </c>
      <c r="F542">
        <v>0.35560000000000003</v>
      </c>
      <c r="G542">
        <v>8.7999999999999995E-2</v>
      </c>
      <c r="I542" s="65">
        <v>3.8762935536986509</v>
      </c>
      <c r="J542" s="65">
        <v>0.84290294267533572</v>
      </c>
      <c r="K542" s="65">
        <v>4.5987424618491319</v>
      </c>
    </row>
    <row r="543" spans="1:11" x14ac:dyDescent="0.35">
      <c r="B543" t="s">
        <v>407</v>
      </c>
      <c r="C543">
        <v>2</v>
      </c>
      <c r="D543">
        <v>8</v>
      </c>
      <c r="E543" t="s">
        <v>171</v>
      </c>
      <c r="F543">
        <v>0.52170000000000005</v>
      </c>
      <c r="G543">
        <v>3.7999999999999999E-2</v>
      </c>
      <c r="I543" s="65">
        <v>5.3879920666931591</v>
      </c>
      <c r="J543" s="65">
        <v>0.32896954873943118</v>
      </c>
      <c r="K543" s="65">
        <v>16.378391517814489</v>
      </c>
    </row>
    <row r="544" spans="1:11" x14ac:dyDescent="0.35">
      <c r="B544" t="s">
        <v>408</v>
      </c>
      <c r="C544">
        <v>2</v>
      </c>
      <c r="D544">
        <v>12</v>
      </c>
      <c r="E544" t="s">
        <v>171</v>
      </c>
      <c r="F544">
        <v>1.0491999999999999</v>
      </c>
      <c r="G544">
        <v>7.8E-2</v>
      </c>
      <c r="I544" s="65">
        <v>6.1610883636721514</v>
      </c>
      <c r="J544" s="65">
        <v>0.33673973958806802</v>
      </c>
      <c r="K544" s="65">
        <v>18.296291287773101</v>
      </c>
    </row>
    <row r="545" spans="1:11" x14ac:dyDescent="0.35">
      <c r="B545" t="s">
        <v>159</v>
      </c>
      <c r="C545">
        <v>2</v>
      </c>
      <c r="D545">
        <v>2</v>
      </c>
      <c r="E545" t="s">
        <v>171</v>
      </c>
      <c r="F545">
        <v>3.3399999999999999E-2</v>
      </c>
      <c r="G545">
        <v>5.8000000000000003E-2</v>
      </c>
      <c r="I545" s="65">
        <v>1.6562836228041671</v>
      </c>
      <c r="J545" s="65">
        <v>2.852750362939152</v>
      </c>
      <c r="K545" s="65">
        <v>0.58059185420546877</v>
      </c>
    </row>
    <row r="546" spans="1:11" x14ac:dyDescent="0.35">
      <c r="B546" t="s">
        <v>404</v>
      </c>
      <c r="C546">
        <v>2</v>
      </c>
      <c r="D546">
        <v>4</v>
      </c>
      <c r="E546" t="s">
        <v>171</v>
      </c>
      <c r="F546">
        <v>0.38540000000000002</v>
      </c>
      <c r="G546">
        <v>6.0999999999999999E-2</v>
      </c>
      <c r="I546" s="65">
        <v>8.4910208745827109</v>
      </c>
      <c r="J546" s="65">
        <v>1.194231318274424</v>
      </c>
      <c r="K546" s="65">
        <v>7.1100303137683678</v>
      </c>
    </row>
    <row r="547" spans="1:11" x14ac:dyDescent="0.35">
      <c r="B547" t="s">
        <v>405</v>
      </c>
      <c r="C547">
        <v>2</v>
      </c>
      <c r="D547">
        <v>6</v>
      </c>
      <c r="E547" t="s">
        <v>171</v>
      </c>
      <c r="F547">
        <v>0.50729999999999997</v>
      </c>
      <c r="G547">
        <v>5.7000000000000002E-2</v>
      </c>
      <c r="I547" s="65">
        <v>7.0779257885790647</v>
      </c>
      <c r="J547" s="65">
        <v>0.67487580109566869</v>
      </c>
      <c r="K547" s="65">
        <v>10.487745711267131</v>
      </c>
    </row>
    <row r="548" spans="1:11" x14ac:dyDescent="0.35">
      <c r="B548" t="s">
        <v>406</v>
      </c>
      <c r="C548">
        <v>4</v>
      </c>
      <c r="D548">
        <v>8</v>
      </c>
      <c r="E548" t="s">
        <v>171</v>
      </c>
      <c r="F548">
        <v>0.74619999999999997</v>
      </c>
      <c r="G548">
        <v>0.109</v>
      </c>
      <c r="I548" s="65">
        <v>7.2165301368908308</v>
      </c>
      <c r="J548" s="65">
        <v>0.83657383066953228</v>
      </c>
      <c r="K548" s="65">
        <v>8.6262919928002653</v>
      </c>
    </row>
    <row r="549" spans="1:11" x14ac:dyDescent="0.35">
      <c r="B549" t="s">
        <v>407</v>
      </c>
      <c r="C549">
        <v>2</v>
      </c>
      <c r="D549">
        <v>8</v>
      </c>
      <c r="E549" t="s">
        <v>171</v>
      </c>
      <c r="F549">
        <v>0.8579</v>
      </c>
      <c r="G549">
        <v>6.8400000000000002E-2</v>
      </c>
      <c r="I549" s="65">
        <v>8.0507515161814869</v>
      </c>
      <c r="J549" s="65">
        <v>0.49724631329100161</v>
      </c>
      <c r="K549" s="65">
        <v>16.19067110402079</v>
      </c>
    </row>
    <row r="550" spans="1:11" x14ac:dyDescent="0.35">
      <c r="B550" t="s">
        <v>408</v>
      </c>
      <c r="C550">
        <v>2</v>
      </c>
      <c r="D550">
        <v>12</v>
      </c>
      <c r="E550" t="s">
        <v>171</v>
      </c>
      <c r="F550">
        <v>1.0858000000000001</v>
      </c>
      <c r="G550">
        <v>0.13500000000000001</v>
      </c>
      <c r="I550" s="65">
        <v>6.3178181029901692</v>
      </c>
      <c r="J550" s="65">
        <v>0.57343726803079853</v>
      </c>
      <c r="K550" s="65">
        <v>11.017452919803681</v>
      </c>
    </row>
    <row r="553" spans="1:11" x14ac:dyDescent="0.35">
      <c r="A553" s="67" t="s">
        <v>915</v>
      </c>
    </row>
    <row r="554" spans="1:11" x14ac:dyDescent="0.35">
      <c r="C554" t="s">
        <v>916</v>
      </c>
    </row>
    <row r="555" spans="1:11" x14ac:dyDescent="0.35">
      <c r="C555" t="s">
        <v>917</v>
      </c>
    </row>
    <row r="557" spans="1:11" x14ac:dyDescent="0.35">
      <c r="B557" t="s">
        <v>919</v>
      </c>
      <c r="C557" t="s">
        <v>1150</v>
      </c>
      <c r="D557" t="s">
        <v>322</v>
      </c>
      <c r="E557" t="s">
        <v>333</v>
      </c>
      <c r="F557" t="s">
        <v>138</v>
      </c>
      <c r="G557" t="s">
        <v>143</v>
      </c>
      <c r="I557" t="s">
        <v>144</v>
      </c>
      <c r="J557" t="s">
        <v>143</v>
      </c>
      <c r="K557" t="s">
        <v>145</v>
      </c>
    </row>
    <row r="558" spans="1:11" x14ac:dyDescent="0.35">
      <c r="B558" t="s">
        <v>920</v>
      </c>
      <c r="C558">
        <v>1</v>
      </c>
      <c r="D558">
        <v>3</v>
      </c>
      <c r="E558" t="s">
        <v>171</v>
      </c>
      <c r="F558">
        <v>8.7999999999999995E-2</v>
      </c>
      <c r="G558">
        <v>2E-3</v>
      </c>
      <c r="I558" s="65">
        <v>8.7999999999999995E-2</v>
      </c>
      <c r="J558" s="65">
        <v>2.8512636263294144E-2</v>
      </c>
      <c r="K558" s="65">
        <v>2.8512636263294144</v>
      </c>
    </row>
    <row r="559" spans="1:11" x14ac:dyDescent="0.35">
      <c r="B559" t="s">
        <v>920</v>
      </c>
      <c r="C559">
        <v>1</v>
      </c>
      <c r="D559">
        <v>3</v>
      </c>
      <c r="E559" t="s">
        <v>918</v>
      </c>
      <c r="F559">
        <v>0.126</v>
      </c>
      <c r="G559">
        <v>1.2E-2</v>
      </c>
      <c r="I559" s="65">
        <v>0.126</v>
      </c>
      <c r="J559" s="65">
        <v>4.034998083055874E-2</v>
      </c>
      <c r="K559" s="65">
        <v>4.034998083055874</v>
      </c>
    </row>
    <row r="560" spans="1:11" x14ac:dyDescent="0.35">
      <c r="B560" t="s">
        <v>920</v>
      </c>
      <c r="C560">
        <v>1</v>
      </c>
      <c r="D560">
        <v>3</v>
      </c>
      <c r="E560" t="s">
        <v>171</v>
      </c>
      <c r="F560">
        <v>7.0999999999999994E-2</v>
      </c>
      <c r="G560">
        <v>2E-3</v>
      </c>
      <c r="I560" s="65">
        <v>7.0999999999999994E-2</v>
      </c>
      <c r="J560" s="65">
        <v>2.3127654683995136E-2</v>
      </c>
      <c r="K560" s="65">
        <v>2.3127654683995136</v>
      </c>
    </row>
    <row r="561" spans="1:11" x14ac:dyDescent="0.35">
      <c r="B561" t="s">
        <v>920</v>
      </c>
      <c r="C561">
        <v>1</v>
      </c>
      <c r="D561">
        <v>3</v>
      </c>
      <c r="E561" t="s">
        <v>918</v>
      </c>
      <c r="F561">
        <v>8.9999999999999993E-3</v>
      </c>
      <c r="G561">
        <v>1.6E-2</v>
      </c>
      <c r="I561" s="65">
        <v>8.9999999999999993E-3</v>
      </c>
      <c r="J561" s="65">
        <v>2.9910447317695876E-3</v>
      </c>
      <c r="K561" s="65">
        <v>0.29910447317695876</v>
      </c>
    </row>
    <row r="562" spans="1:11" x14ac:dyDescent="0.35">
      <c r="B562" t="s">
        <v>252</v>
      </c>
      <c r="C562">
        <v>1</v>
      </c>
      <c r="D562">
        <v>3</v>
      </c>
      <c r="E562" t="s">
        <v>171</v>
      </c>
      <c r="F562">
        <v>9.2999999999999999E-2</v>
      </c>
      <c r="G562">
        <v>3.0000000000000001E-3</v>
      </c>
      <c r="I562" s="65">
        <v>9.2999999999999999E-2</v>
      </c>
      <c r="J562" s="65">
        <v>3.0085769085459013E-2</v>
      </c>
      <c r="K562" s="65">
        <v>3.0085769085459013</v>
      </c>
    </row>
    <row r="563" spans="1:11" x14ac:dyDescent="0.35">
      <c r="B563" t="s">
        <v>252</v>
      </c>
      <c r="C563">
        <v>1</v>
      </c>
      <c r="D563">
        <v>3</v>
      </c>
      <c r="E563" t="s">
        <v>918</v>
      </c>
      <c r="F563">
        <v>-1.0999999999999999E-2</v>
      </c>
      <c r="G563">
        <v>1.4999999999999999E-2</v>
      </c>
      <c r="I563" s="65">
        <v>-1.0999999999999999E-2</v>
      </c>
      <c r="J563" s="65">
        <v>-3.6801938790174127E-3</v>
      </c>
      <c r="K563" s="65">
        <v>-0.36801938790174127</v>
      </c>
    </row>
    <row r="564" spans="1:11" x14ac:dyDescent="0.35">
      <c r="B564" t="s">
        <v>252</v>
      </c>
      <c r="C564">
        <v>1</v>
      </c>
      <c r="D564">
        <v>3</v>
      </c>
      <c r="E564" t="s">
        <v>171</v>
      </c>
      <c r="F564">
        <v>8.5000000000000006E-2</v>
      </c>
      <c r="G564">
        <v>3.0000000000000001E-3</v>
      </c>
      <c r="I564" s="65">
        <v>8.5000000000000006E-2</v>
      </c>
      <c r="J564" s="65">
        <v>2.7566441951573761E-2</v>
      </c>
      <c r="K564" s="65">
        <v>2.7566441951573761</v>
      </c>
    </row>
    <row r="565" spans="1:11" x14ac:dyDescent="0.35">
      <c r="B565" t="s">
        <v>252</v>
      </c>
      <c r="C565">
        <v>1</v>
      </c>
      <c r="D565">
        <v>3</v>
      </c>
      <c r="E565" t="s">
        <v>918</v>
      </c>
      <c r="F565">
        <v>-9.0999999999999998E-2</v>
      </c>
      <c r="G565">
        <v>2.1999999999999999E-2</v>
      </c>
      <c r="I565" s="65">
        <v>-9.0999999999999998E-2</v>
      </c>
      <c r="J565" s="65">
        <v>-3.1302985901833114E-2</v>
      </c>
      <c r="K565" s="65">
        <v>-3.1302985901833114</v>
      </c>
    </row>
    <row r="566" spans="1:11" x14ac:dyDescent="0.35">
      <c r="B566" t="s">
        <v>253</v>
      </c>
      <c r="C566">
        <v>1</v>
      </c>
      <c r="D566">
        <v>3</v>
      </c>
      <c r="E566" t="s">
        <v>171</v>
      </c>
      <c r="F566">
        <v>5.1999999999999998E-2</v>
      </c>
      <c r="G566">
        <v>3.0000000000000001E-3</v>
      </c>
      <c r="I566" s="65">
        <v>5.1999999999999998E-2</v>
      </c>
      <c r="J566" s="65">
        <v>1.7041278534103421E-2</v>
      </c>
      <c r="K566" s="65">
        <v>1.7041278534103421</v>
      </c>
    </row>
    <row r="567" spans="1:11" x14ac:dyDescent="0.35">
      <c r="B567" t="s">
        <v>253</v>
      </c>
      <c r="C567">
        <v>1</v>
      </c>
      <c r="D567">
        <v>3</v>
      </c>
      <c r="E567" t="s">
        <v>918</v>
      </c>
      <c r="F567">
        <v>0.222</v>
      </c>
      <c r="G567">
        <v>2.5000000000000001E-2</v>
      </c>
      <c r="I567" s="65">
        <v>0.222</v>
      </c>
      <c r="J567" s="65">
        <v>6.9113307397686619E-2</v>
      </c>
      <c r="K567" s="65">
        <v>6.9113307397686619</v>
      </c>
    </row>
    <row r="568" spans="1:11" x14ac:dyDescent="0.35">
      <c r="B568" t="s">
        <v>253</v>
      </c>
      <c r="C568">
        <v>1</v>
      </c>
      <c r="D568">
        <v>3</v>
      </c>
      <c r="E568" t="s">
        <v>171</v>
      </c>
      <c r="F568">
        <v>3.6999999999999998E-2</v>
      </c>
      <c r="G568">
        <v>3.0000000000000001E-3</v>
      </c>
      <c r="I568" s="65">
        <v>3.6999999999999998E-2</v>
      </c>
      <c r="J568" s="65">
        <v>1.2184273858861783E-2</v>
      </c>
      <c r="K568" s="65">
        <v>1.2184273858861783</v>
      </c>
    </row>
    <row r="569" spans="1:11" x14ac:dyDescent="0.35">
      <c r="B569" t="s">
        <v>253</v>
      </c>
      <c r="C569">
        <v>1</v>
      </c>
      <c r="D569">
        <v>3</v>
      </c>
      <c r="E569" t="s">
        <v>918</v>
      </c>
      <c r="F569">
        <v>0.23</v>
      </c>
      <c r="G569">
        <v>3.5000000000000003E-2</v>
      </c>
      <c r="I569" s="65">
        <v>0.23</v>
      </c>
      <c r="J569" s="65">
        <v>7.1441269690773135E-2</v>
      </c>
      <c r="K569" s="65">
        <v>7.1441269690773135</v>
      </c>
    </row>
    <row r="573" spans="1:11" x14ac:dyDescent="0.35">
      <c r="A573" s="67" t="s">
        <v>971</v>
      </c>
    </row>
    <row r="574" spans="1:11" x14ac:dyDescent="0.35">
      <c r="C574" t="s">
        <v>978</v>
      </c>
    </row>
    <row r="576" spans="1:11" x14ac:dyDescent="0.35">
      <c r="B576" t="s">
        <v>979</v>
      </c>
      <c r="C576" t="s">
        <v>287</v>
      </c>
      <c r="D576" t="s">
        <v>140</v>
      </c>
      <c r="E576" t="s">
        <v>980</v>
      </c>
    </row>
    <row r="577" spans="1:5" x14ac:dyDescent="0.35">
      <c r="B577">
        <v>1997</v>
      </c>
      <c r="C577">
        <v>874</v>
      </c>
      <c r="D577">
        <v>426</v>
      </c>
      <c r="E577">
        <f>D577/C577</f>
        <v>0.48741418764302058</v>
      </c>
    </row>
    <row r="578" spans="1:5" x14ac:dyDescent="0.35">
      <c r="B578">
        <v>2005</v>
      </c>
      <c r="C578">
        <v>947</v>
      </c>
      <c r="D578">
        <v>464</v>
      </c>
      <c r="E578">
        <f>D578/C578</f>
        <v>0.48996832101372756</v>
      </c>
    </row>
    <row r="579" spans="1:5" x14ac:dyDescent="0.35">
      <c r="B579">
        <v>2015</v>
      </c>
      <c r="C579">
        <v>648</v>
      </c>
      <c r="D579">
        <v>361</v>
      </c>
      <c r="E579">
        <f>D579/C579</f>
        <v>0.5570987654320988</v>
      </c>
    </row>
    <row r="580" spans="1:5" x14ac:dyDescent="0.35">
      <c r="B580" t="s">
        <v>201</v>
      </c>
      <c r="C580">
        <v>2518</v>
      </c>
      <c r="D580">
        <v>1251</v>
      </c>
      <c r="E580">
        <f>D580/C580</f>
        <v>0.49682287529785546</v>
      </c>
    </row>
    <row r="583" spans="1:5" x14ac:dyDescent="0.35">
      <c r="A583" s="67" t="s">
        <v>1052</v>
      </c>
    </row>
    <row r="585" spans="1:5" x14ac:dyDescent="0.35">
      <c r="B585" t="s">
        <v>1061</v>
      </c>
    </row>
    <row r="587" spans="1:5" x14ac:dyDescent="0.35">
      <c r="B587" t="s">
        <v>144</v>
      </c>
      <c r="C587" t="s">
        <v>143</v>
      </c>
      <c r="D587" t="s">
        <v>145</v>
      </c>
    </row>
    <row r="588" spans="1:5" x14ac:dyDescent="0.35">
      <c r="B588">
        <v>2.4</v>
      </c>
      <c r="C588">
        <v>3.3</v>
      </c>
      <c r="D588" s="65">
        <f>B588/C588</f>
        <v>0.72727272727272729</v>
      </c>
    </row>
    <row r="589" spans="1:5" x14ac:dyDescent="0.35">
      <c r="B589">
        <v>13.5</v>
      </c>
      <c r="C589">
        <v>3.1</v>
      </c>
      <c r="D589" s="65">
        <f t="shared" ref="D589:D617" si="47">B589/C589</f>
        <v>4.354838709677419</v>
      </c>
    </row>
    <row r="590" spans="1:5" x14ac:dyDescent="0.35">
      <c r="B590">
        <v>30.5</v>
      </c>
      <c r="C590">
        <v>2.8</v>
      </c>
      <c r="D590" s="65">
        <f t="shared" si="47"/>
        <v>10.892857142857144</v>
      </c>
    </row>
    <row r="591" spans="1:5" x14ac:dyDescent="0.35">
      <c r="B591">
        <v>42.6</v>
      </c>
      <c r="C591">
        <v>4</v>
      </c>
      <c r="D591" s="65">
        <f t="shared" si="47"/>
        <v>10.65</v>
      </c>
    </row>
    <row r="592" spans="1:5" x14ac:dyDescent="0.35">
      <c r="B592">
        <v>66.900000000000006</v>
      </c>
      <c r="C592">
        <v>3</v>
      </c>
      <c r="D592" s="65">
        <f t="shared" si="47"/>
        <v>22.3</v>
      </c>
    </row>
    <row r="593" spans="2:4" x14ac:dyDescent="0.35">
      <c r="B593">
        <v>1.6</v>
      </c>
      <c r="C593">
        <v>5.0999999999999996</v>
      </c>
      <c r="D593" s="65">
        <f t="shared" si="47"/>
        <v>0.31372549019607848</v>
      </c>
    </row>
    <row r="594" spans="2:4" x14ac:dyDescent="0.35">
      <c r="B594">
        <v>11.6</v>
      </c>
      <c r="C594">
        <v>5.6</v>
      </c>
      <c r="D594" s="65">
        <f t="shared" si="47"/>
        <v>2.0714285714285716</v>
      </c>
    </row>
    <row r="595" spans="2:4" x14ac:dyDescent="0.35">
      <c r="B595">
        <v>38.6</v>
      </c>
      <c r="C595">
        <v>5.0999999999999996</v>
      </c>
      <c r="D595" s="65">
        <f t="shared" si="47"/>
        <v>7.5686274509803928</v>
      </c>
    </row>
    <row r="596" spans="2:4" x14ac:dyDescent="0.35">
      <c r="B596">
        <v>43.2</v>
      </c>
      <c r="C596">
        <v>8.3000000000000007</v>
      </c>
      <c r="D596" s="65">
        <f t="shared" si="47"/>
        <v>5.2048192771084336</v>
      </c>
    </row>
    <row r="597" spans="2:4" x14ac:dyDescent="0.35">
      <c r="B597">
        <v>80.099999999999994</v>
      </c>
      <c r="C597">
        <v>6</v>
      </c>
      <c r="D597" s="65">
        <f t="shared" si="47"/>
        <v>13.35</v>
      </c>
    </row>
    <row r="598" spans="2:4" x14ac:dyDescent="0.35">
      <c r="B598">
        <v>17.2</v>
      </c>
      <c r="C598">
        <v>9.1999999999999993</v>
      </c>
      <c r="D598" s="65">
        <f t="shared" si="47"/>
        <v>1.8695652173913044</v>
      </c>
    </row>
    <row r="599" spans="2:4" x14ac:dyDescent="0.35">
      <c r="B599">
        <v>33.1</v>
      </c>
      <c r="C599">
        <v>9</v>
      </c>
      <c r="D599" s="65">
        <f t="shared" si="47"/>
        <v>3.677777777777778</v>
      </c>
    </row>
    <row r="600" spans="2:4" x14ac:dyDescent="0.35">
      <c r="B600">
        <v>45.5</v>
      </c>
      <c r="C600">
        <v>9.1999999999999993</v>
      </c>
      <c r="D600" s="65">
        <f t="shared" si="47"/>
        <v>4.9456521739130439</v>
      </c>
    </row>
    <row r="601" spans="2:4" x14ac:dyDescent="0.35">
      <c r="B601">
        <v>60.7</v>
      </c>
      <c r="C601">
        <v>9.4</v>
      </c>
      <c r="D601" s="65">
        <f t="shared" si="47"/>
        <v>6.457446808510638</v>
      </c>
    </row>
    <row r="602" spans="2:4" x14ac:dyDescent="0.35">
      <c r="B602">
        <v>96.5</v>
      </c>
      <c r="C602">
        <v>9.1</v>
      </c>
      <c r="D602" s="65">
        <f t="shared" si="47"/>
        <v>10.604395604395604</v>
      </c>
    </row>
    <row r="603" spans="2:4" x14ac:dyDescent="0.35">
      <c r="B603">
        <v>25.5</v>
      </c>
      <c r="C603">
        <v>12.3</v>
      </c>
      <c r="D603" s="65">
        <f t="shared" si="47"/>
        <v>2.0731707317073171</v>
      </c>
    </row>
    <row r="604" spans="2:4" x14ac:dyDescent="0.35">
      <c r="B604">
        <v>29.1</v>
      </c>
      <c r="C604">
        <v>12</v>
      </c>
      <c r="D604" s="65">
        <f t="shared" si="47"/>
        <v>2.4250000000000003</v>
      </c>
    </row>
    <row r="605" spans="2:4" x14ac:dyDescent="0.35">
      <c r="B605">
        <v>39.200000000000003</v>
      </c>
      <c r="C605">
        <v>12.7</v>
      </c>
      <c r="D605" s="65">
        <f t="shared" si="47"/>
        <v>3.0866141732283467</v>
      </c>
    </row>
    <row r="606" spans="2:4" x14ac:dyDescent="0.35">
      <c r="B606">
        <v>65.900000000000006</v>
      </c>
      <c r="C606">
        <v>14</v>
      </c>
      <c r="D606" s="65">
        <f t="shared" si="47"/>
        <v>4.7071428571428573</v>
      </c>
    </row>
    <row r="607" spans="2:4" x14ac:dyDescent="0.35">
      <c r="B607">
        <v>114.7</v>
      </c>
      <c r="C607">
        <v>12.9</v>
      </c>
      <c r="D607" s="65">
        <f t="shared" si="47"/>
        <v>8.8914728682170541</v>
      </c>
    </row>
    <row r="608" spans="2:4" x14ac:dyDescent="0.35">
      <c r="B608">
        <v>5.9</v>
      </c>
      <c r="C608">
        <v>6.2</v>
      </c>
      <c r="D608" s="65">
        <f t="shared" si="47"/>
        <v>0.95161290322580649</v>
      </c>
    </row>
    <row r="609" spans="1:9" x14ac:dyDescent="0.35">
      <c r="B609">
        <v>22.2</v>
      </c>
      <c r="C609">
        <v>7.1</v>
      </c>
      <c r="D609" s="65">
        <f t="shared" si="47"/>
        <v>3.126760563380282</v>
      </c>
    </row>
    <row r="610" spans="1:9" x14ac:dyDescent="0.35">
      <c r="B610">
        <v>61.2</v>
      </c>
      <c r="C610">
        <v>8.3000000000000007</v>
      </c>
      <c r="D610" s="65">
        <f t="shared" si="47"/>
        <v>7.3734939759036138</v>
      </c>
    </row>
    <row r="611" spans="1:9" x14ac:dyDescent="0.35">
      <c r="B611">
        <v>107.4</v>
      </c>
      <c r="C611">
        <v>9.1999999999999993</v>
      </c>
      <c r="D611" s="65">
        <f t="shared" si="47"/>
        <v>11.673913043478262</v>
      </c>
    </row>
    <row r="612" spans="1:9" x14ac:dyDescent="0.35">
      <c r="B612">
        <v>148.80000000000001</v>
      </c>
      <c r="C612">
        <v>10.199999999999999</v>
      </c>
      <c r="D612" s="65">
        <f t="shared" si="47"/>
        <v>14.588235294117649</v>
      </c>
    </row>
    <row r="613" spans="1:9" x14ac:dyDescent="0.35">
      <c r="B613">
        <v>6.5</v>
      </c>
      <c r="C613">
        <v>8.5</v>
      </c>
      <c r="D613" s="65">
        <f t="shared" si="47"/>
        <v>0.76470588235294112</v>
      </c>
    </row>
    <row r="614" spans="1:9" x14ac:dyDescent="0.35">
      <c r="B614">
        <v>21.2</v>
      </c>
      <c r="C614">
        <v>9</v>
      </c>
      <c r="D614" s="65">
        <f t="shared" si="47"/>
        <v>2.3555555555555556</v>
      </c>
    </row>
    <row r="615" spans="1:9" x14ac:dyDescent="0.35">
      <c r="B615">
        <v>39.5</v>
      </c>
      <c r="C615">
        <v>16.399999999999999</v>
      </c>
      <c r="D615" s="65">
        <f t="shared" si="47"/>
        <v>2.4085365853658538</v>
      </c>
    </row>
    <row r="616" spans="1:9" x14ac:dyDescent="0.35">
      <c r="B616">
        <v>103.4</v>
      </c>
      <c r="C616">
        <v>16.399999999999999</v>
      </c>
      <c r="D616" s="65">
        <f t="shared" si="47"/>
        <v>6.3048780487804885</v>
      </c>
    </row>
    <row r="617" spans="1:9" x14ac:dyDescent="0.35">
      <c r="B617">
        <v>106.5</v>
      </c>
      <c r="C617">
        <v>18.399999999999999</v>
      </c>
      <c r="D617" s="65">
        <f t="shared" si="47"/>
        <v>5.7880434782608701</v>
      </c>
    </row>
    <row r="620" spans="1:9" x14ac:dyDescent="0.35">
      <c r="A620" s="67" t="s">
        <v>1101</v>
      </c>
    </row>
    <row r="623" spans="1:9" x14ac:dyDescent="0.35">
      <c r="B623" t="s">
        <v>1106</v>
      </c>
      <c r="C623" t="s">
        <v>1107</v>
      </c>
      <c r="D623" t="s">
        <v>1110</v>
      </c>
      <c r="G623" t="s">
        <v>1108</v>
      </c>
      <c r="H623" t="s">
        <v>1111</v>
      </c>
      <c r="I623" t="s">
        <v>1112</v>
      </c>
    </row>
    <row r="624" spans="1:9" x14ac:dyDescent="0.35">
      <c r="B624">
        <v>4.0000000000000001E-3</v>
      </c>
      <c r="C624">
        <v>1.1999999999999999E-3</v>
      </c>
      <c r="D624">
        <f>B624/C624</f>
        <v>3.3333333333333335</v>
      </c>
      <c r="G624" s="65">
        <v>0.4</v>
      </c>
      <c r="H624" s="65">
        <f>G624/I624</f>
        <v>0.12</v>
      </c>
      <c r="I624" s="65">
        <v>3.3333333333333335</v>
      </c>
    </row>
    <row r="625" spans="2:9" x14ac:dyDescent="0.3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35">
      <c r="B626">
        <v>2.52E-2</v>
      </c>
      <c r="C626">
        <v>2.5000000000000001E-3</v>
      </c>
      <c r="D626">
        <f t="shared" si="48"/>
        <v>10.08</v>
      </c>
      <c r="G626" s="65">
        <v>0.71</v>
      </c>
      <c r="H626" s="65">
        <f t="shared" si="49"/>
        <v>7.0436507936507936E-2</v>
      </c>
      <c r="I626" s="65">
        <v>10.08</v>
      </c>
    </row>
    <row r="627" spans="2:9" x14ac:dyDescent="0.35">
      <c r="B627">
        <v>2.2700000000000001E-2</v>
      </c>
      <c r="C627">
        <v>1.9E-3</v>
      </c>
      <c r="D627">
        <f t="shared" si="48"/>
        <v>11.947368421052632</v>
      </c>
      <c r="G627" s="65">
        <v>1.47</v>
      </c>
      <c r="H627" s="65">
        <f t="shared" si="49"/>
        <v>0.1230396475770925</v>
      </c>
      <c r="I627" s="65">
        <v>11.947368421052632</v>
      </c>
    </row>
    <row r="628" spans="2:9" x14ac:dyDescent="0.35">
      <c r="B628">
        <v>6.7000000000000004E-2</v>
      </c>
      <c r="C628">
        <v>2.3E-3</v>
      </c>
      <c r="D628">
        <f t="shared" si="48"/>
        <v>29.130434782608699</v>
      </c>
      <c r="G628" s="65">
        <v>2.87</v>
      </c>
      <c r="H628" s="65">
        <f t="shared" si="49"/>
        <v>9.8522388059701482E-2</v>
      </c>
      <c r="I628" s="65">
        <v>29.130434782608699</v>
      </c>
    </row>
    <row r="629" spans="2:9" x14ac:dyDescent="0.35">
      <c r="B629">
        <v>1.95E-2</v>
      </c>
      <c r="C629">
        <v>3.5000000000000001E-3</v>
      </c>
      <c r="D629">
        <f t="shared" si="48"/>
        <v>5.5714285714285712</v>
      </c>
      <c r="G629" s="65">
        <v>3.74</v>
      </c>
      <c r="H629" s="65">
        <f t="shared" si="49"/>
        <v>0.67128205128205132</v>
      </c>
      <c r="I629" s="65">
        <v>5.5714285714285712</v>
      </c>
    </row>
    <row r="630" spans="2:9" x14ac:dyDescent="0.35">
      <c r="B630">
        <v>1.4800000000000001E-2</v>
      </c>
      <c r="C630">
        <v>3.3E-3</v>
      </c>
      <c r="D630">
        <f t="shared" si="48"/>
        <v>4.4848484848484853</v>
      </c>
      <c r="G630" s="65">
        <v>4.59</v>
      </c>
      <c r="H630" s="65">
        <f t="shared" si="49"/>
        <v>1.0234459459459457</v>
      </c>
      <c r="I630" s="65">
        <v>4.4848484848484853</v>
      </c>
    </row>
    <row r="631" spans="2:9" x14ac:dyDescent="0.35">
      <c r="B631">
        <v>3.4500000000000003E-2</v>
      </c>
      <c r="C631">
        <v>2.7000000000000001E-3</v>
      </c>
      <c r="D631">
        <f t="shared" si="48"/>
        <v>12.777777777777779</v>
      </c>
      <c r="G631" s="65">
        <v>5.0599999999999996</v>
      </c>
      <c r="H631" s="65">
        <f t="shared" si="49"/>
        <v>0.39599999999999996</v>
      </c>
      <c r="I631" s="65">
        <v>12.777777777777779</v>
      </c>
    </row>
    <row r="633" spans="2:9" x14ac:dyDescent="0.35">
      <c r="G633" t="s">
        <v>1109</v>
      </c>
      <c r="H633" t="s">
        <v>1113</v>
      </c>
      <c r="I633" t="s">
        <v>1114</v>
      </c>
    </row>
    <row r="634" spans="2:9" x14ac:dyDescent="0.35">
      <c r="G634" s="65">
        <v>0.4</v>
      </c>
      <c r="H634" s="65">
        <f>G634/I634</f>
        <v>0.12</v>
      </c>
      <c r="I634" s="65">
        <v>3.3333333333333335</v>
      </c>
    </row>
    <row r="635" spans="2:9" x14ac:dyDescent="0.35">
      <c r="G635" s="65">
        <v>0.8</v>
      </c>
      <c r="H635" s="65">
        <f t="shared" ref="H635:H641" si="50">G635/I635</f>
        <v>0.19000000000000003</v>
      </c>
      <c r="I635" s="65">
        <v>4.2105263157894735</v>
      </c>
    </row>
    <row r="636" spans="2:9" x14ac:dyDescent="0.35">
      <c r="G636" s="65">
        <v>1.77</v>
      </c>
      <c r="H636" s="65">
        <f t="shared" si="50"/>
        <v>0.17559523809523808</v>
      </c>
      <c r="I636" s="65">
        <v>10.08</v>
      </c>
    </row>
    <row r="637" spans="2:9" x14ac:dyDescent="0.35">
      <c r="G637" s="65">
        <v>2.8</v>
      </c>
      <c r="H637" s="65">
        <f t="shared" si="50"/>
        <v>0.23436123348017618</v>
      </c>
      <c r="I637" s="65">
        <v>11.947368421052632</v>
      </c>
    </row>
    <row r="638" spans="2:9" x14ac:dyDescent="0.35">
      <c r="G638" s="65">
        <v>4.78</v>
      </c>
      <c r="H638" s="65">
        <f t="shared" si="50"/>
        <v>0.16408955223880595</v>
      </c>
      <c r="I638" s="65">
        <v>29.130434782608699</v>
      </c>
    </row>
    <row r="639" spans="2:9" x14ac:dyDescent="0.35">
      <c r="G639" s="65">
        <v>5.77</v>
      </c>
      <c r="H639" s="65">
        <f t="shared" si="50"/>
        <v>1.0356410256410256</v>
      </c>
      <c r="I639" s="65">
        <v>5.5714285714285712</v>
      </c>
    </row>
    <row r="640" spans="2:9" x14ac:dyDescent="0.35">
      <c r="G640" s="65">
        <v>6.69</v>
      </c>
      <c r="H640" s="65">
        <f t="shared" si="50"/>
        <v>1.491689189189189</v>
      </c>
      <c r="I640" s="65">
        <v>4.4848484848484853</v>
      </c>
    </row>
    <row r="641" spans="1:9" x14ac:dyDescent="0.35">
      <c r="G641" s="65">
        <v>6.96</v>
      </c>
      <c r="H641" s="65">
        <f t="shared" si="50"/>
        <v>0.54469565217391303</v>
      </c>
      <c r="I641" s="65">
        <v>12.777777777777779</v>
      </c>
    </row>
    <row r="646" spans="1:9" x14ac:dyDescent="0.35">
      <c r="A646" s="67" t="s">
        <v>1115</v>
      </c>
    </row>
    <row r="648" spans="1:9" x14ac:dyDescent="0.35">
      <c r="C648" t="s">
        <v>1119</v>
      </c>
    </row>
    <row r="651" spans="1:9" x14ac:dyDescent="0.35">
      <c r="D651" t="s">
        <v>151</v>
      </c>
      <c r="E651" t="s">
        <v>141</v>
      </c>
      <c r="F651" t="s">
        <v>1125</v>
      </c>
    </row>
    <row r="652" spans="1:9" x14ac:dyDescent="0.35">
      <c r="C652" t="s">
        <v>162</v>
      </c>
      <c r="D652">
        <v>1991</v>
      </c>
      <c r="E652">
        <v>6</v>
      </c>
      <c r="F652">
        <v>4.2</v>
      </c>
    </row>
    <row r="653" spans="1:9" x14ac:dyDescent="0.35">
      <c r="C653" t="s">
        <v>1120</v>
      </c>
      <c r="D653">
        <v>1991</v>
      </c>
      <c r="E653">
        <v>7</v>
      </c>
      <c r="F653">
        <v>18.399999999999999</v>
      </c>
      <c r="H653" t="s">
        <v>1129</v>
      </c>
      <c r="I653" s="65">
        <f>SUMPRODUCT(E652:E658,F652:F658)/100</f>
        <v>10.900500000000001</v>
      </c>
    </row>
    <row r="654" spans="1:9" x14ac:dyDescent="0.35">
      <c r="C654" t="s">
        <v>1121</v>
      </c>
      <c r="D654">
        <v>1991</v>
      </c>
      <c r="E654">
        <v>10</v>
      </c>
      <c r="F654">
        <v>19.399999999999999</v>
      </c>
      <c r="H654" t="s">
        <v>1126</v>
      </c>
      <c r="I654" s="65">
        <f>SUMPRODUCT(E660:E665,F660:F665)/100</f>
        <v>11.75</v>
      </c>
    </row>
    <row r="655" spans="1:9" x14ac:dyDescent="0.35">
      <c r="C655" t="s">
        <v>1122</v>
      </c>
      <c r="D655">
        <v>1991</v>
      </c>
      <c r="E655">
        <v>12</v>
      </c>
      <c r="F655">
        <v>18.7</v>
      </c>
      <c r="H655" t="s">
        <v>1127</v>
      </c>
      <c r="I655" s="65">
        <f>SUMPRODUCT(E666:E672,F666:F672)/100</f>
        <v>11.290999999999999</v>
      </c>
    </row>
    <row r="656" spans="1:9" x14ac:dyDescent="0.35">
      <c r="C656" t="s">
        <v>1123</v>
      </c>
      <c r="D656">
        <v>1991</v>
      </c>
      <c r="E656">
        <v>12</v>
      </c>
      <c r="F656">
        <v>22.6</v>
      </c>
    </row>
    <row r="657" spans="3:12" x14ac:dyDescent="0.35">
      <c r="C657" t="s">
        <v>1124</v>
      </c>
      <c r="D657">
        <v>1991</v>
      </c>
      <c r="E657">
        <v>13.5</v>
      </c>
      <c r="F657">
        <v>1.7</v>
      </c>
    </row>
    <row r="658" spans="3:12" x14ac:dyDescent="0.35">
      <c r="C658" t="s">
        <v>39</v>
      </c>
      <c r="D658">
        <v>1991</v>
      </c>
      <c r="E658">
        <v>15</v>
      </c>
      <c r="F658">
        <v>14.9</v>
      </c>
      <c r="H658" t="s">
        <v>1128</v>
      </c>
      <c r="I658" t="s">
        <v>216</v>
      </c>
      <c r="J658" t="s">
        <v>37</v>
      </c>
      <c r="K658" t="s">
        <v>38</v>
      </c>
      <c r="L658" t="s">
        <v>39</v>
      </c>
    </row>
    <row r="659" spans="3:12" x14ac:dyDescent="0.35">
      <c r="C659" t="s">
        <v>162</v>
      </c>
      <c r="D659">
        <v>1993</v>
      </c>
      <c r="E659">
        <v>6</v>
      </c>
      <c r="F659">
        <v>2.6</v>
      </c>
      <c r="H659">
        <v>1991</v>
      </c>
      <c r="I659">
        <f>100-J659-K659-L659</f>
        <v>2.2000000000000011</v>
      </c>
      <c r="J659">
        <f>F653+F652/2</f>
        <v>20.5</v>
      </c>
      <c r="K659">
        <f>F654+F655+F656+F657</f>
        <v>62.4</v>
      </c>
      <c r="L659">
        <f>F658</f>
        <v>14.9</v>
      </c>
    </row>
    <row r="660" spans="3:12" x14ac:dyDescent="0.35">
      <c r="C660" t="s">
        <v>1120</v>
      </c>
      <c r="D660">
        <v>1993</v>
      </c>
      <c r="E660">
        <v>7</v>
      </c>
      <c r="F660">
        <v>5.9</v>
      </c>
      <c r="H660">
        <v>1993</v>
      </c>
      <c r="I660">
        <f>100-J660-K660-L660</f>
        <v>1.3000000000000043</v>
      </c>
      <c r="J660">
        <f>F660+F659/2</f>
        <v>7.2</v>
      </c>
      <c r="K660">
        <f>F661+F662+F663+F664</f>
        <v>68.599999999999994</v>
      </c>
      <c r="L660">
        <f>F665</f>
        <v>22.9</v>
      </c>
    </row>
    <row r="661" spans="3:12" x14ac:dyDescent="0.35">
      <c r="C661" t="s">
        <v>1121</v>
      </c>
      <c r="D661">
        <v>1993</v>
      </c>
      <c r="E661">
        <v>10</v>
      </c>
      <c r="F661">
        <v>18</v>
      </c>
      <c r="H661">
        <v>1994</v>
      </c>
      <c r="I661">
        <f>100-J661-K661-L661</f>
        <v>1.3500000000000032</v>
      </c>
      <c r="J661">
        <f>F667+F666/2</f>
        <v>12.75</v>
      </c>
      <c r="K661">
        <f>F668+F669+F670+F671</f>
        <v>72.8</v>
      </c>
      <c r="L661">
        <f>F672</f>
        <v>13.1</v>
      </c>
    </row>
    <row r="662" spans="3:12" x14ac:dyDescent="0.35">
      <c r="C662" t="s">
        <v>1122</v>
      </c>
      <c r="D662">
        <v>1993</v>
      </c>
      <c r="E662">
        <v>12</v>
      </c>
      <c r="F662">
        <v>17.100000000000001</v>
      </c>
    </row>
    <row r="663" spans="3:12" x14ac:dyDescent="0.35">
      <c r="C663" t="s">
        <v>1123</v>
      </c>
      <c r="D663">
        <v>1993</v>
      </c>
      <c r="E663">
        <v>12</v>
      </c>
      <c r="F663">
        <v>31.5</v>
      </c>
      <c r="H663" t="s">
        <v>1130</v>
      </c>
      <c r="I663" t="s">
        <v>216</v>
      </c>
      <c r="J663" t="s">
        <v>37</v>
      </c>
      <c r="K663" t="s">
        <v>38</v>
      </c>
      <c r="L663" t="s">
        <v>39</v>
      </c>
    </row>
    <row r="664" spans="3:12" x14ac:dyDescent="0.3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3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3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35">
      <c r="C667" t="s">
        <v>1120</v>
      </c>
      <c r="D667">
        <v>1994</v>
      </c>
      <c r="E667">
        <v>7</v>
      </c>
      <c r="F667">
        <v>11.3</v>
      </c>
    </row>
    <row r="668" spans="3:12" x14ac:dyDescent="0.35">
      <c r="C668" t="s">
        <v>1121</v>
      </c>
      <c r="D668">
        <v>1994</v>
      </c>
      <c r="E668">
        <v>10</v>
      </c>
      <c r="F668">
        <v>20.100000000000001</v>
      </c>
    </row>
    <row r="669" spans="3:12" x14ac:dyDescent="0.35">
      <c r="C669" t="s">
        <v>1122</v>
      </c>
      <c r="D669">
        <v>1994</v>
      </c>
      <c r="E669">
        <v>12</v>
      </c>
      <c r="F669">
        <v>19.8</v>
      </c>
    </row>
    <row r="670" spans="3:12" x14ac:dyDescent="0.35">
      <c r="C670" t="s">
        <v>1123</v>
      </c>
      <c r="D670">
        <v>1994</v>
      </c>
      <c r="E670">
        <v>12</v>
      </c>
      <c r="F670">
        <v>31.1</v>
      </c>
    </row>
    <row r="671" spans="3:12" x14ac:dyDescent="0.35">
      <c r="C671" t="s">
        <v>1124</v>
      </c>
      <c r="D671">
        <v>1994</v>
      </c>
      <c r="E671">
        <v>13.5</v>
      </c>
      <c r="F671">
        <v>1.8</v>
      </c>
    </row>
    <row r="672" spans="3:12" x14ac:dyDescent="0.35">
      <c r="C672" t="s">
        <v>39</v>
      </c>
      <c r="D672">
        <v>1994</v>
      </c>
      <c r="E672">
        <v>15</v>
      </c>
      <c r="F672">
        <v>13.1</v>
      </c>
    </row>
    <row r="677" spans="1:11" x14ac:dyDescent="0.35">
      <c r="A677" s="67" t="s">
        <v>1131</v>
      </c>
      <c r="C677" t="s">
        <v>207</v>
      </c>
    </row>
    <row r="679" spans="1:11" x14ac:dyDescent="0.35">
      <c r="B679" t="s">
        <v>1141</v>
      </c>
      <c r="C679" t="s">
        <v>1140</v>
      </c>
      <c r="D679" t="s">
        <v>1150</v>
      </c>
      <c r="E679" t="s">
        <v>141</v>
      </c>
      <c r="F679" t="s">
        <v>1139</v>
      </c>
      <c r="G679" t="s">
        <v>143</v>
      </c>
      <c r="I679" t="s">
        <v>144</v>
      </c>
      <c r="J679" t="s">
        <v>143</v>
      </c>
      <c r="K679" t="s">
        <v>145</v>
      </c>
    </row>
    <row r="680" spans="1:11" x14ac:dyDescent="0.35">
      <c r="B680">
        <v>2</v>
      </c>
      <c r="C680" t="s">
        <v>1136</v>
      </c>
      <c r="D680">
        <v>1</v>
      </c>
      <c r="E680">
        <v>6</v>
      </c>
      <c r="F680">
        <v>9.6799999999999997E-2</v>
      </c>
      <c r="G680">
        <v>4.0000000000000001E-3</v>
      </c>
      <c r="I680" s="65">
        <v>1.5518657789766801</v>
      </c>
      <c r="J680" s="65">
        <v>6.1726152309127563E-2</v>
      </c>
      <c r="K680" s="65">
        <v>25.141139062173529</v>
      </c>
    </row>
    <row r="681" spans="1:11" x14ac:dyDescent="0.35">
      <c r="B681">
        <v>2</v>
      </c>
      <c r="C681" t="s">
        <v>1137</v>
      </c>
      <c r="D681">
        <v>2</v>
      </c>
      <c r="E681">
        <v>2</v>
      </c>
      <c r="F681">
        <v>0.13699999999999998</v>
      </c>
      <c r="G681">
        <v>4.0000000000000001E-3</v>
      </c>
      <c r="I681" s="65">
        <v>1.990195607224909</v>
      </c>
      <c r="J681" s="65">
        <v>0.27732343367972001</v>
      </c>
      <c r="K681" s="65">
        <v>7.176442253067516</v>
      </c>
    </row>
    <row r="682" spans="1:11" x14ac:dyDescent="0.35">
      <c r="B682">
        <v>2</v>
      </c>
      <c r="C682" t="s">
        <v>1138</v>
      </c>
      <c r="D682">
        <v>2</v>
      </c>
      <c r="E682">
        <v>4</v>
      </c>
      <c r="F682">
        <v>0.26899999999999996</v>
      </c>
      <c r="G682">
        <v>5.0000000000000001E-3</v>
      </c>
      <c r="I682" s="65">
        <v>4.0519992789316728</v>
      </c>
      <c r="J682" s="65">
        <v>0.14209560623960771</v>
      </c>
      <c r="K682" s="65">
        <v>28.516006836263589</v>
      </c>
    </row>
    <row r="683" spans="1:11" x14ac:dyDescent="0.35">
      <c r="B683">
        <v>3</v>
      </c>
      <c r="C683" t="s">
        <v>1136</v>
      </c>
      <c r="D683">
        <v>1</v>
      </c>
      <c r="E683">
        <v>6</v>
      </c>
      <c r="F683">
        <v>0.10300000000000001</v>
      </c>
      <c r="G683">
        <v>4.0000000000000001E-3</v>
      </c>
      <c r="I683" s="65">
        <v>1.647316742310911</v>
      </c>
      <c r="J683" s="65">
        <v>6.1436879264013852E-2</v>
      </c>
      <c r="K683" s="65">
        <v>26.813157862915961</v>
      </c>
    </row>
    <row r="684" spans="1:11" x14ac:dyDescent="0.35">
      <c r="B684">
        <v>3</v>
      </c>
      <c r="C684" t="s">
        <v>1137</v>
      </c>
      <c r="D684">
        <v>2</v>
      </c>
      <c r="E684">
        <v>2</v>
      </c>
      <c r="F684">
        <v>0.14499999999999999</v>
      </c>
      <c r="G684">
        <v>4.0000000000000001E-3</v>
      </c>
      <c r="I684" s="65">
        <v>2.0784012413987529</v>
      </c>
      <c r="J684" s="65">
        <v>0.27708379934922978</v>
      </c>
      <c r="K684" s="65">
        <v>7.5009843458194601</v>
      </c>
    </row>
    <row r="685" spans="1:11" x14ac:dyDescent="0.35">
      <c r="B685">
        <v>3</v>
      </c>
      <c r="C685" t="s">
        <v>1138</v>
      </c>
      <c r="D685">
        <v>2</v>
      </c>
      <c r="E685">
        <v>4</v>
      </c>
      <c r="F685">
        <v>0.28399999999999997</v>
      </c>
      <c r="G685">
        <v>5.0000000000000001E-3</v>
      </c>
      <c r="I685" s="65">
        <v>4.2467380281883349</v>
      </c>
      <c r="J685" s="65">
        <v>0.14130076522895971</v>
      </c>
      <c r="K685" s="65">
        <v>30.054600350585819</v>
      </c>
    </row>
    <row r="686" spans="1:11" x14ac:dyDescent="0.35">
      <c r="B686">
        <v>4</v>
      </c>
      <c r="C686" t="s">
        <v>1136</v>
      </c>
      <c r="D686">
        <v>1</v>
      </c>
      <c r="E686">
        <v>6</v>
      </c>
      <c r="F686">
        <v>9.9399999999999988E-2</v>
      </c>
      <c r="G686">
        <v>4.0000000000000001E-3</v>
      </c>
      <c r="I686" s="65">
        <v>1.5919482059154391</v>
      </c>
      <c r="J686" s="65">
        <v>6.160448014426987E-2</v>
      </c>
      <c r="K686" s="65">
        <v>25.841435593438959</v>
      </c>
    </row>
    <row r="687" spans="1:11" x14ac:dyDescent="0.35">
      <c r="B687">
        <v>4</v>
      </c>
      <c r="C687" t="s">
        <v>1137</v>
      </c>
      <c r="D687">
        <v>2</v>
      </c>
      <c r="E687">
        <v>2</v>
      </c>
      <c r="F687">
        <v>0.13900000000000001</v>
      </c>
      <c r="G687">
        <v>4.0000000000000001E-3</v>
      </c>
      <c r="I687" s="65">
        <v>1.9607767722470859</v>
      </c>
      <c r="J687" s="65">
        <v>0.27740345006042222</v>
      </c>
      <c r="K687" s="65">
        <v>7.0683215072487462</v>
      </c>
    </row>
    <row r="688" spans="1:11" x14ac:dyDescent="0.35">
      <c r="B688">
        <v>4</v>
      </c>
      <c r="C688" t="s">
        <v>1138</v>
      </c>
      <c r="D688">
        <v>2</v>
      </c>
      <c r="E688">
        <v>4</v>
      </c>
      <c r="F688">
        <v>0.27699999999999997</v>
      </c>
      <c r="G688">
        <v>5.0000000000000001E-3</v>
      </c>
      <c r="I688" s="65">
        <v>4.1716274856087088</v>
      </c>
      <c r="J688" s="65">
        <v>0.14160663060587789</v>
      </c>
      <c r="K688" s="65">
        <v>29.45926661597689</v>
      </c>
    </row>
    <row r="689" spans="1:11" x14ac:dyDescent="0.35">
      <c r="B689" t="s">
        <v>1142</v>
      </c>
      <c r="C689" t="s">
        <v>1136</v>
      </c>
      <c r="D689">
        <v>1</v>
      </c>
      <c r="E689">
        <v>6</v>
      </c>
      <c r="F689">
        <v>5.5E-2</v>
      </c>
      <c r="G689">
        <v>0.01</v>
      </c>
      <c r="I689" s="65">
        <v>0.89633939252906636</v>
      </c>
      <c r="J689" s="65">
        <v>0.15939390109404281</v>
      </c>
      <c r="K689" s="65">
        <v>5.6234233956054824</v>
      </c>
    </row>
    <row r="690" spans="1:11" x14ac:dyDescent="0.35">
      <c r="B690" t="s">
        <v>1142</v>
      </c>
      <c r="C690" t="s">
        <v>1137</v>
      </c>
      <c r="D690">
        <v>2</v>
      </c>
      <c r="E690">
        <v>2</v>
      </c>
      <c r="F690">
        <v>0.11</v>
      </c>
      <c r="G690">
        <v>1.2E-2</v>
      </c>
      <c r="I690" s="65">
        <v>2.713192920870688</v>
      </c>
      <c r="J690" s="65">
        <v>0.76039401111049088</v>
      </c>
      <c r="K690" s="65">
        <v>3.568140833866249</v>
      </c>
    </row>
    <row r="691" spans="1:11" x14ac:dyDescent="0.35">
      <c r="B691" t="s">
        <v>1142</v>
      </c>
      <c r="C691" t="s">
        <v>1138</v>
      </c>
      <c r="D691">
        <v>2</v>
      </c>
      <c r="E691">
        <v>4</v>
      </c>
      <c r="F691">
        <v>0.21899999999999997</v>
      </c>
      <c r="G691">
        <v>1.7000000000000001E-2</v>
      </c>
      <c r="I691" s="65">
        <v>3.869548797561162</v>
      </c>
      <c r="J691" s="65">
        <v>0.43999736343249979</v>
      </c>
      <c r="K691" s="65">
        <v>8.7944817836500313</v>
      </c>
    </row>
    <row r="692" spans="1:11" x14ac:dyDescent="0.35">
      <c r="B692" t="s">
        <v>1143</v>
      </c>
      <c r="C692" t="s">
        <v>1136</v>
      </c>
      <c r="D692">
        <v>1</v>
      </c>
      <c r="E692">
        <v>6</v>
      </c>
      <c r="F692">
        <v>6.0999999999999999E-2</v>
      </c>
      <c r="G692">
        <v>0.01</v>
      </c>
      <c r="I692" s="65">
        <v>0.99174989126973312</v>
      </c>
      <c r="J692" s="65">
        <v>0.1586423969388466</v>
      </c>
      <c r="K692" s="65">
        <v>6.2514807542401956</v>
      </c>
    </row>
    <row r="693" spans="1:11" x14ac:dyDescent="0.35">
      <c r="B693" t="s">
        <v>1143</v>
      </c>
      <c r="C693" t="s">
        <v>1137</v>
      </c>
      <c r="D693">
        <v>2</v>
      </c>
      <c r="E693">
        <v>2</v>
      </c>
      <c r="F693">
        <v>0.122</v>
      </c>
      <c r="G693">
        <v>1.2E-2</v>
      </c>
      <c r="I693" s="65">
        <v>3.0048542545447088</v>
      </c>
      <c r="J693" s="65">
        <v>0.75824093266575887</v>
      </c>
      <c r="K693" s="65">
        <v>3.962928041856693</v>
      </c>
    </row>
    <row r="694" spans="1:11" x14ac:dyDescent="0.35">
      <c r="B694" t="s">
        <v>1143</v>
      </c>
      <c r="C694" t="s">
        <v>1138</v>
      </c>
      <c r="D694">
        <v>2</v>
      </c>
      <c r="E694">
        <v>4</v>
      </c>
      <c r="F694">
        <v>0.24600000000000002</v>
      </c>
      <c r="G694">
        <v>1.7000000000000001E-2</v>
      </c>
      <c r="I694" s="65">
        <v>4.3348960249571578</v>
      </c>
      <c r="J694" s="65">
        <v>0.43413624601176892</v>
      </c>
      <c r="K694" s="65">
        <v>9.9851050557977228</v>
      </c>
    </row>
    <row r="695" spans="1:11" x14ac:dyDescent="0.35">
      <c r="B695">
        <v>5</v>
      </c>
      <c r="C695" t="s">
        <v>1136</v>
      </c>
      <c r="D695">
        <v>1</v>
      </c>
      <c r="E695">
        <v>6</v>
      </c>
      <c r="F695">
        <v>4.8000000000000001E-2</v>
      </c>
      <c r="G695">
        <v>9.0000000000000011E-3</v>
      </c>
      <c r="I695" s="65">
        <v>0.78445394139614599</v>
      </c>
      <c r="J695" s="65">
        <v>0.14425255812222729</v>
      </c>
      <c r="K695" s="65">
        <v>5.4380591346703646</v>
      </c>
    </row>
    <row r="696" spans="1:11" x14ac:dyDescent="0.35">
      <c r="B696">
        <v>5</v>
      </c>
      <c r="C696" t="s">
        <v>1137</v>
      </c>
      <c r="D696">
        <v>2</v>
      </c>
      <c r="E696">
        <v>2</v>
      </c>
      <c r="F696">
        <v>0.10800000000000001</v>
      </c>
      <c r="G696">
        <v>1.1000000000000001E-2</v>
      </c>
      <c r="I696" s="65">
        <v>2.9563014098699991</v>
      </c>
      <c r="J696" s="65">
        <v>0.69022829146567344</v>
      </c>
      <c r="K696" s="65">
        <v>4.2830777098290271</v>
      </c>
    </row>
    <row r="697" spans="1:11" x14ac:dyDescent="0.35">
      <c r="B697">
        <v>5</v>
      </c>
      <c r="C697" t="s">
        <v>1138</v>
      </c>
      <c r="D697">
        <v>2</v>
      </c>
      <c r="E697">
        <v>4</v>
      </c>
      <c r="F697">
        <v>0.22399999999999998</v>
      </c>
      <c r="G697">
        <v>1.6E-2</v>
      </c>
      <c r="I697" s="65">
        <v>4.1362250582416937</v>
      </c>
      <c r="J697" s="65">
        <v>0.40639604033110932</v>
      </c>
      <c r="K697" s="65">
        <v>10.177818304705241</v>
      </c>
    </row>
    <row r="698" spans="1:11" x14ac:dyDescent="0.35">
      <c r="B698">
        <v>6</v>
      </c>
      <c r="C698" t="s">
        <v>1136</v>
      </c>
      <c r="D698">
        <v>1</v>
      </c>
      <c r="E698">
        <v>6</v>
      </c>
      <c r="F698">
        <v>5.2999999999999999E-2</v>
      </c>
      <c r="G698">
        <v>1.1000000000000001E-2</v>
      </c>
      <c r="I698" s="65">
        <v>0.86443540238798633</v>
      </c>
      <c r="J698" s="65">
        <v>0.17561076122606331</v>
      </c>
      <c r="K698" s="65">
        <v>4.922451200329351</v>
      </c>
    </row>
    <row r="699" spans="1:11" x14ac:dyDescent="0.35">
      <c r="B699">
        <v>6</v>
      </c>
      <c r="C699" t="s">
        <v>1137</v>
      </c>
      <c r="D699">
        <v>2</v>
      </c>
      <c r="E699">
        <v>2</v>
      </c>
      <c r="F699">
        <v>0.12</v>
      </c>
      <c r="G699">
        <v>1.3000000000000001E-2</v>
      </c>
      <c r="I699" s="65">
        <v>3.2956920689338309</v>
      </c>
      <c r="J699" s="65">
        <v>0.82430283513478619</v>
      </c>
      <c r="K699" s="65">
        <v>3.998156901152639</v>
      </c>
    </row>
    <row r="700" spans="1:11" x14ac:dyDescent="0.35">
      <c r="B700">
        <v>6</v>
      </c>
      <c r="C700" t="s">
        <v>1138</v>
      </c>
      <c r="D700">
        <v>2</v>
      </c>
      <c r="E700">
        <v>4</v>
      </c>
      <c r="F700">
        <v>0.22600000000000001</v>
      </c>
      <c r="G700">
        <v>1.8000000000000002E-2</v>
      </c>
      <c r="I700" s="65">
        <v>4.0697480214584081</v>
      </c>
      <c r="J700" s="65">
        <v>0.46789295386537472</v>
      </c>
      <c r="K700" s="65">
        <v>8.6980322910128365</v>
      </c>
    </row>
    <row r="704" spans="1:11" x14ac:dyDescent="0.35">
      <c r="A704" s="67" t="s">
        <v>1144</v>
      </c>
      <c r="C704" t="s">
        <v>1149</v>
      </c>
    </row>
    <row r="708" spans="3:11" x14ac:dyDescent="0.35">
      <c r="C708" t="s">
        <v>151</v>
      </c>
      <c r="D708" t="s">
        <v>1150</v>
      </c>
      <c r="E708" t="s">
        <v>141</v>
      </c>
      <c r="F708" t="s">
        <v>1139</v>
      </c>
      <c r="G708" t="s">
        <v>143</v>
      </c>
      <c r="I708" t="s">
        <v>144</v>
      </c>
      <c r="J708" t="s">
        <v>143</v>
      </c>
      <c r="K708" t="s">
        <v>145</v>
      </c>
    </row>
    <row r="709" spans="3:11" x14ac:dyDescent="0.35">
      <c r="C709">
        <v>1980</v>
      </c>
      <c r="D709" t="s">
        <v>1151</v>
      </c>
      <c r="E709">
        <v>4</v>
      </c>
      <c r="F709">
        <v>0.23630000000000001</v>
      </c>
      <c r="G709">
        <v>7.7999999999999996E-3</v>
      </c>
      <c r="I709" s="65">
        <v>5.4462081991112576</v>
      </c>
      <c r="J709" s="65">
        <v>0.16631894037714709</v>
      </c>
      <c r="K709" s="65">
        <v>32.745568164163153</v>
      </c>
    </row>
    <row r="710" spans="3:11" x14ac:dyDescent="0.35">
      <c r="C710">
        <v>1981</v>
      </c>
      <c r="D710" t="s">
        <v>1151</v>
      </c>
      <c r="E710">
        <v>4</v>
      </c>
      <c r="F710">
        <v>0.24310000000000001</v>
      </c>
      <c r="G710">
        <v>8.6999999999999994E-3</v>
      </c>
      <c r="I710" s="65">
        <v>5.5909060847234127</v>
      </c>
      <c r="J710" s="65">
        <v>0.1847479854671977</v>
      </c>
      <c r="K710" s="65">
        <v>30.26233856128346</v>
      </c>
    </row>
    <row r="711" spans="3:11" x14ac:dyDescent="0.35">
      <c r="C711">
        <v>1982</v>
      </c>
      <c r="D711" t="s">
        <v>1151</v>
      </c>
      <c r="E711">
        <v>4</v>
      </c>
      <c r="F711">
        <v>0.28349999999999997</v>
      </c>
      <c r="G711">
        <v>8.8000000000000005E-3</v>
      </c>
      <c r="I711" s="65">
        <v>6.4385545770590191</v>
      </c>
      <c r="J711" s="65">
        <v>0.18244239974252419</v>
      </c>
      <c r="K711" s="65">
        <v>35.290889541825628</v>
      </c>
    </row>
    <row r="712" spans="3:11" x14ac:dyDescent="0.35">
      <c r="C712">
        <v>1983</v>
      </c>
      <c r="D712" t="s">
        <v>1151</v>
      </c>
      <c r="E712">
        <v>4</v>
      </c>
      <c r="F712">
        <v>0.30230000000000001</v>
      </c>
      <c r="G712">
        <v>8.6E-3</v>
      </c>
      <c r="I712" s="65">
        <v>6.8261951066597826</v>
      </c>
      <c r="J712" s="65">
        <v>0.17636206671221569</v>
      </c>
      <c r="K712" s="65">
        <v>38.705574469132522</v>
      </c>
    </row>
    <row r="713" spans="3:11" x14ac:dyDescent="0.35">
      <c r="C713">
        <v>1984</v>
      </c>
      <c r="D713" t="s">
        <v>1151</v>
      </c>
      <c r="E713">
        <v>4</v>
      </c>
      <c r="F713">
        <v>0.30880000000000002</v>
      </c>
      <c r="G713">
        <v>8.3999999999999995E-3</v>
      </c>
      <c r="I713" s="65">
        <v>6.9592432511565328</v>
      </c>
      <c r="J713" s="65">
        <v>0.17161859017988129</v>
      </c>
      <c r="K713" s="65">
        <v>40.550637572900627</v>
      </c>
    </row>
    <row r="714" spans="3:11" x14ac:dyDescent="0.35">
      <c r="C714">
        <v>1985</v>
      </c>
      <c r="D714" t="s">
        <v>1151</v>
      </c>
      <c r="E714">
        <v>4</v>
      </c>
      <c r="F714">
        <v>0.33189999999999997</v>
      </c>
      <c r="G714">
        <v>8.3999999999999995E-3</v>
      </c>
      <c r="I714" s="65">
        <v>7.4281024662567594</v>
      </c>
      <c r="J714" s="65">
        <v>0.16938134633166091</v>
      </c>
      <c r="K714" s="65">
        <v>43.854312337983167</v>
      </c>
    </row>
    <row r="715" spans="3:11" x14ac:dyDescent="0.35">
      <c r="C715">
        <v>1986</v>
      </c>
      <c r="D715" t="s">
        <v>1151</v>
      </c>
      <c r="E715">
        <v>4</v>
      </c>
      <c r="F715">
        <v>0.3367</v>
      </c>
      <c r="G715">
        <v>8.6E-3</v>
      </c>
      <c r="I715" s="65">
        <v>7.524761275100178</v>
      </c>
      <c r="J715" s="65">
        <v>0.17294698641540021</v>
      </c>
      <c r="K715" s="65">
        <v>43.509062696394757</v>
      </c>
    </row>
    <row r="716" spans="3:11" x14ac:dyDescent="0.35">
      <c r="C716">
        <v>1987</v>
      </c>
      <c r="D716" t="s">
        <v>1151</v>
      </c>
      <c r="E716">
        <v>4</v>
      </c>
      <c r="F716">
        <v>0.33939999999999998</v>
      </c>
      <c r="G716">
        <v>8.2000000000000007E-3</v>
      </c>
      <c r="I716" s="65">
        <v>7.5790175050109099</v>
      </c>
      <c r="J716" s="65">
        <v>0.16465356569006451</v>
      </c>
      <c r="K716" s="65">
        <v>46.030084275716611</v>
      </c>
    </row>
    <row r="717" spans="3:11" x14ac:dyDescent="0.35">
      <c r="C717">
        <v>1988</v>
      </c>
      <c r="D717" t="s">
        <v>1151</v>
      </c>
      <c r="E717">
        <v>4</v>
      </c>
      <c r="F717">
        <v>0.3402</v>
      </c>
      <c r="G717">
        <v>9.1000000000000004E-3</v>
      </c>
      <c r="I717" s="65">
        <v>7.59507767079457</v>
      </c>
      <c r="J717" s="65">
        <v>0.18264348731611521</v>
      </c>
      <c r="K717" s="65">
        <v>41.584169150522079</v>
      </c>
    </row>
    <row r="718" spans="3:11" x14ac:dyDescent="0.35">
      <c r="C718">
        <v>1989</v>
      </c>
      <c r="D718" t="s">
        <v>1151</v>
      </c>
      <c r="E718">
        <v>4</v>
      </c>
      <c r="F718">
        <v>0.36809999999999998</v>
      </c>
      <c r="G718">
        <v>8.3999999999999995E-3</v>
      </c>
      <c r="I718" s="65">
        <v>8.1507313749599408</v>
      </c>
      <c r="J718" s="65">
        <v>0.16600872442615</v>
      </c>
      <c r="K718" s="65">
        <v>49.098210971350753</v>
      </c>
    </row>
    <row r="719" spans="3:11" x14ac:dyDescent="0.35">
      <c r="C719">
        <v>1990</v>
      </c>
      <c r="D719" t="s">
        <v>1151</v>
      </c>
      <c r="E719">
        <v>4</v>
      </c>
      <c r="F719">
        <v>0.37640000000000001</v>
      </c>
      <c r="G719">
        <v>8.6E-3</v>
      </c>
      <c r="I719" s="65">
        <v>8.3143919377751665</v>
      </c>
      <c r="J719" s="65">
        <v>0.16919205366624279</v>
      </c>
      <c r="K719" s="65">
        <v>49.141740156287582</v>
      </c>
    </row>
    <row r="720" spans="3:11" x14ac:dyDescent="0.35">
      <c r="C720">
        <v>1991</v>
      </c>
      <c r="D720" t="s">
        <v>1151</v>
      </c>
      <c r="E720">
        <v>4</v>
      </c>
      <c r="F720">
        <v>0.39329999999999998</v>
      </c>
      <c r="G720">
        <v>8.6999999999999994E-3</v>
      </c>
      <c r="I720" s="65">
        <v>8.6453539884810304</v>
      </c>
      <c r="J720" s="65">
        <v>0.16959997482591421</v>
      </c>
      <c r="K720" s="65">
        <v>50.974972121045703</v>
      </c>
    </row>
    <row r="721" spans="3:11" x14ac:dyDescent="0.35">
      <c r="C721">
        <v>1992</v>
      </c>
      <c r="D721" t="s">
        <v>1151</v>
      </c>
      <c r="E721">
        <v>4</v>
      </c>
      <c r="F721">
        <v>0.39660000000000001</v>
      </c>
      <c r="G721">
        <v>8.6999999999999994E-3</v>
      </c>
      <c r="I721" s="65">
        <v>8.7096279547539179</v>
      </c>
      <c r="J721" s="65">
        <v>0.16929932751080459</v>
      </c>
      <c r="K721" s="65">
        <v>51.445142061760841</v>
      </c>
    </row>
    <row r="722" spans="3:11" x14ac:dyDescent="0.35">
      <c r="C722">
        <v>1993</v>
      </c>
      <c r="D722" t="s">
        <v>1151</v>
      </c>
      <c r="E722">
        <v>4</v>
      </c>
      <c r="F722">
        <v>0.3962</v>
      </c>
      <c r="G722">
        <v>9.1999999999999998E-3</v>
      </c>
      <c r="I722" s="65">
        <v>8.7018432414701188</v>
      </c>
      <c r="J722" s="65">
        <v>0.17906764034907699</v>
      </c>
      <c r="K722" s="65">
        <v>48.595286253320943</v>
      </c>
    </row>
    <row r="723" spans="3:11" x14ac:dyDescent="0.35">
      <c r="C723">
        <v>1994</v>
      </c>
      <c r="D723" t="s">
        <v>1151</v>
      </c>
      <c r="E723">
        <v>4</v>
      </c>
      <c r="F723">
        <v>0.3957</v>
      </c>
      <c r="G723">
        <v>9.1000000000000004E-3</v>
      </c>
      <c r="I723" s="65">
        <v>8.692109997289732</v>
      </c>
      <c r="J723" s="65">
        <v>0.1771688401833017</v>
      </c>
      <c r="K723" s="65">
        <v>49.061166671841043</v>
      </c>
    </row>
    <row r="724" spans="3:11" x14ac:dyDescent="0.35">
      <c r="C724">
        <v>1995</v>
      </c>
      <c r="D724" t="s">
        <v>1151</v>
      </c>
      <c r="E724">
        <v>4</v>
      </c>
      <c r="F724">
        <v>0.44519999999999998</v>
      </c>
      <c r="G724">
        <v>1.01E-2</v>
      </c>
      <c r="I724" s="65">
        <v>9.6432722136610352</v>
      </c>
      <c r="J724" s="65">
        <v>0.1915646708687338</v>
      </c>
      <c r="K724" s="65">
        <v>50.339512864921268</v>
      </c>
    </row>
    <row r="725" spans="3:11" x14ac:dyDescent="0.35">
      <c r="C725">
        <v>1996</v>
      </c>
      <c r="D725" t="s">
        <v>1151</v>
      </c>
      <c r="E725">
        <v>4</v>
      </c>
      <c r="F725">
        <v>0.4365</v>
      </c>
      <c r="G725">
        <v>1.03E-2</v>
      </c>
      <c r="I725" s="65">
        <v>9.4778872397561109</v>
      </c>
      <c r="J725" s="65">
        <v>0.1962447334788528</v>
      </c>
      <c r="K725" s="65">
        <v>48.296262894501787</v>
      </c>
    </row>
    <row r="726" spans="3:11" x14ac:dyDescent="0.35">
      <c r="C726">
        <v>1997</v>
      </c>
      <c r="D726" t="s">
        <v>1151</v>
      </c>
      <c r="E726">
        <v>4</v>
      </c>
      <c r="F726">
        <v>0.44890000000000002</v>
      </c>
      <c r="G726">
        <v>9.9000000000000008E-3</v>
      </c>
      <c r="I726" s="65">
        <v>9.7133820954460539</v>
      </c>
      <c r="J726" s="65">
        <v>0.18741156786957619</v>
      </c>
      <c r="K726" s="65">
        <v>51.829149106771297</v>
      </c>
    </row>
    <row r="727" spans="3:11" x14ac:dyDescent="0.35">
      <c r="C727">
        <v>1998</v>
      </c>
      <c r="D727" t="s">
        <v>1151</v>
      </c>
      <c r="E727">
        <v>4</v>
      </c>
      <c r="F727">
        <v>0.47420000000000001</v>
      </c>
      <c r="G727">
        <v>0.01</v>
      </c>
      <c r="I727" s="65">
        <v>10.18921819719403</v>
      </c>
      <c r="J727" s="65">
        <v>0.1868627360554776</v>
      </c>
      <c r="K727" s="65">
        <v>54.527823001419357</v>
      </c>
    </row>
    <row r="728" spans="3:11" x14ac:dyDescent="0.35">
      <c r="C728">
        <v>1999</v>
      </c>
      <c r="D728" t="s">
        <v>1151</v>
      </c>
      <c r="E728">
        <v>4</v>
      </c>
      <c r="F728">
        <v>0.4793</v>
      </c>
      <c r="G728">
        <v>9.7000000000000003E-3</v>
      </c>
      <c r="I728" s="65">
        <v>10.28439480749037</v>
      </c>
      <c r="J728" s="65">
        <v>0.1807879790496614</v>
      </c>
      <c r="K728" s="65">
        <v>56.886496887413657</v>
      </c>
    </row>
    <row r="729" spans="3:11" x14ac:dyDescent="0.35">
      <c r="C729">
        <v>2000</v>
      </c>
      <c r="D729" t="s">
        <v>1151</v>
      </c>
      <c r="E729">
        <v>4</v>
      </c>
      <c r="F729">
        <v>0.50680000000000003</v>
      </c>
      <c r="G729">
        <v>8.8000000000000005E-3</v>
      </c>
      <c r="I729" s="65">
        <v>10.793403262313969</v>
      </c>
      <c r="J729" s="65">
        <v>0.16176366284648969</v>
      </c>
      <c r="K729" s="65">
        <v>66.723286752950713</v>
      </c>
    </row>
    <row r="730" spans="3:11" x14ac:dyDescent="0.35">
      <c r="C730">
        <v>2001</v>
      </c>
      <c r="D730" t="s">
        <v>1151</v>
      </c>
      <c r="E730">
        <v>4</v>
      </c>
      <c r="F730">
        <v>0.52710000000000001</v>
      </c>
      <c r="G730">
        <v>8.8000000000000005E-3</v>
      </c>
      <c r="I730" s="65">
        <v>11.164692063472719</v>
      </c>
      <c r="J730" s="65">
        <v>0.16014820413832759</v>
      </c>
      <c r="K730" s="65">
        <v>69.714750306093052</v>
      </c>
    </row>
    <row r="731" spans="3:11" x14ac:dyDescent="0.35">
      <c r="C731">
        <v>2002</v>
      </c>
      <c r="D731" t="s">
        <v>1151</v>
      </c>
      <c r="E731">
        <v>4</v>
      </c>
      <c r="F731">
        <v>0.502</v>
      </c>
      <c r="G731">
        <v>8.8000000000000005E-3</v>
      </c>
      <c r="I731" s="65">
        <v>10.705062936989579</v>
      </c>
      <c r="J731" s="65">
        <v>0.16215122400890619</v>
      </c>
      <c r="K731" s="65">
        <v>66.019007888596676</v>
      </c>
    </row>
    <row r="732" spans="3:11" x14ac:dyDescent="0.35">
      <c r="C732">
        <v>2003</v>
      </c>
      <c r="D732" t="s">
        <v>1151</v>
      </c>
      <c r="E732">
        <v>4</v>
      </c>
      <c r="F732">
        <v>0.48780000000000001</v>
      </c>
      <c r="G732">
        <v>8.9999999999999993E-3</v>
      </c>
      <c r="I732" s="65">
        <v>10.442477044561519</v>
      </c>
      <c r="J732" s="65">
        <v>0.1670221624884147</v>
      </c>
      <c r="K732" s="65">
        <v>62.521505463598857</v>
      </c>
    </row>
    <row r="733" spans="3:11" x14ac:dyDescent="0.35">
      <c r="C733">
        <v>2004</v>
      </c>
      <c r="D733" t="s">
        <v>1151</v>
      </c>
      <c r="E733">
        <v>4</v>
      </c>
      <c r="F733">
        <v>0.51980000000000004</v>
      </c>
      <c r="G733">
        <v>9.1999999999999998E-3</v>
      </c>
      <c r="I733" s="65">
        <v>11.031603033322851</v>
      </c>
      <c r="J733" s="65">
        <v>0.16803045596568139</v>
      </c>
      <c r="K733" s="65">
        <v>65.652401940609778</v>
      </c>
    </row>
    <row r="734" spans="3:11" x14ac:dyDescent="0.35">
      <c r="C734">
        <v>2005</v>
      </c>
      <c r="D734" t="s">
        <v>1151</v>
      </c>
      <c r="E734">
        <v>4</v>
      </c>
      <c r="F734">
        <v>0.54369999999999996</v>
      </c>
      <c r="G734">
        <v>8.8999999999999999E-3</v>
      </c>
      <c r="I734" s="65">
        <v>11.46556610563985</v>
      </c>
      <c r="J734" s="65">
        <v>0.16066002758635009</v>
      </c>
      <c r="K734" s="65">
        <v>71.365393607177339</v>
      </c>
    </row>
    <row r="735" spans="3:11" x14ac:dyDescent="0.35">
      <c r="C735">
        <v>2006</v>
      </c>
      <c r="D735" t="s">
        <v>1151</v>
      </c>
      <c r="E735">
        <v>4</v>
      </c>
      <c r="F735">
        <v>0.53879999999999995</v>
      </c>
      <c r="G735">
        <v>9.1999999999999998E-3</v>
      </c>
      <c r="I735" s="65">
        <v>11.37700734877269</v>
      </c>
      <c r="J735" s="65">
        <v>0.16647200214594299</v>
      </c>
      <c r="K735" s="65">
        <v>68.341866512776562</v>
      </c>
    </row>
    <row r="736" spans="3:11" x14ac:dyDescent="0.35">
      <c r="C736">
        <v>2007</v>
      </c>
      <c r="D736" t="s">
        <v>1151</v>
      </c>
      <c r="E736">
        <v>4</v>
      </c>
      <c r="F736">
        <v>0.53820000000000001</v>
      </c>
      <c r="G736">
        <v>8.6999999999999994E-3</v>
      </c>
      <c r="I736" s="65">
        <v>11.366148891238391</v>
      </c>
      <c r="J736" s="65">
        <v>0.1574706630076996</v>
      </c>
      <c r="K736" s="65">
        <v>72.179469331901146</v>
      </c>
    </row>
    <row r="737" spans="3:11" x14ac:dyDescent="0.35">
      <c r="C737">
        <v>2008</v>
      </c>
      <c r="D737" t="s">
        <v>1151</v>
      </c>
      <c r="E737">
        <v>4</v>
      </c>
      <c r="F737">
        <v>0.54690000000000005</v>
      </c>
      <c r="G737">
        <v>8.8000000000000005E-3</v>
      </c>
      <c r="I737" s="65">
        <v>11.523286658922499</v>
      </c>
      <c r="J737" s="65">
        <v>0.15860833321457729</v>
      </c>
      <c r="K737" s="65">
        <v>72.652466773816585</v>
      </c>
    </row>
    <row r="738" spans="3:11" x14ac:dyDescent="0.35">
      <c r="C738">
        <v>2009</v>
      </c>
      <c r="D738" t="s">
        <v>1151</v>
      </c>
      <c r="E738">
        <v>4</v>
      </c>
      <c r="F738">
        <v>0.54969999999999997</v>
      </c>
      <c r="G738">
        <v>9.1999999999999998E-3</v>
      </c>
      <c r="I738" s="65">
        <v>11.57371872753707</v>
      </c>
      <c r="J738" s="65">
        <v>0.16559305225097459</v>
      </c>
      <c r="K738" s="65">
        <v>69.892538184487506</v>
      </c>
    </row>
    <row r="739" spans="3:11" x14ac:dyDescent="0.35">
      <c r="C739">
        <v>2010</v>
      </c>
      <c r="D739" t="s">
        <v>1151</v>
      </c>
      <c r="E739">
        <v>4</v>
      </c>
      <c r="F739">
        <v>0.55030000000000001</v>
      </c>
      <c r="G739">
        <v>8.8000000000000005E-3</v>
      </c>
      <c r="I739" s="65">
        <v>11.584516706797411</v>
      </c>
      <c r="J739" s="65">
        <v>0.15834737583368011</v>
      </c>
      <c r="K739" s="65">
        <v>73.158880251764856</v>
      </c>
    </row>
    <row r="740" spans="3:11" x14ac:dyDescent="0.35">
      <c r="C740">
        <v>1980</v>
      </c>
      <c r="D740" t="s">
        <v>1151</v>
      </c>
      <c r="E740">
        <v>4</v>
      </c>
      <c r="F740">
        <v>0.15379999999999999</v>
      </c>
      <c r="G740">
        <v>1.0500000000000001E-2</v>
      </c>
      <c r="I740" s="65">
        <v>3.6412479372035289</v>
      </c>
      <c r="J740" s="65">
        <v>0.23579327078796949</v>
      </c>
      <c r="K740" s="65">
        <v>15.4425439073612</v>
      </c>
    </row>
    <row r="741" spans="3:11" x14ac:dyDescent="0.35">
      <c r="C741">
        <v>1981</v>
      </c>
      <c r="D741" t="s">
        <v>1151</v>
      </c>
      <c r="E741">
        <v>4</v>
      </c>
      <c r="F741">
        <v>0.14280000000000001</v>
      </c>
      <c r="G741">
        <v>1.15E-2</v>
      </c>
      <c r="I741" s="65">
        <v>3.3933383343153878</v>
      </c>
      <c r="J741" s="65">
        <v>0.26011187234087918</v>
      </c>
      <c r="K741" s="65">
        <v>13.045688010228091</v>
      </c>
    </row>
    <row r="742" spans="3:11" x14ac:dyDescent="0.35">
      <c r="C742">
        <v>1982</v>
      </c>
      <c r="D742" t="s">
        <v>1151</v>
      </c>
      <c r="E742">
        <v>4</v>
      </c>
      <c r="F742">
        <v>0.18959999999999999</v>
      </c>
      <c r="G742">
        <v>1.1599999999999999E-2</v>
      </c>
      <c r="I742" s="65">
        <v>4.4360022384464237</v>
      </c>
      <c r="J742" s="65">
        <v>0.2545934822557957</v>
      </c>
      <c r="K742" s="65">
        <v>17.42386411129517</v>
      </c>
    </row>
    <row r="743" spans="3:11" x14ac:dyDescent="0.35">
      <c r="C743">
        <v>1983</v>
      </c>
      <c r="D743" t="s">
        <v>1151</v>
      </c>
      <c r="E743">
        <v>4</v>
      </c>
      <c r="F743">
        <v>0.1908</v>
      </c>
      <c r="G743">
        <v>1.1299999999999999E-2</v>
      </c>
      <c r="I743" s="65">
        <v>4.4623295382741901</v>
      </c>
      <c r="J743" s="65">
        <v>0.24782170049179089</v>
      </c>
      <c r="K743" s="65">
        <v>18.006209825123872</v>
      </c>
    </row>
    <row r="744" spans="3:11" x14ac:dyDescent="0.35">
      <c r="C744">
        <v>1984</v>
      </c>
      <c r="D744" t="s">
        <v>1151</v>
      </c>
      <c r="E744">
        <v>4</v>
      </c>
      <c r="F744">
        <v>0.18179999999999999</v>
      </c>
      <c r="G744">
        <v>1.0999999999999999E-2</v>
      </c>
      <c r="I744" s="65">
        <v>4.2643875231113793</v>
      </c>
      <c r="J744" s="65">
        <v>0.2426189420278865</v>
      </c>
      <c r="K744" s="65">
        <v>17.576482229574768</v>
      </c>
    </row>
    <row r="745" spans="3:11" x14ac:dyDescent="0.35">
      <c r="C745">
        <v>1985</v>
      </c>
      <c r="D745" t="s">
        <v>1151</v>
      </c>
      <c r="E745">
        <v>4</v>
      </c>
      <c r="F745">
        <v>0.2137</v>
      </c>
      <c r="G745">
        <v>1.17E-2</v>
      </c>
      <c r="I745" s="65">
        <v>4.9609705774644963</v>
      </c>
      <c r="J745" s="65">
        <v>0.25295446892896412</v>
      </c>
      <c r="K745" s="65">
        <v>19.612108845001909</v>
      </c>
    </row>
    <row r="746" spans="3:11" x14ac:dyDescent="0.35">
      <c r="C746">
        <v>1986</v>
      </c>
      <c r="D746" t="s">
        <v>1151</v>
      </c>
      <c r="E746">
        <v>4</v>
      </c>
      <c r="F746">
        <v>0.20030000000000001</v>
      </c>
      <c r="G746">
        <v>1.14E-2</v>
      </c>
      <c r="I746" s="65">
        <v>4.6700547956584071</v>
      </c>
      <c r="J746" s="65">
        <v>0.24852924782773181</v>
      </c>
      <c r="K746" s="65">
        <v>18.790765418867149</v>
      </c>
    </row>
    <row r="747" spans="3:11" x14ac:dyDescent="0.35">
      <c r="C747">
        <v>1987</v>
      </c>
      <c r="D747" t="s">
        <v>1151</v>
      </c>
      <c r="E747">
        <v>4</v>
      </c>
      <c r="F747">
        <v>0.20619999999999999</v>
      </c>
      <c r="G747">
        <v>1.0800000000000001E-2</v>
      </c>
      <c r="I747" s="65">
        <v>4.7984431666746152</v>
      </c>
      <c r="J747" s="65">
        <v>0.2345844773255028</v>
      </c>
      <c r="K747" s="65">
        <v>20.455075380015149</v>
      </c>
    </row>
    <row r="748" spans="3:11" x14ac:dyDescent="0.35">
      <c r="C748">
        <v>1988</v>
      </c>
      <c r="D748" t="s">
        <v>1151</v>
      </c>
      <c r="E748">
        <v>4</v>
      </c>
      <c r="F748">
        <v>0.18629999999999999</v>
      </c>
      <c r="G748">
        <v>1.2200000000000001E-2</v>
      </c>
      <c r="I748" s="65">
        <v>4.3634993163400804</v>
      </c>
      <c r="J748" s="65">
        <v>0.26832055375102187</v>
      </c>
      <c r="K748" s="65">
        <v>16.26226263825107</v>
      </c>
    </row>
    <row r="749" spans="3:11" x14ac:dyDescent="0.35">
      <c r="C749">
        <v>1989</v>
      </c>
      <c r="D749" t="s">
        <v>1151</v>
      </c>
      <c r="E749">
        <v>4</v>
      </c>
      <c r="F749">
        <v>0.21820000000000001</v>
      </c>
      <c r="G749">
        <v>1.1299999999999999E-2</v>
      </c>
      <c r="I749" s="65">
        <v>5.0581257796572956</v>
      </c>
      <c r="J749" s="65">
        <v>0.24362929348836959</v>
      </c>
      <c r="K749" s="65">
        <v>20.761566506364151</v>
      </c>
    </row>
    <row r="750" spans="3:11" x14ac:dyDescent="0.35">
      <c r="C750">
        <v>1990</v>
      </c>
      <c r="D750" t="s">
        <v>1151</v>
      </c>
      <c r="E750">
        <v>4</v>
      </c>
      <c r="F750">
        <v>0.21690000000000001</v>
      </c>
      <c r="G750">
        <v>1.17E-2</v>
      </c>
      <c r="I750" s="65">
        <v>5.030086407540324</v>
      </c>
      <c r="J750" s="65">
        <v>0.25245542176189939</v>
      </c>
      <c r="K750" s="65">
        <v>19.92465193432999</v>
      </c>
    </row>
    <row r="751" spans="3:11" x14ac:dyDescent="0.35">
      <c r="C751">
        <v>1991</v>
      </c>
      <c r="D751" t="s">
        <v>1151</v>
      </c>
      <c r="E751">
        <v>4</v>
      </c>
      <c r="F751">
        <v>0.21840000000000001</v>
      </c>
      <c r="G751">
        <v>1.1900000000000001E-2</v>
      </c>
      <c r="I751" s="65">
        <v>5.0624375371012498</v>
      </c>
      <c r="J751" s="65">
        <v>0.25653377517471793</v>
      </c>
      <c r="K751" s="65">
        <v>19.734000069399698</v>
      </c>
    </row>
    <row r="752" spans="3:11" x14ac:dyDescent="0.35">
      <c r="C752">
        <v>1992</v>
      </c>
      <c r="D752" t="s">
        <v>1151</v>
      </c>
      <c r="E752">
        <v>4</v>
      </c>
      <c r="F752">
        <v>0.20269999999999999</v>
      </c>
      <c r="G752">
        <v>1.2E-2</v>
      </c>
      <c r="I752" s="65">
        <v>4.7223375566132431</v>
      </c>
      <c r="J752" s="65">
        <v>0.2612181031594244</v>
      </c>
      <c r="K752" s="65">
        <v>18.078140448524529</v>
      </c>
    </row>
    <row r="753" spans="3:11" x14ac:dyDescent="0.35">
      <c r="C753">
        <v>1993</v>
      </c>
      <c r="D753" t="s">
        <v>1151</v>
      </c>
      <c r="E753">
        <v>4</v>
      </c>
      <c r="F753">
        <v>0.21340000000000001</v>
      </c>
      <c r="G753">
        <v>1.23E-2</v>
      </c>
      <c r="I753" s="65">
        <v>4.954483964154055</v>
      </c>
      <c r="J753" s="65">
        <v>0.26597580203541599</v>
      </c>
      <c r="K753" s="65">
        <v>18.627574111025108</v>
      </c>
    </row>
    <row r="754" spans="3:11" x14ac:dyDescent="0.35">
      <c r="C754">
        <v>1994</v>
      </c>
      <c r="D754" t="s">
        <v>1151</v>
      </c>
      <c r="E754">
        <v>4</v>
      </c>
      <c r="F754">
        <v>0.21190000000000001</v>
      </c>
      <c r="G754">
        <v>1.2E-2</v>
      </c>
      <c r="I754" s="65">
        <v>4.922032843381019</v>
      </c>
      <c r="J754" s="65">
        <v>0.25972943190869141</v>
      </c>
      <c r="K754" s="65">
        <v>18.950616444236381</v>
      </c>
    </row>
    <row r="755" spans="3:11" x14ac:dyDescent="0.35">
      <c r="C755">
        <v>1995</v>
      </c>
      <c r="D755" t="s">
        <v>1152</v>
      </c>
      <c r="E755">
        <v>4</v>
      </c>
      <c r="F755">
        <v>0.24110000000000001</v>
      </c>
      <c r="G755">
        <v>1.37E-2</v>
      </c>
      <c r="I755" s="65">
        <v>5.5484096354667223</v>
      </c>
      <c r="J755" s="65">
        <v>0.29127653130406378</v>
      </c>
      <c r="K755" s="65">
        <v>19.048598287771881</v>
      </c>
    </row>
    <row r="756" spans="3:11" x14ac:dyDescent="0.35">
      <c r="C756">
        <v>1996</v>
      </c>
      <c r="D756" t="s">
        <v>1152</v>
      </c>
      <c r="E756">
        <v>4</v>
      </c>
      <c r="F756">
        <v>0.2283</v>
      </c>
      <c r="G756">
        <v>1.3599999999999999E-2</v>
      </c>
      <c r="I756" s="65">
        <v>5.2752091638231802</v>
      </c>
      <c r="J756" s="65">
        <v>0.29140740141414873</v>
      </c>
      <c r="K756" s="65">
        <v>18.102522922285161</v>
      </c>
    </row>
    <row r="757" spans="3:11" x14ac:dyDescent="0.35">
      <c r="C757">
        <v>1997</v>
      </c>
      <c r="D757" t="s">
        <v>1152</v>
      </c>
      <c r="E757">
        <v>4</v>
      </c>
      <c r="F757">
        <v>0.25369999999999998</v>
      </c>
      <c r="G757">
        <v>1.3100000000000001E-2</v>
      </c>
      <c r="I757" s="65">
        <v>5.8152851147362128</v>
      </c>
      <c r="J757" s="65">
        <v>0.27641785016412312</v>
      </c>
      <c r="K757" s="65">
        <v>21.038023091791601</v>
      </c>
    </row>
    <row r="758" spans="3:11" x14ac:dyDescent="0.35">
      <c r="C758">
        <v>1998</v>
      </c>
      <c r="D758" t="s">
        <v>1152</v>
      </c>
      <c r="E758">
        <v>4</v>
      </c>
      <c r="F758">
        <v>0.25</v>
      </c>
      <c r="G758">
        <v>1.2999999999999999E-2</v>
      </c>
      <c r="I758" s="65">
        <v>5.7371263440564091</v>
      </c>
      <c r="J758" s="65">
        <v>0.27491652849454667</v>
      </c>
      <c r="K758" s="65">
        <v>20.86861192185545</v>
      </c>
    </row>
    <row r="759" spans="3:11" x14ac:dyDescent="0.35">
      <c r="C759">
        <v>1999</v>
      </c>
      <c r="D759" t="s">
        <v>1152</v>
      </c>
      <c r="E759">
        <v>4</v>
      </c>
      <c r="F759">
        <v>0.25590000000000002</v>
      </c>
      <c r="G759">
        <v>1.2800000000000001E-2</v>
      </c>
      <c r="I759" s="65">
        <v>5.8616759166673296</v>
      </c>
      <c r="J759" s="65">
        <v>0.26973275175836892</v>
      </c>
      <c r="K759" s="65">
        <v>21.731420743144749</v>
      </c>
    </row>
    <row r="760" spans="3:11" x14ac:dyDescent="0.35">
      <c r="C760">
        <v>2000</v>
      </c>
      <c r="D760" t="s">
        <v>1152</v>
      </c>
      <c r="E760">
        <v>4</v>
      </c>
      <c r="F760">
        <v>0.26229999999999998</v>
      </c>
      <c r="G760">
        <v>1.11E-2</v>
      </c>
      <c r="I760" s="65">
        <v>5.9962853290306706</v>
      </c>
      <c r="J760" s="65">
        <v>0.23301884796645811</v>
      </c>
      <c r="K760" s="65">
        <v>25.733048555341782</v>
      </c>
    </row>
    <row r="761" spans="3:11" x14ac:dyDescent="0.35">
      <c r="C761">
        <v>2001</v>
      </c>
      <c r="D761" t="s">
        <v>1152</v>
      </c>
      <c r="E761">
        <v>4</v>
      </c>
      <c r="F761">
        <v>0.27760000000000001</v>
      </c>
      <c r="G761">
        <v>1.12E-2</v>
      </c>
      <c r="I761" s="65">
        <v>6.3160238193464169</v>
      </c>
      <c r="J761" s="65">
        <v>0.23300318307308229</v>
      </c>
      <c r="K761" s="65">
        <v>27.10702805019352</v>
      </c>
    </row>
    <row r="762" spans="3:11" x14ac:dyDescent="0.35">
      <c r="C762">
        <v>2002</v>
      </c>
      <c r="D762" t="s">
        <v>1152</v>
      </c>
      <c r="E762">
        <v>4</v>
      </c>
      <c r="F762">
        <v>0.27350000000000002</v>
      </c>
      <c r="G762">
        <v>1.18E-2</v>
      </c>
      <c r="I762" s="65">
        <v>6.2306251712867189</v>
      </c>
      <c r="J762" s="65">
        <v>0.24607800883808079</v>
      </c>
      <c r="K762" s="65">
        <v>25.31971548658974</v>
      </c>
    </row>
    <row r="763" spans="3:11" x14ac:dyDescent="0.35">
      <c r="C763">
        <v>2003</v>
      </c>
      <c r="D763" t="s">
        <v>1152</v>
      </c>
      <c r="E763">
        <v>4</v>
      </c>
      <c r="F763">
        <v>0.20880000000000001</v>
      </c>
      <c r="G763">
        <v>1.1599999999999999E-2</v>
      </c>
      <c r="I763" s="65">
        <v>4.8548716155229599</v>
      </c>
      <c r="J763" s="65">
        <v>0.25155453977913339</v>
      </c>
      <c r="K763" s="65">
        <v>19.299479229377329</v>
      </c>
    </row>
    <row r="764" spans="3:11" x14ac:dyDescent="0.35">
      <c r="C764">
        <v>2004</v>
      </c>
      <c r="D764" t="s">
        <v>1152</v>
      </c>
      <c r="E764">
        <v>4</v>
      </c>
      <c r="F764">
        <v>0.2651</v>
      </c>
      <c r="G764">
        <v>1.14E-2</v>
      </c>
      <c r="I764" s="65">
        <v>6.0550160277257126</v>
      </c>
      <c r="J764" s="65">
        <v>0.23891929150187199</v>
      </c>
      <c r="K764" s="65">
        <v>25.343353354445512</v>
      </c>
    </row>
    <row r="765" spans="3:11" x14ac:dyDescent="0.35">
      <c r="C765">
        <v>2005</v>
      </c>
      <c r="D765" t="s">
        <v>1152</v>
      </c>
      <c r="E765">
        <v>4</v>
      </c>
      <c r="F765">
        <v>0.26740000000000003</v>
      </c>
      <c r="G765">
        <v>1.1299999999999999E-2</v>
      </c>
      <c r="I765" s="65">
        <v>6.1031862143922533</v>
      </c>
      <c r="J765" s="65">
        <v>0.23650110545657099</v>
      </c>
      <c r="K765" s="65">
        <v>25.806163580546091</v>
      </c>
    </row>
    <row r="766" spans="3:11" x14ac:dyDescent="0.35">
      <c r="C766">
        <v>2006</v>
      </c>
      <c r="D766" t="s">
        <v>1152</v>
      </c>
      <c r="E766">
        <v>4</v>
      </c>
      <c r="F766">
        <v>0.26040000000000002</v>
      </c>
      <c r="G766">
        <v>1.1599999999999999E-2</v>
      </c>
      <c r="I766" s="65">
        <v>5.956376686582443</v>
      </c>
      <c r="J766" s="65">
        <v>0.24379045730806809</v>
      </c>
      <c r="K766" s="65">
        <v>24.432361924058458</v>
      </c>
    </row>
    <row r="767" spans="3:11" x14ac:dyDescent="0.35">
      <c r="C767">
        <v>2007</v>
      </c>
      <c r="D767" t="s">
        <v>1152</v>
      </c>
      <c r="E767">
        <v>4</v>
      </c>
      <c r="F767">
        <v>0.25879999999999997</v>
      </c>
      <c r="G767">
        <v>1.12E-2</v>
      </c>
      <c r="I767" s="65">
        <v>5.9227343973171864</v>
      </c>
      <c r="J767" s="65">
        <v>0.2356082430191358</v>
      </c>
      <c r="K767" s="65">
        <v>25.138061051778021</v>
      </c>
    </row>
    <row r="768" spans="3:11" x14ac:dyDescent="0.35">
      <c r="C768">
        <v>2008</v>
      </c>
      <c r="D768" t="s">
        <v>1152</v>
      </c>
      <c r="E768">
        <v>4</v>
      </c>
      <c r="F768">
        <v>0.28289999999999998</v>
      </c>
      <c r="G768">
        <v>1.15E-2</v>
      </c>
      <c r="I768" s="65">
        <v>6.4261131413112293</v>
      </c>
      <c r="J768" s="65">
        <v>0.2385026699518823</v>
      </c>
      <c r="K768" s="65">
        <v>26.943568986492661</v>
      </c>
    </row>
    <row r="769" spans="1:11" x14ac:dyDescent="0.35">
      <c r="C769">
        <v>2009</v>
      </c>
      <c r="D769" t="s">
        <v>1152</v>
      </c>
      <c r="E769">
        <v>4</v>
      </c>
      <c r="F769">
        <v>0.26850000000000002</v>
      </c>
      <c r="G769">
        <v>1.1299999999999999E-2</v>
      </c>
      <c r="I769" s="65">
        <v>6.126200956654837</v>
      </c>
      <c r="J769" s="65">
        <v>0.2363472744994482</v>
      </c>
      <c r="K769" s="65">
        <v>25.920336799437649</v>
      </c>
    </row>
    <row r="770" spans="1:11" x14ac:dyDescent="0.35">
      <c r="C770">
        <v>2010</v>
      </c>
      <c r="D770" t="s">
        <v>1152</v>
      </c>
      <c r="E770">
        <v>4</v>
      </c>
      <c r="F770">
        <v>0.27460000000000001</v>
      </c>
      <c r="G770">
        <v>1.14E-2</v>
      </c>
      <c r="I770" s="65">
        <v>6.2535572200919542</v>
      </c>
      <c r="J770" s="65">
        <v>0.23758248711537899</v>
      </c>
      <c r="K770" s="65">
        <v>26.321625369023899</v>
      </c>
    </row>
    <row r="773" spans="1:11" x14ac:dyDescent="0.35">
      <c r="A773" s="67" t="s">
        <v>1172</v>
      </c>
      <c r="C773" t="s">
        <v>1149</v>
      </c>
    </row>
    <row r="775" spans="1:11" x14ac:dyDescent="0.35">
      <c r="B775" t="s">
        <v>1176</v>
      </c>
      <c r="C775" t="s">
        <v>409</v>
      </c>
      <c r="D775" t="s">
        <v>193</v>
      </c>
      <c r="E775" t="s">
        <v>322</v>
      </c>
      <c r="F775" t="s">
        <v>1139</v>
      </c>
      <c r="G775" t="s">
        <v>143</v>
      </c>
      <c r="I775" t="s">
        <v>144</v>
      </c>
      <c r="J775" t="s">
        <v>143</v>
      </c>
      <c r="K775" t="s">
        <v>145</v>
      </c>
    </row>
    <row r="776" spans="1:11" x14ac:dyDescent="0.35">
      <c r="B776" t="s">
        <v>1177</v>
      </c>
      <c r="C776" t="s">
        <v>174</v>
      </c>
      <c r="D776">
        <v>0</v>
      </c>
      <c r="E776">
        <v>0</v>
      </c>
      <c r="F776" t="s">
        <v>83</v>
      </c>
      <c r="G776" t="s">
        <v>83</v>
      </c>
      <c r="I776" s="65" t="s">
        <v>83</v>
      </c>
      <c r="J776" s="65" t="s">
        <v>83</v>
      </c>
      <c r="K776" s="65" t="s">
        <v>83</v>
      </c>
    </row>
    <row r="777" spans="1:11" x14ac:dyDescent="0.35">
      <c r="B777" t="s">
        <v>1178</v>
      </c>
      <c r="C777" t="s">
        <v>1185</v>
      </c>
      <c r="D777">
        <v>4</v>
      </c>
      <c r="E777">
        <v>4</v>
      </c>
      <c r="F777">
        <v>0.36720000000000003</v>
      </c>
      <c r="G777">
        <v>1.0880000000000001E-2</v>
      </c>
      <c r="I777" s="65">
        <v>8.1329403363969099</v>
      </c>
      <c r="J777" s="65">
        <v>0.21512697316778789</v>
      </c>
      <c r="K777" s="65">
        <v>37.805302685375658</v>
      </c>
    </row>
    <row r="778" spans="1:11" x14ac:dyDescent="0.35">
      <c r="B778" t="s">
        <v>1179</v>
      </c>
      <c r="C778" t="s">
        <v>1186</v>
      </c>
      <c r="D778">
        <v>4</v>
      </c>
      <c r="E778">
        <v>8</v>
      </c>
      <c r="F778">
        <v>0.69072</v>
      </c>
      <c r="G778">
        <v>1.619E-2</v>
      </c>
      <c r="I778" s="65">
        <v>6.7846826330989263</v>
      </c>
      <c r="J778" s="65">
        <v>0.12781862252693171</v>
      </c>
      <c r="K778" s="65">
        <v>53.080548819632106</v>
      </c>
    </row>
    <row r="779" spans="1:11" x14ac:dyDescent="0.35">
      <c r="B779" t="s">
        <v>1180</v>
      </c>
      <c r="C779" t="s">
        <v>1187</v>
      </c>
      <c r="D779">
        <v>3</v>
      </c>
      <c r="E779">
        <v>11</v>
      </c>
      <c r="F779">
        <v>1.18726</v>
      </c>
      <c r="G779">
        <v>2.266E-2</v>
      </c>
      <c r="I779" s="65">
        <v>7.3742237934721233</v>
      </c>
      <c r="J779" s="65">
        <v>0.10112693553329399</v>
      </c>
      <c r="K779" s="65">
        <v>72.920471233347243</v>
      </c>
    </row>
    <row r="780" spans="1:11" x14ac:dyDescent="0.35">
      <c r="B780" t="s">
        <v>1181</v>
      </c>
      <c r="C780" t="s">
        <v>1188</v>
      </c>
      <c r="D780">
        <v>3</v>
      </c>
      <c r="E780">
        <v>11</v>
      </c>
      <c r="F780">
        <v>1.1603699999999999</v>
      </c>
      <c r="G780">
        <v>2.7810000000000001E-2</v>
      </c>
      <c r="I780" s="65">
        <v>7.2535433382302061</v>
      </c>
      <c r="J780" s="65">
        <v>0.12551389725060491</v>
      </c>
      <c r="K780" s="65">
        <v>57.79075861016058</v>
      </c>
    </row>
    <row r="781" spans="1:11" x14ac:dyDescent="0.35">
      <c r="B781" t="s">
        <v>1182</v>
      </c>
      <c r="C781" t="s">
        <v>1189</v>
      </c>
      <c r="D781">
        <v>4</v>
      </c>
      <c r="E781">
        <v>15</v>
      </c>
      <c r="F781">
        <v>2.3220299999999998</v>
      </c>
      <c r="G781">
        <v>3.9969999999999999E-2</v>
      </c>
      <c r="I781" s="65">
        <v>8.332866971988139</v>
      </c>
      <c r="J781" s="65">
        <v>8.6895958051158795E-2</v>
      </c>
      <c r="K781" s="65">
        <v>95.894759191011843</v>
      </c>
    </row>
    <row r="782" spans="1:11" x14ac:dyDescent="0.35">
      <c r="B782" t="s">
        <v>1183</v>
      </c>
      <c r="C782" t="s">
        <v>1190</v>
      </c>
      <c r="D782">
        <v>4</v>
      </c>
      <c r="E782">
        <v>15</v>
      </c>
      <c r="F782">
        <v>2.09362</v>
      </c>
      <c r="G782">
        <v>4.2680000000000003E-2</v>
      </c>
      <c r="I782" s="65">
        <v>7.8196202278534077</v>
      </c>
      <c r="J782" s="65">
        <v>9.9166271042226348E-2</v>
      </c>
      <c r="K782" s="65">
        <v>78.85362780782296</v>
      </c>
    </row>
    <row r="783" spans="1:11" x14ac:dyDescent="0.35">
      <c r="B783" t="s">
        <v>1184</v>
      </c>
      <c r="C783" t="s">
        <v>1191</v>
      </c>
      <c r="D783">
        <v>4</v>
      </c>
      <c r="E783">
        <v>15</v>
      </c>
      <c r="F783">
        <v>1.72776</v>
      </c>
      <c r="G783">
        <v>4.8939999999999997E-2</v>
      </c>
      <c r="I783" s="65">
        <v>6.9187182530897173</v>
      </c>
      <c r="J783" s="65">
        <v>0.12788520180920629</v>
      </c>
      <c r="K783" s="65">
        <v>54.101007428614359</v>
      </c>
    </row>
    <row r="787" spans="1:13" x14ac:dyDescent="0.35">
      <c r="A787" s="67" t="s">
        <v>1196</v>
      </c>
      <c r="C787" t="s">
        <v>207</v>
      </c>
    </row>
    <row r="790" spans="1:13" x14ac:dyDescent="0.35">
      <c r="B790" t="s">
        <v>1205</v>
      </c>
      <c r="C790" t="s">
        <v>1203</v>
      </c>
      <c r="D790" t="s">
        <v>409</v>
      </c>
      <c r="E790" t="s">
        <v>193</v>
      </c>
      <c r="F790" t="s">
        <v>322</v>
      </c>
      <c r="G790" t="s">
        <v>1139</v>
      </c>
      <c r="H790" t="s">
        <v>1202</v>
      </c>
      <c r="I790" t="s">
        <v>143</v>
      </c>
      <c r="K790" t="s">
        <v>144</v>
      </c>
      <c r="L790" t="s">
        <v>143</v>
      </c>
      <c r="M790" t="s">
        <v>145</v>
      </c>
    </row>
    <row r="791" spans="1:13" x14ac:dyDescent="0.3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3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3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3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3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3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3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3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3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3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3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3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3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3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3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3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3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3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3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3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3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3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3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3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3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3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3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3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3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3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35">
      <c r="A823" s="67" t="s">
        <v>1207</v>
      </c>
      <c r="C823" t="s">
        <v>1211</v>
      </c>
      <c r="D823" t="s">
        <v>1213</v>
      </c>
    </row>
    <row r="826" spans="1:13" x14ac:dyDescent="0.35">
      <c r="B826" t="s">
        <v>278</v>
      </c>
      <c r="C826" t="s">
        <v>1212</v>
      </c>
      <c r="D826" t="s">
        <v>409</v>
      </c>
      <c r="E826" t="s">
        <v>193</v>
      </c>
      <c r="F826" t="s">
        <v>322</v>
      </c>
      <c r="G826" t="s">
        <v>1139</v>
      </c>
      <c r="H826" t="s">
        <v>143</v>
      </c>
      <c r="K826" t="s">
        <v>144</v>
      </c>
      <c r="L826" t="s">
        <v>143</v>
      </c>
      <c r="M826" t="s">
        <v>145</v>
      </c>
    </row>
    <row r="827" spans="1:13" x14ac:dyDescent="0.35">
      <c r="B827">
        <v>1979</v>
      </c>
      <c r="C827">
        <v>2</v>
      </c>
      <c r="D827" t="s">
        <v>1214</v>
      </c>
      <c r="E827">
        <v>2</v>
      </c>
      <c r="F827">
        <v>2</v>
      </c>
      <c r="G827">
        <v>5.0999999999999997E-2</v>
      </c>
      <c r="H827">
        <v>1.9E-2</v>
      </c>
      <c r="K827" s="65">
        <v>2.5182910509144119</v>
      </c>
      <c r="L827" s="65">
        <v>0.92666390578847491</v>
      </c>
      <c r="M827" s="65">
        <v>2.7175883674584931</v>
      </c>
    </row>
    <row r="828" spans="1:13" x14ac:dyDescent="0.35">
      <c r="B828">
        <v>1979</v>
      </c>
      <c r="C828">
        <v>2</v>
      </c>
      <c r="D828" t="s">
        <v>1215</v>
      </c>
      <c r="E828">
        <v>2</v>
      </c>
      <c r="F828">
        <v>2</v>
      </c>
      <c r="G828">
        <v>5.1999999999999998E-2</v>
      </c>
      <c r="H828">
        <v>1.4E-2</v>
      </c>
      <c r="K828" s="65">
        <v>2.567051239664675</v>
      </c>
      <c r="L828" s="65">
        <v>0.68248037897115288</v>
      </c>
      <c r="M828" s="65">
        <v>3.7613553719075918</v>
      </c>
    </row>
    <row r="829" spans="1:13" x14ac:dyDescent="0.3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3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35">
      <c r="B831">
        <v>1979</v>
      </c>
      <c r="C831">
        <v>3</v>
      </c>
      <c r="D831" t="s">
        <v>1214</v>
      </c>
      <c r="E831">
        <v>2</v>
      </c>
      <c r="F831">
        <v>2</v>
      </c>
      <c r="G831">
        <v>5.2999999999999999E-2</v>
      </c>
      <c r="H831">
        <v>1.9E-2</v>
      </c>
      <c r="K831" s="65">
        <v>2.615788258922414</v>
      </c>
      <c r="L831" s="65">
        <v>0.92578346482408647</v>
      </c>
      <c r="M831" s="65">
        <v>2.8254860432395552</v>
      </c>
    </row>
    <row r="832" spans="1:13" x14ac:dyDescent="0.35">
      <c r="B832">
        <v>1979</v>
      </c>
      <c r="C832">
        <v>3</v>
      </c>
      <c r="D832" t="s">
        <v>1215</v>
      </c>
      <c r="E832">
        <v>2</v>
      </c>
      <c r="F832">
        <v>2</v>
      </c>
      <c r="G832">
        <v>5.0999999999999997E-2</v>
      </c>
      <c r="H832">
        <v>1.4E-2</v>
      </c>
      <c r="K832" s="65">
        <v>2.5182910509144119</v>
      </c>
      <c r="L832" s="65">
        <v>0.68280498321256045</v>
      </c>
      <c r="M832" s="65">
        <v>3.6881556415508112</v>
      </c>
    </row>
    <row r="833" spans="2:93" x14ac:dyDescent="0.3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3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35">
      <c r="B835">
        <v>1979</v>
      </c>
      <c r="C835">
        <v>4</v>
      </c>
      <c r="D835" t="s">
        <v>1214</v>
      </c>
      <c r="E835">
        <v>2</v>
      </c>
      <c r="F835">
        <v>2</v>
      </c>
      <c r="G835">
        <v>4.8000000000000001E-2</v>
      </c>
      <c r="H835">
        <v>1.9E-2</v>
      </c>
      <c r="K835" s="65">
        <v>2.3718711365578131</v>
      </c>
      <c r="L835" s="65">
        <v>0.92798928988291918</v>
      </c>
      <c r="M835" s="65">
        <v>2.5559251194128141</v>
      </c>
    </row>
    <row r="836" spans="2:93" x14ac:dyDescent="0.35">
      <c r="B836">
        <v>1979</v>
      </c>
      <c r="C836">
        <v>4</v>
      </c>
      <c r="D836" t="s">
        <v>1215</v>
      </c>
      <c r="E836">
        <v>2</v>
      </c>
      <c r="F836">
        <v>2</v>
      </c>
      <c r="G836">
        <v>4.3999999999999997E-2</v>
      </c>
      <c r="H836">
        <v>1.4E-2</v>
      </c>
      <c r="K836" s="65">
        <v>2.1763181955584132</v>
      </c>
      <c r="L836" s="65">
        <v>0.68509025610048746</v>
      </c>
      <c r="M836" s="65">
        <v>3.1766882920594268</v>
      </c>
    </row>
    <row r="837" spans="2:93" x14ac:dyDescent="0.35">
      <c r="B837">
        <v>1979</v>
      </c>
      <c r="C837">
        <v>4</v>
      </c>
      <c r="D837" t="s">
        <v>205</v>
      </c>
      <c r="E837">
        <v>4</v>
      </c>
      <c r="F837">
        <v>4</v>
      </c>
      <c r="G837">
        <v>0.128</v>
      </c>
      <c r="H837">
        <v>1.7999999999999999E-2</v>
      </c>
      <c r="K837" s="65">
        <v>3.056947547855327</v>
      </c>
      <c r="L837" s="65">
        <v>0.41113143968559301</v>
      </c>
      <c r="M837" s="65">
        <v>7.4354506923457002</v>
      </c>
    </row>
    <row r="838" spans="2:93" x14ac:dyDescent="0.3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35">
      <c r="B839">
        <v>1986</v>
      </c>
      <c r="C839">
        <v>2</v>
      </c>
      <c r="D839" t="s">
        <v>1214</v>
      </c>
      <c r="E839">
        <v>2</v>
      </c>
      <c r="F839">
        <v>2</v>
      </c>
      <c r="G839">
        <v>3.1E-2</v>
      </c>
      <c r="H839">
        <v>2.7E-2</v>
      </c>
      <c r="K839" s="65">
        <v>1.5381701627520841</v>
      </c>
      <c r="L839" s="65">
        <v>1.3295492698323499</v>
      </c>
      <c r="M839" s="65">
        <v>1.156910990553994</v>
      </c>
    </row>
    <row r="840" spans="2:93" x14ac:dyDescent="0.35">
      <c r="B840">
        <v>1986</v>
      </c>
      <c r="C840">
        <v>2</v>
      </c>
      <c r="D840" t="s">
        <v>1215</v>
      </c>
      <c r="E840">
        <v>2</v>
      </c>
      <c r="F840">
        <v>2</v>
      </c>
      <c r="G840">
        <v>9.4E-2</v>
      </c>
      <c r="H840">
        <v>2.3E-2</v>
      </c>
      <c r="K840" s="65">
        <v>4.5944549199430584</v>
      </c>
      <c r="L840" s="65">
        <v>1.099484672376001</v>
      </c>
      <c r="M840" s="65">
        <v>4.1787348522234344</v>
      </c>
    </row>
    <row r="841" spans="2:93" x14ac:dyDescent="0.35">
      <c r="B841">
        <v>1986</v>
      </c>
      <c r="C841">
        <v>2</v>
      </c>
      <c r="D841" t="s">
        <v>205</v>
      </c>
      <c r="E841">
        <v>4</v>
      </c>
      <c r="F841">
        <v>4</v>
      </c>
      <c r="G841">
        <v>0.21</v>
      </c>
      <c r="H841">
        <v>2.7E-2</v>
      </c>
      <c r="K841" s="65">
        <v>4.8808848170151631</v>
      </c>
      <c r="L841" s="65">
        <v>0.58507931612797703</v>
      </c>
      <c r="M841" s="65">
        <v>8.3422617796790224</v>
      </c>
    </row>
    <row r="842" spans="2:93" x14ac:dyDescent="0.35">
      <c r="B842">
        <v>1986</v>
      </c>
      <c r="C842">
        <v>2</v>
      </c>
      <c r="D842" t="s">
        <v>1216</v>
      </c>
      <c r="E842">
        <v>3</v>
      </c>
      <c r="F842">
        <v>7</v>
      </c>
      <c r="G842">
        <v>0.316</v>
      </c>
      <c r="H842">
        <v>3.4000000000000002E-2</v>
      </c>
      <c r="K842" s="65">
        <v>4.0007702094714936</v>
      </c>
      <c r="L842" s="65">
        <v>0.38384999860204411</v>
      </c>
      <c r="M842" s="65">
        <v>10.422743842756359</v>
      </c>
    </row>
    <row r="843" spans="2:93" x14ac:dyDescent="0.35">
      <c r="B843">
        <v>1986</v>
      </c>
      <c r="C843">
        <v>3</v>
      </c>
      <c r="D843" t="s">
        <v>1214</v>
      </c>
      <c r="E843">
        <v>2</v>
      </c>
      <c r="F843">
        <v>2</v>
      </c>
      <c r="G843">
        <v>2.8000000000000001E-2</v>
      </c>
      <c r="H843">
        <v>2.7E-2</v>
      </c>
      <c r="K843" s="65">
        <v>1.390334845092611</v>
      </c>
      <c r="L843" s="65">
        <v>1.3314878603197959</v>
      </c>
      <c r="M843" s="65">
        <v>1.044196411042517</v>
      </c>
    </row>
    <row r="844" spans="2:93" x14ac:dyDescent="0.35">
      <c r="B844">
        <v>1986</v>
      </c>
      <c r="C844">
        <v>3</v>
      </c>
      <c r="D844" t="s">
        <v>1215</v>
      </c>
      <c r="E844">
        <v>2</v>
      </c>
      <c r="F844">
        <v>2</v>
      </c>
      <c r="G844">
        <v>8.8999999999999996E-2</v>
      </c>
      <c r="H844">
        <v>2.3E-2</v>
      </c>
      <c r="K844" s="65">
        <v>4.3551627855565211</v>
      </c>
      <c r="L844" s="65">
        <v>1.1020058512707991</v>
      </c>
      <c r="M844" s="65">
        <v>3.95203236038564</v>
      </c>
    </row>
    <row r="845" spans="2:93" x14ac:dyDescent="0.35">
      <c r="B845">
        <v>1986</v>
      </c>
      <c r="C845">
        <v>3</v>
      </c>
      <c r="D845" t="s">
        <v>205</v>
      </c>
      <c r="E845">
        <v>4</v>
      </c>
      <c r="F845">
        <v>4</v>
      </c>
      <c r="G845">
        <v>0.20300000000000001</v>
      </c>
      <c r="H845">
        <v>2.7E-2</v>
      </c>
      <c r="K845" s="65">
        <v>4.7288673984255958</v>
      </c>
      <c r="L845" s="65">
        <v>0.58763080211086671</v>
      </c>
      <c r="M845" s="65">
        <v>8.0473443213642391</v>
      </c>
    </row>
    <row r="846" spans="2:93" x14ac:dyDescent="0.3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35">
      <c r="B847">
        <v>1986</v>
      </c>
      <c r="C847">
        <v>4</v>
      </c>
      <c r="D847" t="s">
        <v>1214</v>
      </c>
      <c r="E847">
        <v>2</v>
      </c>
      <c r="F847">
        <v>2</v>
      </c>
      <c r="G847">
        <v>2.3E-2</v>
      </c>
      <c r="H847">
        <v>2.7E-2</v>
      </c>
      <c r="K847" s="65">
        <v>1.143462467922252</v>
      </c>
      <c r="L847" s="65">
        <v>1.3347377745033731</v>
      </c>
      <c r="M847" s="65">
        <v>0.8566944682057186</v>
      </c>
    </row>
    <row r="848" spans="2:93" x14ac:dyDescent="0.3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35">
      <c r="B849">
        <v>1986</v>
      </c>
      <c r="C849">
        <v>4</v>
      </c>
      <c r="D849" t="s">
        <v>205</v>
      </c>
      <c r="E849">
        <v>4</v>
      </c>
      <c r="F849">
        <v>4</v>
      </c>
      <c r="G849">
        <v>0.189</v>
      </c>
      <c r="H849">
        <v>2.7E-2</v>
      </c>
      <c r="K849" s="65">
        <v>4.4228311186168989</v>
      </c>
      <c r="L849" s="65">
        <v>0.592812539992148</v>
      </c>
      <c r="M849" s="65">
        <v>7.4607583683629244</v>
      </c>
      <c r="AR849">
        <v>1</v>
      </c>
    </row>
    <row r="850" spans="2:44" x14ac:dyDescent="0.3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3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3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3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3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3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3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3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3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3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3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3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35">
      <c r="B862">
        <v>2000</v>
      </c>
      <c r="C862">
        <v>4</v>
      </c>
      <c r="D862" t="s">
        <v>1216</v>
      </c>
      <c r="E862">
        <v>3</v>
      </c>
      <c r="F862">
        <v>7</v>
      </c>
      <c r="G862">
        <v>0.432</v>
      </c>
      <c r="H862">
        <v>3.5999999999999997E-2</v>
      </c>
      <c r="K862" s="65">
        <v>5.2634437270888226</v>
      </c>
      <c r="L862" s="65">
        <v>0.37804109878044673</v>
      </c>
      <c r="M862" s="65">
        <v>13.922940505856619</v>
      </c>
    </row>
    <row r="865" spans="1:12" x14ac:dyDescent="0.35">
      <c r="A865" s="67" t="s">
        <v>1217</v>
      </c>
    </row>
    <row r="866" spans="1:12" x14ac:dyDescent="0.35">
      <c r="C866" t="s">
        <v>1221</v>
      </c>
    </row>
    <row r="869" spans="1:12" x14ac:dyDescent="0.35">
      <c r="C869" t="s">
        <v>1212</v>
      </c>
      <c r="D869" t="s">
        <v>409</v>
      </c>
      <c r="E869" t="s">
        <v>193</v>
      </c>
      <c r="F869" t="s">
        <v>322</v>
      </c>
      <c r="G869" t="s">
        <v>1139</v>
      </c>
      <c r="H869" t="s">
        <v>143</v>
      </c>
      <c r="J869" t="s">
        <v>144</v>
      </c>
      <c r="K869" t="s">
        <v>143</v>
      </c>
      <c r="L869" t="s">
        <v>145</v>
      </c>
    </row>
    <row r="870" spans="1:12" x14ac:dyDescent="0.35">
      <c r="B870" t="s">
        <v>251</v>
      </c>
      <c r="C870">
        <v>1</v>
      </c>
      <c r="D870" t="s">
        <v>1222</v>
      </c>
      <c r="E870">
        <v>2</v>
      </c>
      <c r="F870">
        <v>2</v>
      </c>
      <c r="G870">
        <v>0.159</v>
      </c>
      <c r="H870">
        <v>0.03</v>
      </c>
      <c r="J870" s="65">
        <v>7.6568622986941781</v>
      </c>
      <c r="K870" s="65">
        <v>1.393315732942547</v>
      </c>
      <c r="L870" s="65">
        <v>5.4954251342038818</v>
      </c>
    </row>
    <row r="871" spans="1:12" x14ac:dyDescent="0.3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3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35">
      <c r="B873" t="s">
        <v>304</v>
      </c>
      <c r="C873">
        <v>2</v>
      </c>
      <c r="D873" t="s">
        <v>1222</v>
      </c>
      <c r="E873">
        <v>2</v>
      </c>
      <c r="F873">
        <v>2</v>
      </c>
      <c r="G873">
        <v>0.23</v>
      </c>
      <c r="H873">
        <v>0.04</v>
      </c>
      <c r="J873" s="65">
        <v>10.905365064094161</v>
      </c>
      <c r="K873" s="65">
        <v>1.8033392693348651</v>
      </c>
      <c r="L873" s="65">
        <v>6.047317467952908</v>
      </c>
    </row>
    <row r="874" spans="1:12" x14ac:dyDescent="0.3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3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35">
      <c r="B876" t="s">
        <v>304</v>
      </c>
      <c r="C876">
        <v>3</v>
      </c>
      <c r="D876" t="s">
        <v>1222</v>
      </c>
      <c r="E876">
        <v>2</v>
      </c>
      <c r="F876">
        <v>2</v>
      </c>
      <c r="G876">
        <v>0.151</v>
      </c>
      <c r="H876">
        <v>5.8000000000000003E-2</v>
      </c>
      <c r="J876" s="65">
        <v>7.2846680565308084</v>
      </c>
      <c r="K876" s="65">
        <v>2.7030889432140688</v>
      </c>
      <c r="L876" s="65">
        <v>2.6949420494721412</v>
      </c>
    </row>
    <row r="877" spans="1:12" x14ac:dyDescent="0.3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3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35">
      <c r="B879" t="s">
        <v>305</v>
      </c>
      <c r="C879">
        <v>1</v>
      </c>
      <c r="D879" t="s">
        <v>1222</v>
      </c>
      <c r="E879">
        <v>2</v>
      </c>
      <c r="F879">
        <v>2</v>
      </c>
      <c r="G879">
        <v>9.9000000000000005E-2</v>
      </c>
      <c r="H879">
        <v>0.03</v>
      </c>
      <c r="J879" s="65">
        <v>4.833200847823016</v>
      </c>
      <c r="K879" s="65">
        <v>1.4308444155753819</v>
      </c>
      <c r="L879" s="65">
        <v>3.3778661014513252</v>
      </c>
    </row>
    <row r="880" spans="1:12" x14ac:dyDescent="0.3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35">
      <c r="B881" t="s">
        <v>305</v>
      </c>
      <c r="C881">
        <v>1</v>
      </c>
      <c r="D881" t="s">
        <v>1224</v>
      </c>
      <c r="E881">
        <v>2</v>
      </c>
      <c r="F881">
        <v>6</v>
      </c>
      <c r="G881">
        <v>0.60799999999999998</v>
      </c>
      <c r="H881">
        <v>6.2E-2</v>
      </c>
      <c r="J881" s="65">
        <v>8.2383111716979087</v>
      </c>
      <c r="K881" s="65">
        <v>0.69556128655112659</v>
      </c>
      <c r="L881" s="65">
        <v>11.844119750463371</v>
      </c>
    </row>
    <row r="882" spans="1:17" x14ac:dyDescent="0.35">
      <c r="B882" t="s">
        <v>305</v>
      </c>
      <c r="C882">
        <v>2</v>
      </c>
      <c r="D882" t="s">
        <v>1222</v>
      </c>
      <c r="E882">
        <v>2</v>
      </c>
      <c r="F882">
        <v>2</v>
      </c>
      <c r="G882">
        <v>0.155</v>
      </c>
      <c r="H882">
        <v>4.2000000000000003E-2</v>
      </c>
      <c r="J882" s="65">
        <v>7.4709263010233951</v>
      </c>
      <c r="K882" s="65">
        <v>1.9540168418367889</v>
      </c>
      <c r="L882" s="65">
        <v>3.8233684280841072</v>
      </c>
    </row>
    <row r="883" spans="1:17" x14ac:dyDescent="0.35">
      <c r="B883" t="s">
        <v>305</v>
      </c>
      <c r="C883">
        <v>2</v>
      </c>
      <c r="D883" t="s">
        <v>1223</v>
      </c>
      <c r="E883">
        <v>4</v>
      </c>
      <c r="F883">
        <v>4</v>
      </c>
      <c r="G883">
        <v>0.47699999999999998</v>
      </c>
      <c r="H883">
        <v>3.9E-2</v>
      </c>
      <c r="J883" s="65">
        <v>10.241502538451799</v>
      </c>
      <c r="K883" s="65">
        <v>0.72772826658761347</v>
      </c>
      <c r="L883" s="65">
        <v>14.07325097659758</v>
      </c>
    </row>
    <row r="884" spans="1:17" x14ac:dyDescent="0.3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35">
      <c r="B885" t="s">
        <v>305</v>
      </c>
      <c r="C885">
        <v>3</v>
      </c>
      <c r="D885" t="s">
        <v>1222</v>
      </c>
      <c r="E885">
        <v>2</v>
      </c>
      <c r="F885">
        <v>2</v>
      </c>
      <c r="G885">
        <v>0.156</v>
      </c>
      <c r="H885">
        <v>5.8000000000000003E-2</v>
      </c>
      <c r="J885" s="65">
        <v>7.5174404457248878</v>
      </c>
      <c r="K885" s="65">
        <v>2.6972368277906771</v>
      </c>
      <c r="L885" s="65">
        <v>2.7870895014741701</v>
      </c>
    </row>
    <row r="886" spans="1:17" x14ac:dyDescent="0.35">
      <c r="B886" t="s">
        <v>305</v>
      </c>
      <c r="C886">
        <v>3</v>
      </c>
      <c r="D886" t="s">
        <v>1223</v>
      </c>
      <c r="E886">
        <v>4</v>
      </c>
      <c r="F886">
        <v>4</v>
      </c>
      <c r="G886">
        <v>0.48499999999999999</v>
      </c>
      <c r="H886">
        <v>0.06</v>
      </c>
      <c r="J886" s="65">
        <v>10.390477881717411</v>
      </c>
      <c r="K886" s="65">
        <v>1.1150553321385599</v>
      </c>
      <c r="L886" s="65">
        <v>9.3183518182811227</v>
      </c>
    </row>
    <row r="887" spans="1:17" x14ac:dyDescent="0.3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35">
      <c r="A891" s="67" t="s">
        <v>1225</v>
      </c>
      <c r="F891" t="s">
        <v>1230</v>
      </c>
      <c r="N891" t="s">
        <v>1231</v>
      </c>
    </row>
    <row r="894" spans="1:17" x14ac:dyDescent="0.35">
      <c r="C894" t="s">
        <v>37</v>
      </c>
      <c r="D894">
        <v>15.51</v>
      </c>
      <c r="E894">
        <v>12.45</v>
      </c>
      <c r="F894">
        <v>8.9700000000000006</v>
      </c>
      <c r="G894">
        <v>7.76</v>
      </c>
      <c r="H894">
        <v>6.96</v>
      </c>
      <c r="I894">
        <v>6.98</v>
      </c>
      <c r="L894">
        <v>12.77</v>
      </c>
      <c r="M894">
        <v>10.39</v>
      </c>
      <c r="N894">
        <v>6.75</v>
      </c>
      <c r="O894">
        <v>5.89</v>
      </c>
      <c r="P894">
        <v>4.2</v>
      </c>
      <c r="Q894">
        <v>4.16</v>
      </c>
    </row>
    <row r="896" spans="1:17" x14ac:dyDescent="0.35">
      <c r="C896" t="s">
        <v>38</v>
      </c>
      <c r="D896">
        <v>5.66</v>
      </c>
      <c r="E896">
        <v>5.35</v>
      </c>
      <c r="F896">
        <v>4.0599999999999996</v>
      </c>
      <c r="G896">
        <v>4.3099999999999996</v>
      </c>
      <c r="H896">
        <v>3.94</v>
      </c>
      <c r="I896">
        <v>3.43</v>
      </c>
      <c r="L896">
        <v>7.19</v>
      </c>
      <c r="M896">
        <v>7.64</v>
      </c>
      <c r="N896">
        <v>7.69</v>
      </c>
      <c r="O896">
        <v>7.66</v>
      </c>
      <c r="P896">
        <v>7.71</v>
      </c>
      <c r="Q896">
        <v>7.63</v>
      </c>
    </row>
    <row r="897" spans="3:17" x14ac:dyDescent="0.35">
      <c r="D897">
        <v>23.32</v>
      </c>
      <c r="E897">
        <v>24.19</v>
      </c>
      <c r="F897">
        <v>24.51</v>
      </c>
      <c r="G897">
        <v>23.67</v>
      </c>
      <c r="H897">
        <v>23.68</v>
      </c>
      <c r="I897">
        <v>23.31</v>
      </c>
      <c r="L897">
        <v>27.03</v>
      </c>
      <c r="M897">
        <v>27.28</v>
      </c>
      <c r="N897">
        <v>25.46</v>
      </c>
      <c r="O897">
        <v>25.26</v>
      </c>
      <c r="P897">
        <v>23.99</v>
      </c>
      <c r="Q897">
        <v>24.4</v>
      </c>
    </row>
    <row r="898" spans="3:17" x14ac:dyDescent="0.35">
      <c r="D898">
        <v>10.68</v>
      </c>
      <c r="E898">
        <v>13.67</v>
      </c>
      <c r="F898">
        <v>15.08</v>
      </c>
      <c r="G898">
        <v>16.48</v>
      </c>
      <c r="H898">
        <v>18.23</v>
      </c>
      <c r="I898">
        <v>17.52</v>
      </c>
      <c r="L898">
        <v>11.62</v>
      </c>
      <c r="M898">
        <v>14.56</v>
      </c>
      <c r="N898">
        <v>15.12</v>
      </c>
      <c r="O898">
        <v>16.03</v>
      </c>
      <c r="P898">
        <v>17.41</v>
      </c>
      <c r="Q898">
        <v>17.440000000000001</v>
      </c>
    </row>
    <row r="899" spans="3:17" x14ac:dyDescent="0.35">
      <c r="D899">
        <v>20.88</v>
      </c>
      <c r="E899">
        <v>22.87</v>
      </c>
      <c r="F899">
        <v>24.79</v>
      </c>
      <c r="G899">
        <v>25.58</v>
      </c>
      <c r="H899">
        <v>25.98</v>
      </c>
      <c r="I899">
        <v>25.69</v>
      </c>
      <c r="L899">
        <v>21.56</v>
      </c>
      <c r="M899">
        <v>22.54</v>
      </c>
      <c r="N899">
        <v>26.17</v>
      </c>
      <c r="O899">
        <v>26.36</v>
      </c>
      <c r="P899">
        <v>26.76</v>
      </c>
      <c r="Q899">
        <v>25.71</v>
      </c>
    </row>
    <row r="901" spans="3:17" x14ac:dyDescent="0.3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35">
      <c r="D902">
        <v>0.57999999999999996</v>
      </c>
      <c r="E902">
        <v>0.64</v>
      </c>
      <c r="F902">
        <v>0.86</v>
      </c>
      <c r="G902">
        <v>0.96</v>
      </c>
      <c r="H902">
        <v>0.72</v>
      </c>
      <c r="I902">
        <v>0.84</v>
      </c>
      <c r="L902">
        <v>0.46</v>
      </c>
      <c r="M902">
        <v>0.4</v>
      </c>
      <c r="N902">
        <v>0.1</v>
      </c>
      <c r="O902">
        <v>0.11</v>
      </c>
      <c r="P902">
        <v>0.2</v>
      </c>
      <c r="Q902">
        <v>0.18</v>
      </c>
    </row>
    <row r="905" spans="3:17" x14ac:dyDescent="0.3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3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3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3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3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3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3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3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3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3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35">
      <c r="C922" t="s">
        <v>1232</v>
      </c>
      <c r="D922" s="65">
        <v>0.15509999999999999</v>
      </c>
      <c r="E922" s="65">
        <v>0.60539999999999994</v>
      </c>
      <c r="F922" s="65">
        <v>0.15909999999999999</v>
      </c>
      <c r="L922" s="65">
        <v>0.12770000000000001</v>
      </c>
      <c r="M922" s="65">
        <v>0.67400000000000004</v>
      </c>
      <c r="N922" s="65">
        <v>0.13289999999999999</v>
      </c>
    </row>
    <row r="923" spans="3:17" x14ac:dyDescent="0.35">
      <c r="D923" s="65">
        <v>0.1245</v>
      </c>
      <c r="E923" s="65">
        <v>0.66080000000000005</v>
      </c>
      <c r="F923" s="65">
        <v>0.17219999999999996</v>
      </c>
      <c r="L923" s="65">
        <v>0.10390000000000001</v>
      </c>
      <c r="M923" s="65">
        <v>0.72019999999999995</v>
      </c>
      <c r="N923" s="65">
        <v>0.14630000000000001</v>
      </c>
    </row>
    <row r="924" spans="3:17" x14ac:dyDescent="0.35">
      <c r="D924" s="65">
        <v>8.9700000000000002E-2</v>
      </c>
      <c r="E924" s="65">
        <v>0.68440000000000001</v>
      </c>
      <c r="F924" s="65">
        <v>0.2165</v>
      </c>
      <c r="L924" s="65">
        <v>6.7500000000000004E-2</v>
      </c>
      <c r="M924" s="65">
        <v>0.74440000000000006</v>
      </c>
      <c r="N924" s="65">
        <v>0.1779</v>
      </c>
    </row>
    <row r="925" spans="3:17" x14ac:dyDescent="0.35">
      <c r="D925" s="65">
        <v>7.7600000000000002E-2</v>
      </c>
      <c r="E925" s="65">
        <v>0.70040000000000002</v>
      </c>
      <c r="F925" s="65">
        <v>0.21630000000000002</v>
      </c>
      <c r="L925" s="65">
        <v>5.8899999999999994E-2</v>
      </c>
      <c r="M925" s="65">
        <v>0.75309999999999999</v>
      </c>
      <c r="N925" s="65">
        <v>0.18129999999999999</v>
      </c>
    </row>
    <row r="926" spans="3:17" x14ac:dyDescent="0.35">
      <c r="D926" s="65">
        <v>6.9599999999999995E-2</v>
      </c>
      <c r="E926" s="65">
        <v>0.71830000000000005</v>
      </c>
      <c r="F926" s="65">
        <v>0.20900000000000002</v>
      </c>
      <c r="L926" s="65">
        <v>4.2000000000000003E-2</v>
      </c>
      <c r="M926" s="65">
        <v>0.75869999999999993</v>
      </c>
      <c r="N926" s="65">
        <v>0.19309999999999999</v>
      </c>
    </row>
    <row r="927" spans="3:17" x14ac:dyDescent="0.35">
      <c r="D927" s="65">
        <v>6.9800000000000001E-2</v>
      </c>
      <c r="E927" s="65">
        <v>0.69950000000000001</v>
      </c>
      <c r="F927" s="65">
        <v>0.2286</v>
      </c>
      <c r="L927" s="65">
        <v>4.1599999999999998E-2</v>
      </c>
      <c r="M927" s="65">
        <v>0.75180000000000002</v>
      </c>
      <c r="N927" s="65">
        <v>0.20199999999999999</v>
      </c>
    </row>
    <row r="931" spans="1:12" x14ac:dyDescent="0.35">
      <c r="A931" s="67" t="s">
        <v>1233</v>
      </c>
    </row>
    <row r="934" spans="1:12" x14ac:dyDescent="0.35">
      <c r="A934" t="s">
        <v>208</v>
      </c>
      <c r="B934" t="s">
        <v>251</v>
      </c>
      <c r="C934" t="s">
        <v>1212</v>
      </c>
      <c r="D934" t="s">
        <v>409</v>
      </c>
      <c r="E934" t="s">
        <v>193</v>
      </c>
      <c r="F934" t="s">
        <v>322</v>
      </c>
      <c r="G934" t="s">
        <v>1139</v>
      </c>
      <c r="H934" t="s">
        <v>143</v>
      </c>
      <c r="J934" t="s">
        <v>144</v>
      </c>
      <c r="K934" t="s">
        <v>143</v>
      </c>
      <c r="L934" t="s">
        <v>145</v>
      </c>
    </row>
    <row r="935" spans="1:12" x14ac:dyDescent="0.3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35">
      <c r="B936" t="s">
        <v>304</v>
      </c>
      <c r="C936">
        <v>1</v>
      </c>
      <c r="D936" t="s">
        <v>1216</v>
      </c>
      <c r="E936">
        <v>6</v>
      </c>
      <c r="F936">
        <v>6</v>
      </c>
      <c r="G936">
        <v>0.1091</v>
      </c>
      <c r="H936">
        <v>3.4799999999999998E-2</v>
      </c>
      <c r="J936" s="65">
        <v>1.740792815250503</v>
      </c>
      <c r="K936" s="65">
        <v>0.53204994890312218</v>
      </c>
      <c r="L936" s="65">
        <v>3.2718597545950958</v>
      </c>
    </row>
    <row r="937" spans="1:12" x14ac:dyDescent="0.35">
      <c r="B937" t="s">
        <v>304</v>
      </c>
      <c r="C937">
        <v>1</v>
      </c>
      <c r="D937" t="s">
        <v>1215</v>
      </c>
      <c r="E937">
        <v>2</v>
      </c>
      <c r="F937">
        <v>2</v>
      </c>
      <c r="G937">
        <v>-0.04</v>
      </c>
      <c r="H937">
        <v>9.7999999999999997E-3</v>
      </c>
      <c r="J937" s="65">
        <v>-2.0204102886728799</v>
      </c>
      <c r="K937" s="65">
        <v>0.50010415581823231</v>
      </c>
      <c r="L937" s="65">
        <v>-4.0399790027084226</v>
      </c>
    </row>
    <row r="938" spans="1:12" x14ac:dyDescent="0.3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3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3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3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35">
      <c r="B942" t="s">
        <v>304</v>
      </c>
      <c r="C942">
        <v>1</v>
      </c>
      <c r="D942" t="s">
        <v>1216</v>
      </c>
      <c r="E942">
        <v>6</v>
      </c>
      <c r="F942">
        <v>6</v>
      </c>
      <c r="G942">
        <v>3.95E-2</v>
      </c>
      <c r="H942">
        <v>3.5799999999999998E-2</v>
      </c>
      <c r="J942" s="65">
        <v>0.64775270735424328</v>
      </c>
      <c r="K942" s="65">
        <v>0.57771196840200101</v>
      </c>
      <c r="L942" s="65">
        <v>1.1212381650080421</v>
      </c>
    </row>
    <row r="943" spans="1:12" x14ac:dyDescent="0.35">
      <c r="B943" t="s">
        <v>304</v>
      </c>
      <c r="C943">
        <v>1</v>
      </c>
      <c r="D943" t="s">
        <v>1215</v>
      </c>
      <c r="E943">
        <v>2</v>
      </c>
      <c r="F943">
        <v>2</v>
      </c>
      <c r="G943">
        <v>-6.1499999999999999E-2</v>
      </c>
      <c r="H943">
        <v>1.01E-2</v>
      </c>
      <c r="J943" s="65">
        <v>-3.1237903301331689</v>
      </c>
      <c r="K943" s="65">
        <v>0.5212838133541049</v>
      </c>
      <c r="L943" s="65">
        <v>-5.9924943957759096</v>
      </c>
    </row>
    <row r="944" spans="1:12" x14ac:dyDescent="0.3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35">
      <c r="B945" t="s">
        <v>305</v>
      </c>
      <c r="C945">
        <v>4</v>
      </c>
      <c r="D945" t="s">
        <v>1216</v>
      </c>
      <c r="E945">
        <v>6</v>
      </c>
      <c r="F945">
        <v>6</v>
      </c>
      <c r="G945">
        <v>0.2712</v>
      </c>
      <c r="H945">
        <v>2.81E-2</v>
      </c>
      <c r="J945" s="65">
        <v>4.0804067271065447</v>
      </c>
      <c r="K945" s="65">
        <v>0.38345125721518952</v>
      </c>
      <c r="L945" s="65">
        <v>10.64126574193668</v>
      </c>
    </row>
    <row r="946" spans="1:12" x14ac:dyDescent="0.3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3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35">
      <c r="B948" t="s">
        <v>304</v>
      </c>
      <c r="C948">
        <v>1</v>
      </c>
      <c r="D948" t="s">
        <v>1215</v>
      </c>
      <c r="E948">
        <v>2</v>
      </c>
      <c r="F948">
        <v>2</v>
      </c>
      <c r="G948">
        <v>-6.0199999999999997E-2</v>
      </c>
      <c r="H948">
        <v>1.01E-2</v>
      </c>
      <c r="J948" s="65">
        <v>-3.0567176128227009</v>
      </c>
      <c r="K948" s="65">
        <v>0.52092314966508346</v>
      </c>
      <c r="L948" s="65">
        <v>-5.8678859152025664</v>
      </c>
    </row>
    <row r="949" spans="1:12" x14ac:dyDescent="0.3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3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3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35">
      <c r="B952" t="s">
        <v>304</v>
      </c>
      <c r="C952">
        <v>1</v>
      </c>
      <c r="D952" t="s">
        <v>1215</v>
      </c>
      <c r="E952">
        <v>2</v>
      </c>
      <c r="F952">
        <v>2</v>
      </c>
      <c r="G952">
        <v>-4.3999999999999997E-2</v>
      </c>
      <c r="H952">
        <v>1.04E-2</v>
      </c>
      <c r="J952" s="65">
        <v>-2.2247475073574718</v>
      </c>
      <c r="K952" s="65">
        <v>0.53183191732399704</v>
      </c>
      <c r="L952" s="65">
        <v>-4.1831778704664213</v>
      </c>
    </row>
    <row r="953" spans="1:12" x14ac:dyDescent="0.3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3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35">
      <c r="A957" s="67" t="s">
        <v>1249</v>
      </c>
      <c r="C957" t="s">
        <v>1253</v>
      </c>
      <c r="E957" t="s">
        <v>1254</v>
      </c>
    </row>
    <row r="959" spans="1:12" x14ac:dyDescent="0.35">
      <c r="C959" t="s">
        <v>1212</v>
      </c>
      <c r="D959" t="s">
        <v>278</v>
      </c>
      <c r="E959" t="s">
        <v>322</v>
      </c>
      <c r="F959" t="s">
        <v>1139</v>
      </c>
      <c r="G959" t="s">
        <v>143</v>
      </c>
      <c r="I959" t="s">
        <v>144</v>
      </c>
      <c r="J959" t="s">
        <v>143</v>
      </c>
      <c r="K959" t="s">
        <v>145</v>
      </c>
    </row>
    <row r="960" spans="1:12" x14ac:dyDescent="0.35">
      <c r="C960">
        <v>1</v>
      </c>
      <c r="D960">
        <v>1970</v>
      </c>
      <c r="E960">
        <v>5</v>
      </c>
      <c r="F960">
        <v>0.376</v>
      </c>
      <c r="G960">
        <v>0.01</v>
      </c>
      <c r="I960" s="65">
        <v>6.5917731595733553</v>
      </c>
      <c r="J960" s="65">
        <v>0.15492990284821709</v>
      </c>
      <c r="K960" s="65">
        <v>42.546810127617753</v>
      </c>
    </row>
    <row r="961" spans="3:11" x14ac:dyDescent="0.35">
      <c r="C961">
        <v>1</v>
      </c>
      <c r="D961">
        <v>1980</v>
      </c>
      <c r="E961">
        <v>5</v>
      </c>
      <c r="F961">
        <v>0.32900000000000001</v>
      </c>
      <c r="G961">
        <v>8.9999999999999993E-3</v>
      </c>
      <c r="I961" s="65">
        <v>5.8534448758668312</v>
      </c>
      <c r="J961" s="65">
        <v>0.14336809689733651</v>
      </c>
      <c r="K961" s="65">
        <v>40.828085205444161</v>
      </c>
    </row>
    <row r="962" spans="3:11" x14ac:dyDescent="0.35">
      <c r="C962">
        <v>1</v>
      </c>
      <c r="D962">
        <v>1990</v>
      </c>
      <c r="E962">
        <v>5</v>
      </c>
      <c r="F962">
        <v>0.48799999999999999</v>
      </c>
      <c r="G962">
        <v>0.01</v>
      </c>
      <c r="I962" s="65">
        <v>8.273103706617114</v>
      </c>
      <c r="J962" s="65">
        <v>0.145528365197066</v>
      </c>
      <c r="K962" s="65">
        <v>56.848736639171072</v>
      </c>
    </row>
    <row r="963" spans="3:11" x14ac:dyDescent="0.35">
      <c r="C963">
        <v>1</v>
      </c>
      <c r="D963">
        <v>2000</v>
      </c>
      <c r="E963">
        <v>5</v>
      </c>
      <c r="F963">
        <v>0.52700000000000002</v>
      </c>
      <c r="G963">
        <v>1.2E-2</v>
      </c>
      <c r="I963" s="65">
        <v>8.8348059874834295</v>
      </c>
      <c r="J963" s="65">
        <v>0.17105666952846121</v>
      </c>
      <c r="K963" s="65">
        <v>51.648415766761168</v>
      </c>
    </row>
    <row r="964" spans="3:11" x14ac:dyDescent="0.35">
      <c r="C964">
        <v>1</v>
      </c>
      <c r="D964">
        <v>2008</v>
      </c>
      <c r="E964">
        <v>5</v>
      </c>
      <c r="F964">
        <v>0.52600000000000002</v>
      </c>
      <c r="G964">
        <v>0.01</v>
      </c>
      <c r="I964" s="65">
        <v>8.8205475295083602</v>
      </c>
      <c r="J964" s="65">
        <v>0.1426219495799585</v>
      </c>
      <c r="K964" s="65">
        <v>61.845652478360442</v>
      </c>
    </row>
    <row r="965" spans="3:11" x14ac:dyDescent="0.35">
      <c r="C965">
        <v>2</v>
      </c>
      <c r="D965">
        <v>1970</v>
      </c>
      <c r="E965">
        <v>5</v>
      </c>
      <c r="F965">
        <v>0.378</v>
      </c>
      <c r="G965">
        <v>0.01</v>
      </c>
      <c r="I965" s="65">
        <v>6.6227411407328907</v>
      </c>
      <c r="J965" s="65">
        <v>0.1547499871418474</v>
      </c>
      <c r="K965" s="65">
        <v>42.796392187498753</v>
      </c>
    </row>
    <row r="966" spans="3:11" x14ac:dyDescent="0.35">
      <c r="C966">
        <v>2</v>
      </c>
      <c r="D966">
        <v>1980</v>
      </c>
      <c r="E966">
        <v>5</v>
      </c>
      <c r="F966">
        <v>0.34799999999999998</v>
      </c>
      <c r="G966">
        <v>0.01</v>
      </c>
      <c r="I966" s="65">
        <v>6.1543947367277196</v>
      </c>
      <c r="J966" s="65">
        <v>0.15749910198327549</v>
      </c>
      <c r="K966" s="65">
        <v>39.075744935874241</v>
      </c>
    </row>
    <row r="967" spans="3:11" x14ac:dyDescent="0.35">
      <c r="C967">
        <v>2</v>
      </c>
      <c r="D967">
        <v>1990</v>
      </c>
      <c r="E967">
        <v>5</v>
      </c>
      <c r="F967">
        <v>0.50600000000000001</v>
      </c>
      <c r="G967">
        <v>0.01</v>
      </c>
      <c r="I967" s="65">
        <v>8.5337963812986963</v>
      </c>
      <c r="J967" s="65">
        <v>0.1441351877573688</v>
      </c>
      <c r="K967" s="65">
        <v>59.206891211493307</v>
      </c>
    </row>
    <row r="968" spans="3:11" x14ac:dyDescent="0.35">
      <c r="C968">
        <v>2</v>
      </c>
      <c r="D968">
        <v>2000</v>
      </c>
      <c r="E968">
        <v>5</v>
      </c>
      <c r="F968">
        <v>0.59699999999999998</v>
      </c>
      <c r="G968">
        <v>1.4E-2</v>
      </c>
      <c r="I968" s="65">
        <v>9.8148273784176787</v>
      </c>
      <c r="J968" s="65">
        <v>0.19253695470229781</v>
      </c>
      <c r="K968" s="65">
        <v>50.976330199017873</v>
      </c>
    </row>
    <row r="969" spans="3:11" x14ac:dyDescent="0.35">
      <c r="C969">
        <v>2</v>
      </c>
      <c r="D969">
        <v>2008</v>
      </c>
      <c r="E969">
        <v>5</v>
      </c>
      <c r="F969">
        <v>0.65</v>
      </c>
      <c r="G969">
        <v>1.2E-2</v>
      </c>
      <c r="I969" s="65">
        <v>10.534229649286941</v>
      </c>
      <c r="J969" s="65">
        <v>0.1607770613080538</v>
      </c>
      <c r="K969" s="65">
        <v>65.520725180459891</v>
      </c>
    </row>
    <row r="970" spans="3:11" x14ac:dyDescent="0.35">
      <c r="C970">
        <v>3</v>
      </c>
      <c r="D970">
        <v>1970</v>
      </c>
      <c r="E970">
        <v>5</v>
      </c>
      <c r="F970">
        <v>0.376</v>
      </c>
      <c r="G970">
        <v>0.01</v>
      </c>
      <c r="I970" s="65">
        <v>6.5917731595733553</v>
      </c>
      <c r="J970" s="65">
        <v>0.15492990284821709</v>
      </c>
      <c r="K970" s="65">
        <v>42.546810127617753</v>
      </c>
    </row>
    <row r="971" spans="3:11" x14ac:dyDescent="0.35">
      <c r="C971">
        <v>3</v>
      </c>
      <c r="D971">
        <v>1980</v>
      </c>
      <c r="E971">
        <v>5</v>
      </c>
      <c r="F971">
        <v>0.34</v>
      </c>
      <c r="G971">
        <v>8.9999999999999993E-3</v>
      </c>
      <c r="I971" s="65">
        <v>6.0280952775362504</v>
      </c>
      <c r="J971" s="65">
        <v>0.1424257996265412</v>
      </c>
      <c r="K971" s="65">
        <v>42.324461532550217</v>
      </c>
    </row>
    <row r="972" spans="3:11" x14ac:dyDescent="0.35">
      <c r="C972">
        <v>3</v>
      </c>
      <c r="D972">
        <v>1990</v>
      </c>
      <c r="E972">
        <v>5</v>
      </c>
      <c r="F972">
        <v>0.497</v>
      </c>
      <c r="G972">
        <v>0.01</v>
      </c>
      <c r="I972" s="65">
        <v>8.4037635041231731</v>
      </c>
      <c r="J972" s="65">
        <v>0.14482800735353801</v>
      </c>
      <c r="K972" s="65">
        <v>58.025817365620753</v>
      </c>
    </row>
    <row r="973" spans="3:11" x14ac:dyDescent="0.35">
      <c r="C973">
        <v>3</v>
      </c>
      <c r="D973">
        <v>2000</v>
      </c>
      <c r="E973">
        <v>5</v>
      </c>
      <c r="F973">
        <v>0.58099999999999996</v>
      </c>
      <c r="G973">
        <v>1.2999999999999999E-2</v>
      </c>
      <c r="I973" s="65">
        <v>9.5938979837850944</v>
      </c>
      <c r="J973" s="65">
        <v>0.1802303192649217</v>
      </c>
      <c r="K973" s="65">
        <v>53.231321028083862</v>
      </c>
    </row>
    <row r="974" spans="3:11" x14ac:dyDescent="0.35">
      <c r="C974">
        <v>3</v>
      </c>
      <c r="D974">
        <v>2008</v>
      </c>
      <c r="E974">
        <v>5</v>
      </c>
      <c r="F974">
        <v>0.63800000000000001</v>
      </c>
      <c r="G974">
        <v>1.2E-2</v>
      </c>
      <c r="I974" s="65">
        <v>10.372982821504889</v>
      </c>
      <c r="J974" s="65">
        <v>0.1617186561487251</v>
      </c>
      <c r="K974" s="65">
        <v>64.142153221736805</v>
      </c>
    </row>
    <row r="975" spans="3:11" x14ac:dyDescent="0.35">
      <c r="C975">
        <v>4</v>
      </c>
      <c r="D975">
        <v>1970</v>
      </c>
      <c r="E975">
        <v>5</v>
      </c>
      <c r="F975">
        <v>0.38</v>
      </c>
      <c r="G975">
        <v>8.9999999999999993E-3</v>
      </c>
      <c r="I975" s="65">
        <v>6.6536731857242959</v>
      </c>
      <c r="J975" s="65">
        <v>0.13911348676398819</v>
      </c>
      <c r="K975" s="65">
        <v>47.829102271101362</v>
      </c>
    </row>
    <row r="976" spans="3:11" x14ac:dyDescent="0.35">
      <c r="C976">
        <v>4</v>
      </c>
      <c r="D976">
        <v>1980</v>
      </c>
      <c r="E976">
        <v>5</v>
      </c>
      <c r="F976">
        <v>0.32100000000000001</v>
      </c>
      <c r="G976">
        <v>8.9999999999999993E-3</v>
      </c>
      <c r="I976" s="65">
        <v>5.7256986053634051</v>
      </c>
      <c r="J976" s="65">
        <v>0.14406226910647549</v>
      </c>
      <c r="K976" s="65">
        <v>39.744609333701227</v>
      </c>
    </row>
    <row r="977" spans="1:15" x14ac:dyDescent="0.35">
      <c r="C977">
        <v>4</v>
      </c>
      <c r="D977">
        <v>1990</v>
      </c>
      <c r="E977">
        <v>5</v>
      </c>
      <c r="F977">
        <v>0.47099999999999997</v>
      </c>
      <c r="G977">
        <v>1.2E-2</v>
      </c>
      <c r="I977" s="65">
        <v>8.0245670900269026</v>
      </c>
      <c r="J977" s="65">
        <v>0.17624674440249119</v>
      </c>
      <c r="K977" s="65">
        <v>45.530299678621923</v>
      </c>
    </row>
    <row r="978" spans="1:15" x14ac:dyDescent="0.35">
      <c r="C978">
        <v>4</v>
      </c>
      <c r="D978">
        <v>2000</v>
      </c>
      <c r="E978">
        <v>5</v>
      </c>
      <c r="F978">
        <v>0.56999999999999995</v>
      </c>
      <c r="G978">
        <v>1.0999999999999999E-2</v>
      </c>
      <c r="I978" s="65">
        <v>9.4409692033879047</v>
      </c>
      <c r="J978" s="65">
        <v>0.15335677213213589</v>
      </c>
      <c r="K978" s="65">
        <v>61.562127789526883</v>
      </c>
    </row>
    <row r="979" spans="1:15" x14ac:dyDescent="0.35">
      <c r="C979">
        <v>4</v>
      </c>
      <c r="D979">
        <v>2008</v>
      </c>
      <c r="E979">
        <v>5</v>
      </c>
      <c r="F979">
        <v>0.61199999999999999</v>
      </c>
      <c r="G979">
        <v>1.0999999999999999E-2</v>
      </c>
      <c r="I979" s="65">
        <v>10.020346272835409</v>
      </c>
      <c r="J979" s="65">
        <v>0.15015183734506071</v>
      </c>
      <c r="K979" s="65">
        <v>66.73475629743956</v>
      </c>
    </row>
    <row r="982" spans="1:15" x14ac:dyDescent="0.35">
      <c r="A982" s="67" t="s">
        <v>1268</v>
      </c>
      <c r="D982" t="s">
        <v>1280</v>
      </c>
    </row>
    <row r="984" spans="1:15" x14ac:dyDescent="0.35">
      <c r="B984" t="s">
        <v>251</v>
      </c>
      <c r="C984" t="s">
        <v>1273</v>
      </c>
      <c r="D984" t="s">
        <v>1212</v>
      </c>
      <c r="E984" t="s">
        <v>409</v>
      </c>
      <c r="F984" t="s">
        <v>193</v>
      </c>
      <c r="G984" t="s">
        <v>322</v>
      </c>
      <c r="H984" t="s">
        <v>1139</v>
      </c>
      <c r="I984" t="s">
        <v>143</v>
      </c>
      <c r="M984" t="s">
        <v>144</v>
      </c>
      <c r="N984" t="s">
        <v>143</v>
      </c>
      <c r="O984" t="s">
        <v>145</v>
      </c>
    </row>
    <row r="985" spans="1:15" x14ac:dyDescent="0.3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3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3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3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3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3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3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3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3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3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3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3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3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3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35">
      <c r="B999" t="s">
        <v>305</v>
      </c>
      <c r="C999" t="s">
        <v>1278</v>
      </c>
      <c r="D999" t="s">
        <v>1275</v>
      </c>
      <c r="E999" t="s">
        <v>1279</v>
      </c>
      <c r="F999">
        <v>2</v>
      </c>
      <c r="G999">
        <v>2</v>
      </c>
      <c r="H999">
        <v>0.18770000000000001</v>
      </c>
      <c r="I999">
        <v>3.61E-2</v>
      </c>
      <c r="M999" s="65">
        <v>8.9816498315198103</v>
      </c>
      <c r="N999" s="65">
        <v>1.656242131395919</v>
      </c>
      <c r="O999" s="65">
        <v>5.4229086805984528</v>
      </c>
      <c r="S999" s="68" t="s">
        <v>1463</v>
      </c>
    </row>
    <row r="1000" spans="1:23" x14ac:dyDescent="0.3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1459</v>
      </c>
      <c r="U1000" t="s">
        <v>144</v>
      </c>
      <c r="V1000" t="s">
        <v>1461</v>
      </c>
    </row>
    <row r="1001" spans="1:23" x14ac:dyDescent="0.35">
      <c r="S1001">
        <v>10</v>
      </c>
      <c r="T1001">
        <v>0.9</v>
      </c>
      <c r="U1001">
        <f>(1+T1001)^(1/S1001)-1</f>
        <v>6.629005847852576E-2</v>
      </c>
      <c r="V1001">
        <f>U1001*100</f>
        <v>6.629005847852576</v>
      </c>
    </row>
    <row r="1003" spans="1:23" x14ac:dyDescent="0.35">
      <c r="A1003" s="67" t="s">
        <v>1281</v>
      </c>
      <c r="C1003" t="s">
        <v>1286</v>
      </c>
      <c r="E1003" t="s">
        <v>1287</v>
      </c>
      <c r="S1003" s="68" t="s">
        <v>1462</v>
      </c>
    </row>
    <row r="1004" spans="1:23" x14ac:dyDescent="0.35">
      <c r="S1004" t="s">
        <v>141</v>
      </c>
      <c r="T1004" t="s">
        <v>1459</v>
      </c>
      <c r="U1004" t="s">
        <v>1460</v>
      </c>
      <c r="V1004" t="s">
        <v>144</v>
      </c>
      <c r="W1004" t="s">
        <v>1461</v>
      </c>
    </row>
    <row r="1005" spans="1:23" x14ac:dyDescent="0.35">
      <c r="S1005">
        <v>8</v>
      </c>
      <c r="T1005">
        <v>0.9</v>
      </c>
      <c r="U1005">
        <v>0.2</v>
      </c>
      <c r="V1005">
        <f>(1+T1005-U1005)^(1/S1005)-1</f>
        <v>6.8577720821198174E-2</v>
      </c>
      <c r="W1005">
        <f>V1005*100</f>
        <v>6.8577720821198174</v>
      </c>
    </row>
    <row r="1006" spans="1:23" x14ac:dyDescent="0.35">
      <c r="B1006" t="s">
        <v>278</v>
      </c>
      <c r="C1006" t="s">
        <v>1212</v>
      </c>
      <c r="D1006" t="s">
        <v>409</v>
      </c>
      <c r="E1006" t="s">
        <v>193</v>
      </c>
      <c r="F1006" t="s">
        <v>322</v>
      </c>
      <c r="G1006" t="s">
        <v>1139</v>
      </c>
      <c r="H1006" t="s">
        <v>1202</v>
      </c>
      <c r="I1006" t="s">
        <v>143</v>
      </c>
      <c r="K1006" t="s">
        <v>144</v>
      </c>
      <c r="L1006" t="s">
        <v>143</v>
      </c>
      <c r="M1006" t="s">
        <v>145</v>
      </c>
    </row>
    <row r="1007" spans="1:23" x14ac:dyDescent="0.3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3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3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3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3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3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3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3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3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3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3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3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3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3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3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3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3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3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3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3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3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3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3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3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35">
      <c r="C1033" t="s">
        <v>1288</v>
      </c>
      <c r="D1033" t="s">
        <v>1289</v>
      </c>
      <c r="E1033" t="s">
        <v>1291</v>
      </c>
      <c r="F1033" t="s">
        <v>1290</v>
      </c>
      <c r="G1033" t="s">
        <v>1292</v>
      </c>
      <c r="I1033" t="s">
        <v>1293</v>
      </c>
      <c r="J1033" t="s">
        <v>1289</v>
      </c>
      <c r="K1033" t="s">
        <v>1291</v>
      </c>
      <c r="L1033" t="s">
        <v>1290</v>
      </c>
      <c r="M1033" t="s">
        <v>1292</v>
      </c>
    </row>
    <row r="1034" spans="2:13" x14ac:dyDescent="0.3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3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3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3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3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35">
      <c r="D1039" t="s">
        <v>234</v>
      </c>
      <c r="E1039" s="65">
        <f>SUMPRODUCT(C1034:C1038,E1034:E1038)</f>
        <v>25.259999999999998</v>
      </c>
      <c r="G1039" s="65">
        <f>SUMPRODUCT(C1034:C1038,G1034:G1038)</f>
        <v>24.265000000000001</v>
      </c>
    </row>
    <row r="1041" spans="1:12" x14ac:dyDescent="0.35">
      <c r="C1041" t="s">
        <v>1294</v>
      </c>
    </row>
    <row r="1044" spans="1:12" x14ac:dyDescent="0.35">
      <c r="A1044" s="67" t="s">
        <v>1310</v>
      </c>
    </row>
    <row r="1047" spans="1:12" x14ac:dyDescent="0.35">
      <c r="A1047" t="s">
        <v>187</v>
      </c>
      <c r="B1047" t="s">
        <v>1212</v>
      </c>
      <c r="C1047" t="s">
        <v>409</v>
      </c>
      <c r="D1047" t="s">
        <v>1316</v>
      </c>
      <c r="E1047" t="s">
        <v>1319</v>
      </c>
      <c r="F1047" t="s">
        <v>193</v>
      </c>
      <c r="G1047" t="s">
        <v>1139</v>
      </c>
      <c r="H1047" t="s">
        <v>143</v>
      </c>
      <c r="J1047" t="s">
        <v>144</v>
      </c>
      <c r="K1047" t="s">
        <v>143</v>
      </c>
      <c r="L1047" t="s">
        <v>145</v>
      </c>
    </row>
    <row r="1048" spans="1:12" x14ac:dyDescent="0.35">
      <c r="B1048">
        <v>1</v>
      </c>
      <c r="C1048" t="s">
        <v>1215</v>
      </c>
      <c r="D1048" t="s">
        <v>164</v>
      </c>
      <c r="E1048">
        <v>0</v>
      </c>
      <c r="F1048">
        <v>0</v>
      </c>
      <c r="G1048">
        <v>0.193</v>
      </c>
      <c r="H1048">
        <v>1.2999999999999999E-2</v>
      </c>
      <c r="J1048" t="s">
        <v>83</v>
      </c>
      <c r="K1048" t="s">
        <v>83</v>
      </c>
      <c r="L1048" t="s">
        <v>83</v>
      </c>
    </row>
    <row r="1049" spans="1:12" x14ac:dyDescent="0.35">
      <c r="B1049">
        <v>2</v>
      </c>
      <c r="C1049" t="s">
        <v>1215</v>
      </c>
      <c r="D1049" t="s">
        <v>1317</v>
      </c>
      <c r="E1049">
        <v>0</v>
      </c>
      <c r="F1049">
        <v>0</v>
      </c>
      <c r="G1049">
        <v>0.16700000000000001</v>
      </c>
      <c r="H1049">
        <v>1.4999999999999999E-2</v>
      </c>
      <c r="J1049" t="s">
        <v>83</v>
      </c>
      <c r="K1049" t="s">
        <v>83</v>
      </c>
      <c r="L1049" t="s">
        <v>83</v>
      </c>
    </row>
    <row r="1050" spans="1:12" x14ac:dyDescent="0.35">
      <c r="B1050">
        <v>3</v>
      </c>
      <c r="C1050" t="s">
        <v>1215</v>
      </c>
      <c r="D1050" t="s">
        <v>1317</v>
      </c>
      <c r="E1050">
        <v>0</v>
      </c>
      <c r="F1050">
        <v>0</v>
      </c>
      <c r="G1050">
        <v>0.158</v>
      </c>
      <c r="H1050">
        <v>1.6E-2</v>
      </c>
      <c r="J1050" t="s">
        <v>83</v>
      </c>
      <c r="K1050" t="s">
        <v>83</v>
      </c>
      <c r="L1050" t="s">
        <v>83</v>
      </c>
    </row>
    <row r="1051" spans="1:12" x14ac:dyDescent="0.35">
      <c r="B1051">
        <v>4</v>
      </c>
      <c r="C1051" t="s">
        <v>1215</v>
      </c>
      <c r="D1051" t="s">
        <v>1317</v>
      </c>
      <c r="E1051">
        <v>0</v>
      </c>
      <c r="F1051">
        <v>0</v>
      </c>
      <c r="G1051">
        <v>0.113</v>
      </c>
      <c r="H1051">
        <v>1.6E-2</v>
      </c>
      <c r="J1051" t="s">
        <v>83</v>
      </c>
      <c r="K1051" t="s">
        <v>83</v>
      </c>
      <c r="L1051" t="s">
        <v>83</v>
      </c>
    </row>
    <row r="1052" spans="1:12" x14ac:dyDescent="0.35">
      <c r="B1052">
        <v>5</v>
      </c>
      <c r="C1052" t="s">
        <v>1215</v>
      </c>
      <c r="D1052" t="s">
        <v>1317</v>
      </c>
      <c r="E1052">
        <v>0</v>
      </c>
      <c r="F1052">
        <v>0</v>
      </c>
      <c r="G1052">
        <v>8.7999999999999995E-2</v>
      </c>
      <c r="H1052">
        <v>1.9E-2</v>
      </c>
      <c r="J1052" t="s">
        <v>83</v>
      </c>
      <c r="K1052" t="s">
        <v>83</v>
      </c>
      <c r="L1052" t="s">
        <v>83</v>
      </c>
    </row>
    <row r="1053" spans="1:12" x14ac:dyDescent="0.35">
      <c r="B1053">
        <v>2</v>
      </c>
      <c r="C1053" t="s">
        <v>1215</v>
      </c>
      <c r="D1053" t="s">
        <v>1318</v>
      </c>
      <c r="E1053">
        <v>0</v>
      </c>
      <c r="F1053">
        <v>0</v>
      </c>
      <c r="G1053">
        <v>0.23699999999999999</v>
      </c>
      <c r="H1053">
        <v>1.9E-2</v>
      </c>
      <c r="J1053" t="s">
        <v>83</v>
      </c>
      <c r="K1053" t="s">
        <v>83</v>
      </c>
      <c r="L1053" t="s">
        <v>83</v>
      </c>
    </row>
    <row r="1054" spans="1:12" x14ac:dyDescent="0.35">
      <c r="B1054">
        <v>3</v>
      </c>
      <c r="C1054" t="s">
        <v>1215</v>
      </c>
      <c r="D1054" t="s">
        <v>1318</v>
      </c>
      <c r="E1054">
        <v>0</v>
      </c>
      <c r="F1054">
        <v>0</v>
      </c>
      <c r="G1054">
        <v>0.22600000000000001</v>
      </c>
      <c r="H1054">
        <v>0.02</v>
      </c>
      <c r="J1054" t="s">
        <v>83</v>
      </c>
      <c r="K1054" t="s">
        <v>83</v>
      </c>
      <c r="L1054" t="s">
        <v>83</v>
      </c>
    </row>
    <row r="1055" spans="1:12" x14ac:dyDescent="0.35">
      <c r="B1055">
        <v>4</v>
      </c>
      <c r="C1055" t="s">
        <v>1215</v>
      </c>
      <c r="D1055" t="s">
        <v>1318</v>
      </c>
      <c r="E1055">
        <v>0</v>
      </c>
      <c r="F1055">
        <v>0</v>
      </c>
      <c r="G1055">
        <v>0.16700000000000001</v>
      </c>
      <c r="H1055">
        <v>0.02</v>
      </c>
      <c r="J1055" t="s">
        <v>83</v>
      </c>
      <c r="K1055" t="s">
        <v>83</v>
      </c>
      <c r="L1055" t="s">
        <v>83</v>
      </c>
    </row>
    <row r="1056" spans="1:12" x14ac:dyDescent="0.35">
      <c r="B1056">
        <v>5</v>
      </c>
      <c r="C1056" t="s">
        <v>1215</v>
      </c>
      <c r="D1056" t="s">
        <v>1318</v>
      </c>
      <c r="E1056">
        <v>0</v>
      </c>
      <c r="F1056">
        <v>0</v>
      </c>
      <c r="G1056">
        <v>0.105</v>
      </c>
      <c r="H1056">
        <v>2.7E-2</v>
      </c>
      <c r="J1056" t="s">
        <v>83</v>
      </c>
      <c r="K1056" t="s">
        <v>83</v>
      </c>
      <c r="L1056" t="s">
        <v>83</v>
      </c>
    </row>
    <row r="1057" spans="1:12" x14ac:dyDescent="0.3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3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35">
      <c r="B1059">
        <v>3</v>
      </c>
      <c r="C1059" t="s">
        <v>1314</v>
      </c>
      <c r="D1059" t="s">
        <v>1317</v>
      </c>
      <c r="E1059">
        <v>1</v>
      </c>
      <c r="F1059">
        <v>1</v>
      </c>
      <c r="G1059">
        <v>0.27500000000000002</v>
      </c>
      <c r="H1059">
        <v>2.7E-2</v>
      </c>
      <c r="J1059" s="65">
        <v>11.7</v>
      </c>
      <c r="K1059" s="65">
        <v>3.1384709652950429</v>
      </c>
      <c r="L1059" s="65">
        <v>3.7279299790814209</v>
      </c>
    </row>
    <row r="1060" spans="1:12" x14ac:dyDescent="0.35">
      <c r="B1060">
        <v>4</v>
      </c>
      <c r="C1060" t="s">
        <v>1314</v>
      </c>
      <c r="D1060" t="s">
        <v>1317</v>
      </c>
      <c r="E1060">
        <v>1</v>
      </c>
      <c r="F1060">
        <v>1</v>
      </c>
      <c r="G1060">
        <v>0.21</v>
      </c>
      <c r="H1060">
        <v>2.7E-2</v>
      </c>
      <c r="J1060" s="65">
        <v>9.6999999999999975</v>
      </c>
      <c r="K1060" s="65">
        <v>3.1384709652950429</v>
      </c>
      <c r="L1060" s="65">
        <v>3.0906769912042549</v>
      </c>
    </row>
    <row r="1061" spans="1:12" x14ac:dyDescent="0.3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3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3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3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3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3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35">
      <c r="A1069" s="67" t="s">
        <v>1353</v>
      </c>
    </row>
    <row r="1071" spans="1:12" x14ac:dyDescent="0.35">
      <c r="C1071" t="s">
        <v>1212</v>
      </c>
      <c r="D1071" t="s">
        <v>409</v>
      </c>
      <c r="E1071" t="s">
        <v>193</v>
      </c>
      <c r="F1071" t="s">
        <v>322</v>
      </c>
      <c r="G1071" t="s">
        <v>1139</v>
      </c>
      <c r="H1071" t="s">
        <v>143</v>
      </c>
      <c r="J1071" t="s">
        <v>144</v>
      </c>
      <c r="K1071" t="s">
        <v>143</v>
      </c>
      <c r="L1071" t="s">
        <v>145</v>
      </c>
    </row>
    <row r="1072" spans="1:12" x14ac:dyDescent="0.35">
      <c r="C1072">
        <v>1</v>
      </c>
      <c r="D1072" t="s">
        <v>1357</v>
      </c>
      <c r="E1072">
        <v>2</v>
      </c>
      <c r="F1072">
        <v>11</v>
      </c>
      <c r="G1072">
        <v>0.15</v>
      </c>
      <c r="H1072">
        <v>2E-3</v>
      </c>
      <c r="J1072" s="65">
        <v>7.2380529476360866</v>
      </c>
      <c r="K1072" s="65">
        <v>9.3250480824031381E-2</v>
      </c>
      <c r="L1072" s="65">
        <v>77.619470523639208</v>
      </c>
    </row>
    <row r="1073" spans="3:12" x14ac:dyDescent="0.35">
      <c r="C1073">
        <v>1</v>
      </c>
      <c r="D1073" t="s">
        <v>1215</v>
      </c>
      <c r="E1073">
        <v>4</v>
      </c>
      <c r="F1073">
        <v>13</v>
      </c>
      <c r="G1073">
        <v>0.24</v>
      </c>
      <c r="H1073">
        <v>2E-3</v>
      </c>
      <c r="J1073" s="65">
        <v>5.5250146915888587</v>
      </c>
      <c r="K1073" s="65">
        <v>4.2550409149834219E-2</v>
      </c>
      <c r="L1073" s="65">
        <v>129.84633525222841</v>
      </c>
    </row>
    <row r="1074" spans="3:12" x14ac:dyDescent="0.35">
      <c r="C1074">
        <v>1</v>
      </c>
      <c r="D1074" t="s">
        <v>1223</v>
      </c>
      <c r="E1074">
        <v>6</v>
      </c>
      <c r="F1074">
        <v>15</v>
      </c>
      <c r="G1074">
        <v>0.48</v>
      </c>
      <c r="H1074">
        <v>2E-3</v>
      </c>
      <c r="J1074" s="65">
        <v>6.7522291599108941</v>
      </c>
      <c r="K1074" s="65">
        <v>2.4043294855835791E-2</v>
      </c>
      <c r="L1074" s="65">
        <v>280.83626642677018</v>
      </c>
    </row>
    <row r="1075" spans="3:12" x14ac:dyDescent="0.35">
      <c r="C1075">
        <v>1</v>
      </c>
      <c r="D1075" t="s">
        <v>161</v>
      </c>
      <c r="E1075">
        <v>8</v>
      </c>
      <c r="F1075">
        <v>17</v>
      </c>
      <c r="G1075">
        <v>0.64</v>
      </c>
      <c r="H1075">
        <v>3.0000000000000001E-3</v>
      </c>
      <c r="J1075" s="65">
        <v>6.3788965157105082</v>
      </c>
      <c r="K1075" s="65">
        <v>2.4324442800848441E-2</v>
      </c>
      <c r="L1075" s="65">
        <v>262.24224611994038</v>
      </c>
    </row>
    <row r="1076" spans="3:12" x14ac:dyDescent="0.35">
      <c r="C1076">
        <v>2</v>
      </c>
      <c r="D1076" t="s">
        <v>1357</v>
      </c>
      <c r="E1076">
        <v>2</v>
      </c>
      <c r="F1076">
        <v>11</v>
      </c>
      <c r="G1076">
        <v>0.11</v>
      </c>
      <c r="H1076">
        <v>5.0000000000000001E-3</v>
      </c>
      <c r="J1076" s="65">
        <v>5.3565375285273831</v>
      </c>
      <c r="K1076" s="65">
        <v>0.2372894989381247</v>
      </c>
      <c r="L1076" s="65">
        <v>22.573849885890429</v>
      </c>
    </row>
    <row r="1077" spans="3:12" x14ac:dyDescent="0.35">
      <c r="C1077">
        <v>2</v>
      </c>
      <c r="D1077" t="s">
        <v>1215</v>
      </c>
      <c r="E1077">
        <v>4</v>
      </c>
      <c r="F1077">
        <v>13</v>
      </c>
      <c r="G1077">
        <v>0.19</v>
      </c>
      <c r="H1077">
        <v>6.0000000000000001E-3</v>
      </c>
      <c r="J1077" s="65">
        <v>4.4447802172789874</v>
      </c>
      <c r="K1077" s="65">
        <v>0.13165308430749451</v>
      </c>
      <c r="L1077" s="65">
        <v>33.76130715553591</v>
      </c>
    </row>
    <row r="1078" spans="3:12" x14ac:dyDescent="0.35">
      <c r="C1078">
        <v>2</v>
      </c>
      <c r="D1078" t="s">
        <v>1223</v>
      </c>
      <c r="E1078">
        <v>6</v>
      </c>
      <c r="F1078">
        <v>15</v>
      </c>
      <c r="G1078">
        <v>0.39</v>
      </c>
      <c r="H1078">
        <v>8.9999999999999993E-3</v>
      </c>
      <c r="J1078" s="65">
        <v>5.6418018551802618</v>
      </c>
      <c r="K1078" s="65">
        <v>0.1140019444480362</v>
      </c>
      <c r="L1078" s="65">
        <v>49.488645851579129</v>
      </c>
    </row>
    <row r="1079" spans="3:12" x14ac:dyDescent="0.35">
      <c r="C1079">
        <v>2</v>
      </c>
      <c r="D1079" t="s">
        <v>161</v>
      </c>
      <c r="E1079">
        <v>8</v>
      </c>
      <c r="F1079">
        <v>17</v>
      </c>
      <c r="G1079">
        <v>0.55000000000000004</v>
      </c>
      <c r="H1079">
        <v>1.2E-2</v>
      </c>
      <c r="J1079" s="65">
        <v>5.6310172766642408</v>
      </c>
      <c r="K1079" s="65">
        <v>0.1022235651064493</v>
      </c>
      <c r="L1079" s="65">
        <v>55.085314925188229</v>
      </c>
    </row>
    <row r="1080" spans="3:12" x14ac:dyDescent="0.35">
      <c r="C1080">
        <v>4</v>
      </c>
      <c r="D1080" t="s">
        <v>1357</v>
      </c>
      <c r="E1080">
        <v>2</v>
      </c>
      <c r="F1080">
        <v>11</v>
      </c>
      <c r="G1080">
        <v>0.09</v>
      </c>
      <c r="H1080">
        <v>5.0000000000000001E-3</v>
      </c>
      <c r="J1080" s="65">
        <v>4.4030650891055068</v>
      </c>
      <c r="K1080" s="65">
        <v>0.23945657130528791</v>
      </c>
      <c r="L1080" s="65">
        <v>18.387739643578008</v>
      </c>
    </row>
    <row r="1081" spans="3:12" x14ac:dyDescent="0.35">
      <c r="C1081">
        <v>4</v>
      </c>
      <c r="D1081" t="s">
        <v>1215</v>
      </c>
      <c r="E1081">
        <v>4</v>
      </c>
      <c r="F1081">
        <v>13</v>
      </c>
      <c r="G1081">
        <v>0.16</v>
      </c>
      <c r="H1081">
        <v>6.0000000000000001E-3</v>
      </c>
      <c r="J1081" s="65">
        <v>3.7801985653766579</v>
      </c>
      <c r="K1081" s="65">
        <v>0.13419853262764231</v>
      </c>
      <c r="L1081" s="65">
        <v>28.168702677737119</v>
      </c>
    </row>
    <row r="1082" spans="3:12" x14ac:dyDescent="0.35">
      <c r="C1082">
        <v>4</v>
      </c>
      <c r="D1082" t="s">
        <v>1223</v>
      </c>
      <c r="E1082">
        <v>6</v>
      </c>
      <c r="F1082">
        <v>15</v>
      </c>
      <c r="G1082">
        <v>0.35</v>
      </c>
      <c r="H1082">
        <v>8.0000000000000002E-3</v>
      </c>
      <c r="J1082" s="65">
        <v>5.1289422372410298</v>
      </c>
      <c r="K1082" s="65">
        <v>0.1038310540614726</v>
      </c>
      <c r="L1082" s="65">
        <v>49.396996723200637</v>
      </c>
    </row>
    <row r="1083" spans="3:12" x14ac:dyDescent="0.3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4.5" x14ac:dyDescent="0.35"/>
  <cols>
    <col min="1" max="1" width="22.7265625" style="33" customWidth="1"/>
    <col min="2" max="2" width="6.81640625" customWidth="1"/>
    <col min="3" max="3" width="8.81640625" style="30"/>
  </cols>
  <sheetData>
    <row r="1" spans="1:8" s="31" customFormat="1" ht="15" thickBot="1" x14ac:dyDescent="0.4">
      <c r="A1" s="43" t="s">
        <v>90</v>
      </c>
      <c r="B1" s="44" t="s">
        <v>92</v>
      </c>
      <c r="C1" s="32" t="s">
        <v>91</v>
      </c>
    </row>
    <row r="2" spans="1:8" x14ac:dyDescent="0.35">
      <c r="A2" s="24"/>
      <c r="B2" t="s">
        <v>107</v>
      </c>
      <c r="C2" s="30" t="s">
        <v>100</v>
      </c>
    </row>
    <row r="3" spans="1:8" x14ac:dyDescent="0.35">
      <c r="A3" s="42"/>
      <c r="B3" t="s">
        <v>108</v>
      </c>
      <c r="C3" s="30" t="s">
        <v>101</v>
      </c>
    </row>
    <row r="4" spans="1:8" x14ac:dyDescent="0.35">
      <c r="A4" s="17"/>
      <c r="B4" t="s">
        <v>93</v>
      </c>
      <c r="C4" s="30" t="s">
        <v>102</v>
      </c>
    </row>
    <row r="5" spans="1:8" x14ac:dyDescent="0.35">
      <c r="A5" s="19"/>
      <c r="B5" t="s">
        <v>112</v>
      </c>
      <c r="C5" s="30" t="s">
        <v>103</v>
      </c>
      <c r="H5" s="68"/>
    </row>
    <row r="6" spans="1:8" x14ac:dyDescent="0.35">
      <c r="A6" s="21"/>
      <c r="B6" t="s">
        <v>109</v>
      </c>
      <c r="C6" s="30" t="s">
        <v>104</v>
      </c>
    </row>
    <row r="7" spans="1:8" x14ac:dyDescent="0.35">
      <c r="A7" s="23"/>
      <c r="B7" t="s">
        <v>111</v>
      </c>
      <c r="C7" s="30" t="s">
        <v>105</v>
      </c>
      <c r="H7" s="68"/>
    </row>
    <row r="8" spans="1:8" x14ac:dyDescent="0.35">
      <c r="A8" s="41"/>
      <c r="B8" t="s">
        <v>110</v>
      </c>
      <c r="C8" s="30" t="s">
        <v>106</v>
      </c>
    </row>
    <row r="21" spans="8:8" x14ac:dyDescent="0.3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Cala</cp:lastModifiedBy>
  <dcterms:created xsi:type="dcterms:W3CDTF">2015-06-05T18:19:34Z</dcterms:created>
  <dcterms:modified xsi:type="dcterms:W3CDTF">2023-11-27T09:30:02Z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